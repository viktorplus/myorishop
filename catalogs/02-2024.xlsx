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ales Support\DOFs\Россия\2024 ДОФы\"/>
    </mc:Choice>
  </mc:AlternateContent>
  <xr:revisionPtr revIDLastSave="0" documentId="13_ncr:1_{F370B21B-3150-431D-9ECA-66BA72B8DE4D}" xr6:coauthVersionLast="47" xr6:coauthVersionMax="47" xr10:uidLastSave="{00000000-0000-0000-0000-000000000000}"/>
  <bookViews>
    <workbookView xWindow="-108" yWindow="-108" windowWidth="23256" windowHeight="12576" tabRatio="791" xr2:uid="{00000000-000D-0000-FFFF-FFFF00000000}"/>
  </bookViews>
  <sheets>
    <sheet name="02 КАТАЛОГ`24 (1)" sheetId="1" r:id="rId1"/>
    <sheet name="02 КАТАЛОГ`24 (2)" sheetId="2" r:id="rId2"/>
    <sheet name="02 КАТАЛОГ`24 (3)" sheetId="3" r:id="rId3"/>
    <sheet name="СПЕЦПРЕДЛОЖЕНИЯ" sheetId="6" r:id="rId4"/>
    <sheet name="ПРОДУКТЫ ЗА ДОСТАВКУ" sheetId="10" r:id="rId5"/>
    <sheet name="NOVAGE КАТАЛОГ" sheetId="7" r:id="rId6"/>
    <sheet name="ЮВЕЛИРНЫЙ МИНИ-КАТАЛОГ" sheetId="8" r:id="rId7"/>
    <sheet name="КАТАЛОГ WELLOSOPHY" sheetId="9" r:id="rId8"/>
  </sheets>
  <externalReferences>
    <externalReference r:id="rId9"/>
    <externalReference r:id="rId10"/>
  </externalReferences>
  <definedNames>
    <definedName name="_xlnm._FilterDatabase" localSheetId="0" hidden="1">'02 КАТАЛОГ`24 (1)'!$B$1:$C$544</definedName>
    <definedName name="_xlnm._FilterDatabase" localSheetId="1" hidden="1">'02 КАТАЛОГ`24 (2)'!#REF!</definedName>
    <definedName name="_xlnm._FilterDatabase" localSheetId="2" hidden="1">'02 КАТАЛОГ`24 (3)'!$I$1:$I$413</definedName>
    <definedName name="_xlnm._FilterDatabase" localSheetId="5" hidden="1">'NOVAGE КАТАЛОГ'!#REF!</definedName>
    <definedName name="_xlnm._FilterDatabase" localSheetId="3" hidden="1">СПЕЦПРЕДЛОЖЕНИЯ!#REF!</definedName>
    <definedName name="_xlnm._FilterDatabase" localSheetId="6" hidden="1">'ЮВЕЛИРНЫЙ МИНИ-КАТАЛОГ'!$B$1:$B$19</definedName>
    <definedName name="Color_GM">#REF!</definedName>
    <definedName name="_xlnm.Print_Area" localSheetId="1">'02 КАТАЛОГ`24 (2)'!#REF!</definedName>
    <definedName name="Target_GM">#REF!</definedName>
    <definedName name="МЯГКИЙ_ДВУХСТОРОННИЙ_КАРАНДАШ_ДЛЯ_ГЛАЗ___СЛИВОЧНАЯ_КАРАМЕЛЬ__СТР._83_КАТАЛОГА" localSheetId="1">'[1]10 КАТАЛОГ`08 (1)'!#REF!</definedName>
    <definedName name="МЯГКИЙ_ДВУХСТОРОННИЙ_КАРАНДАШ_ДЛЯ_ГЛАЗ___СЛИВОЧНАЯ_КАРАМЕЛЬ__СТР._83_КАТАЛОГА" localSheetId="2">'[1]10 КАТАЛОГ`08 (1)'!#REF!</definedName>
    <definedName name="МЯГКИЙ_ДВУХСТОРОННИЙ_КАРАНДАШ_ДЛЯ_ГЛАЗ___СЛИВОЧНАЯ_КАРАМЕЛЬ__СТР._83_КАТАЛОГА">'02 КАТАЛОГ`24 (1)'!#REF!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52" i="9" l="1"/>
  <c r="I52" i="9" s="1"/>
  <c r="G52" i="9"/>
  <c r="F52" i="9"/>
  <c r="E52" i="9"/>
  <c r="H51" i="9"/>
  <c r="I51" i="9" s="1"/>
  <c r="G51" i="9"/>
  <c r="F51" i="9"/>
  <c r="E51" i="9"/>
  <c r="H50" i="9"/>
  <c r="G50" i="9"/>
  <c r="F50" i="9"/>
  <c r="E50" i="9"/>
  <c r="H49" i="9"/>
  <c r="I49" i="9" s="1"/>
  <c r="G49" i="9"/>
  <c r="F49" i="9"/>
  <c r="E49" i="9"/>
  <c r="H48" i="9"/>
  <c r="G48" i="9"/>
  <c r="F48" i="9"/>
  <c r="E48" i="9"/>
  <c r="H47" i="9"/>
  <c r="G47" i="9"/>
  <c r="F47" i="9"/>
  <c r="E47" i="9"/>
  <c r="H46" i="9"/>
  <c r="G46" i="9"/>
  <c r="F46" i="9"/>
  <c r="E46" i="9"/>
  <c r="H45" i="9"/>
  <c r="I45" i="9" s="1"/>
  <c r="G45" i="9"/>
  <c r="F45" i="9"/>
  <c r="E45" i="9"/>
  <c r="H44" i="9"/>
  <c r="G44" i="9"/>
  <c r="F44" i="9"/>
  <c r="E44" i="9"/>
  <c r="H43" i="9"/>
  <c r="G43" i="9"/>
  <c r="F43" i="9"/>
  <c r="E43" i="9"/>
  <c r="H42" i="9"/>
  <c r="I42" i="9" s="1"/>
  <c r="G42" i="9"/>
  <c r="F42" i="9"/>
  <c r="E42" i="9"/>
  <c r="H41" i="9"/>
  <c r="G41" i="9"/>
  <c r="F41" i="9"/>
  <c r="E41" i="9"/>
  <c r="H40" i="9"/>
  <c r="G40" i="9"/>
  <c r="F40" i="9"/>
  <c r="E40" i="9"/>
  <c r="H39" i="9"/>
  <c r="I39" i="9" s="1"/>
  <c r="G39" i="9"/>
  <c r="F39" i="9"/>
  <c r="E39" i="9"/>
  <c r="H38" i="9"/>
  <c r="G38" i="9"/>
  <c r="F38" i="9"/>
  <c r="E38" i="9"/>
  <c r="H37" i="9"/>
  <c r="I37" i="9" s="1"/>
  <c r="G37" i="9"/>
  <c r="F37" i="9"/>
  <c r="E37" i="9"/>
  <c r="H36" i="9"/>
  <c r="I36" i="9" s="1"/>
  <c r="G36" i="9"/>
  <c r="F36" i="9"/>
  <c r="E36" i="9"/>
  <c r="H35" i="9"/>
  <c r="G35" i="9"/>
  <c r="F35" i="9"/>
  <c r="E35" i="9"/>
  <c r="H34" i="9"/>
  <c r="I34" i="9" s="1"/>
  <c r="G34" i="9"/>
  <c r="F34" i="9"/>
  <c r="E34" i="9"/>
  <c r="H33" i="9"/>
  <c r="I33" i="9" s="1"/>
  <c r="G33" i="9"/>
  <c r="F33" i="9"/>
  <c r="E33" i="9"/>
  <c r="H32" i="9"/>
  <c r="G32" i="9"/>
  <c r="F32" i="9"/>
  <c r="E32" i="9"/>
  <c r="H31" i="9"/>
  <c r="G31" i="9"/>
  <c r="F31" i="9"/>
  <c r="E31" i="9"/>
  <c r="H30" i="9"/>
  <c r="I30" i="9" s="1"/>
  <c r="G30" i="9"/>
  <c r="F30" i="9"/>
  <c r="E30" i="9"/>
  <c r="H29" i="9"/>
  <c r="G29" i="9"/>
  <c r="F29" i="9"/>
  <c r="E29" i="9"/>
  <c r="H28" i="9"/>
  <c r="G28" i="9"/>
  <c r="F28" i="9"/>
  <c r="E28" i="9"/>
  <c r="H27" i="9"/>
  <c r="I27" i="9" s="1"/>
  <c r="G27" i="9"/>
  <c r="F27" i="9"/>
  <c r="E27" i="9"/>
  <c r="H26" i="9"/>
  <c r="G26" i="9"/>
  <c r="F26" i="9"/>
  <c r="E26" i="9"/>
  <c r="E4" i="9"/>
  <c r="F4" i="9"/>
  <c r="G4" i="9"/>
  <c r="H4" i="9"/>
  <c r="E5" i="9"/>
  <c r="F5" i="9"/>
  <c r="G5" i="9"/>
  <c r="H5" i="9"/>
  <c r="E6" i="9"/>
  <c r="F6" i="9"/>
  <c r="G6" i="9"/>
  <c r="H6" i="9"/>
  <c r="E7" i="9"/>
  <c r="F7" i="9"/>
  <c r="G7" i="9"/>
  <c r="H7" i="9"/>
  <c r="E8" i="9"/>
  <c r="F8" i="9"/>
  <c r="G8" i="9"/>
  <c r="H8" i="9"/>
  <c r="E9" i="9"/>
  <c r="F9" i="9"/>
  <c r="G9" i="9"/>
  <c r="H9" i="9"/>
  <c r="E10" i="9"/>
  <c r="F10" i="9"/>
  <c r="G10" i="9"/>
  <c r="H10" i="9"/>
  <c r="E11" i="9"/>
  <c r="F11" i="9"/>
  <c r="G11" i="9"/>
  <c r="H11" i="9"/>
  <c r="E12" i="9"/>
  <c r="F12" i="9"/>
  <c r="G12" i="9"/>
  <c r="H12" i="9"/>
  <c r="E13" i="9"/>
  <c r="F13" i="9"/>
  <c r="G13" i="9"/>
  <c r="H13" i="9"/>
  <c r="E14" i="9"/>
  <c r="F14" i="9"/>
  <c r="G14" i="9"/>
  <c r="H14" i="9"/>
  <c r="E15" i="9"/>
  <c r="F15" i="9"/>
  <c r="G15" i="9"/>
  <c r="H15" i="9"/>
  <c r="E16" i="9"/>
  <c r="F16" i="9"/>
  <c r="G16" i="9"/>
  <c r="H16" i="9"/>
  <c r="E17" i="9"/>
  <c r="F17" i="9"/>
  <c r="G17" i="9"/>
  <c r="H17" i="9"/>
  <c r="I17" i="9" s="1"/>
  <c r="E18" i="9"/>
  <c r="F18" i="9"/>
  <c r="G18" i="9"/>
  <c r="H18" i="9"/>
  <c r="E19" i="9"/>
  <c r="F19" i="9"/>
  <c r="G19" i="9"/>
  <c r="H19" i="9"/>
  <c r="E20" i="9"/>
  <c r="F20" i="9"/>
  <c r="G20" i="9"/>
  <c r="H20" i="9"/>
  <c r="E21" i="9"/>
  <c r="F21" i="9"/>
  <c r="G21" i="9"/>
  <c r="H21" i="9"/>
  <c r="E22" i="9"/>
  <c r="F22" i="9"/>
  <c r="G22" i="9"/>
  <c r="H22" i="9"/>
  <c r="H3" i="9"/>
  <c r="G3" i="9"/>
  <c r="F3" i="9"/>
  <c r="E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3" i="9"/>
  <c r="D3" i="9"/>
  <c r="I26" i="9" l="1"/>
  <c r="I38" i="9"/>
  <c r="I41" i="9"/>
  <c r="I48" i="9"/>
  <c r="I44" i="9"/>
  <c r="I28" i="9"/>
  <c r="I20" i="9"/>
  <c r="I22" i="9"/>
  <c r="I19" i="9"/>
  <c r="I16" i="9"/>
  <c r="I13" i="9"/>
  <c r="I10" i="9"/>
  <c r="I7" i="9"/>
  <c r="I4" i="9"/>
  <c r="I46" i="9"/>
  <c r="I18" i="9"/>
  <c r="I15" i="9"/>
  <c r="I40" i="9"/>
  <c r="I43" i="9"/>
  <c r="I31" i="9"/>
  <c r="I50" i="9"/>
  <c r="I21" i="9"/>
  <c r="I47" i="9"/>
  <c r="I29" i="9"/>
  <c r="I32" i="9"/>
  <c r="I35" i="9"/>
  <c r="I9" i="9"/>
  <c r="I6" i="9"/>
  <c r="I12" i="9"/>
  <c r="I14" i="9"/>
  <c r="I11" i="9"/>
  <c r="I8" i="9"/>
  <c r="I5" i="9"/>
  <c r="I3" i="9"/>
  <c r="C179" i="2"/>
  <c r="C180" i="2"/>
</calcChain>
</file>

<file path=xl/sharedStrings.xml><?xml version="1.0" encoding="utf-8"?>
<sst xmlns="http://schemas.openxmlformats.org/spreadsheetml/2006/main" count="2550" uniqueCount="1386">
  <si>
    <t>ПРОДУКЦИЯ, НЕ ПРЕДСТАВЛЕННАЯ В КАТАЛОГЕ</t>
  </si>
  <si>
    <t xml:space="preserve">ПЦ </t>
  </si>
  <si>
    <t>КАТАЛОГ*</t>
  </si>
  <si>
    <t>Наименование</t>
  </si>
  <si>
    <t>КОД</t>
  </si>
  <si>
    <t>ББ</t>
  </si>
  <si>
    <t>ОП</t>
  </si>
  <si>
    <t>ДЦ</t>
  </si>
  <si>
    <t>ПЦ</t>
  </si>
  <si>
    <t>НАИМЕНОВАНИЕ</t>
  </si>
  <si>
    <t>НП</t>
  </si>
  <si>
    <t>СТР.</t>
  </si>
  <si>
    <t>СКИДКА</t>
  </si>
  <si>
    <t>АКЦИЯ</t>
  </si>
  <si>
    <t xml:space="preserve">НАИМЕНОВАНИЕ </t>
  </si>
  <si>
    <t>***</t>
  </si>
  <si>
    <t>НОВИНКИ КАТАЛОГА</t>
  </si>
  <si>
    <t>-</t>
  </si>
  <si>
    <t>УВЛАЖНЯЮЩАЯ ЭНЕРГОСЫВОРОТКА ДЛЯ ЛИЦА NOVAGE MEN</t>
  </si>
  <si>
    <t>УВЛАЖНЯЮЩИЙ ГЕЛЬ-КРЕМ ПРОТИВ СТАРЕНИЯ КОЖИ NOVAGE MEN</t>
  </si>
  <si>
    <t>КАТАЛОГ</t>
  </si>
  <si>
    <t>"ОМЕГА-3" ДЛЯ ДЕТЕЙ</t>
  </si>
  <si>
    <t>КОМПЛЕКС "МУЛЬТИВИТАМИНЫ И МИНЕРАЛЫ" ДЛЯ ДЕТЕЙ</t>
  </si>
  <si>
    <t>СУХАЯ СМЕСЬ ДЛЯ КОКТЕЙЛЯ «НЭЧУРАЛ БАЛАНС» - НАТУРАЛЬНЫЙ КЛУБНИЧНЫЙ ВКУС</t>
  </si>
  <si>
    <t>СУХАЯ СМЕСЬ ДЛЯ КОКТЕЙЛЯ «НЭЧУРАЛ БАЛАНС» - НАТУРАЛЬНЫЙ ВАНИЛЬНЫЙ ВКУС</t>
  </si>
  <si>
    <t>СУХАЯ СМЕСЬ ДЛЯ КОКТЕЙЛЯ «НЭЧУРАЛ БАЛАНС» - НАТУРАЛЬНЫЙ ШОКОЛАДНЫЙ ВКУС</t>
  </si>
  <si>
    <t>СУП «НЭЧУРАЛ БАЛАНС» - СПАРЖА</t>
  </si>
  <si>
    <t>ВЭЛНЭС ПЭК ДЛЯ ЖЕНЩИН</t>
  </si>
  <si>
    <t>ВЭЛНЭС ПЭК ДЛЯ МУЖЧИН</t>
  </si>
  <si>
    <t>ПРОТЕИНОВЫЙ КОМПЛЕКС</t>
  </si>
  <si>
    <t>1</t>
  </si>
  <si>
    <t>КОМПЛЕКС «АСТАКСАНТИН И ЭКСТРАКТ ЧЕРНИКИ»</t>
  </si>
  <si>
    <t>КОМПЛЕКС «МУЛЬТИВИТАМИНЫ И МИНЕРАЛЫ» ДЛЯ МУЖЧИН</t>
  </si>
  <si>
    <t>КОМПЛЕКС «МУЛЬТИВИТАМИНЫ И МИНЕРАЛЫ» ДЛЯ ЖЕНЩИН</t>
  </si>
  <si>
    <t>КОМПЛЕКС «ОМЕГА-3»</t>
  </si>
  <si>
    <t>НУТРИКОМПЛЕКС ДЛЯ ВОЛОС И НОГТЕЙ</t>
  </si>
  <si>
    <t>ШЕЙКЕР</t>
  </si>
  <si>
    <t>ПИТАТЕЛЬНЫЙ КОКТЕЙЛЬ ДЛЯ КОНТРОЛЯ ВЕСА - ШОКОЛАДНЫЙ ВКУС</t>
  </si>
  <si>
    <t>ПИТАТЕЛЬНЫЙ КОКТЕЙЛЬ ДЛЯ КОНТРОЛЯ ВЕСА - ВАНИЛЬНЫЙ ВКУС</t>
  </si>
  <si>
    <t>НАБОР "ЭНЕРГИЯ И КОНТРОЛЬ ВЕСА" ДЛЯ МУЖЧИН (ВАНИЛЬНЫЙ ВКУС)</t>
  </si>
  <si>
    <t>НАБОР "ЭНЕРГИЯ И КОНТРОЛЬ ВЕСА" ДЛЯ ЖЕНЩИН (ВАНИЛЬНЫЙ ВКУС)</t>
  </si>
  <si>
    <t>НАБОР "ЭНЕРГИЯ И КОНТРОЛЬ ВЕСА" ДЛЯ МУЖЧИН (ШОКОЛАДНЫЙ ВКУС)</t>
  </si>
  <si>
    <t>НАБОР "ЭНЕРГИЯ И КОНТРОЛЬ ВЕСА" ДЛЯ ЖЕНЩИН (ШОКОЛАДНЫЙ ВКУС)</t>
  </si>
  <si>
    <t>МАСКА ДЛЯ ЛИЦА WAUNT "ВОССТАНАВЛИВАЮЩИЙ ЭФФЕКТ" (ПРОБНИК)</t>
  </si>
  <si>
    <t>КРЕМ-ГЕЛЬ ДЛЯ ЛИЦА WAUNT "ЭФФЕКТ МГНОВЕННОГО УВЛАЖНЕНИЯ" (ПРОБНИК)</t>
  </si>
  <si>
    <t>ДНЕВНОЙ КРЕМ WAUNT "ДЗЕН-ЭФФЕКТ" (ПРОБНИК)</t>
  </si>
  <si>
    <t>БАЗА ПОД МАКИЯЖ WAUNT "ВЫРАВНИВАЮЩИЙ ЭФФЕКТ" (ПРОБНИК)</t>
  </si>
  <si>
    <t>ПРОГРАММА ВЭЛНЭСЛАЙФ+ ТВОЯ ЖИЗНЕННАЯ ЭНЕРГИЯ (ДЛЯ ЖЕНЩИН)</t>
  </si>
  <si>
    <t>ПРОГРАММА ВЭЛНЭСЛАЙФ+ ТВОЯ ЖИЗНЕННАЯ ЭНЕРГИЯ (ДЛЯ МУЖЧИН)</t>
  </si>
  <si>
    <t>ПРОГРАММА ВЭЛНЭСЛАЙФ+ ТВОЙ ИДЕАЛЬНЫЙ ВЕС (ДЛЯ ЖЕНЩИН)</t>
  </si>
  <si>
    <t>ПРОГРАММА ВЭЛНЭСЛАЙФ+ ТВОЙ ИДЕАЛЬНЫЙ ВЕС (ДЛЯ МУЖЧИН)</t>
  </si>
  <si>
    <t>ПРЕБИОТИЧЕСКИЙ НАПИТОК С ПИЩЕВЫМИ ВОЛОКНАМИ</t>
  </si>
  <si>
    <t>КОМПЛЕКС "МОРСКОЙ КАЛЬЦИЙ И ВИТАМИН D"</t>
  </si>
  <si>
    <t>НАБОР "КОНТРОЛЬ ВЕСА, ЗДОРОВЬЕ И МОЛОДОСТЬ" (ВАНИЛЬНЫЙ ВКУС)</t>
  </si>
  <si>
    <t>НАБОР "КОНТРОЛЬ ВЕСА, ЗДОРОВЬЕ И МОЛОДОСТЬ" (ШОКОЛАДНЫЙ И ВАНИЛЬНЫЙ ВКУСЫ)</t>
  </si>
  <si>
    <t>НАБОР "КОНТРОЛЬ ВЕСА, ЗДОРОВЬЕ И МОЛОДОСТЬ" (ШОКОЛАДНЫЙ ВКУС)</t>
  </si>
  <si>
    <t xml:space="preserve">* - </t>
  </si>
  <si>
    <t>зарегистрированных покупателей</t>
  </si>
  <si>
    <t>** -</t>
  </si>
  <si>
    <t>незарегистрированных покупателей</t>
  </si>
  <si>
    <t>МЕРНАЯ ЛОЖКА</t>
  </si>
  <si>
    <t>НАБОР ПРОБНИКОВ WAUNT</t>
  </si>
  <si>
    <t>цена</t>
  </si>
  <si>
    <t xml:space="preserve">для </t>
  </si>
  <si>
    <t>ПРОБНИК</t>
  </si>
  <si>
    <t>ПРОДУКТ</t>
  </si>
  <si>
    <t>ТЕСТЕРЫ</t>
  </si>
  <si>
    <t>ЦЕНА</t>
  </si>
  <si>
    <t>НАБОР ПРОБНИКОВ NOVAGE 3.0 WRINKLES</t>
  </si>
  <si>
    <t>ОМОЛАЖИВАЮЩАЯ СЫВОРОТКА ДЛЯ ЛИЦА И ШЕИ NOVAGE TIME RESTORE</t>
  </si>
  <si>
    <t>ОМОЛАЖИВАЮЩИЙ КРЕМ ДЛЯ КОНТУРА ГЛАЗ И ГУБ NOVAGE TIME RESTORE</t>
  </si>
  <si>
    <t>ТОНИЗИРУЮЩИЙ ГЕЛЬ ДЛЯ КОЖИ ВОКРУГ ГЛАЗ NOVAGE MEN</t>
  </si>
  <si>
    <t>КРЕМ-КОМФОРТ ДЛЯ КОЖИ ВОКРУГ ГЛАЗ NOVAGE SKINRELIEF PRO RESILIENT</t>
  </si>
  <si>
    <t>КРЕМ ДЛЯ КОЖИ ВОКРУГ ГЛАЗ ПРОТИВ МОРЩИН NOVAGE+ WRINKLE SMOOTH</t>
  </si>
  <si>
    <t xml:space="preserve">СЫВОРОТКА-ЛИФТИНГ ДЛЯ ЛИЦА NOVAGE+ LIFT + FIRM </t>
  </si>
  <si>
    <t>СЫВОРОТКА ДЛЯ ЛИЦА ПРОТИВ ПИГМЕНТАЦИИ NOVAGE+ BRIGHT INTENSE</t>
  </si>
  <si>
    <t>АНТИВОЗРАСТНАЯ СЫВОРОТКА ДЛЯ ПРОБЛЕМНОЙ КОЖИ NOVAGE+ BLEMISH + AGE DEFY</t>
  </si>
  <si>
    <t>КОМПЛЕКСНЫЙ УХОД ДЛЯ МУЖСКОЙ КОЖИ NOVAGE MEN</t>
  </si>
  <si>
    <t>КОМПЛЕКСНЫЙ ОМОЛАЖИВАЮЩИЙ УХОД NOVAGE TIME RESTORE</t>
  </si>
  <si>
    <t>СЫВОРОТКА-КОМФОРТ ДЛЯ ЛИЦА NOVAGE SKINRELIEF PRO RESILIENT</t>
  </si>
  <si>
    <t>КОМПЛЕКСНЫЙ УХОД-КОМФОРТ NOVAGE SKINRELIEF PRO RESILIENT</t>
  </si>
  <si>
    <t>ЦЗП*</t>
  </si>
  <si>
    <t>ЦНП**</t>
  </si>
  <si>
    <t>КРЕМ ДЛЯ КОЖИ ВОКРУГ ГЛАЗ ПРОТИВ ПИГМЕНТАЦИИ NOVAGE+ BRIGHT INTENSE</t>
  </si>
  <si>
    <t>СЫВОРОТКА ДЛЯ ЛИЦА ПРОТИВ МОРЩИН NOVAGE+ WRINKLE SMOOTH</t>
  </si>
  <si>
    <t>КРЕМ-ЛИФТИНГ ДЛЯ КОЖИ ВОКРУГ ГЛАЗ NOVAGE+ LIFT + FIRM</t>
  </si>
  <si>
    <t>КОМПЛЕКСНЫЙ ЛИФТИНГ-УХОД NOVAGE+ LIFT + FIRM (НАСЫЩЕННАЯ ТЕКСТУРА)</t>
  </si>
  <si>
    <t>КОМПЛЕКСНЫЙ УХОД ПРОТИВ МОРЩИН NOVAGE+ WRINKLE SMOOTH (НАСЫЩЕННАЯ ТЕКСТУРА)</t>
  </si>
  <si>
    <t>КОМПЛЕКСНЫЙ УХОД ПРОТИВ МОРЩИН NOVAGE+ WRINKLE SMOOTH (ЛЁГКАЯ ТЕКСТУРА)</t>
  </si>
  <si>
    <t>КОМПЛЕКСНЫЙ ЛИФТИНГ-УХОД NOVAGE+ LIFT + FIRM (ЛЁГКАЯ ТЕКСТУРА)</t>
  </si>
  <si>
    <t>КОМПЛЕКСНЫЙ УХОД ПРОТИВ ПИГМЕНТАЦИИ NOVAGE+ BRIGHT INTENSE</t>
  </si>
  <si>
    <t>КОМПЛЕКСНЫЙ АНТИВОЗРАСТНОЙ УХОД ДЛЯ ПРОБЛЕМНОЙ КОЖИ NOVAGE+ BLEMISH + AGE DEFY</t>
  </si>
  <si>
    <t>МАСКА ДЛЯ ЛИЦА С ЭФФЕКТОМ ПИЛИНГА WAUNT (ПРОБНИК)</t>
  </si>
  <si>
    <t>2</t>
  </si>
  <si>
    <t>3</t>
  </si>
  <si>
    <t>4</t>
  </si>
  <si>
    <t>КОМПЛЕКС «МОРСКОЙ КАЛЬЦИЙ И ВИТАМИН D»</t>
  </si>
  <si>
    <t/>
  </si>
  <si>
    <t>КОЛЬЕ «ЗАКАТНЫЙ АМЕТИСТ»</t>
  </si>
  <si>
    <t>СЕРЬГИ «ЗАКАТНЫЙ АМЕТИСТ»</t>
  </si>
  <si>
    <t>КОЛЬЦО «ЗАКАТНЫЙ АМЕТИСТ». РАЗМЕР 17</t>
  </si>
  <si>
    <t>КОЛЬЦО «ЗАКАТНЫЙ АМЕТИСТ». РАЗМЕР 18</t>
  </si>
  <si>
    <t>КОЛЬЦО «ЗАКАТНЫЙ АМЕТИСТ». РАЗМЕР 19</t>
  </si>
  <si>
    <t>13</t>
  </si>
  <si>
    <t>21</t>
  </si>
  <si>
    <t>31</t>
  </si>
  <si>
    <t>17</t>
  </si>
  <si>
    <t>КОЛЬЕ «ЛЕСНОЙ ХРИЗОЛИТ»</t>
  </si>
  <si>
    <t>СЕРЬГИ «ЛЕСНОЙ ХРИЗОЛИТ»</t>
  </si>
  <si>
    <t>ЧАСЫ «НЕФРИТОВЫЙ ДРАКОН»</t>
  </si>
  <si>
    <t>ЧАСЫ «ЦЕЛЕУСТРЕМЛЁННОСТЬ»</t>
  </si>
  <si>
    <t>ШКАТУЛКА ДЛЯ ДРАГОЦЕННОСТЕЙ</t>
  </si>
  <si>
    <t>СЕРЬГИ «ДРЕВЕСНАЯ ЯШМА»</t>
  </si>
  <si>
    <t>КОЛЬЕ «ДРЕВЕСНАЯ ЯШМА»</t>
  </si>
  <si>
    <t>КОЛЬЕ «ДЫМЧАТЫЙ КВАРЦ»</t>
  </si>
  <si>
    <t>СЕРЬГИ «ДЫМЧАТЫЙ КВАРЦ»</t>
  </si>
  <si>
    <t>КОЛЬЕ «ГАЛАКТИЧЕСКИЙ ТОПАЗ»</t>
  </si>
  <si>
    <t>СЕРЬГИ «ГАЛАКТИЧЕСКИЙ ТОПАЗ»</t>
  </si>
  <si>
    <t>9</t>
  </si>
  <si>
    <t>25</t>
  </si>
  <si>
    <t>29</t>
  </si>
  <si>
    <t>35</t>
  </si>
  <si>
    <t>ЦЕНА 1499 РУБ. ПРИ ЗАКАЗЕ НА 5000 РУБ. ИЗ КАТАЛОГА NORRSKEN (КРОМЕ 46763)</t>
  </si>
  <si>
    <t>5</t>
  </si>
  <si>
    <t>ОЧИЩАЮЩИЙ ГЕЛЬ-ТОНИК ДЛЯ УМЫВАНИЯ NOVAGE (ПРОБНИК)</t>
  </si>
  <si>
    <t>ОМОЛАЖИВАЮЩАЯ СЫВОРОТКА ДЛЯ ЛИЦА И ШЕИ NOVAGE TIME RESTORE (ПРОБНИК)</t>
  </si>
  <si>
    <t>ОМОЛАЖИВАЮЩИЙ КРЕМ ДЛЯ КОНТУРА ГЛАЗ И ГУБ NOVAGE TIME RESTORE (ПРОБНИК)</t>
  </si>
  <si>
    <t>СРЕДСТВО ДЛЯ УМЫВАНИЯ И СКРАБА 2-В-1 NOVAGE MEN (ПРОБНИК)</t>
  </si>
  <si>
    <t>ТОНИЗИРУЮЩИЙ ГЕЛЬ ДЛЯ КОЖИ ВОКРУГ ГЛАЗ NOVAGE MEN (ПРОБНИК)</t>
  </si>
  <si>
    <t>ОМОЛАЖИВАЮЩИЙ ДНЕВНОЙ КРЕМ SPF 15 NOVAGE TIME RESTORE (ПРОБНИК)</t>
  </si>
  <si>
    <t>ОМОЛАЖИВАЮЩИЙ НОЧНОЙ КРЕМ NOVAGE TIME RESTORE (ПРОБНИК)</t>
  </si>
  <si>
    <t>СЫВОРОТКА-КОМФОРТ ДЛЯ ЛИЦА NOVAGE SKINRELIEF PRO RESILIENT (ПРОБНИК)</t>
  </si>
  <si>
    <t>ДНЕВНОЙ КРЕМ-КОМФОРТ NOVAGE SKINRELIEF PRO RESILIENT SPF 30 (ПРОБНИК)</t>
  </si>
  <si>
    <t>ОЧИЩАЮЩАЯ ПЕНКА-КОМФОРТ ДЛЯ ЛИЦА NOVAGE SKINRELIEF PRO RESILIENT (ПРОБНИК)</t>
  </si>
  <si>
    <t>НОЧНОЙ КРЕМ-КОМФОРТ NOVAGE SKINRELIEF PRO RESILIENT (ПРОБНИК)</t>
  </si>
  <si>
    <t>КРЕМ-КОМФОРТ ДЛЯ КОЖИ ВОКРУГ ГЛАЗ NOVAGE SKINRELIEF PRO RESILIENT (ПРОБНИК)</t>
  </si>
  <si>
    <t>ЛЕГКИЙ МУЛЬТИАКТИВНЫЙ ДНЕВНОЙ КРЕМ NOVAGE+ SPF 30 (ПРОБНИК)</t>
  </si>
  <si>
    <t>НАСЫЩЕННЫЙ МУЛЬТИАКТИВНЫЙ ДНЕВНОЙ КРЕМ NOVAGE+ SPF 30 (ПРОБНИК)</t>
  </si>
  <si>
    <t>КРЕМ ДЛЯ КОЖИ ВОКРУГ ГЛАЗ ПРОТИВ ПИГМЕНТАЦИИ NOVAGE+ BRIGHT INTENSE (ПРОБНИК)</t>
  </si>
  <si>
    <t>КРЕМ ДЛЯ КОЖИ ВОКРУГ ГЛАЗ ПРОТИВ МОРЩИН NOVAGE+ WRINKLE SMOOTH (ПРОБНИК)</t>
  </si>
  <si>
    <t>КРЕМ-ЛИФТИНГ ДЛЯ КОЖИ ВОКРУГ ГЛАЗ NOVAGE+ LIFT+ FIRM (ПРОБНИК)</t>
  </si>
  <si>
    <t>СЫВОРОТКА-ЛИФТИНГ ДЛЯ ЛИЦА NOVAGE+ LIFT + FIRM (ПРОБНИК)</t>
  </si>
  <si>
    <t>СЫВОРОТКА ДЛЯ ЛИЦА ПРОТИВ МОРЩИН NOVAGE+ WRINKLE SMOOTH (ПРОБНИК)</t>
  </si>
  <si>
    <t>СЫВОРОТКА ДЛЯ ЛИЦА ПРОТИВ ПИГМЕНТАЦИИ NOVAGE+ BRIGHT INTENSE (ПРОБНИК)</t>
  </si>
  <si>
    <t>АНТИВОЗРАСТНАЯ СЫВОРОТКА ДЛЯ ПРОБЛЕМНОЙ КОЖИ NOVAGE+ BLEMISH + AGE DEFY (ПРОБНИК)</t>
  </si>
  <si>
    <t>ОЧИЩАЮЩИЙ ГЕЛЬ ДЛЯ ЛИЦА NOVAGE+ (ПРОБНИК)</t>
  </si>
  <si>
    <t>ОЧИЩАЮЩЕЕ МАСЛО ДЛЯ ЛИЦА NOVAGE+ (ПРОБНИК</t>
  </si>
  <si>
    <t>ЛЁГКИЙ МУЛЬТИАКТИВНЫЙ НОЧНОЙ КРЕМ NOVAGE+ (ПРОБНИК)</t>
  </si>
  <si>
    <t>НАСЫЩЕННЫЙ МУЛЬТИАКТИВНЫЙ НОЧНОЙ КРЕМ NOVAGE+ (ПРОБНИК)</t>
  </si>
  <si>
    <t>НАБОР ПРОБНИКОВ NOVAGE MEN</t>
  </si>
  <si>
    <t>НАБОР ПРОБНИКОВ NOVAGE TIME RESTORE</t>
  </si>
  <si>
    <t>НАБОР ПРОБНИКОВ NOVAGE SKINRELIEF</t>
  </si>
  <si>
    <t>НАБОР ПРОБНИКОВ NOVAGE 3.0 LIFTING</t>
  </si>
  <si>
    <t>НАБОР ПРОБНИКОВ NOVAGE 3.0 BRIGHTENING</t>
  </si>
  <si>
    <t>НАБОР ПРОБНИКОВ NOVAGE 3.0 ANTI-ACNE</t>
  </si>
  <si>
    <t>НАБОР ПРОБНИКОВ NOVAGE 3.0 WRINKLES LIGHT</t>
  </si>
  <si>
    <t>НАБОР ПРОБНИКОВ NOVAGE 3.0 LIFTING LIGHT</t>
  </si>
  <si>
    <t>10</t>
  </si>
  <si>
    <t>7</t>
  </si>
  <si>
    <t>WELLOSOPHY НОВИНКИ</t>
  </si>
  <si>
    <t>ПИТАТЕЛЬНЫЙ СУП ДЛЯ КОНТРОЛЯ ВЕСА - ГРИБНОЙ ВКУС</t>
  </si>
  <si>
    <t>АДАПТИВНЫЙ КОНСИЛЕР THE ONE EVERLASTING SYNC - ТЁПЛЫЙ БЕЖ</t>
  </si>
  <si>
    <t>МЫЛО LOVE AT FIRST SIGHT</t>
  </si>
  <si>
    <t>КРЕМ ДЛЯ РУК LOVE AT FIRST SIGHT</t>
  </si>
  <si>
    <t>ДВУСТОРОННИЕ ТЕНИ-ПОДВОДКА ДЛЯ ВЕК ONCOLOUR - СЛАДКАЯ РОЗА</t>
  </si>
  <si>
    <t>ЛАК ДЛЯ НОГТЕЙ ONCOLOUR - РОЗОВЫЙ ЗЕФИР</t>
  </si>
  <si>
    <t xml:space="preserve">ТУАЛЕТНАЯ ВОДА ECLAT AMOUR INTENSITÉ </t>
  </si>
  <si>
    <t>ТУАЛЕТНАЯ ВОДА ECLAT TOUJOURS INTENSITÉ</t>
  </si>
  <si>
    <t>КРЕМОВАЯ ГУБНАЯ ПОМАДА THE ONE SMART SYNC - РУМЯНЫЙ НЮД</t>
  </si>
  <si>
    <t>СТОЙКИЕ ТЕНИ-КАРАНДАШ ДЛЯ ВЕК THE ONE COLOUR UNLIMITED - МАГНЕТИЧЕСКИЙ ПЕРСИКОВЫЙ</t>
  </si>
  <si>
    <t>ГЕЛЬ ДЛЯ ДУША С ОРГАНИЧЕСКИМ АЛОЭ ВЕРА SIMPLE JOYS LOVE NATURE</t>
  </si>
  <si>
    <t>ГЕЛЬ ДЛЯ ДУША С ОРГАНИЧЕСКИМ АНАНАСОМ SIMPLE JOYS LOVE NATURE</t>
  </si>
  <si>
    <t>НАБОР СПОНЖЕЙ ДЛЯ МАКИЯЖА В ПОДАРОЧНОЙ УПАКОВКЕ</t>
  </si>
  <si>
    <t>КАРМАННОЕ ЗЕРКАЛО В ФОРМЕ СЕРДЦА</t>
  </si>
  <si>
    <t>БЬЮТИ-КЕЙС В ФОРМЕ СЕРДЦА</t>
  </si>
  <si>
    <t>ГЕЛЬ ДЛЯ ДУША С ОРГАНИЧЕСКИМ КРАСНЫМ ЯБЛОКОМ SIMPLE JOYS LOVE NATURE</t>
  </si>
  <si>
    <t>КОМПЛЕКТ УКРАШЕНИЙ «ЛЮБОВЬ»</t>
  </si>
  <si>
    <t>КОМПЛЕКТ УКРАШЕНИЙ «СЕРДЦЕ»</t>
  </si>
  <si>
    <t>МУЖСКИЕ ЧАСЫ С ЦИФЕРБЛАТОМ СТАЛЬНОГО ЦВЕТА</t>
  </si>
  <si>
    <t>РОЗОВЫЙ ПОДАРОЧНЫЙ ПАКЕТ</t>
  </si>
  <si>
    <t>ГОЛУБОЙ ПОДАРОЧНЫЙ ПАКЕТ</t>
  </si>
  <si>
    <t>ТЕНИ ДЛЯ ВЕК THE ONE COLOUR UNLIMITED - ПЕРЕЛИВАЮЩИЙСЯ МЕДНЫЙ</t>
  </si>
  <si>
    <t>ПАРФЮМЕРНАЯ ВОДА LOVE POTION (ПРОБНИК)</t>
  </si>
  <si>
    <t>СПОНЖ КОННЯКУ</t>
  </si>
  <si>
    <t>ПАРФЮМЕРНАЯ ВОДА LOVE POTION SECRETS (ПРОБНИК)</t>
  </si>
  <si>
    <t xml:space="preserve">                                                                                                      - СРЕДНИЙ</t>
  </si>
  <si>
    <t xml:space="preserve">                                                                                                      - ТЁМНЫЙ</t>
  </si>
  <si>
    <t xml:space="preserve">                                                                                                      - ИНТЕНСИВНЫЙ ТЁМНЫЙ</t>
  </si>
  <si>
    <t>АНТИБАКТЕРИАЛЬНОЕ СРЕДСТВО ДЛЯ ЛИЦА LOVE NATURE</t>
  </si>
  <si>
    <t>АДАПТИВНАЯ ТОНАЛЬНАЯ ОСНОВА THE ONE EVERLASTING SYNC SPF 30 - ХОЛОДНЫЙ АЛЕБАСТРОВЫЙ</t>
  </si>
  <si>
    <t xml:space="preserve">                                                                                                                         - НЕЙТРАЛЬНЫЙ ВАНИЛЬНЫЙ </t>
  </si>
  <si>
    <t xml:space="preserve">                                                                                                                         - НЕЙТРАЛЬНЫЙ ОЛИВКОВЫЙ</t>
  </si>
  <si>
    <t>ДВУСТОРОННИЙ КАРАНДАШ-КУШОН ДЛЯ БРОВЕЙ GG ICONIC - КОРИЧНЕВЫЙ</t>
  </si>
  <si>
    <t>РУМЯНА-БРОНЗЕР В ШАРИКАХ GIORDANI GOLD -  НЕЖНЫЙ ЗАГАР</t>
  </si>
  <si>
    <t xml:space="preserve">                                                                                -  ЗОЛОТАЯ БРОНЗА</t>
  </si>
  <si>
    <t>ИНСТРУМЕНТ ДЛЯ УДАЛЕНИЯ МОЗОЛЕЙ</t>
  </si>
  <si>
    <t xml:space="preserve">                                                        - СИЯЮЩИЙ КОРАЛЛ</t>
  </si>
  <si>
    <t xml:space="preserve">                                                        - СОЛНЕЧНЫЙ ПИОН</t>
  </si>
  <si>
    <t>ОТШЕЛУШИВАЮЩЕЕ МЫЛО С МЯТОЙ И МАЛИНОЙ LOVE NATURE</t>
  </si>
  <si>
    <t>ОТШЕЛУШИВАЮЩИЙ ГЕЛЬ ДЛЯ ДУША С МАЛИНОЙ LOVE NATURE. БОЛЬШОЙ ОБЪЁМ</t>
  </si>
  <si>
    <t>ЛОСЬОН ДЛЯ ТЕЛА С ОРГАНИЧЕСКОЙ МЯТОЙ И МАЛИНОЙ LOVE NATURE. БОЛЬШОЙ ОБЪЁМ</t>
  </si>
  <si>
    <t>CТОЙКАЯ КРАСКА ДЛЯ ВОЛОС HAIRX TRUCOLOUR - 1.0 ЧЁРНЫЙ</t>
  </si>
  <si>
    <t xml:space="preserve">                                                                                      - 5.0 КОРИЧНЕВЫЙ</t>
  </si>
  <si>
    <t>СПОНЖИ ДЛЯ МАКИЯЖА</t>
  </si>
  <si>
    <t>ПИТАТЕЛЬНОЕ МАСЛО ДЛЯ СУХИХ ВОЛОС С ОРГАНИЧЕСКОЙ ПШЕНИЦЕЙ И КОКОСОМ LOVE NATURE</t>
  </si>
  <si>
    <t xml:space="preserve">                                                                                      - 9.0 СВЕТЛО-РУСЫЙ</t>
  </si>
  <si>
    <t xml:space="preserve">                                                                                      - 10.31 СВЕТЛЫЙ БЛОНД</t>
  </si>
  <si>
    <t xml:space="preserve">                                                                                      - 12.01 УЛЬТРАСВЕТЛЫЙ ПЕПЕЛЬНЫЙ БЛОНД (ОСВЕТЛЯЕТ НА 3 ТОНА)</t>
  </si>
  <si>
    <t>МОЧАЛКА ДЛЯ ДУША</t>
  </si>
  <si>
    <t xml:space="preserve">                                                                                      - 5.6 МАХАГОН</t>
  </si>
  <si>
    <t xml:space="preserve">                                                                                      - 6.6 КРАСНОЕ ДЕРЕВО</t>
  </si>
  <si>
    <t xml:space="preserve">                                                                                      - 6.7 ЛЕСНОЙ ОРЕХ</t>
  </si>
  <si>
    <t xml:space="preserve">                                                                                      - 8.1 ПЕПЕЛЬНО-РУСЫЙ</t>
  </si>
  <si>
    <t>CТОЙКАЯ КРАСКА ДЛЯ ВОЛОС HAIRX TRUCOLOUR - 3.0 ТЁМНО-КОРИЧНЕВЫЙ</t>
  </si>
  <si>
    <t>CТОЙКАЯ КРАСКА ДЛЯ ВОЛОС HAIRX TRUCOLOUR - 7.0 ТЁМНО-РУСЫЙ</t>
  </si>
  <si>
    <t>CТОЙКАЯ КРАСКА ДЛЯ ВОЛОС HAIRX TRUCOLOUR - 8.0 РУСЫЙ</t>
  </si>
  <si>
    <t>CТОЙКАЯ КРАСКА ДЛЯ ВОЛОС HAIRX TRUCOLOUR - 5.25 ИНТЕНСИВНЫЙ КОРИЧНЕВЫЙ</t>
  </si>
  <si>
    <t>ТУШЬ С ЭФФЕКТОМ ГИПНОТИЧЕСКОГО ВЗГЛЯДА THE ONE HYPNOTIC DEPTH - ЧЁРНЫЙ</t>
  </si>
  <si>
    <t xml:space="preserve">                                                                                                        - НЕЖНЫЙ АБРИКОС</t>
  </si>
  <si>
    <t xml:space="preserve">                                                                                                        - МОЛОЧНЫЙ ШОКОЛАД</t>
  </si>
  <si>
    <t>ПАРФЮМИРОВАННЫЙ КРЕМ ДЛЯ ТЕЛА GG ESSENZA</t>
  </si>
  <si>
    <t>ПАРФЮМЕРНАЯ ВОДА GIORDANI GOLD ESSENZA</t>
  </si>
  <si>
    <t xml:space="preserve">                                                                                                                 - СЕРЕБРО </t>
  </si>
  <si>
    <t xml:space="preserve">                                                                                                                 - БРОНЗА </t>
  </si>
  <si>
    <t xml:space="preserve">                                                                                                                 - ШАМПАНСКОЕ </t>
  </si>
  <si>
    <t xml:space="preserve">                                                                                                                 - ЗОЛОТО </t>
  </si>
  <si>
    <t xml:space="preserve">                                                                                                                 - ИНДИГО </t>
  </si>
  <si>
    <t xml:space="preserve">                                                                                                                 - СЛИВА</t>
  </si>
  <si>
    <t>КОРРЕКТИРУЮЩАЯ БАЗА ПОД МАКИЯЖ GIORDANI GOLD - ЕСТЕСТВЕННОЕ СИЯНИЕ</t>
  </si>
  <si>
    <t>ПАРФЮМЕРНАЯ ВОДА GIORDANI GOLD ESSENZA. МИНИ-СПРЕЙ</t>
  </si>
  <si>
    <t>ПАРФЮМИРОВАННЫЙ СПРЕЙ-ДЕЗОДОРАНТ ДЛЯ ТЕЛА GIORDANI GOLD ESSENZA</t>
  </si>
  <si>
    <t>ПАРФЮМИРОВАННЫЙ КРЕМ ДЛЯ РУК WOMEN'S COLLECTION INNOCENT WHITE LILAC</t>
  </si>
  <si>
    <t>ПАРФЮМЕРНАЯ ВОДА LOVE POTION SENSUAL RUBY</t>
  </si>
  <si>
    <t>ПАРФЮМЕРНАЯ ВОДА LOVE POTION SENSUAL RUBY (ПРОБНИК)</t>
  </si>
  <si>
    <t>ОТШЕЛУШИВАЮЩАЯ МОЧАЛКА С УГЛЁМ</t>
  </si>
  <si>
    <t>ЗАКРЕПЛЯЮЩИЙ СПРЕЙ ДЛЯ МАКИЯЖА THE ONE MAKE-UP PRO</t>
  </si>
  <si>
    <t>МУЛЬТИФУНКЦИОНАЛЬНОЕ ОЧИЩАЮЩЕЕ СРЕДСТВО OPTIMALS URBAN GUARD 3D</t>
  </si>
  <si>
    <t>ЗАЩИТНАЯ СЫВОРОТКА OPTIMALS URBAN GUARD 3D</t>
  </si>
  <si>
    <t>УВЛАЖНЯЮЩИЙ СПРЕЙ ДЛЯ ЛИЦА OPTIMALS URBAN GUARD 3D</t>
  </si>
  <si>
    <t>КРЕМ ДЛЯ РУК С ОРГАНИЧЕСКИМ МАСЛОМ АВОКАДО LOVE NATURE</t>
  </si>
  <si>
    <t>ТУАЛЕТНАЯ ВОДА LUCIA SPARKLING FANTASY</t>
  </si>
  <si>
    <t>ТУАЛЕТНАЯ ВОДА VENTURE UNLIMITED</t>
  </si>
  <si>
    <t>ТУАЛЕТНАЯ ВОДА VENTURE POWER</t>
  </si>
  <si>
    <t>ТУАЛЕТНАЯ ВОДА WOMEN'S COLLECTION OSMANTHUS INFUSION</t>
  </si>
  <si>
    <t>СКРАБ ДЛЯ ТЕЛА THE BODY EDITION</t>
  </si>
  <si>
    <t>ГЕЛЕВАЯ МАСКА ДЛЯ ЛИЦА С ОРГАНИЧЕСКИМ АПЕЛЬСИНОМ ДЛЯ СИЯНИЯ КОЖИ LOVE NATURE</t>
  </si>
  <si>
    <t>КРЕМОВАЯ МАСКА ДЛЯ ЛИЦА С ОРГАНИЧЕСКИМ АВОКАДО ДЛЯ ПИТАНИЯ КОЖИ LOVE NATURE</t>
  </si>
  <si>
    <t>МЫЛО NORTH FOR MEN ACTIVE CARBON</t>
  </si>
  <si>
    <t>ПЕНА ДЛЯ БРИТЬЯ NORTH FOR MEN ACTIVE CARBON</t>
  </si>
  <si>
    <t>СРЕДСТВО ДЛЯ ДУША, ВОЛОС И УМЫВАНИЯ 3 В 1 NORTH FOR MEN ACTIVE CARBON</t>
  </si>
  <si>
    <t>ТУАЛЕТНАЯ ВОДА VENTURE</t>
  </si>
  <si>
    <t>МАССАЖНАЯ ЩЁТКА ДЛЯ ВОЛОС STYLERPRO</t>
  </si>
  <si>
    <t>ШАМПУНЬ ПРОТИВ ВЫПАДЕНИЯ ВОЛОС DUOLOGI</t>
  </si>
  <si>
    <t>ШАМПУНЬ ПРОТИВ ВЫПАДЕНИЯ ВОЛОС DUOLOGI (ПРОБНИК)</t>
  </si>
  <si>
    <t>ТУАЛЕТНАЯ ВОДА DIVINE ROYAL</t>
  </si>
  <si>
    <t>ПОВЯЗКА НА ГОЛОВУ</t>
  </si>
  <si>
    <t>НАБОР ECLAT FEMME</t>
  </si>
  <si>
    <t>НАБОР BE THE LEGEND</t>
  </si>
  <si>
    <t>НАБОР CRANBERRY BLISS</t>
  </si>
  <si>
    <t>ЧАСЫ "ЦЕЛЕУСТРЕМЛЁННОСТЬ"</t>
  </si>
  <si>
    <t xml:space="preserve">                                                       - ВПЕЧАТЛЯЮЩИЙ МЕДНЫЙ</t>
  </si>
  <si>
    <t xml:space="preserve">                                                       - НЕЗАБЫВАЕМАЯ ФУКСИЯ</t>
  </si>
  <si>
    <t xml:space="preserve">                                                       - ШИКАРНЫЙ БЕЖ</t>
  </si>
  <si>
    <t>ГЕЛЬ-ЛАК ДЛЯ НОГТЕЙ THE ONE - ДЕРЗКИЙ ЗОЛОТОЙ</t>
  </si>
  <si>
    <t>АНТИВОЗРАСТНАЯ ТОН. ОСНОВА С ПРЕБИОТИЧЕСКОЙ СЫВОРОТКОЙ GIORDANI GOLD (ПРОБНИК) - ФАРФОРОВЫЙ (ТЁПЛЫЙ)</t>
  </si>
  <si>
    <t xml:space="preserve">                                                                                                                                                                     - СЛОНОВАЯ КОСТЬ (НЕЙТРАЛЬНЫЙ)</t>
  </si>
  <si>
    <t xml:space="preserve">                                                                                                                                                                     - БЕЖЕВЫЙ (ТЁПЛЫЙ)</t>
  </si>
  <si>
    <t xml:space="preserve">                                                                                               - ЛИЛОВЫЙ КРЕМ</t>
  </si>
  <si>
    <t xml:space="preserve">                                                                                               - МЯГКИЙ НЮД</t>
  </si>
  <si>
    <t xml:space="preserve">                                                                                               - КРЕМ-БРЮЛЕ</t>
  </si>
  <si>
    <t xml:space="preserve">                                                   - КОНФЕТНО-РОЗОВЫЙ</t>
  </si>
  <si>
    <t xml:space="preserve">                                                   - МЯГКИЙ КОРАЛЛ </t>
  </si>
  <si>
    <t xml:space="preserve">                                                   - КРЕМ-БРЮЛЕ</t>
  </si>
  <si>
    <t xml:space="preserve">                                                                                       - ЗОЛОТАЯ КАРАМЕЛЬ</t>
  </si>
  <si>
    <t xml:space="preserve">                                                                                       - ТЁПЛОЕ КАКАО</t>
  </si>
  <si>
    <t xml:space="preserve">                                                                                       - МЯГКИЙ ТЕРРАКОТОВЫЙ</t>
  </si>
  <si>
    <t xml:space="preserve">                                                                                       - РОЗОВЫЙ КЛЕВЕР</t>
  </si>
  <si>
    <t xml:space="preserve">                                                                                       - НЕЖНЫЙ РОЗОВЫЙ</t>
  </si>
  <si>
    <t xml:space="preserve">                                                                                       - РОЗОВОЕ ДЕРЕВО</t>
  </si>
  <si>
    <t xml:space="preserve">                                                                                       - МЯГКИЙ ПУРПУРНЫЙ</t>
  </si>
  <si>
    <t xml:space="preserve">                                                                                       - ГОРЯЧЕЕ МОККО</t>
  </si>
  <si>
    <t xml:space="preserve">                                                                                       - СЛАДКИЙ ШОКОЛАД</t>
  </si>
  <si>
    <t xml:space="preserve">                                                                                       - КРЕПКИЙ ЭСПРЕССО</t>
  </si>
  <si>
    <t xml:space="preserve">                                                                                       - НАСЫЩЕННЫЙ ЯГОДНЫЙ</t>
  </si>
  <si>
    <t xml:space="preserve">                                                                                       - КЛАССИЧЕСКИЙ КРАСНЫЙ</t>
  </si>
  <si>
    <t xml:space="preserve">                                                                                       - КИРПИЧНЫЙ КРАСНЫЙ</t>
  </si>
  <si>
    <t xml:space="preserve">                                                                                       - ЗАГАДОЧНЫЙ ВИШНЕВЫЙ</t>
  </si>
  <si>
    <t xml:space="preserve">                                                                                                                 - ИЗЫСКАННЫЙ РОЗОВЫЙ</t>
  </si>
  <si>
    <t xml:space="preserve">                                                                                                                 - ПЛЕНИТЕЛЬНЫЙ МАУВ</t>
  </si>
  <si>
    <t xml:space="preserve">                                                                           - ПЕРЛАМУТРОВЫЙ ЗЕЛЕНЫЙ</t>
  </si>
  <si>
    <t xml:space="preserve">                                                                           - МЕРЦАЮЩИЙ ЛИЛОВЫЙ</t>
  </si>
  <si>
    <t>МУЖСКАЯ ТУАЛЕТНАЯ ВОДА ASCENDANT</t>
  </si>
  <si>
    <t xml:space="preserve">ПАРФЮМЕРНАЯ ВОДА AMBER ELIXIR </t>
  </si>
  <si>
    <t>ПАРФЮМЕРНАЯ ВОДА LOVE POTION</t>
  </si>
  <si>
    <t>ПАРФЮМЕРНАЯ ВОДА VOLARE</t>
  </si>
  <si>
    <t>ТУАЛЕТНАЯ ВОДА ECLAT FEMME</t>
  </si>
  <si>
    <t xml:space="preserve">ТУАЛЕТНАЯ ВОДА ECLAT HOMME </t>
  </si>
  <si>
    <t xml:space="preserve">ПАРФЮМЕРНАЯ ВОДА MISS GIORDANI </t>
  </si>
  <si>
    <t xml:space="preserve">ТУАЛЕТНАЯ ВОДА BE THE LEGEND </t>
  </si>
  <si>
    <t xml:space="preserve">ПАРФЮМЕРНАЯ ВОДА POSSESS </t>
  </si>
  <si>
    <t>ТУАЛЕТНАЯ ВОДА MEN´S COLLECTION CITRUS TONIC</t>
  </si>
  <si>
    <t>ТУАЛЕТНАЯ ВОДА MEN´S COLLECTION DARK WOOD</t>
  </si>
  <si>
    <t>ТУАЛЕТНАЯ ВОДА ECLAT FEMME WEEKEND</t>
  </si>
  <si>
    <t xml:space="preserve">ПАРФЮМЕРНАЯ ВОДА LOVE POTION SECRETS </t>
  </si>
  <si>
    <t xml:space="preserve">ПАРФЮМЕРНАЯ ВОДА VOLARE FOREVER </t>
  </si>
  <si>
    <t xml:space="preserve">ПАРФЮМЕРНАЯ ВОДА GIORDANI GOLD ESSENZA </t>
  </si>
  <si>
    <t>МУЖСКАЯ ТУАЛЕТНАЯ ВОДА POSSESS</t>
  </si>
  <si>
    <t xml:space="preserve">ТУАЛЕТНАЯ ВОДА ELVIE </t>
  </si>
  <si>
    <t xml:space="preserve">ТУАЛЕТНАЯ ВОДА WOMEN'S COLLECTION INNOCENT WHITE LILAC </t>
  </si>
  <si>
    <t>ТУАЛЕТНАЯ ВОДА WOMEN'S COLLECTION DELICATE CHERRY BLOSSOM</t>
  </si>
  <si>
    <t xml:space="preserve">ПАРФЮМЕРНАЯ ВОДА AMBER ELIXIR CRYSTAL </t>
  </si>
  <si>
    <t xml:space="preserve">ПАРФЮМЕРНАЯ ВОДА POSSESS THE SECRET MAN </t>
  </si>
  <si>
    <t xml:space="preserve">ТУАЛЕТНАЯ ВОДА MISTER GIORDANI </t>
  </si>
  <si>
    <t>ТУАЛЕТНАЯ ВОДА LUCIA BRIGHT AURA</t>
  </si>
  <si>
    <t>ТУАЛЕТНАЯ ВОДА MAGNETISTA EDP VIAL</t>
  </si>
  <si>
    <t>ОЧИЩАЮЩИЙ ГЕЛЬ-ТОНИК ДЛЯ УМЫВАНИЯ NOVAGE</t>
  </si>
  <si>
    <t>СРЕДСТВО ДЛЯ УМЫВАНИЯ И СКРАБ 2-В-1 NOVAGE MEN</t>
  </si>
  <si>
    <t>ОМОЛАЖИВАЮЩИЙ ДНЕВНОЙ КРЕМ SPF 15 NOVAGE TIME RESTORE</t>
  </si>
  <si>
    <t>ОМОЛАЖИВАЮЩИЙ НОЧНОЙ КРЕМ NOVAGE TIME RESTORE</t>
  </si>
  <si>
    <t xml:space="preserve">ТУАЛЕТНАЯ ВОДА SO FEVER TOGETHER HIM </t>
  </si>
  <si>
    <t xml:space="preserve">ТУАЛЕТНАЯ ВОДА SO FEVER TOGETHER HER </t>
  </si>
  <si>
    <t>МУЖСКАЯ ПАРФЮМЕРНАЯ ВОДА ECLAT STYLE</t>
  </si>
  <si>
    <t xml:space="preserve">ТУАЛЕТНАЯ ВОДА ECLAT AMOUR </t>
  </si>
  <si>
    <t xml:space="preserve">ТУАЛЕТНАЯ ВОДА ECLAT TOUJOURS </t>
  </si>
  <si>
    <t>ПАРФЮМЕРНАЯ ВОДА INFINITA</t>
  </si>
  <si>
    <t xml:space="preserve">ТУАЛЕТНАЯ ВОДА JOYCE ROSE </t>
  </si>
  <si>
    <t xml:space="preserve">ТУАЛЕТНАЯ ВОДА JOYCE TURQUOISE </t>
  </si>
  <si>
    <t xml:space="preserve">ПАРФЮМЕРНАЯ ВОДА VOLARE MOMENTS </t>
  </si>
  <si>
    <t>ТУАЛЕТНАЯ ВОДА MISTER GIORDANI AQUA</t>
  </si>
  <si>
    <t>ТУАЛЕТНАЯ ВОДА GLACIER</t>
  </si>
  <si>
    <t xml:space="preserve">ТУАЛЕТНАЯ ВОДА GLACIER ROCK </t>
  </si>
  <si>
    <t xml:space="preserve">ТУАЛЕТНАЯ ВОДА GLACIER FIRE </t>
  </si>
  <si>
    <t xml:space="preserve">ТУАЛЕТНАЯ ВОДА DEBONAIR </t>
  </si>
  <si>
    <t>ТУАЛЕТНАЯ ВОДА JOYCE JADE</t>
  </si>
  <si>
    <t xml:space="preserve">ТУАЛЕТНАЯ ВОДА LOVED UP FEEL GOOD </t>
  </si>
  <si>
    <t>ПАРФЮМЕРНАЯ ВОДА ASCENDANT INTENSE</t>
  </si>
  <si>
    <t xml:space="preserve">МУЖСКАЯ ПАРФЮМЕРНАЯ ВОДА NORDIC WATERS </t>
  </si>
  <si>
    <t xml:space="preserve">ЖЕНСКАЯ ПАРФЮМЕРНАЯ ВОДА NORDIC WATERS </t>
  </si>
  <si>
    <t xml:space="preserve">ТУАЛЕТНАЯ ВОДА .SE BLAZING WARMTH </t>
  </si>
  <si>
    <t xml:space="preserve">ПАРФЮМЕРНАЯ ВОДА SIGNATURE FOR HIM </t>
  </si>
  <si>
    <t>ПАРФЮМЕРНАЯ ВОДА SIGNATURE FOR HER</t>
  </si>
  <si>
    <t xml:space="preserve">ПАРФЮМЕРНАЯ ВОДА GIORDANI GOLD ESSENZA BLOSSOM </t>
  </si>
  <si>
    <t>ДУХИ ALL OR NOTHING</t>
  </si>
  <si>
    <t> 38391</t>
  </si>
  <si>
    <t xml:space="preserve">СЫВОРОТКА-КОМФОРТ ДЛЯ ЛИЦА NOVAGE SKINRELIEF PRO RESILIENT </t>
  </si>
  <si>
    <t> 40794</t>
  </si>
  <si>
    <t>ДНЕВНОЙ КРЕМ-КОМФОРТ NOVAGE SKINRELIEF PRO RESILIENT SPF 30</t>
  </si>
  <si>
    <t>ПАРФЮМЕРНАЯ ВОДА AMBER ELIXIR MYSTERY</t>
  </si>
  <si>
    <t>38382 </t>
  </si>
  <si>
    <t>ОЧИЩАЮЩАЯ ПЕНКА-КОМФОРТ ДЛЯ ЛИЦА NOVAGE SKINRELIEF PRO RESILIENT</t>
  </si>
  <si>
    <t>38385 </t>
  </si>
  <si>
    <t xml:space="preserve">НОЧНОЙ КРЕМ-КОМФОРТ NOVAGE SKINRELIEF PRO RESILIENT </t>
  </si>
  <si>
    <t>38390 </t>
  </si>
  <si>
    <t xml:space="preserve">ТУАЛЕТНАЯ ВОДА LUCIA </t>
  </si>
  <si>
    <t>ТУАЛЕТНАЯ ВОДА ECLAT NUIT FOR HIM</t>
  </si>
  <si>
    <t>ТУАЛЕТНАЯ ВОДА GREATER FOR HIM</t>
  </si>
  <si>
    <t xml:space="preserve">ТУАЛЕТНАЯ ВОДА ECLAT NUIT FOR HER </t>
  </si>
  <si>
    <t>СТОЙКАЯ СУПЕРМАТОВАЯ ПОМАДА THE ONE COLOUR UNLIMITED - ЕСТЕСТВЕННЫЙ РОЗОВЫЙ</t>
  </si>
  <si>
    <t xml:space="preserve">                                                                                                               - РОЗОВЫЙ БЕЖ</t>
  </si>
  <si>
    <t xml:space="preserve">                                                                                                               - ТЁМНАЯ РОЗА</t>
  </si>
  <si>
    <t xml:space="preserve">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</si>
  <si>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</si>
  <si>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</si>
  <si>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</si>
  <si>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- КРАСНЫЙ РУБИН</t>
  </si>
  <si>
    <t xml:space="preserve">                                                                                                               - ВИШНЁВЫЙ БАРХАТ</t>
  </si>
  <si>
    <t xml:space="preserve">                                                                                                               - ТЁМНЫЙ ЯГОДНЫЙ</t>
  </si>
  <si>
    <t>ТУАЛЕТНАЯ ВОДА SIGNATURE GENERATION FOR HER</t>
  </si>
  <si>
    <t xml:space="preserve">ПАРФЮМЕРНАЯ ВОДА POSSESS ABSOLUTE </t>
  </si>
  <si>
    <t>УХАЖИВАЮЩАЯ ТОНАЛЬНАЯ ОСНОВА ONCOLOUR - ФАРФОРОВЫЙ</t>
  </si>
  <si>
    <t xml:space="preserve">                                                                                  - СЛОНОВАЯ КОСТЬ</t>
  </si>
  <si>
    <t xml:space="preserve">                                                                                  - ЕСТЕСТВЕННЫЙ БЕЖ</t>
  </si>
  <si>
    <t>МАТОВАЯ ГУБНАЯ ПОМАДА ONCOLOUR - МЯГКИЙ ПЕРСИК</t>
  </si>
  <si>
    <t xml:space="preserve">                                                                    - НЮДОВЫЙ БЕЖ</t>
  </si>
  <si>
    <t xml:space="preserve">                                                                    - НЕЖНЫЙ ЛИЛОВЫЙ</t>
  </si>
  <si>
    <t xml:space="preserve">                                                                    - РОЗОВЫЙ КОРАЛЛ</t>
  </si>
  <si>
    <t xml:space="preserve">                                                                    - РОЗОВАЯ ВСПЫШКА</t>
  </si>
  <si>
    <t xml:space="preserve">                                                                    - СПЕЛАЯ СЛИВА</t>
  </si>
  <si>
    <t xml:space="preserve">                                                                    - КРАСНЫЙ БАРХАТ</t>
  </si>
  <si>
    <t xml:space="preserve">                                                                    - СТРАСТНЫЙ КРАСНЫЙ</t>
  </si>
  <si>
    <t xml:space="preserve">КРЕМОВАЯ ГУБНАЯ ПОМАДА ONCOLOUR - РОЗОВЫЙ НЮД  </t>
  </si>
  <si>
    <t xml:space="preserve">                                                                      - ГЛУБОКИЙ КРАСНЫЙ </t>
  </si>
  <si>
    <t xml:space="preserve">                                                                      - КЛЮКВЕННЫЙ КРАСНЫЙ </t>
  </si>
  <si>
    <t xml:space="preserve">                                                                      - СПЕЛЫЙ АБРИКОС </t>
  </si>
  <si>
    <t xml:space="preserve">                                                                      - ХОЛОДНЫЙ РОЗОВЫЙ</t>
  </si>
  <si>
    <t xml:space="preserve">                                                                      - РОЗОВЫЙ ПИОН </t>
  </si>
  <si>
    <t xml:space="preserve">                                                                      - ЯРКАЯ ФУКСИЯ </t>
  </si>
  <si>
    <t xml:space="preserve">                                                                      - СИРЕНЕВЫЙ КЛЕВЕР</t>
  </si>
  <si>
    <t xml:space="preserve">                                                                      - ТЕПЛЫЙ ОРЕХОВЫЙ</t>
  </si>
  <si>
    <t xml:space="preserve">                                                                      - ПЫЛЬНЫЙ ЛИЛОВЫЙ</t>
  </si>
  <si>
    <t>ТУАЛЕТНАЯ ВОДА SIGNATURE GENERATION FOR HIM</t>
  </si>
  <si>
    <t>САТИНОВАЯ ГУБНАЯ ПОМАДА GIORDANI GOLD ICONIC - КРЕМОВЫЙ БЕЖ</t>
  </si>
  <si>
    <t xml:space="preserve">                                                                                             - РОЗОВЫЙ НЮД</t>
  </si>
  <si>
    <t xml:space="preserve">                                                                                             - СЛИВОВЫЙ МАУВ</t>
  </si>
  <si>
    <t xml:space="preserve">                                                                                             - НЕЖНЫЙ ПИОН</t>
  </si>
  <si>
    <t xml:space="preserve">                                                                                             - СОЛНЕЧНЫЙ РОЗОВЫЙ</t>
  </si>
  <si>
    <t xml:space="preserve">                                                                                             - ЯРКАЯ ФУКСИЯ</t>
  </si>
  <si>
    <t xml:space="preserve">                                                                                             - КЛАССИЧЕСКИЙ КРАСНЫЙ</t>
  </si>
  <si>
    <t xml:space="preserve">                                                                                             - ГЛУБОКИЙ ВИННЫЙ</t>
  </si>
  <si>
    <t> 41044</t>
  </si>
  <si>
    <t>ЛЕГКИЙ МУЛЬТИАКТИВНЫЙ ДНЕВНОЙ КРЕМ NOVAGE+ SPF 30</t>
  </si>
  <si>
    <t>41048 </t>
  </si>
  <si>
    <t xml:space="preserve">НАСЫЩЕННЫЙ МУЛЬТИАКТИВНЫЙ ДНЕВНОЙ КРЕМ NOVAGE+ SPF 30 </t>
  </si>
  <si>
    <t> 41033</t>
  </si>
  <si>
    <t xml:space="preserve">КРЕМ ДЛЯ КОЖИ ВОКРУГ ГЛАЗ ПРОТИВ ПИГМЕНТАЦИИ NOVAGE+ BRIGHT INTENSE </t>
  </si>
  <si>
    <t> 41034</t>
  </si>
  <si>
    <t> 42425</t>
  </si>
  <si>
    <t xml:space="preserve">КРЕМ-ЛИФТИНГ ДЛЯ КОЖИ ВОКРУГ ГЛАЗ NOVAGE+ LIFT+ FIRM </t>
  </si>
  <si>
    <t> 41037</t>
  </si>
  <si>
    <t> 41035</t>
  </si>
  <si>
    <t xml:space="preserve">СЫВОРОТКА ДЛЯ ЛИЦА ПРОТИВ МОРЩИН NOVAGE+ WRINKLE SMOOTH </t>
  </si>
  <si>
    <t> 41040</t>
  </si>
  <si>
    <t>41039 </t>
  </si>
  <si>
    <t> 41029</t>
  </si>
  <si>
    <t xml:space="preserve">ОЧИЩАЮЩИЙ ГЕЛЬ ДЛЯ ЛИЦА NOVAGE+ </t>
  </si>
  <si>
    <t>ОЧИЩАЮЩЕЕ МАСЛО ДЛЯ ЛИЦА NOVAGE+</t>
  </si>
  <si>
    <t>41057 </t>
  </si>
  <si>
    <t>ЛЁГКИЙ МУЛЬТИАКТИВНЫЙ НОЧНОЙ КРЕМ NOVAGE+</t>
  </si>
  <si>
    <t> 41058</t>
  </si>
  <si>
    <t xml:space="preserve">НАСЫЩЕННЫЙ МУЛЬТИАКТИВНЫЙ НОЧНОЙ КРЕМ NOVAGE+ </t>
  </si>
  <si>
    <t>ПАРФЮМЕРНАЯ ВОДА GIORDANI GOLD GOOD AS GOLD</t>
  </si>
  <si>
    <t xml:space="preserve">ПАРФЮМЕРНАЯ ВОДА GIORDANI GOLD MAN </t>
  </si>
  <si>
    <t xml:space="preserve">ПАРФЮМЕРНАЯ ВОДА GIORDANI GOLD WOMAN </t>
  </si>
  <si>
    <t>АДАПТИВНАЯ МАТОВАЯ ТОНАЛЬНАЯ ОСНОВА THE ONE - НЕЙТРАЛЬНЫЙ ВАНИЛЬНЫЙ</t>
  </si>
  <si>
    <t xml:space="preserve">                                                                                             - ТЁПЛЫЙ БЕЖ</t>
  </si>
  <si>
    <t xml:space="preserve">                                                                                             - ТЁПЛЫЙ БРОНЗОВЫЙ</t>
  </si>
  <si>
    <t xml:space="preserve">ТУАЛЕТНАЯ ВОДА GREATER FOR HER </t>
  </si>
  <si>
    <t>ТУАЛЕТНАЯ ВОДА OH! SWEET DULCE DE LECHE</t>
  </si>
  <si>
    <t>ПАРФЮМИРОВАННАЯ ВОДА SO FEVER ECSTATIC HER</t>
  </si>
  <si>
    <t>ПАРФЮМИРОВАННАЯ ВОДА SO FEVER ECSTATIC HIM</t>
  </si>
  <si>
    <t xml:space="preserve">УВЛАЖНЯЮЩИЙ СС-ГЕЛЬ, СОВЕРШЕНСТВУЮЩИЙ ТОН КОЖИ GIORDANI GOLD - ЕСТЕСТВЕННЫЙ </t>
  </si>
  <si>
    <t xml:space="preserve">                                                                                                                                      - СВЕТЛЫЙ </t>
  </si>
  <si>
    <t xml:space="preserve">                                                                                                                                      - НАТУРАЛЬНЫЙ </t>
  </si>
  <si>
    <t xml:space="preserve">                                                                                                                                      - ЗАГАР </t>
  </si>
  <si>
    <t>СТОЙКАЯ МИНЕРАЛЬНАЯ ТОНАЛЬНАЯ ОСНОВА GIORDANI GOLD - НЕЙТРАЛЬНЫЙ ВАНИЛЬНЫЙ</t>
  </si>
  <si>
    <t xml:space="preserve">                                                                                                            - ТЁПЛЫЙ ФАРФОРОВЫЙ </t>
  </si>
  <si>
    <t xml:space="preserve">                                                                                                            - НЕЙТРАЛЬНЫЙ МРАМОРНЫЙ</t>
  </si>
  <si>
    <t xml:space="preserve">                                                                                                            - СВЕТЛЫЙ БЕЖЕВЫЙ  </t>
  </si>
  <si>
    <t xml:space="preserve">                                                                                                            - МЯГКИЙ ПЕСОЧНЫЙ  </t>
  </si>
  <si>
    <t xml:space="preserve">                                                                                                            - СЛОНОВАЯ КОСТЬ </t>
  </si>
  <si>
    <t xml:space="preserve">                                                                                                            - ЕСТЕСТВЕННЫЙ БЕЖЕВЫЙ  </t>
  </si>
  <si>
    <t>МУЛЬТИФУНКЦИОНАЛЬНЫЙ СС-КРЕМ GG SPF 30 - СВЕТЛЫЙ</t>
  </si>
  <si>
    <t xml:space="preserve">                                                                                  - ЕСТЕСТВЕННЫЙ</t>
  </si>
  <si>
    <t>МНОГОФУНКЦИОНАЛЬНЫЙ МАТИРУЮЩИЙ КРЕМ-ТОН THE ONE TO A-Z SPF 30 - СВЕТЛЫЙ</t>
  </si>
  <si>
    <t xml:space="preserve">            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</si>
  <si>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            - ЕСТЕСТВЕННЫЙ</t>
  </si>
  <si>
    <t xml:space="preserve">                                                                                                                                   - БЕЖЕВЫЙ</t>
  </si>
  <si>
    <t>МУЛЬТИФУНКЦИОНАЛЬНЫЙ КРЕМ-ТОН ДЛЯ ЛИЦА THE ONE A-Z SPF 30 - СВЕТЛЫЙ</t>
  </si>
  <si>
    <t xml:space="preserve">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</si>
  <si>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- ЕСТЕСТВЕННЫЙ</t>
  </si>
  <si>
    <t>ПАРФЮМЕРНАЯ ВОДА POSSESS ABSOLUTE MAN</t>
  </si>
  <si>
    <t>ТУАЛЕТНАЯ ВОДА DEBONAIR GENTLEWOODS</t>
  </si>
  <si>
    <t>ПАРФЮМЕРНАЯ ВОДА DIVINE</t>
  </si>
  <si>
    <t xml:space="preserve">ПАРФЮМЕРНАЯ ВОДА DIVINE EXCLUSIVE </t>
  </si>
  <si>
    <t xml:space="preserve">СИЯЮЩАЯ ТОНАЛЬНАЯ ОСНОВА GIORDANI GOLD SPF 25 - НЕЙТРАЛЬНЫЙ ВАНИЛЬНЫЙ </t>
  </si>
  <si>
    <t xml:space="preserve">                                                                                                 - ТЁПЛЫЙ ФАРФОРОВЫЙ </t>
  </si>
  <si>
    <t xml:space="preserve">                                                                                                 - НЕЙТРАЛЬНЫЙ БЕЖ </t>
  </si>
  <si>
    <t xml:space="preserve">                                                                                                 - МЯГКИЙ ПЕСОЧНЫЙ </t>
  </si>
  <si>
    <t xml:space="preserve">                                                                                                 - СЛОНОВАЯ КОСТЬ </t>
  </si>
  <si>
    <t xml:space="preserve">                                                                                                 - ЕСТЕСТВЕННЫЙ БЕЖ</t>
  </si>
  <si>
    <t xml:space="preserve">                                                                                                 - ТЁПЛЫЙ БЕЖ</t>
  </si>
  <si>
    <t xml:space="preserve">МАСКА ДЛЯ ЛИЦА WAUNT «ВОССТАНАВЛИВАЮЩИЙ ЭФФЕКТ» </t>
  </si>
  <si>
    <t xml:space="preserve">КРЕМ-ГЕЛЬ ДЛЯ ЛИЦА WAUNT «ЭФФЕКТ МГНОВЕННОГО УВЛАЖНЕНИЯ» </t>
  </si>
  <si>
    <t xml:space="preserve">ДНЕВНОЙ КРЕМ WAUNT «ДЗЕН-ЭФФЕКТ» </t>
  </si>
  <si>
    <t xml:space="preserve">БАЗА ПОД МАКИЯЖ WAUNT «ВЫРАВНИВАЮЩИЙ ЭФФЕКТ» </t>
  </si>
  <si>
    <t xml:space="preserve">ТУАЛЕТНАЯ ВОДА VENTURE UNLIMITED </t>
  </si>
  <si>
    <t>ТУАЛЕТНАЯ ВОДА EXCITE FOR HIM</t>
  </si>
  <si>
    <t>ДУХИ ALL OR NOTHING AMPLIFIED</t>
  </si>
  <si>
    <t>ШАМПУНЬ ПРОТИВ ПЕРХОТИ DUOLOGI</t>
  </si>
  <si>
    <t>НАСЫЩЕННЫЙ КРЕМ-КОНДИЦИОНЕР ДЛЯ ВОЛОС DUOLOGI</t>
  </si>
  <si>
    <t>АНТИВОЗРАСТНАЯ ТОН. ОСНОВА С ПРЕБИОТИЧЕСКОЙ СЫВОРОТКОЙ GIORDANI GOLD - ФАРФОРОВЫЙ (ТЁПЛЫЙ)</t>
  </si>
  <si>
    <t xml:space="preserve">ПАРФЮМЕРНАЯ ВОДА MISS GIORDANI FLORAL </t>
  </si>
  <si>
    <t>КАТАЛОГИ</t>
  </si>
  <si>
    <t>Один каталог следующего периода автоматически в первый балловый заказ текущего периода по специальной цене 32 рублей.</t>
  </si>
  <si>
    <t>Набор из 3-х каталогов следующего периода по цене 109 руб. доступен всем партнёрам бренда, у которых с момента регистрации прошло пять и менее каталогов и в прошлом периоде есть 100 ББ</t>
  </si>
  <si>
    <t>код</t>
  </si>
  <si>
    <t>наименование</t>
  </si>
  <si>
    <t>1 каталог, руб.</t>
  </si>
  <si>
    <t>Дополнительно  Вы можете приобрести следующие наборы каталогов Орифлэйм:</t>
  </si>
  <si>
    <t>цена, руб.</t>
  </si>
  <si>
    <t xml:space="preserve">Набор из 3 каталогов следующего периода </t>
  </si>
  <si>
    <t xml:space="preserve">Набор из 10 каталогов следующего периода </t>
  </si>
  <si>
    <t xml:space="preserve">Набор из 25 каталогов следующего периода </t>
  </si>
  <si>
    <t>1 шт.</t>
  </si>
  <si>
    <t>Средний бумажный пакет</t>
  </si>
  <si>
    <t>Маленький бумажный пакет</t>
  </si>
  <si>
    <t>182</t>
  </si>
  <si>
    <t>75</t>
  </si>
  <si>
    <t>94</t>
  </si>
  <si>
    <t>95</t>
  </si>
  <si>
    <t>23</t>
  </si>
  <si>
    <t>81</t>
  </si>
  <si>
    <t>179</t>
  </si>
  <si>
    <t>181</t>
  </si>
  <si>
    <t>96</t>
  </si>
  <si>
    <t>180</t>
  </si>
  <si>
    <t>18</t>
  </si>
  <si>
    <t>19</t>
  </si>
  <si>
    <t>48</t>
  </si>
  <si>
    <t>20</t>
  </si>
  <si>
    <t>83</t>
  </si>
  <si>
    <t>67</t>
  </si>
  <si>
    <t>107</t>
  </si>
  <si>
    <t>СУХАЯ СМЕСЬ ДЛЯ КОКТЕЙЛЯ «НЭЧУРАЛ БАЛАНС» - КЛУБНИЧНЫЙ ВКУС</t>
  </si>
  <si>
    <t>СУХАЯ СМЕСЬ ДЛЯ КОКТЕЙЛЯ «НЭЧУРАЛ БАЛАНС» - ШОКОЛАДНЫЙ ВКУС</t>
  </si>
  <si>
    <t>СУХАЯ СМЕСЬ ДЛЯ КОКТЕЙЛЯ «НЭЧУРАЛ БАЛАНС» - ВАНИЛЬНЫЙ ВКУС</t>
  </si>
  <si>
    <t>102</t>
  </si>
  <si>
    <t>99</t>
  </si>
  <si>
    <t>103</t>
  </si>
  <si>
    <t>105</t>
  </si>
  <si>
    <t>WELLOSOPHY WELLNESS PACK ДЛЯ МУЖЧИН</t>
  </si>
  <si>
    <t>WELLOSOPHY WELLNESS PACK ДЛЯ ЖЕНЩИН</t>
  </si>
  <si>
    <t>109</t>
  </si>
  <si>
    <t>БУТЫЛКА ДЛЯ ВОДЫ</t>
  </si>
  <si>
    <t>113</t>
  </si>
  <si>
    <t>НАБОР "ЗДОРОВЫЕ ПРИВЫЧКИ"</t>
  </si>
  <si>
    <t>НАБОР "КОНТРОЛЬ ВЕСА, ЗДОРОВЬЕ И МОЛОДОСТЬ"</t>
  </si>
  <si>
    <t>НАБОР "ЗДОРОВЫЙ ВЕС И ЭНЕРГИЯ"</t>
  </si>
  <si>
    <t>НАБОР "КОНТРОЛЬ ВЕСА"</t>
  </si>
  <si>
    <t>111</t>
  </si>
  <si>
    <t>144</t>
  </si>
  <si>
    <t>ГУБКА ДЛЯ УДАЛЕНИЯ МАКИЯЖА</t>
  </si>
  <si>
    <t>129</t>
  </si>
  <si>
    <t>КЛЕТОЧНЫЙ КРЕМ МОЛОДОСТИ DIAMOND CELLULAR</t>
  </si>
  <si>
    <t>НОЧНОЙ ВОССТАНАВЛИВАЮЩИЙ КЛЕТОЧНЫЙ КРЕМ DIAMOND CELLULAR</t>
  </si>
  <si>
    <t>МИЦЕЛЛЯРНЫЙ ОЧИЩАЮЩИЙ ЛОСЬОН DIAMOND CELLULAR</t>
  </si>
  <si>
    <t>52</t>
  </si>
  <si>
    <t>140</t>
  </si>
  <si>
    <t>ИНСТРУМЕНТ ДЛЯ ОЧИСТКИ ЛИЦА</t>
  </si>
  <si>
    <t>135</t>
  </si>
  <si>
    <t>49</t>
  </si>
  <si>
    <t>43</t>
  </si>
  <si>
    <t>ТУАЛЕТНАЯ ВОДА BE THE LEGEND</t>
  </si>
  <si>
    <t>69</t>
  </si>
  <si>
    <t>КИСТЬ ДЛЯ ПУДРЫ И РУМЯН</t>
  </si>
  <si>
    <t>176</t>
  </si>
  <si>
    <t>МЫЛО «ЯБЛОКО И КОРИЦА»</t>
  </si>
  <si>
    <t>126</t>
  </si>
  <si>
    <t>86</t>
  </si>
  <si>
    <t>СРЕДСТВО ДЛЯ СНЯТИЯ МАКИЯЖА THE ONE</t>
  </si>
  <si>
    <t>161</t>
  </si>
  <si>
    <t>СМЯГЧАЮЩИЙ КРЕМ ДЛЯ НОГ FEET UP COMFORT. БОЛЬШОЙ ОБЪЕМ</t>
  </si>
  <si>
    <t>56</t>
  </si>
  <si>
    <t xml:space="preserve">ТУАЛЕТНАЯ ВОДА WOMEN'S COLLECTION WHITE LILAC </t>
  </si>
  <si>
    <t>ОСВЕЖАЮЩИЙ CПРЕЙ-ДЕЗОДОРАНТ ДЛЯ НОГ FEET UP COMFORT. БОЛЬШОЙ ОБЪЕМ</t>
  </si>
  <si>
    <t xml:space="preserve">МЫЛО «ПРЯНЫЙ ЦИТРУС» </t>
  </si>
  <si>
    <t>160</t>
  </si>
  <si>
    <t xml:space="preserve">ИНТЕНСИВНО УВЛАЖНЯЮЩАЯ МАСКА ДЛЯ НОГ FEET UP ADVANCED </t>
  </si>
  <si>
    <t>ОТШЕЛУШИВАЮЩИЙ КРЕМ ДЛЯ НОГ FEET UP ADVANCED</t>
  </si>
  <si>
    <t>162</t>
  </si>
  <si>
    <t>ШАРИКОВЫЙ ДЕЗОДОРАНТ-АНТИПЕРСПИРАНТ С УХАЖИВАЮЩИМ КОМПЛЕКСОМ ACTIVELLE</t>
  </si>
  <si>
    <t>СПРЕЙ ДЕЗОДОРАНТ-АНТИПЕРСПИРАНТ С УХАЖИВАЮЩИМ КОМПЛЕКСОМ ACTIVELLE</t>
  </si>
  <si>
    <t>167</t>
  </si>
  <si>
    <t>СКРАБ ДЛЯ РУК «МОЛОКО И МЕД - ЗОЛОТАЯ СЕРИЯ»</t>
  </si>
  <si>
    <t>41</t>
  </si>
  <si>
    <t>ТУАЛЕТНАЯ ВОДА MISTER GIORDANI</t>
  </si>
  <si>
    <t>74</t>
  </si>
  <si>
    <t>ЖИДКАЯ ГУБНАЯ ПОМАДА-ЭЛИКСИР SPF 15 GIORDANI GOLD - РОЗОВЫЙ НЮД</t>
  </si>
  <si>
    <t xml:space="preserve">                                                                                                        - ПРИТЯГАТЕЛЬНЫЙ КОРАЛЛ</t>
  </si>
  <si>
    <t xml:space="preserve">                                                                                                        - ИЗЫСКАННАЯ ФУКСИЯ</t>
  </si>
  <si>
    <t xml:space="preserve">                                                                                                        - КЛАССИЧЕСКИЙ КРАСНЫЙ</t>
  </si>
  <si>
    <t xml:space="preserve">                                                                                                        - НАСЫЩЕННЫЙ БОРДО</t>
  </si>
  <si>
    <t>116</t>
  </si>
  <si>
    <t>ОБНОВЛЯЮЩИЙ ПИЛИНГ ДЛЯ ЛИЦА NOVAGE</t>
  </si>
  <si>
    <t xml:space="preserve">ШАРИКОВЫЙ ДЕЗОДОРАНТ-АНТИПЕРСПИРАНТ BE THE LEGEND </t>
  </si>
  <si>
    <t xml:space="preserve">МУЛЬТИФУНКЦИОНАЛЬНЫЙ ЗАЩИТНЫЙ КРЕМ ДЛЯ ЛИЦА SPF 50 NOVAGE </t>
  </si>
  <si>
    <t>159</t>
  </si>
  <si>
    <t>ЗАЩИТНЫЙ ГЕЛЬ ДЛЯ ИНТИМНОЙ ГИГИЕНЫ FEMINELLE</t>
  </si>
  <si>
    <t>ОСВЕЖАЮЩИЙ ГЕЛЬ ДЛЯ ИНТИМНОЙ ГИГИЕНЫ FEMINELLE  </t>
  </si>
  <si>
    <t>27</t>
  </si>
  <si>
    <t xml:space="preserve">МУЖСКАЯ ПАРФЮМЕРНАЯ ВОДА ECLAT STYLE </t>
  </si>
  <si>
    <t>12</t>
  </si>
  <si>
    <t>КОМПАКТНАЯ МАТИРУЮЩАЯ ПУДРА THE ONE EVERLASTING - СВЕТЛЫЙ</t>
  </si>
  <si>
    <t>143</t>
  </si>
  <si>
    <t>СУЖАЮЩИЙ ПОРЫ ТОНИК ДЛЯ ЛИЦА С ОРГАНИЧЕСКИМ ЧАЙНЫМ ДЕРЕВОМ И ЛАЙМОМ LOVE NATURE</t>
  </si>
  <si>
    <t>МАТИРУЮЩИЙ КРЕМ-ФЛЮИД ДЛЯ ЛИЦА С ОРГАНИЧЕСКИМ ЧАЙНЫМ ДЕРЕВОМ И ЛАЙМОМ LOVE NATURE</t>
  </si>
  <si>
    <t>142</t>
  </si>
  <si>
    <t>ИНТЕНСИВНЫЙ АНТИВОЗРАСТНОЙ КРЕМ ДЛЯ РУК С SPF 25 NOVAGE</t>
  </si>
  <si>
    <t>КОНЦЕНТРИРОВАННЫЙ КРЕМ-СКУЛЬПТОР ДЛЯ ШЕИ И ДЕКОЛЬТЕ NOVAGE</t>
  </si>
  <si>
    <t>78</t>
  </si>
  <si>
    <t xml:space="preserve">УДЛИНЯЮЩАЯ ТУШЬ С ЭФФЕКТОМ НАРАЩИВАНИЯ РЕСНИЦ THE ONE LASH EXTENSION - ЧЕРНЫЙ </t>
  </si>
  <si>
    <t>ОЧИЩАЮЩАЯ МАСКА-СКРАБ 2-В-1 ДЛЯ ЛИЦА С ОРГАНИЧЕСКИМ ЧАЙНЫМ ДЕРЕВОМ И ЛАЙМОМ LOVE NATURE</t>
  </si>
  <si>
    <t>32</t>
  </si>
  <si>
    <t>ТУАЛЕТНАЯ ВОДА ECLAT AMOUR</t>
  </si>
  <si>
    <t>26</t>
  </si>
  <si>
    <t xml:space="preserve">ТУАЛЕТНАЯ ВОДА ДЛЯ НЕГО ECLAT TOUJOURS </t>
  </si>
  <si>
    <t>62</t>
  </si>
  <si>
    <t>141</t>
  </si>
  <si>
    <t>УНИВЕРСАЛЬНЫЙ УВЛАЖНЯЮЩИЙ КРЕМ ДЛЯ ЛИЦА И ТЕЛА ESSENTIALS</t>
  </si>
  <si>
    <t>163</t>
  </si>
  <si>
    <t>ДЕТСКИЙ МНОГОФУНКЦИОНАЛЬНЫЙ БАЛЬЗАМ BABY O</t>
  </si>
  <si>
    <t>ДЕТСКОЕ МАСЛО ДЛЯ КОЖИ BABY O</t>
  </si>
  <si>
    <t>КРЕМ ПОД ПОДГУЗНИК BABY O</t>
  </si>
  <si>
    <t>ДЕТСКИЙ ШАМПУНЬ ДЛЯ ВОЛОС И ТЕЛА BABY O </t>
  </si>
  <si>
    <t>11</t>
  </si>
  <si>
    <t xml:space="preserve">                                                                                                                         - ХОЛОДНЫЙ ФАРФОРОВЫЙ</t>
  </si>
  <si>
    <t xml:space="preserve">                                                                                                                         - НЕЙТРАЛЬНЫЙ НЮД</t>
  </si>
  <si>
    <t xml:space="preserve">                                                                                                                         - ХОЛОДНЫЙ РОЗОВЫЙ</t>
  </si>
  <si>
    <t xml:space="preserve">                                                                                                                         - НЕЙТРАЛЬНЫЙ БЕЖ </t>
  </si>
  <si>
    <t xml:space="preserve">                                                                                                                         - ТЕПЛЫЙ ПЕСОЧНЫЙ</t>
  </si>
  <si>
    <t xml:space="preserve">                                                                                                                         - ЕСТЕСТВЕННЫЙ БЕЖ </t>
  </si>
  <si>
    <t xml:space="preserve">                                                                                                                         - ТЕПЛЫЙ БЕЖ</t>
  </si>
  <si>
    <t>165</t>
  </si>
  <si>
    <t>СПРЕЙ-БЛЕСК ДЛЯ ВОЛОС И ТЕЛА CRYSTOLOGIE</t>
  </si>
  <si>
    <t>45</t>
  </si>
  <si>
    <t>УВЛАЖНЯЮЩИЙ ГЕЛЬ ПОСЛЕ БРИТЬЯ NORTH FOR MEN SUBZERO </t>
  </si>
  <si>
    <t>ШАРИКОВЫЙ ДЕЗОДОРАНТ-АНТИПЕРСПИРАНТ NORTH FOR MEN SUBZERO</t>
  </si>
  <si>
    <t>МЫЛО NORTH FOR MEN SUBZERO</t>
  </si>
  <si>
    <t>ОЧИЩАЮЩЕЕ СРЕДСТВО ДЛЯ СИЯНИЯ ЛИЦА С ОРГАНИЧЕСКИМ АБРИКОСОМ И АПЕЛЬСИНОМ LOVE NATURE</t>
  </si>
  <si>
    <t>ГЕЛЬ ДЛЯ СИЯНИЯ ЛИЦА С ОРГАНИЧЕСКИМ АБРИКОСОМ И АПЕЛЬСИНОМ LOVE NATURE</t>
  </si>
  <si>
    <t>ТОНИК ДЛЯ СИЯНИЯ ЛИЦА С ОРГАНИЧЕСКИМ АБРИКОСОМ И АПЕЛЬСИНОМ LOVE NATURE</t>
  </si>
  <si>
    <t>ШАМПУНЬ «МОЛОКО И МЕД - ЗОЛОТАЯ СЕРИЯ»</t>
  </si>
  <si>
    <t>КОНДИЦИОНЕР ДЛЯ ВОЛОС «МОЛОКО И МЕД - ЗОЛОТАЯ СЕРИЯ»</t>
  </si>
  <si>
    <t>ЖИДКИЙ ХАЙЛАЙТЕР THE ONE ILLUSKIN</t>
  </si>
  <si>
    <t>139</t>
  </si>
  <si>
    <t>СПЕЦИАЛЬНОЕ СМЯГЧАЮЩЕЕ СРЕДСТВО С МАСЛОМ МАЛИНОВЫХ СЕМЯН</t>
  </si>
  <si>
    <t>79</t>
  </si>
  <si>
    <t>КАРАНДАШ-ПОДВОДКА ДЛЯ ГЛАЗ THE ONE - ЧЕРНАЯ НОЧЬ</t>
  </si>
  <si>
    <t xml:space="preserve">                                                                           - ТЕПЛЫЙ КАШТАН</t>
  </si>
  <si>
    <t xml:space="preserve">                                                                           - ЛЕСНЫЕ ТРАВЫ</t>
  </si>
  <si>
    <t xml:space="preserve">                                                                           - МОКРЫЙ АСФАЛЬТ</t>
  </si>
  <si>
    <t xml:space="preserve">                                                                           - ДЫМЧАТЫЙ СЕРЫЙ</t>
  </si>
  <si>
    <t xml:space="preserve">                                                                           - ЗВЕЗДНОЕ НЕБО</t>
  </si>
  <si>
    <t>72</t>
  </si>
  <si>
    <t>ЩИПЧИКИ ДЛЯ ЗАВИВКИ РЕСНИЦ</t>
  </si>
  <si>
    <t>САХАРНАЯ МАСКА-СКРАБ ДЛЯ ГУБ 2 В 1 С МЯТОЙ И ЛАЙМОМ LOVE NATURE</t>
  </si>
  <si>
    <t>80</t>
  </si>
  <si>
    <t>ПОМАДА ДЛЯ БРОВЕЙ THE ONE - СВЕТЛО-КОРИЧНЕВЫЙ</t>
  </si>
  <si>
    <t xml:space="preserve">                                                     - КОРИЧНЕВЫЙ</t>
  </si>
  <si>
    <t xml:space="preserve">                                                     - ТЕМНО-КОРИЧНЕВЫЙ</t>
  </si>
  <si>
    <t>55</t>
  </si>
  <si>
    <t>ТУАЛЕТНАЯ ВОДА JOYCE ROSE</t>
  </si>
  <si>
    <t>54</t>
  </si>
  <si>
    <t xml:space="preserve">ТУАЛЕТНАЯ ВОДА JOYCE JADE </t>
  </si>
  <si>
    <t>73</t>
  </si>
  <si>
    <t>ЩЕТОЧКА ДЛЯ ОЧИЩЕНИЯ ЛИЦА</t>
  </si>
  <si>
    <t>127</t>
  </si>
  <si>
    <t>НОЧНОЙ КРЕМ-КОМФОРТ NOVAGE SKINRELIEF PRO RESILIENT</t>
  </si>
  <si>
    <t>61</t>
  </si>
  <si>
    <t>59</t>
  </si>
  <si>
    <t>ПАРФЮМЕРНАЯ ВОДА DIVINE EXCLUSIVE</t>
  </si>
  <si>
    <t>66</t>
  </si>
  <si>
    <t>ПАРФЮМЕРНАЯ ВОДА GIORDANI GOLD WOMAN</t>
  </si>
  <si>
    <t>149</t>
  </si>
  <si>
    <t xml:space="preserve">ШАМПУНЬ С ЦЕННЫМИ МАСЛАМИ ELEO </t>
  </si>
  <si>
    <t xml:space="preserve">КОНДИЦИОНЕР ДЛЯ ВОЛОС С ЦЕННЫМИ МАСЛАМИ ELEO </t>
  </si>
  <si>
    <t xml:space="preserve">МАСКА ДЛЯ ВОЛОС С ЦЕННЫМИ МАСЛАМИ ELEO </t>
  </si>
  <si>
    <t>НОЧНОЕ ВОССТАНАВЛИВАЮЩЕЕ МАСЛО-ЭЛИКСИР ДЛЯ ВОЛОС ELEO</t>
  </si>
  <si>
    <t>ЩЕТКА ДЛЯ ОЧИЩЕНИЯ ЛИЦА</t>
  </si>
  <si>
    <t>88</t>
  </si>
  <si>
    <t>ЖИДКОСТЬ ДЛЯ БЕРЕЖНОГО СНЯТИЯ ЛАКА THE ONE EXPERT CARE</t>
  </si>
  <si>
    <t>93</t>
  </si>
  <si>
    <t>КОМПАКТНАЯ ПУДРА ONCOLOUR - ФАРФОРОВЫЙ</t>
  </si>
  <si>
    <t xml:space="preserve">                                                          - НЕЖНЫЙ БЕЖЕВЫЙ </t>
  </si>
  <si>
    <t>84</t>
  </si>
  <si>
    <t>ГЛЯНЦЕВАЯ ГУБНАЯ ПОМАДА-КУШОН THE ONE IRRESISTIBLE TOUCH - ЧАРУЮЩАЯ РОЗА</t>
  </si>
  <si>
    <t xml:space="preserve">                                                                                                                     - СОБЛАЗНИТЕЛЬНЫЙ ТАУП</t>
  </si>
  <si>
    <t xml:space="preserve">                                                                                                                     - ОБВОРОЖИТЕЛЬНЫЙ НЮД</t>
  </si>
  <si>
    <t xml:space="preserve">                                                                                                                     - СЛАДКАЯ КАРАМЕЛЬ</t>
  </si>
  <si>
    <t xml:space="preserve">                                                                                                                     -  ГОРЯЧИЙ ШОКОЛАД</t>
  </si>
  <si>
    <t xml:space="preserve">                                                                                                                     - СТРАСТНЫЙ ПИОН</t>
  </si>
  <si>
    <t xml:space="preserve">                                                                                                                     - МАГНЕТИЧЕСКИЙ ПУРПУР</t>
  </si>
  <si>
    <t xml:space="preserve">                                                                                                                     - ПЛЕНИТЕЛЬНАЯ ВИШНЯ</t>
  </si>
  <si>
    <t xml:space="preserve">                                                                                                                     - СПЕЛАЯ СЛИВА</t>
  </si>
  <si>
    <t xml:space="preserve">                                                                                                                     - СОЧНАЯ ЕЖЕВИКА</t>
  </si>
  <si>
    <t>157</t>
  </si>
  <si>
    <t>ЗУБНАЯ ПАСТА ДЛЯ ЧУВСТВИТЕЛЬНЫХ ЗУБОВ OPTIFRESH</t>
  </si>
  <si>
    <t>156</t>
  </si>
  <si>
    <t>ОТБЕЛИВАЮЩАЯ ЗУБНАЯ ПАСТА OPTIFRESH</t>
  </si>
  <si>
    <t>85</t>
  </si>
  <si>
    <t>МУЛЬТИАКТИВНЫЙ БАЛЬЗАМ ДЛЯ ГУБ SPF 15 THE ONE - РОЗОВЫЙ</t>
  </si>
  <si>
    <t xml:space="preserve">                                                                                            - КОРАЛЛОВЫЙ </t>
  </si>
  <si>
    <t xml:space="preserve">                                                                                            - МАЛИНОВЫЙ</t>
  </si>
  <si>
    <t>90</t>
  </si>
  <si>
    <t>МАТОВАЯ ПОМАДА ONCOLOUR - МЯГКИЙ ПЕРСИК</t>
  </si>
  <si>
    <t>175</t>
  </si>
  <si>
    <t>ЧУВСТВЕННЫЙ ГЕЛЬ ДЛЯ ДУША С ПИОНОМ SCENTS &amp; MOMENTS</t>
  </si>
  <si>
    <t>БОДРЯЩИЙ ГЕЛЬ ДЛЯ ДУША С РОЗОВЫМ ГРЕЙПФРУТОМ SCENTS &amp; MOMENTS</t>
  </si>
  <si>
    <t>МЫЛО COZY BY THE FIREPLACE</t>
  </si>
  <si>
    <t xml:space="preserve">МАТОВАЯ ПОМАДА ONCOLOUR - НЮДОВЫЙ БЕЖ </t>
  </si>
  <si>
    <t xml:space="preserve">                                                     - НЕЖНЫЙ ЛИЛОВЫЙ</t>
  </si>
  <si>
    <t xml:space="preserve">                                                     - РОЗОВЫЙ КОРАЛЛ </t>
  </si>
  <si>
    <t xml:space="preserve">                                                     - РОЗОВАЯ ВСПЫШКА</t>
  </si>
  <si>
    <t xml:space="preserve">                                                     - СПЕЛАЯ СЛИВА </t>
  </si>
  <si>
    <t xml:space="preserve">                                                     - КРАСНЫЙ БАРХАТ </t>
  </si>
  <si>
    <t xml:space="preserve">                                                     - СТРАСТНЫЙ КРАСНЫЙ</t>
  </si>
  <si>
    <t>92</t>
  </si>
  <si>
    <t>КОНСИЛЕР В СТИКЕ ONCOLOUR - СЛОНОВАЯ КОСТЬ</t>
  </si>
  <si>
    <t xml:space="preserve">                                                      - ЕСТЕСТВЕННЫЙ БЕЖ </t>
  </si>
  <si>
    <t>138</t>
  </si>
  <si>
    <t>НАБОР СПЕЦИАЛЬНЫХ СМЯГЧАЮЩИХ СРЕДСТВ</t>
  </si>
  <si>
    <t>МЫЛО CRYSTOLOGIE</t>
  </si>
  <si>
    <t>ШЛИФОВАЛЬНАЯ ПИЛКА ДЛЯ НОГ</t>
  </si>
  <si>
    <t>ЖЕНСКАЯ ПАРФЮМЕРНАЯ ВОДА ECLAT NUIT</t>
  </si>
  <si>
    <t>28</t>
  </si>
  <si>
    <t>МУЖСКАЯ ПАРФЮМЕРНАЯ ВОДА ECLAT NUIT</t>
  </si>
  <si>
    <t>170</t>
  </si>
  <si>
    <t>ДЕТСКИЙ ШАМПУНЬ ДЛЯ ВОЛОС И ТЕЛА С КЛУБНИКОЙ LOVE NATURE</t>
  </si>
  <si>
    <t>ДЕТСКОЕ МЫЛО С КЛУБНИКОЙ LOVE NATURE</t>
  </si>
  <si>
    <t>СЫВОРОТКА-КОНЦЕНТРАТ АНТИВОЗРАСТНОГО ДЕЙСТВИЯ С РЕТИНОЛОМ NOVAGE PROCEUTICALS</t>
  </si>
  <si>
    <t>117</t>
  </si>
  <si>
    <t>СЫВОРОТКА С 10% ВИТАМИНОМ С NOVAGE PROCEUTICALS</t>
  </si>
  <si>
    <t>СЫВОРОТКА-ПИЛИНГ ДЛЯ ОБНОВЛЕНИЯ КОЖИ С 6% СОДЕРЖАНИЕМ AHA-КИСЛОТ NOVAGE PROCEUTICALS</t>
  </si>
  <si>
    <t>СЫВОРОТКА-КОНЦЕНТРАТ ДЛЯ ПОВЫШЕНИЯ УПРУГОСТИ КОЖИ С ПЕПТИДАМИ NOVAGE PROCEUTICALS</t>
  </si>
  <si>
    <t xml:space="preserve">                                                                                - РОЗОВОЕ СИЯНИЕ</t>
  </si>
  <si>
    <t xml:space="preserve">СТОЙКИЕ ТЕНИ-КАРАНДАШ ДЛЯ ВЕК THE ONE COLOUR UNLIMITED - НЮД </t>
  </si>
  <si>
    <t xml:space="preserve">                                                                                                                 - КВАРЦ</t>
  </si>
  <si>
    <t>118</t>
  </si>
  <si>
    <t>ОЧИЩАЮЩИЙ ГЕЛЬ ДЛЯ ЛИЦА NOVAGE+</t>
  </si>
  <si>
    <t>119</t>
  </si>
  <si>
    <t>121</t>
  </si>
  <si>
    <t>122</t>
  </si>
  <si>
    <t>ЛЁГКИЙ МУЛЬТИАКТИВНЫЙ ДНЕВНОЙ КРЕМ NOVAGE+ SPF 30</t>
  </si>
  <si>
    <t>НАСЫЩЕННЫЙ МУЛЬТИАКТИВНЫЙ ДНЕВНОЙ КРЕМ NOVAGE+ SPF 30</t>
  </si>
  <si>
    <t>123</t>
  </si>
  <si>
    <t>НАСЫЩЕННЫЙ МУЛЬТИАКТИВНЫЙ НОЧНОЙ КРЕМ NOVAGE+</t>
  </si>
  <si>
    <t>89</t>
  </si>
  <si>
    <t>ГЕЛЬ-ЛАК ДЛЯ НОГТЕЙ THE ONE - БЕЖЕВЫЙ КРЕМ</t>
  </si>
  <si>
    <t xml:space="preserve">                                                        - ПЫЛЬНАЯ РОЗА</t>
  </si>
  <si>
    <t xml:space="preserve">                                                        - РОЗОВЫЙ ЛАТТЕ</t>
  </si>
  <si>
    <t xml:space="preserve">                                                        - ЛИЛОВЫЙ МУСС</t>
  </si>
  <si>
    <t xml:space="preserve">                                                        - СТРАСТНЫЙ АЛЫЙ</t>
  </si>
  <si>
    <t xml:space="preserve">                                                        - СЛИВОВЫЙ ДЖЕМ</t>
  </si>
  <si>
    <t>177</t>
  </si>
  <si>
    <t>ОСВЕЖАЮЩЕЕ МЫЛО С ОРГАНИЧЕСКИМ ЗЕЛЁНЫМ ЧАЕМ И ОГУРЦОМ LOVE NATURE</t>
  </si>
  <si>
    <t>173</t>
  </si>
  <si>
    <t>ПИТАТЕЛЬНОЕ МАСЛО ДЛЯ ТЕЛА, ЛИЦА И ВОЛОС С ОРГАНИЧЕСКИМ АВОКАДО LOVE NATURE</t>
  </si>
  <si>
    <t>172</t>
  </si>
  <si>
    <t>ПИТАТЕЛЬНЫЙ ШАМПУНЬ ДЛЯ СУХИХ ВОЛОС С ОРГАНИЧЕСКОЙ ПШЕНИЦЕЙ И КОКОСОМ LOVE NATURE</t>
  </si>
  <si>
    <t>ПИТАТЕЛЬНЫЙ КОНДИЦИОНЕР ДЛЯ СУХИХ ВОЛОС С ОРГАНИЧЕСКОЙ ПШЕНИЦЕЙ И КОКОСОМ LOVE NATURE</t>
  </si>
  <si>
    <t>ГОРЯЧЕЕ МАСЛО ДЛЯ СУХИХ ВОЛОС С ОРГАНИЧЕСКОЙ ПШЕНИЦЕЙ И КОКОСОМ LOVE NATURE</t>
  </si>
  <si>
    <t>130</t>
  </si>
  <si>
    <t>МАСКА ДЛЯ ЛИЦА С ЭФФЕКТОМ ПИЛИНГА WAUNT</t>
  </si>
  <si>
    <t>131</t>
  </si>
  <si>
    <t>ДНЕВНОЙ КРЕМ WAUNT «ДЗЕН-ЭФФЕКТ»</t>
  </si>
  <si>
    <t>ОЧИЩАЮЩИЙ БАЛЬЗАМ ДЛЯ ЛИЦА WAUNT «ЭФФЕКТ ПРЕОБРАЖЕНИЯ»</t>
  </si>
  <si>
    <t>СЫВОРОТКА-МАСЛО С ЭФФЕКТОМ СИЯНИЯ КОЖИ WAUNT</t>
  </si>
  <si>
    <t>СТИК ДЛЯ КОЖИ ВОКРУГ ГЛАЗ WAUNT «ЭФФЕКТ СВЕЖЕГО ВЗГЛЯДА»</t>
  </si>
  <si>
    <t>ОБЪЁМНАЯ ТУШЬ ДЛЯ РЕСНИЦ GIORDANI GOLD - ЧЁРНЫЙ</t>
  </si>
  <si>
    <t>168</t>
  </si>
  <si>
    <t>ЖИДКОЕ МЫЛО ДЛЯ РУК И ТЕЛА СО СЛИВОЙ И МИРРОЙ ESSENSE&amp;CO.</t>
  </si>
  <si>
    <t>ЛОСЬОН ДЛЯ РУК И ТЕЛА СО СЛИВОЙ И МИРРОЙ ESSENSE&amp;CO.</t>
  </si>
  <si>
    <t>УХАЖИВАЮЩАЯ ПОДВОДКА ДЛЯ ГЛАЗ GIORDANI GOLD - ЧЁРНЫЙ</t>
  </si>
  <si>
    <t xml:space="preserve">                                                        - СОЛНЕЧНЫЙ ПУНШ</t>
  </si>
  <si>
    <t xml:space="preserve">                                                       - ЛИЛОВЫЙ ПИОН</t>
  </si>
  <si>
    <t xml:space="preserve">                                                       - ЯГОДНЫЙ РУБИН</t>
  </si>
  <si>
    <t xml:space="preserve">                                                       - БРОНЗОВЫЙ ПЕСОК</t>
  </si>
  <si>
    <t>82</t>
  </si>
  <si>
    <t>ПОДВОДКА ДЛЯ ГЛАЗ THE ONE WONDER LINER - СЕРЕБРИСТЫЙ МЕТАЛЛИК</t>
  </si>
  <si>
    <t>166</t>
  </si>
  <si>
    <t>ШАРИКОВЫЙ ДЕЗОДОРАНТ DIVINE</t>
  </si>
  <si>
    <t>ПАРФЮМИРОВАННЫЙ КРЕМ ДЛЯ ТЕЛА DIVINE EXCLUSIVE</t>
  </si>
  <si>
    <t>ОЧИЩАЮЩИЙ ТОНИК PURE SKIN</t>
  </si>
  <si>
    <t>ОБНОВЛЯЮЩИЙ СКРАБ ДЛЯ ЛИЦА PURE SKIN</t>
  </si>
  <si>
    <t>ГЕЛЬ ПРОТИВ ПРЫЩЕЙ ДЛЯ ТОЧЕЧНОГО ПРИМЕНЕНИЯ PURE SKIN</t>
  </si>
  <si>
    <t>147</t>
  </si>
  <si>
    <t>КОСМЕТИЧЕСКИЕ ПАТЧИ С КИВИ LOVE NATURE</t>
  </si>
  <si>
    <t>ТУШЬ ДЛЯ РЕСНИЦ С ЭФФЕКТОМ ВЕЕРНОГО ОБЪЁМА ONCOLOUR - ЧЁРНЫЙ</t>
  </si>
  <si>
    <t>МАТИРУЮЩИЙ BB-КРЕМ C SPF 10 ONCOLOUR - СВЕТЛЫЙ</t>
  </si>
  <si>
    <t xml:space="preserve">                                                                             - ЕСТЕСТВЕННЫЙ</t>
  </si>
  <si>
    <t xml:space="preserve">                                                                             - СРЕДНИЙ</t>
  </si>
  <si>
    <t>158</t>
  </si>
  <si>
    <t>УКРЕПЛЯЮЩИЙ ГЕЛЬ-КРЕМ ДЛЯ ТЕЛА THE BODY EDITION</t>
  </si>
  <si>
    <t>АДАПТИВНЫЙ КОНСИЛЕР THE ONE EVERLASTING SYNC - ХОЛОДНЫЙ ФАРФОРОВЫЙ</t>
  </si>
  <si>
    <t xml:space="preserve">                                                                                            - ЕСТЕСТВЕННЫЙ БЕЖ</t>
  </si>
  <si>
    <t>ГЕЛЬ ДЛЯ ДУША С БЛЁСТКАМИ CRYSTOLOGIE</t>
  </si>
  <si>
    <t>ПАРФЮМЕРНАЯ ВОДА DIVINE. МИНИ-СПРЕЙ</t>
  </si>
  <si>
    <t>71</t>
  </si>
  <si>
    <t xml:space="preserve">                                                                                                            - ТЁПЛЫЙ ФАРФОРОВЫЙ</t>
  </si>
  <si>
    <t xml:space="preserve">                                                                                                            - СВЕТЛЫЙ БЕЖЕВЫЙ</t>
  </si>
  <si>
    <t xml:space="preserve">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</si>
  <si>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</si>
  <si>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- ЕСТЕСТВЕННЫЙ БЕЖЕВЫЙ</t>
  </si>
  <si>
    <t>МНОГОФУНКЦИОНАЛЬНАЯ ТУШЬ ДЛЯ РЕСНИЦ 5 В 1 THE ONE WONDERLASH - ЧЁРНЫЙ</t>
  </si>
  <si>
    <t>МНОГОФУНКЦИОНАЛЬНАЯ ВОДОСТОЙКАЯ ТУШЬ ДЛЯ РЕСНИЦ 5 В 1 THE ONE WONDERLASH - ЧЁРНЫЙ</t>
  </si>
  <si>
    <t>АДАПТИВНАЯ МАТОВАЯ ТОНАЛЬНАЯ ОСНОВА THE ONE EVERLASTING SYNC SPF 10 - ХОЛОДНЫЙ АЛЕБАСТРОВЫЙ</t>
  </si>
  <si>
    <t xml:space="preserve">                                                                                                                                          - НЕЙТРАЛЬНЫЙ ВАНИЛЬНЫЙ</t>
  </si>
  <si>
    <t xml:space="preserve">                                                                                                                                          - ХОЛОДНЫЙ ФАРФОРОВЫЙ</t>
  </si>
  <si>
    <t xml:space="preserve">                                                                                                                                          - ЕСТЕСТВЕННЫЙ БЕЖ</t>
  </si>
  <si>
    <t xml:space="preserve">                                                                                                                                          - НЕЙТРАЛЬНЫЙ БЕЖ</t>
  </si>
  <si>
    <t xml:space="preserve">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</si>
  <si>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 - ТЁПЛЫЙ ПЕСОЧНЫЙ</t>
  </si>
  <si>
    <t xml:space="preserve">                                                                                                                                          - ТЁПЛЫЙ БРОНЗОВЫЙ</t>
  </si>
  <si>
    <t xml:space="preserve">                                                                                                                                          - ТЁПЛАЯ КАРАМЕЛЬ</t>
  </si>
  <si>
    <t xml:space="preserve">                                                                                                                                          - ТЁПЛЫЙ ШОКОЛАД</t>
  </si>
  <si>
    <t>ЖИДКАЯ ГУБНАЯ ПОМАДА-ЭЛИКСИР SPF 15 GIORDANI GOLD - ТЕПЛЫЙ КАШЕМИР</t>
  </si>
  <si>
    <t xml:space="preserve">                                                                                                        - МЯГКИЙ ВИННЫЙ </t>
  </si>
  <si>
    <t>65</t>
  </si>
  <si>
    <t>УВЛАЖНЯЮЩАЯ ЭССЕНЦИЯ-СПРЕЙ ДЛЯ ЛИЦА NOVAGE+ PROCEUTICALS</t>
  </si>
  <si>
    <t>НАБОР ДЛЯ МАНИКЮРА</t>
  </si>
  <si>
    <t>СЫВОРОТКА ДЛЯ ИНТЕНСИВНОГО УВЛАЖНЕНИЯ NOVAGE+ PROCEUTICALS</t>
  </si>
  <si>
    <t>ЗУБНАЯ ЩЁТКА СРЕДНЕЙ ЖЁСТКОСТИ OPTIFRESH (ГОЛУБАЯ)</t>
  </si>
  <si>
    <t>МЯГКАЯ ЗУБНАЯ ЩЁТКА OPTIFRESH (ЗЕЛЁНАЯ)</t>
  </si>
  <si>
    <t>КИСТЬ ДЛЯ ТОНАЛЬНОЙ ОСНОВЫ THE ONE</t>
  </si>
  <si>
    <t>6</t>
  </si>
  <si>
    <t>КИСТЬ ДЛЯ ПОМАДЫ THE ONE</t>
  </si>
  <si>
    <t>51</t>
  </si>
  <si>
    <t>ПАРФЮМЕРНАЯ ВОДА AMBER ELIXIR</t>
  </si>
  <si>
    <t>ПАРФЮМИРОВАННЫЙ КРЕМ ДЛЯ ТЕЛА AMBER ELIXIR</t>
  </si>
  <si>
    <t>33</t>
  </si>
  <si>
    <t>64</t>
  </si>
  <si>
    <t>ПАРФЮМЕРНАЯ ВОДА POSSESS</t>
  </si>
  <si>
    <t>53</t>
  </si>
  <si>
    <t xml:space="preserve">ПАРФЮМИРОВАННЫЙ СПРЕЙ-ДЕЗОДОРАНТ ДЛЯ ТЕЛА POSSESS </t>
  </si>
  <si>
    <t>ШАРИКОВЫЙ ДЕЗОДОРАНТ-АНТИПЕРСПИРАНТ MISTER GIORDANI</t>
  </si>
  <si>
    <t>134</t>
  </si>
  <si>
    <t>АНТИВОЗРАСТНОЙ ДНЕВНОЙ КРЕМ OPTIMALS AGE REVIVE SPF 15</t>
  </si>
  <si>
    <t>АНТИВОЗРАСТНОЙ НОЧНОЙ КРЕМ OPTIMALS AGE REVIVE</t>
  </si>
  <si>
    <t>АНТИВОЗРАСТНОЙ КРЕМ ДЛЯ КОЖИ ВОКРУГ ГЛАЗ OPTIMALS AGE REVIVE</t>
  </si>
  <si>
    <t>АНТИВОЗРАСТНАЯ СЫВОРОТКА OPTIMALS AGE REVIVE</t>
  </si>
  <si>
    <t>133</t>
  </si>
  <si>
    <t>УВЛАЖНЯЮЩИЙ ДНЕВНОЙ КРЕМ ДЛЯ СУХОЙ КОЖИ OPTIMALS HYDRA RADIANCE</t>
  </si>
  <si>
    <t>УВЛАЖНЯЮЩИЙ НОЧНОЙ КРЕМ ДЛЯ СУХОЙ КОЖИ OPTIMALS HYDRA RADIANCE</t>
  </si>
  <si>
    <t>132</t>
  </si>
  <si>
    <t>УСПОКАИВАЮЩИЙ ТОНИК ДЛЯ ЛИЦА OPTIMALS</t>
  </si>
  <si>
    <t>СРЕДСТВО ДЛЯ ОЧИЩЕНИЯ КОЖИ И ВЫРАВНИВАНИЯ ТОНА OPTIMALS</t>
  </si>
  <si>
    <t>ГЛУБОКО ОЧИЩАЮЩИЙ ГЕЛЬ С ФРУКТОВЫМИ КИСЛОТАМИ OPTIMALS</t>
  </si>
  <si>
    <t>УВЛАЖНЯЮЩАЯ МАСКА ДЛЯ ВСЕХ ТИПОВ КОЖИ OPTIMALS</t>
  </si>
  <si>
    <t>МАТОВАЯ ГУБНАЯ ПОМАДА GIORDANI GOLD ICONIC - ЧАРУЮЩИЙ НЮД</t>
  </si>
  <si>
    <t xml:space="preserve">                                                                                         - ШОКОЛАДНАЯ РОЗА</t>
  </si>
  <si>
    <t xml:space="preserve">                                                                                         - РУМЯНЫЙ ИМБИРЬ</t>
  </si>
  <si>
    <t xml:space="preserve">                                                                                         - ВИНТАЖНЫЙ ПИОН</t>
  </si>
  <si>
    <t xml:space="preserve">                                                                                         - БЛАГОРОДНОЕ ВИНО</t>
  </si>
  <si>
    <t xml:space="preserve">                                                                                         - БАРХАТНЫЙ ЛАТТЕ</t>
  </si>
  <si>
    <t xml:space="preserve">                                                                                         - ТЕРРАКОТОВЫЙ КАШЕМИР</t>
  </si>
  <si>
    <t xml:space="preserve">                                                                                         - БЕСКОНЕЧНЫЙ КРАСНЫЙ</t>
  </si>
  <si>
    <t xml:space="preserve">                                                                                         - ВЕЛИКОЛЕПНАЯ ВИШНЯ</t>
  </si>
  <si>
    <t xml:space="preserve">                                                                                         - ПРЯНАЯ СЛИВА</t>
  </si>
  <si>
    <t>КОНТУРНЫЙ КАРАНДАШ-ПРАЙМЕР ДЛЯ ГУБ GIORDANI GOLD ICONIC - ПРОЗРАЧНЫЙ</t>
  </si>
  <si>
    <t>39</t>
  </si>
  <si>
    <t>70</t>
  </si>
  <si>
    <t xml:space="preserve">СТОЙКИЕ ТЕНИ-КАРАНДАШ ДЛЯ ВЕК THE ONE COLOUR UNLIMITED - ХРУСТАЛЬ </t>
  </si>
  <si>
    <t>СТОЙКИЙ МАРКЕР-ПОДВОДКА ДЛЯ ГЛАЗ В БОЛЬШОМ ОБЪЕМЕ THE ONE - ЧЕРНЫЙ</t>
  </si>
  <si>
    <t>57</t>
  </si>
  <si>
    <t xml:space="preserve"> ТУАЛЕТНАЯ ВОДА ECLAT HOMME </t>
  </si>
  <si>
    <t>ОЧИЩАЮЩАЯ МАСКА-ПЛЁНКА С УГЛЁМ PURE SKIN</t>
  </si>
  <si>
    <t>ПАРФЮМИРОВАННЫЙ КРЕМ ДЛЯ ТЕЛА ECLAT FEMME</t>
  </si>
  <si>
    <t>ЗАЩИТНЫЙ ГЕЛЬ ДЛЯ ИНТИМНОЙ ГИГИЕНЫ FEMINELLE (РЕФИЛ)</t>
  </si>
  <si>
    <t>ОСВЕЖАЮЩИЙ ГЕЛЬ ДЛЯ ИНТИМНОЙ ГИГИЕНЫ FEMINELLE (РЕФИЛ)</t>
  </si>
  <si>
    <t>155</t>
  </si>
  <si>
    <t>УНИВЕРСАЛЬНЫЙ КРЕМ ДЛЯ ЛИЦА И ТЕЛА CRANBERRY BLISS</t>
  </si>
  <si>
    <t>КРЕМ ДЛЯ ДУША CRANBERRY BLISS</t>
  </si>
  <si>
    <t>77</t>
  </si>
  <si>
    <t>ТУШЬ ДЛЯ РЕСНИЦ 5 В 1 THE ONE C ЭФФЕКТОМ HD - ЧЁРНЫЙ</t>
  </si>
  <si>
    <t>ПИТАТЕЛЬНАЯ МАСКА-СМУЗИ ДЛЯ ВОЛОС С ОРГАНИЧЕСКИМ АВОКАДО LOVE NATURE</t>
  </si>
  <si>
    <t>ЗАКРЕПЛЯЮЩЕЕ ПОКРЫТИЕ ДЛЯ ГЕЛЬ-ЛАКА THE ONE</t>
  </si>
  <si>
    <t>ТУШЬ ДЛЯ БРОВЕЙ THE ONE - СВЕТЛО-КОРИЧНЕВЫЙ</t>
  </si>
  <si>
    <t xml:space="preserve">                                                - КОРИЧНЕВЫЙ</t>
  </si>
  <si>
    <t xml:space="preserve">                                                - ТЁМНО-КОРИЧНЕВЫЙ</t>
  </si>
  <si>
    <t>СИЯЮЩАЯ ТОНАЛЬНАЯ ОСНОВА GIORDANI GOLD SPF 25 - НЕЙТРАЛЬНЫЙ ВАНИЛЬНЫЙ</t>
  </si>
  <si>
    <t xml:space="preserve">                                                                                                 - ТЁПЛЫЙ ФАРФОРОВЫЙ</t>
  </si>
  <si>
    <t xml:space="preserve">                                                                                                 - СВЕТЛЫЙ БЕЖ</t>
  </si>
  <si>
    <t xml:space="preserve">                                                                                                 - МЯГКИЙ ПЕСОЧНЫЙ</t>
  </si>
  <si>
    <t xml:space="preserve">                                                                                                 - СЛОНОВАЯ КОСТЬ</t>
  </si>
  <si>
    <t>87</t>
  </si>
  <si>
    <t>РАССЫПЧАТАЯ ПУДРА THE ONE MAKE-UP PRO</t>
  </si>
  <si>
    <t>ПАРФЮМЕРНАЯ ВОДА AMBER ELIXIR. МИНИ-СПРЕЙ</t>
  </si>
  <si>
    <t>ПАРФЮМЕРНАЯ ВОДА POSSESS. МИНИ-СПРЕЙ</t>
  </si>
  <si>
    <t>124</t>
  </si>
  <si>
    <t>МАСКА ДЛЯ ЛИЦА МНОГОРАЗОВАЯ ФИКСИРУЮЩАЯ</t>
  </si>
  <si>
    <t>ОЧИЩАЮЩЕЕ СРЕДСТВО ДЛЯ ЛИЦА 3 В 1 GLOW ESSENTIALS</t>
  </si>
  <si>
    <t>МЫЛО ДЛЯ ЛИЦА И ТЕЛА GLOW ESSENTIALS</t>
  </si>
  <si>
    <t>СПРЕЙ ДЕЗОДОРАНТ-АНТИПЕРСПИРАНТ C ВЫРАВНИВАЮЩИМ ТОН КОЖИ ЭФФЕКТОМ ACTIVELLE</t>
  </si>
  <si>
    <t>ШАРИКОВЫЙ ДЕЗОДОРАНТ-АНТИПЕРСПИРАНТ CВЫРАВНИВАЮЩИМ ТОН КОЖИ ЭФФЕКТОМ ACTIVELLE</t>
  </si>
  <si>
    <t>СЕРЕБРИСТАЯ ПОДАРОЧНАЯ КОРОБКА GIORDANI GOLD</t>
  </si>
  <si>
    <t>ПИНЦЕТ ДЛЯ БРОВЕЙ</t>
  </si>
  <si>
    <t>ЗАЩИТНАЯ НАКЛАДКА-ТРАФАРЕТ ДЛЯ МАКИЯЖА ГЛАЗ</t>
  </si>
  <si>
    <t>47</t>
  </si>
  <si>
    <t>146</t>
  </si>
  <si>
    <t>150</t>
  </si>
  <si>
    <t>ШАМПУНЬ ДЛЯ ИНТЕНСИВНОГО ВОССТАНОВЛЕНИЯ ВОЛОС DUOLOGI</t>
  </si>
  <si>
    <t>ОСВЕЖАЮЩАЯ ЗУБНАЯ ПАСТА OPTIFRESH</t>
  </si>
  <si>
    <t>ЗУБНАЯ ПАСТА С ТРАВЯНЫМИ МАСЛАМИ OPTIFRESH</t>
  </si>
  <si>
    <t>ШАМПУНЬ ДЛЯ ЗАЩИТЫ ЦВЕТА DUOLOGI</t>
  </si>
  <si>
    <t>ШАМПУНЬ ДЛЯ ИНТЕНСИВНОГО ВОССТАНОВЛЕНИЯ ВОЛОС DUOLOGI (РЕФИЛ)</t>
  </si>
  <si>
    <t>151</t>
  </si>
  <si>
    <t>ЛЁГКИЙ КРЕМ-КОНДИЦИОНЕР ДЛЯ ВОЛОС DUOLOGI</t>
  </si>
  <si>
    <t>СУХОЙ ШАМПУНЬ ДЛЯ КОНТРОЛЯ ЖИРНОСТИ DUOLOGI</t>
  </si>
  <si>
    <t>153</t>
  </si>
  <si>
    <t>МАСКА ДЛЯ ИНТЕНСИВНОГО ВОССТАНОВЛЕНИЯ ВОЛОС DUOLOGI</t>
  </si>
  <si>
    <t>ВОССТАНАВЛИВАЮЩАЯ СЫВОРОТКА ДЛЯ СЕКУЩИХСЯ ВОЛОС DUOLOGI</t>
  </si>
  <si>
    <t>УСПОКАИВАЮЩИЙ ТОНИК ДЛЯ КОЖИ ГОЛОВЫ DUOLOGI</t>
  </si>
  <si>
    <t>СКРАБ ДЛЯ КОЖИ ГОЛОВЫ ПРОТИВ ПЕРХОТИ DUOLOGI</t>
  </si>
  <si>
    <t>МУЛЬТИФУНКЦИОНАЛЬНЫЙ СС-СПРЕЙ ДЛЯ ВОЛОС DUOLOGI</t>
  </si>
  <si>
    <t>НЕСМЫВАЕМЫЙ КРЕМ-УХОД ДЛЯ ВОЛОС 2 В 1 DUOLOGI</t>
  </si>
  <si>
    <t>МАТИРУЮЩИЙ РОЛИК</t>
  </si>
  <si>
    <t>ГЕЛЕВАЯ МАСКА ДЛЯ ЛИЦА С ОРГАНИЧЕСКОЙ МАРАКУЙЕЙ ДЛЯ УВЛАЖНЕНИЯ КОЖИ LOVE NATURE</t>
  </si>
  <si>
    <t>ГЕЛЬ ПРОТИВ ВОСПАЛЕНИЙ 24-ЧАСОВОГО ДЕЙСТВИЯ NOVAGE</t>
  </si>
  <si>
    <t>СТОЙКИЕ ТЕНИ-КАРАНДАШ ДЛЯ ВЕК THE ONE COLOUR UNLIMITED - БИРЮЗА</t>
  </si>
  <si>
    <t xml:space="preserve">                                                                                                                 - УЛЬТРАФИОЛЕТ</t>
  </si>
  <si>
    <t xml:space="preserve">                                                                                                                 - ЗЕФИР</t>
  </si>
  <si>
    <t xml:space="preserve">                                                                                                                 - СЛЮДА</t>
  </si>
  <si>
    <t>125</t>
  </si>
  <si>
    <t>169</t>
  </si>
  <si>
    <t>ЖИДКОЕ МЫЛО ДЛЯ РУК И ТЕЛА С ДИКИМ МАКОМ И ВАНИЛЬЮ ESSENSE &amp; CO.</t>
  </si>
  <si>
    <t>ЛОСЬОН ДЛЯ РУК И ТЕЛА С ДИКИМ МАКОМ И ВАНИЛЬЮ ESSENSE &amp; CO.</t>
  </si>
  <si>
    <t>154</t>
  </si>
  <si>
    <t>ЖИДКОЕ МЫЛО ДЛЯ РУК И ТЕЛА MILK &amp; HONEY GOLD. ЗОЛОТАЯ КЛАССИКА</t>
  </si>
  <si>
    <t>ПИТАТЕЛЬНЫЙ КРЕМ ДЛЯ РУК И ТЕЛА MILK &amp; HONEY GOLD. ЗОЛОТАЯ КЛАССИКА</t>
  </si>
  <si>
    <t>ПИТАТЕЛЬНЫЙ КРЕМ ДЛЯ НОГ С ЭКСТРАКТОМ КЛЮКВЫ И МАСЛОМ ГРЕЦКОГО ОРЕХА FEET UP</t>
  </si>
  <si>
    <t>44</t>
  </si>
  <si>
    <t>МУЖСКОЙ ТРИММЕР 4-В-1</t>
  </si>
  <si>
    <t>171</t>
  </si>
  <si>
    <t>ДЕТСКОЕ МЫЛО С АРОМАТОМ МАНДАРИНА И ИМБИРНОГО ПЕЧЕНЬЯ LOVE NATURE</t>
  </si>
  <si>
    <t>ДЕТСКИЙ ШАМПУНЬ ДЛЯ ВОЛОС И ТЕЛА С АРОМАТОМ МАНДАРИНА И ИМБИРНОГО ПЕЧЕНЬЯ LOVE NATURE</t>
  </si>
  <si>
    <t>ДЕТСКИЙ ПАРФЮМИРОВАННЫЙ СПРЕЙ С АРОМАТОМ МАНДАРИНА И ИМБИРНОГО ПЕЧЕНЬЯ LOVE NATURE</t>
  </si>
  <si>
    <t>37</t>
  </si>
  <si>
    <t>ТУАЛЕТНАЯ ВОДА EXCITE BY ORIFLAME</t>
  </si>
  <si>
    <t>63</t>
  </si>
  <si>
    <t>30</t>
  </si>
  <si>
    <t>ТУАЛЕТНАЯ ВОДА ECLAT MADEMOISELLE</t>
  </si>
  <si>
    <t>38</t>
  </si>
  <si>
    <t>152</t>
  </si>
  <si>
    <t>ЩЁТКА-БРАШИНГ ДЛЯ ВОЛОС STYLERPRO</t>
  </si>
  <si>
    <t>ЩЁТКА ДЛЯ УКЛАДКИ ВОЛОС STYLERPRO</t>
  </si>
  <si>
    <t>РАСЧЁСКА ДЛЯ НАЧЁСОВ STYLERPRO</t>
  </si>
  <si>
    <t>ИНСТРУМЕНТ ДЛЯ ЧИСТКИ РАСЧЁСОК STYLERPRO</t>
  </si>
  <si>
    <t>СПОНЖ ДЛЯ ЛИЦА WAUNT</t>
  </si>
  <si>
    <t>ДЕТСКАЯ ГУБКА ДЛЯ ДУША LOVE NATURE</t>
  </si>
  <si>
    <t>ОСВЕЖАЮЩЕЕ ЖИДКОЕ МЫЛО С ОРГАНИЧЕСКИМ ЗЕЛЁНЫМ ЧАЕМ И ОГУРЦОМ LOVE NATURE</t>
  </si>
  <si>
    <t>МАССАЖЁР ДЛЯ КОЖИ ГОЛОВЫ DUOLOGI</t>
  </si>
  <si>
    <t>145</t>
  </si>
  <si>
    <t>УСПОКАИВАЮЩАЯ МАСКА ДЛЯ ЛИЦА LOVE NATURE</t>
  </si>
  <si>
    <t>ОБНОВЛЯЮЩИЙ СКРАБ-МАРМЕЛАД ДЛЯ ЛИЦА LOVE NATURE</t>
  </si>
  <si>
    <t>164</t>
  </si>
  <si>
    <t>ЩЁТКА ДЛЯ ДУША 3-В-1</t>
  </si>
  <si>
    <t>60</t>
  </si>
  <si>
    <t>МУЖСКАЯ КОСМЕТИЧКА</t>
  </si>
  <si>
    <t>МУЖСКОЙ НАБОР ДЛЯ УХОДА ЗА НОГТЯМИ И БРОВЯМИ</t>
  </si>
  <si>
    <t>НАБОР ПИЛОК ДЛЯ НОГТЕЙ</t>
  </si>
  <si>
    <t>НОСКИ ДЛЯ УХОДА ЗА КОЖЕЙ НОГ</t>
  </si>
  <si>
    <t>КОЛЬЕ ALL OR NOTHING AMPLIFIED</t>
  </si>
  <si>
    <t>СЕРЬГИ ALL OR NOTHING AMPLIFIED</t>
  </si>
  <si>
    <t>137</t>
  </si>
  <si>
    <t>МАССАЖЁР ДЛЯ КОЖИ ГОЛОВЫ</t>
  </si>
  <si>
    <t>136</t>
  </si>
  <si>
    <t>ГЕЛЕВЫЕ ПАТЧИ ДЛЯ ГЛАЗ ARCTIC RITUAL</t>
  </si>
  <si>
    <t>ИНСТРУМЕНТ ДЛЯ КРИОМАССАЖА </t>
  </si>
  <si>
    <t>НАБОР ПОЛОТЕНЕЦ ARCTIC RITUAL</t>
  </si>
  <si>
    <t>ПОДАРОЧНЫЙ НАБОР POSSESS</t>
  </si>
  <si>
    <t>ПОДАРОЧНЫЙ НАБОР ECLAT HOMME</t>
  </si>
  <si>
    <t>115</t>
  </si>
  <si>
    <t>НОЧНАЯ МАСКА ДЛЯ ИНТЕНСИВНОГО ВОССТАНОВЛЕНИЯ КОЖИ NOVAGE. ПОДАРОЧНОЕ ИЗДАНИЕ</t>
  </si>
  <si>
    <t>ВОССТАНАВЛИВАЮЩИЕ КАПСУЛЫ ДЛЯ ЛИЦА С КОНЦЕНТРАТОМ МАСЕЛ NOVAGE NUTRI6. ПОДАРОЧНОЕ ИЗДАНИЕ</t>
  </si>
  <si>
    <t xml:space="preserve">КАРТОЧКА + ПРОБНИК ПАРФЮМЕРНОЙ ВОДЫ MISS GIORDANI FLORAL </t>
  </si>
  <si>
    <t xml:space="preserve">WELLOSOPHY </t>
  </si>
  <si>
    <t>ПОДТЯГИВАЮЩИЙ ДНЕВНОЙ КРЕМ «КОРОЛЕВСКИЙ БАРХАТ»</t>
  </si>
  <si>
    <t>ПОДТЯГИВАЮЩИЙ НОЧНОЙ КРЕМ «КОРОЛЕВСКИЙ БАРХАТ»</t>
  </si>
  <si>
    <t>ТОЧИЛКА ДЛЯ КАРАНДАШЕЙ</t>
  </si>
  <si>
    <t>ПИТАТЕЛЬНЫЙ КРЕМ ДЛЯ РУК И ТЕЛА «МОЛОКО И МЕД - ЗОЛОТАЯ СЕРИЯ»</t>
  </si>
  <si>
    <t>ДЕЗОДОРАНТ-АНТИПЕРСПИРАНТ ДЛЯ ТЕЛА ECLAT HOMME</t>
  </si>
  <si>
    <t xml:space="preserve">ЖИДКОЕ МЫЛО ДЛЯ РУК С ЛИМОНОМ И ВЕРБЕНОЙ ESSENSE &amp; CO. </t>
  </si>
  <si>
    <t xml:space="preserve">ЛОСЬОН ДЛЯ РУК И ТЕЛА С ЛИМОНОМ И ВЕРБЕНОЙ ESSENSE &amp; CO. </t>
  </si>
  <si>
    <t>CРЕДСТВО ДЛЯ СНЯТИЯ ВОДОСТОЙКОЙ КОСМЕТИКИ С ГЛАЗ THE ONE</t>
  </si>
  <si>
    <t>КРЕМ-АНТИПЕРСПИРАНТ ДЛЯ НОГ FEET UP COMFORT</t>
  </si>
  <si>
    <t>ОСВЕЖАЮЩИЙ CПРЕЙ-ДЕЗОДОРАНТ ДЛЯ НОГ FEET UP COMFORT</t>
  </si>
  <si>
    <t>СПРЕЙ ДЕЗОДОРАНТ-АНТИПЕРСПИРАНТ POSSESS MAN</t>
  </si>
  <si>
    <t xml:space="preserve">ВОССТАНАВЛИВАЮЩИЕ КАПСУЛЫ ДЛЯ ЛИЦА С КОНЦЕНТРАТОМ МАСЕЛ NOVAGE NUTRI6 </t>
  </si>
  <si>
    <t>ОСВЕЖАЮЩИЙ КРЕМ ДЛЯ НОГ FEET UP COMFORT</t>
  </si>
  <si>
    <t>ШЕЛКОВАЯ ТОНАЛЬНАЯ ОСНОВА-ФЛЮИД GIORDANI GOLD - ВАНИЛЬНЫЙ</t>
  </si>
  <si>
    <t xml:space="preserve">                                                                                                    - ФАРФОРОВЫЙ</t>
  </si>
  <si>
    <t xml:space="preserve">                                                                                                    - СЛОНОВАЯ КОСТЬ</t>
  </si>
  <si>
    <t xml:space="preserve">                                                                                                    - ПЕСОЧНЫЙ БЕЖ</t>
  </si>
  <si>
    <t xml:space="preserve">                                                                                                    - ЕСТЕСТВЕННЫЙ БЕЖ</t>
  </si>
  <si>
    <t xml:space="preserve">КРЕМ ДЛЯ ЗАГРУБЕВШЕЙ КОЖИ НОГ FEET UP ADVANCED </t>
  </si>
  <si>
    <t>ДЕЗОДОРАНТ-АНТИПЕРСПИРАНТ ДЛЯ НОГ 36-ЧАСОВОГО ДЕЙСТВИЯ FEET UP ADVANCED</t>
  </si>
  <si>
    <t>НОЧНАЯ МАСКА ДЛЯ ИНТЕНСИВНОГО ВОССТАНОВЛЕНИЯ КОЖИ NOVAGE</t>
  </si>
  <si>
    <t>ПАРФЮМИРОВАННЫЙ СПРЕЙ ДЛЯ ТЕЛА LOVE POTION SO TEMPTING</t>
  </si>
  <si>
    <t>ЗАЩИТНЫЙ КРЕМ ДЛЯ ЛИЦА «ПЧЕЛИНЫЙ ВОСК И МИНДАЛЬ»</t>
  </si>
  <si>
    <t>ШАРИКОВЫЙ ДЕЗОДОРАНТ MISS GIORDANI</t>
  </si>
  <si>
    <t>УСПОКАИВАЮЩИЙ ГЕЛЬ ДЛЯ ИНТИМНОЙ ГИГИЕНЫ FEMINELLE</t>
  </si>
  <si>
    <t>МЯГКИЙ ГЕЛЬ ДЛЯ ИНТИМНОЙ ГИГИЕНЫ FEMINELLE</t>
  </si>
  <si>
    <t>СМЯГЧАЮЩИЙ КРЕМ-ГЕЛЬ ДЛЯ ИНТИМНОЙ ГИГИЕНЫ FEMINELLE</t>
  </si>
  <si>
    <t>МАТИРУЮЩАЯ КОМПАКТНАЯ ПУДРА GIORDANI GOLD - СЛОНОВАЯ КОСТЬ</t>
  </si>
  <si>
    <t xml:space="preserve">                                                                                           - ТЁПЛЫЙ БЕЖ</t>
  </si>
  <si>
    <t>УДЛИНЯЮЩАЯ ТУШЬ ДЛЯ РЕСНИЦ ONCOLOUR - ЧЕРНЫЙ</t>
  </si>
  <si>
    <t>УВЛАЖНЯЮЩИЙ КРЕМ ДЛЯ ЛИЦА С ОРГАНИЧЕСКИМ АЛОЭ ВЕРА И КОКОСОВОЙ ВОДОЙ LOVE NATURE</t>
  </si>
  <si>
    <t>ОЧИЩАЮЩИЙ ГЕЛЬ ДЛЯ УМЫВАНИЯ С ОРГАНИЧЕСКИМ ЧАЙНЫМ ДЕРЕВОМ И ЛАЙМОМ LOVE NATURE</t>
  </si>
  <si>
    <t>ПИТАТЕЛЬНЫЙ КРЕМ ДЛЯ ЛИЦА С ОРГАНИЧЕСКИМ ОВСОМ И ЯГОДАМИ ГОДЖИ LOVE NATURE</t>
  </si>
  <si>
    <t>НЕВИДИМЫЙ ГЕЛЬ ДЛЯ УКЛАДКИ ВОЛОС NORTH FOR MEN</t>
  </si>
  <si>
    <t>КРЕМ ДЛЯ ЛИЦА И ТЕЛА «ЧЕРНИЧНЫЙ ДЕСЕРТ»</t>
  </si>
  <si>
    <t>BB-КРЕМ C SPF 10 ONCOLOUR - СВЕТЛЫЙ</t>
  </si>
  <si>
    <t xml:space="preserve">                                                  - ЕСТЕСТВЕННЫЙ</t>
  </si>
  <si>
    <t xml:space="preserve">                                                  - СРЕДНИЙ </t>
  </si>
  <si>
    <t>СЫВОРОТКА-РЯЗМЯГЧИТЕЛЬ МОЗОЛЕЙ И НАТОПТЫШЕЙ FEET UP ANVANCED</t>
  </si>
  <si>
    <t>КРЕМ ДЛЯ ДУША «ЧЕРНИЧНЫЙ ДЕСЕРТ»</t>
  </si>
  <si>
    <t>ПЕНА ДЛЯ БРИТЬЯ И УМЫВАНИЯ 2-В-1 NORTH FOR MEN SUBZERO</t>
  </si>
  <si>
    <t>ВОССТАНАВЛИВАЮЩИЙ КОНДИЦИОНЕР ДЛЯ ВОЛОС BEAUTANICALS</t>
  </si>
  <si>
    <t>ВОССТАНАВЛИВАЮЩИЙ ШАМПУНЬ BEAUTANICALS</t>
  </si>
  <si>
    <t xml:space="preserve">СТИК ДЛЯ МАКИЯЖА THE ONE - ХАЙЛАЙТЕР </t>
  </si>
  <si>
    <t>СТИК ДЛЯ МАКИЯЖА THE ONE - РУМЯНА</t>
  </si>
  <si>
    <t>СТИК ДЛЯ МАКИЯЖА THE ONE - БРОНЗЕР</t>
  </si>
  <si>
    <t>СПЕЦИАЛЬНОЕ СМЯГЧАЮЩЕЕ СРЕДСТВО С МАСЛОМ МАРАКУЙИ</t>
  </si>
  <si>
    <t>РАСКЛАДНОЕ ЗЕРКАЛО</t>
  </si>
  <si>
    <t>СПОНЖ КОННЯКУ С УГЛЕМ</t>
  </si>
  <si>
    <t>ПЕМЗА ДЛЯ НОГ</t>
  </si>
  <si>
    <t xml:space="preserve">ШЛИФОВАЛЬНАЯ ПИЛКА ДЛЯ НОГ </t>
  </si>
  <si>
    <t>ПЕРЧАТКИ ДЛЯ УХОДА ЗА КОЖЕЙ РУК (С СЕНСОРНОЙ ФУНКЦИЕЙ)</t>
  </si>
  <si>
    <t>КАРАНДАШ ДЛЯ ГУБ THE ONE - НЮД</t>
  </si>
  <si>
    <t xml:space="preserve">                                                   - КАРАМЕЛЬ </t>
  </si>
  <si>
    <t xml:space="preserve">                                                   - ПЫЛЬНАЯ РОЗА </t>
  </si>
  <si>
    <t xml:space="preserve">                                                   - РОЗОВЫЙ </t>
  </si>
  <si>
    <t xml:space="preserve">                                                   - КРАСНЫЙ </t>
  </si>
  <si>
    <t xml:space="preserve">                                                   - ВИННЫЙ </t>
  </si>
  <si>
    <t xml:space="preserve">                                                   - СЛИВОВЫЙ </t>
  </si>
  <si>
    <t xml:space="preserve">                                                   - ШОКОЛАДНЫЙ </t>
  </si>
  <si>
    <t>ПАРФЮМИРОВАННЫЙ СПРЕЙ ДЛЯ ТЕЛА LOVE POTION BLOSSOM KISS</t>
  </si>
  <si>
    <t xml:space="preserve">                                                                     - ПЕРСИКОВЫЙ НЮД </t>
  </si>
  <si>
    <t xml:space="preserve">                                                                     - МЕДОВЫЙ БЕЖ </t>
  </si>
  <si>
    <t xml:space="preserve">                                                                     - МЯГКАЯ КОРИЦА </t>
  </si>
  <si>
    <t xml:space="preserve">                                                                     - СЛИВОВОЕ ВИНО </t>
  </si>
  <si>
    <t xml:space="preserve">                                                                     - ГЛУБОКИЙ КРАСНЫЙ </t>
  </si>
  <si>
    <t xml:space="preserve">                                                                     - КЛЮКВЕННЫЙ КРАСНЫЙ </t>
  </si>
  <si>
    <t xml:space="preserve">                                                                     - СПЕЛЫЙ АБРИКОС </t>
  </si>
  <si>
    <t xml:space="preserve">                                                                     - ПЫЛЬНЫЙ РОЗОВЫЙ </t>
  </si>
  <si>
    <t xml:space="preserve">                                                                     - ХОЛОДНЫЙ РОЗОВЫЙ</t>
  </si>
  <si>
    <t xml:space="preserve">                                                                     - РОЗОВЫЙ ПИОН </t>
  </si>
  <si>
    <t xml:space="preserve">                                                                     - ЯРКАЯ ФУКСИЯ </t>
  </si>
  <si>
    <t xml:space="preserve">                                                                     - СИРЕНЕВЫЙ КЛЕВЕР</t>
  </si>
  <si>
    <t xml:space="preserve">                                                                     - ТЕПЛЫЙ ОРЕХОВЫЙ</t>
  </si>
  <si>
    <t xml:space="preserve">                                                                     - ПЫЛЬНЫЙ ЛИЛОВЫЙ</t>
  </si>
  <si>
    <t xml:space="preserve">УХАЖИВАЮЩАЯ ТОНАЛЬНАЯ ОСНОВА ONCOLOUR - ФАРФОРОВЫЙ </t>
  </si>
  <si>
    <t xml:space="preserve">                                                                                      - СЛОНОВАЯ КОСТЬ </t>
  </si>
  <si>
    <t xml:space="preserve">                                                                                      - ЕСТЕСТВЕННЫЙ БЕЖ </t>
  </si>
  <si>
    <t>ОБЪЕМНАЯ ТУШЬ ДЛЯ РЕСНИЦ ONCOLOUR - ЧЕРНЫЙ</t>
  </si>
  <si>
    <t xml:space="preserve">                                                  - ЛАТТЕ</t>
  </si>
  <si>
    <t xml:space="preserve">                                                  - ТАУП </t>
  </si>
  <si>
    <t xml:space="preserve">                                                  - ЛАВАНДА</t>
  </si>
  <si>
    <t xml:space="preserve">                                                  - МЯТА </t>
  </si>
  <si>
    <t xml:space="preserve">                                                  - ПЕРСИК </t>
  </si>
  <si>
    <t xml:space="preserve">                                                  - ПИОН</t>
  </si>
  <si>
    <t xml:space="preserve">                                                  - БУРГУНДИЯ</t>
  </si>
  <si>
    <t xml:space="preserve">                                                  - МАЛИНА</t>
  </si>
  <si>
    <t xml:space="preserve">                                                  - ГРОЗА</t>
  </si>
  <si>
    <t xml:space="preserve">                                                  - ЗОЛОТО </t>
  </si>
  <si>
    <t>ТОНАЛЬНЫЙ ФЛЮИД ДЛЯ СИЯНИЯ КОЖИ ONCOLOUR - СВЕТЛЫЙ</t>
  </si>
  <si>
    <t>ОСВЕЖАЮЩИЙ ГЕЛЬ ДЛЯ ДУША С ОКЕАНСКИМ АККОРДОМ SCENTS &amp; MOMENTS</t>
  </si>
  <si>
    <t>РАССЛАБЛЯЮЩИЙ ГЕЛЬ ДЛЯ ДУША С ЛАВАНДОЙ SCENTS &amp; MOMENTS</t>
  </si>
  <si>
    <t>УСПОКАИВАЮЩИЙ ГЕЛЬ ДЛЯ ДУША С МИНДАЛЬНЫМ ЦВЕТОМ SCENTS &amp; MOMENTS</t>
  </si>
  <si>
    <t>БАЗА ПОД МАКИЯЖ WAUNT «ВЫРАВНИВАЮЩИЙ ЭФФЕКТ»</t>
  </si>
  <si>
    <t>МНОГОФУНКЦИОНАЛЬНАЯ ТУШЬ ДЛЯ РЕСНИЦ 5 В 1 THE ONE WONDER LASH XXL - ЧЁРНЫЙ</t>
  </si>
  <si>
    <t>ВОДОСТОЙКАЯ ТУШЬ ДЛЯ РЕСНИЦ 5 В 1 THE ONE WONDER LASH XXL- ЧЕРНЫЙ</t>
  </si>
  <si>
    <t>ДЕТСКИЙ ШАМПУНЬ ДЛЯ ВОЛОС И ТЕЛА С ЯБЛОКОМ LOVE NATURE</t>
  </si>
  <si>
    <t>ТЁРКА ДЛЯ НОГ</t>
  </si>
  <si>
    <t xml:space="preserve">УВЛАЖНЯЮЩАЯ ТОНАЛЬНАЯ ОСНОВА THE ONE ILLUSKIN AQUABOOST SPF 20 - ВАНИЛЬНЫЙ </t>
  </si>
  <si>
    <t xml:space="preserve">                                                                                                                                    - ФАРФОРОВЫЙ </t>
  </si>
  <si>
    <t xml:space="preserve">                                                                                                                                    - СВЕТЛЫЙ БЕЖЕВЫЙ</t>
  </si>
  <si>
    <t xml:space="preserve">                                                                                                                                    - ТЕПЛЫЙ БЕЖЕВЫЙ </t>
  </si>
  <si>
    <t xml:space="preserve">                                                                                                                                    - СЛОНОВАЯ КОСТЬ </t>
  </si>
  <si>
    <t xml:space="preserve">                                                                                                                                    - ЕСТЕСТВЕННЫЙ БЕЖЕВЫЙ </t>
  </si>
  <si>
    <t>МЯГКАЯ ДЕТСКАЯ ЗУБНАЯ ЩЁТКА OPTIFRESH (ГОЛУБАЯ)</t>
  </si>
  <si>
    <t>НАБОР ДЛЯ МАКИЯЖА БРОВЕЙ И ГЛАЗ THE ONE</t>
  </si>
  <si>
    <t>КРЕМОВАЯ ГУБНАЯ ПОМАДА ONCOLOUR - ИМБИРНЫЙ НЮД</t>
  </si>
  <si>
    <t xml:space="preserve">                                                                     - РОЗОВЫЙ ШОКОЛАД</t>
  </si>
  <si>
    <t xml:space="preserve">                                                                     - ПРЯНАЯ КАРАМЕЛЬ</t>
  </si>
  <si>
    <t xml:space="preserve">                                                                     - ШОКОЛАДНАЯ КРОШКА</t>
  </si>
  <si>
    <t>ЛАК ДЛЯ НОГТЕЙ ONCOLOUR - ШОКОЛАДНОЕ МОЛОКО</t>
  </si>
  <si>
    <t xml:space="preserve">                                                  - ПРЯНОЕ КАКАО</t>
  </si>
  <si>
    <t xml:space="preserve">                                                  - ИМБИРНАЯ КАРАМЕЛЬ</t>
  </si>
  <si>
    <t>РУМЯНА-БРОНЗЕР В ШАРИКАХ GIORDANI GOLD - НАТУРАЛЬНОЕ СИЯНИЕ</t>
  </si>
  <si>
    <t>ПАЛЕТКА ТЕНЕЙ ДЛЯ ВЕК ONCOLOUR - ШОКОЛАДНЫЙ БУМ</t>
  </si>
  <si>
    <t>﻿АНТИВОЗРАСТНОЙ КОНСИЛЕР С ПРЕБИОТИЧЕСКОЙ СЫВОРОТКОЙ GIORDANI GOLD - СВЕТЛЫЙ</t>
  </si>
  <si>
    <t xml:space="preserve">                                                                                                                                            - СРЕДНИЙ</t>
  </si>
  <si>
    <t>ГЕЛЕВЫЕ ПОДУШЕЧКИ ПОД ПЯТКИ</t>
  </si>
  <si>
    <t>ГЕЛЕВЫЕ ПОДУШЕЧКИ ДЛЯ ЗАДНИКОВ ОБУВИ</t>
  </si>
  <si>
    <t>ПОДУШЕЧКИ ДЛЯ ОБУВИ</t>
  </si>
  <si>
    <t>УХАЖИВАЮЩЕЕ МЫЛО С ОРГАНИЧЕСКИМ ОВСОМ И АБРИКОСОМ LOVE NATURE</t>
  </si>
  <si>
    <t>БОДРЯЩИЙ ГЕЛЬ ДЛЯ ДУША С ОРГАНИЧЕСКОЙ КОКОСОВОЙ ВОДОЙ И ДЫНЕЙ LOVE NATURE</t>
  </si>
  <si>
    <t>БОДРЯЩИЙ ГЕЛЬ ДЛЯ ДУША С ОРГАНИЧЕСКОЙ КОКОСОВОЙ ВОДОЙ И ДЫНЕЙ LOVE NATURE. БОЛЬШОЙ ОБЪЁМ</t>
  </si>
  <si>
    <t>ОСВЕЖАЮЩИЙ ГЕЛЬ ДЛЯ ДУША С ОРГАНИЧЕСКИМ ЗЕЛЁНЫМ ЧАЕМ И ОГУРЦОМ LOVE NATURE</t>
  </si>
  <si>
    <t>ШАМПУНЬ ДЛЯ СУХИХ ВОЛОС С ПШЕНИЦЕЙ И КОКОСОМ LOVE NATURE. БОЛЬШОЙ ОБЪЁМ</t>
  </si>
  <si>
    <t>ШАРИКОВЫЙ ДЕЗОДОРАНТ-АНТИПЕРСПИРАНТ БЕЗ БЕЛЫХ СЛЕДОВ ACTIVELLE</t>
  </si>
  <si>
    <t>СПРЕЙ ДЕЗОДОРАНТ-АНТИПЕРСПИРАНТ БЕЗ БЕЛЫХ СЛЕДОВ ACTIVELLE</t>
  </si>
  <si>
    <t>ВОССТАНАВЛИВАЮЩАЯ МАСКА-СМУЗИ ДЛЯ ВОЛОС С ОРГАНИЧЕСКОЙ ПАПАЙЕЙ LOVE NATURE</t>
  </si>
  <si>
    <t>ЗАЩИТНОЕ МАСЛО ДЛЯ ТЕЛА, ЛИЦА И ВОЛОС С ОРГАНИЧЕСКОЙ ОЛИВОЙ LOVE NATURE</t>
  </si>
  <si>
    <t>ПИТАТЕЛЬНЫЙ КРЕМ ДЛЯ РУК С ОРГАНИЧЕСКИМ МАСЛОМ КОКОСА LOVE NATURE</t>
  </si>
  <si>
    <t>ОСВЕЖАЮЩИЙ КРЕМ ДЛЯ РУК С ОРГАНИЧЕСКИМ РОЗОВЫМ ГРЕЙПФРУТОМ LOVE NATURE</t>
  </si>
  <si>
    <t xml:space="preserve">КРЕМ ДЛЯ КОЖИ ВОКРУГ ГЛАЗ WAUNT «ЭФФЕКТ ВОССТАНОВЛЕНИЯ» </t>
  </si>
  <si>
    <t>ШАМПУНЬ ДЛЯ ЖИРНЫХ ВОЛОС С ОРГАНИЧЕСКИМИ ЛИМОНОМ И МЯТОЙ LOVE NATURE</t>
  </si>
  <si>
    <t>УВЛАЖНЯЮЩАЯ СЫВОРОТКА WAUNT «ЭФФЕКТ СИЯЮЩЕЙ КОЖИ»</t>
  </si>
  <si>
    <t>ШАМПУНЬ-УХОД 2 В 1 ДЛЯ ВСЕХ ТИПОВ ВОЛОС С ОРГАНИЧЕСКИМИ АВОКАДО И РОМАШКОЙ LOVE NATURE. БОЛЬШОЙ ОБЪЁМ</t>
  </si>
  <si>
    <t>КРЕМ-ГЕЛЬ ДЛЯ ЛИЦА WAUNT «ЭФФЕКТ МГНОВЕННОГО УВЛАЖНЕНИЯ»</t>
  </si>
  <si>
    <t>ДВУСТОРОННИЙ КАРАНДАШ ДЛЯ ГЛАЗ ONCOLOUR - СНЕГ И ГРАФИТ</t>
  </si>
  <si>
    <t xml:space="preserve">                                                                                       - МОККО И РОЗОВОЕ ЗОЛОТО</t>
  </si>
  <si>
    <t xml:space="preserve">                                                                                       - САПФИР И ОКЕАН</t>
  </si>
  <si>
    <t xml:space="preserve">                                                                                       - ПАЛЬМА И ОЛИВКА</t>
  </si>
  <si>
    <t xml:space="preserve">                                                                                       - СЛИВА И МЕДЬ</t>
  </si>
  <si>
    <t xml:space="preserve">МАСКА ДЛЯ ЛИЦА WAUNT «ЭФФЕКТ ОБНОВЛЕНИЯ» </t>
  </si>
  <si>
    <t xml:space="preserve">ТОНЕР-МИСТ ДЛЯ ЛИЦА WAUNT  «ЭФФЕКТ СИЯНИЯ» </t>
  </si>
  <si>
    <t>РАЗОГРЕВАЮЩАЯ МАСКА WAUNT «ЭФФЕКТНОЕ ОЧИЩЕНИЕ»</t>
  </si>
  <si>
    <t>ДВУХСТОРОННИЙ КАРАНДАШ ДЛЯ БРОВЕЙ GIORDANI GOLD - СВЕТЛЫЙ КОРИЧНЕВЫЙ</t>
  </si>
  <si>
    <t xml:space="preserve">                                                                                                      - СРЕДНИЙ КОРИЧНЕВЫЙ</t>
  </si>
  <si>
    <t>ПИТАТЕЛЬНЫЙ КРЕМ ДЛЯ ДУША С ОРГАНИЧЕСКИМ МАСЛОМ КАКАО И КОКОСА LOVE NATURE</t>
  </si>
  <si>
    <t>БОДРЯЩЕЕ МЫЛО С ОРГАНИЧЕСКОЙ КОКОСОВОЙ ВОДОЙ И ДЫНЕЙ LOVE NATURE</t>
  </si>
  <si>
    <t>ПИТАТЕЛЬНЫЙ КРЕМ-ЛОСЬОН ДЛЯ ТЕЛА С ОРГАНИЧ МАСЛОМ КАКАО LOVE NATURE</t>
  </si>
  <si>
    <t>ОТШЕЛУШИВАЮЩИЙ ГЕЛЬ ДЛЯ ДУША С ОРГАНИЧЕСКОЙ МЯТОЙ И МАЛИНОЙ LOVE NATURE</t>
  </si>
  <si>
    <t>ПАРФЮМИРОВАННЫЙ КРЕМ ДЛЯ ТЕЛА DIVINE</t>
  </si>
  <si>
    <t>ОБНОВЛЯЮЩАЯ МАСКА ДЛЯ ЛИЦА ИЗ БИОЦЕЛЛЮЛОЗЫ С НИАЦИНАМИДОМ И ЭКСТРАКТОМ ЦЕНТЕЛЛЫ NOVAGE PROCEUTICALS</t>
  </si>
  <si>
    <t>МАССАЖНАЯ МОЧАЛКА-ПЕРЧАТКА</t>
  </si>
  <si>
    <t>СТОЙКАЯ СУПЕРМАТОВАЯ ГУБНАЯ ПОМАДА THE ONE COLOUR UNLIMITED - ЕСТЕСТВЕННЫЙ РОЗОВЫЙ</t>
  </si>
  <si>
    <t xml:space="preserve">                                                                                                                             - ПЕРСИКОВЫЙ БЕЖ</t>
  </si>
  <si>
    <t xml:space="preserve">                                                                                                                             - ТЁМНЫЙ РУМЯНЕЦ</t>
  </si>
  <si>
    <t xml:space="preserve">              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</si>
  <si>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</si>
  <si>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</si>
  <si>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</si>
  <si>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              - КРАСНЫЙ РУБИН</t>
  </si>
  <si>
    <t xml:space="preserve">                                                                                                                             - ВИШНЁВЫЙ БАРХАТ</t>
  </si>
  <si>
    <t xml:space="preserve">                                                                                                                             - ТЁМНЫЙ ЯГОДНЫЙ</t>
  </si>
  <si>
    <t>СРЕДСТВО ДЛЯ УМЫВАНИЯ PURE SKIN</t>
  </si>
  <si>
    <t>МАТИРУЮЩИЙ КРЕМ ДЛЯ ЛИЦА PURE SKIN</t>
  </si>
  <si>
    <t>МАСКА ДЛЯ ЛИЦА С ГЛИНОЙ PURE SKIN</t>
  </si>
  <si>
    <t>УКРЕПЛЯЮЩЕЕ ПОКРЫТИЕ ДЛЯ НОГТЕЙ THE ONE EXPERT CARE</t>
  </si>
  <si>
    <t>СЫВОРОТКА ДЛЯ НОГТЕЙ THE ONE EXPERT CARE</t>
  </si>
  <si>
    <t>МАСЛО ДЛЯ НОГТЕЙ И КУТИКУЛЫ В КАРАНДАШЕ THE ONE EXPERT CARE</t>
  </si>
  <si>
    <t>СТОЙКИЙ ГЛЯНЦЕВЫЙ ЛАК ДЛЯ НОГТЕЙ THE ONE - РОЗОВЫЙ ЗЕФИР</t>
  </si>
  <si>
    <t xml:space="preserve">                                                                                     - МЕРЦАЮЩИЙ РОЗОВЫЙ</t>
  </si>
  <si>
    <t xml:space="preserve">                                                                                     - СНЕЖНЫЙ БЕЛЫЙ</t>
  </si>
  <si>
    <t xml:space="preserve">СУПЕРСТОЙКАЯ МАТОВАЯ ПОМАДА THE ONE COLOUR UNLIMITED ULTRA FIX - ТАУП </t>
  </si>
  <si>
    <t xml:space="preserve">                                                                                                                                 - НЮД </t>
  </si>
  <si>
    <t xml:space="preserve">                                                                                                                                 - ТЕРРАКОТА </t>
  </si>
  <si>
    <t xml:space="preserve">                                                                                                                                 - РОЗА </t>
  </si>
  <si>
    <t xml:space="preserve">                                                                                                                                 - МАЛИНА </t>
  </si>
  <si>
    <t xml:space="preserve">                                                                                                                                 - ОРХИДЕЯ</t>
  </si>
  <si>
    <t xml:space="preserve">                                                                                                                                 - ФУКСИЯ </t>
  </si>
  <si>
    <t xml:space="preserve">                                                                                                                                 - КОРАЛЛ </t>
  </si>
  <si>
    <t xml:space="preserve">                                                                                                                                 - КРАСНЫЙ </t>
  </si>
  <si>
    <t xml:space="preserve">                                                                                                                                 - БОРДО </t>
  </si>
  <si>
    <t xml:space="preserve">                                                                                                                                 - МАРСАЛА</t>
  </si>
  <si>
    <t xml:space="preserve">                                                                                                                                 - МОККО</t>
  </si>
  <si>
    <t xml:space="preserve">                                                                                                                                 - ВИНОГРАД</t>
  </si>
  <si>
    <t xml:space="preserve">                                                                                                                                 - СЛИВА </t>
  </si>
  <si>
    <t>АНТИВОЗРАСТНАЯ ОСНОВА ПОД МАКИЯЖ С ПРЕБИОТИЧЕСКОЙ СЫВОРОТКОЙ GIORDANI GOLD</t>
  </si>
  <si>
    <t>ГУБНАЯ ПОМАДА С ЭФФЕКТОМ СИЯНИЯ THE ONE POWER SHINE HD - ОСЛЕПИТЕЛЬНЫЙ БЕЖ</t>
  </si>
  <si>
    <t xml:space="preserve">                                                                                                                  - ПЕРСИКОВЫЙ СОРБЕТ</t>
  </si>
  <si>
    <t xml:space="preserve">                                                                                                                  - РОЗОВОЕ ШАМПАНСКОЕ</t>
  </si>
  <si>
    <t xml:space="preserve">                                                                                                                  - СВЕЖИЙ КЛЕВЕР</t>
  </si>
  <si>
    <t xml:space="preserve">                                                                                                                  - МАНЯЩАЯ МАЛИНА</t>
  </si>
  <si>
    <t xml:space="preserve">                                                                                                                  - ВИШНЁВЫЙ ЛЕДЕНЕЦ</t>
  </si>
  <si>
    <t xml:space="preserve">                                                                                                                  - ЯГОДНЫЙ КОКТЕЙЛЬ</t>
  </si>
  <si>
    <t xml:space="preserve">                                                                                                                  - ВИННЫЕ ИСКРЫ</t>
  </si>
  <si>
    <t>ШАРИКОВЫЙ ДЕЗОДОРАНТ-АНТИПЕРСПИРАНТ GIORDANI GOLD MAN</t>
  </si>
  <si>
    <t xml:space="preserve">КОМПАКТНАЯ ПУДРА THE ONE ILLUSKIN - ФАРФОРОВЫЙ  </t>
  </si>
  <si>
    <t xml:space="preserve">                                                                    - СВЕТЛЫЙ </t>
  </si>
  <si>
    <t xml:space="preserve">                                                                    - СРЕДНИЙ </t>
  </si>
  <si>
    <t>ОБЪЕМНАЯ ВОДОСТОЙКАЯ ТУШЬ ДЛЯ РЕСНИЦ ONCOLOUR - ЧЕРНЫЙ</t>
  </si>
  <si>
    <t>ЩИПЧИКИ ДЛЯ КУТИКУЛЫ</t>
  </si>
  <si>
    <t>ПИЛКА ДЛЯ НОГТЕЙ</t>
  </si>
  <si>
    <t>4-СТОРОННЯЯ ПИЛКА ДЛЯ НОГТЕЙ</t>
  </si>
  <si>
    <t>УДЛИНЯЮЩАЯ ТУШЬ GIORDANI GOLD ANGEL CARESS - ЧЁРНЫЙ</t>
  </si>
  <si>
    <t>КАРАНДАШ ДЛЯ ГЛАЗ THE ONE - ЧЁРНЫЙ</t>
  </si>
  <si>
    <t xml:space="preserve">                                                      - КОРИЧНЕВЫЙ</t>
  </si>
  <si>
    <t>МЯГКАЯ ДЕТСКАЯ ЗУБНАЯ ЩЁТКА OPTIFRESH (РОЗОВАЯ)</t>
  </si>
  <si>
    <t>ПИНЦЕТ ДЛЯ УДАЛЕНИЯ ЧЁРНЫХ ТОЧЕК</t>
  </si>
  <si>
    <t>КИСТЬ ДЛЯ ПУДРЫ THE ONE</t>
  </si>
  <si>
    <t>КИСТЬ ДЛЯ ЖИДКИХ И КРЕМОВЫХ ТЕКСТУР THE ONE</t>
  </si>
  <si>
    <t>КИСТЬ ДЛЯ РУМЯН THE ONE</t>
  </si>
  <si>
    <t>КИСТЬ ДЛЯ КОНСИЛЕРА THE ONE</t>
  </si>
  <si>
    <t>КИСТЬ ДЛЯ КОНТУРИНГА THE ONE</t>
  </si>
  <si>
    <t>КИСТЬ ДЛЯ РАСТУШЕВКИ ТЕНЕЙ THE ONE</t>
  </si>
  <si>
    <t>ДВУСТОРОННЯЯ КИСТЬ ДЛЯ БРОВЕЙ THE ONE</t>
  </si>
  <si>
    <t xml:space="preserve">ТУАЛЕТНАЯ ВОДА ASCENDANT </t>
  </si>
  <si>
    <t xml:space="preserve">ТУАЛЕТНАЯ ВОДА MEN'S COLLECTION DARK WOOD </t>
  </si>
  <si>
    <t xml:space="preserve">ШАРИКОВЫЙ ДЕЗОДОРАНТ-АНТИПЕРСПИРАНТ GLACIER </t>
  </si>
  <si>
    <t>УВЛАЖНЯЮЩИЙ КРЕМ ДЛЯ КОЖИ ВОКРУГ ГЛАЗ OPTIMALS HYDRA RADIANCE</t>
  </si>
  <si>
    <t>УВЛАЖНЯЮЩАЯ СЫВОРОТКА OPTIMALS HYDRA RADIANCE</t>
  </si>
  <si>
    <t>ЗАКРЕПЛЯЮЩЕЕ БЫСТРОСОХНУЩЕЕ ПОКРЫТИЕ ДЛЯ ЛАКА THE ONE PRO WEAR</t>
  </si>
  <si>
    <t>УВЛАЖНЯЮЩИЙ ДНЕВНОЙ КРЕМ ДЛЯ КОМБИНИРОВАННОЙ КОЖИ OPTIMALS HYDRA RADIANCE</t>
  </si>
  <si>
    <t>УВЛАЖНЯЮЩИЙ НОЧНОЙ КРЕМ ДЛЯ КОМБИНИРОВАННОЙ КОЖИ OPTIMALS HYDRA RADIANCE</t>
  </si>
  <si>
    <t>УВЛАЖНЯЮЩАЯ МИЦЕЛЛЯРНАЯ ВОДА OPTIMALS</t>
  </si>
  <si>
    <t>ОТШЕЛУШИВАЮЩИЙ СКРАБ ДЛЯ ЛИЦА OPTIMALS</t>
  </si>
  <si>
    <t>ОЧИЩАЮЩАЯ ГЛИНЯНАЯ МАСКА ДЛЯ ВСЕХ ТИПОВ КОЖИ OPTIMALS</t>
  </si>
  <si>
    <t xml:space="preserve">МУЛЬТИФУНКЦИОНАЛЬНЫЙ ЗАЩИТНЫЙ КРЕМ ДЛЯ ЛИЦА OPTIMALS C SPF 50 </t>
  </si>
  <si>
    <t>ИНТЕНСИВНЫЙ РАЗГЛАЖИВАЮЩИЙ КРЕМ-БАЛЬЗАМ ДЛЯ ЛИЦА 3-В-1 «КОРОЛЕВСКИЙ БАРХАТ»</t>
  </si>
  <si>
    <t xml:space="preserve">СТОЙКИЙ МАРКЕР-ПОДВОДКА ДЛЯ ГЛАЗ THE ONE - ЧЕРНЫЙ </t>
  </si>
  <si>
    <t>ТУШЬ ДЛЯ РЕСНИЦ С ДВОЙНЫМ ЭФФЕКТОМ THE ONE DOUBLE EFFECT - ЧËРНЫЙ</t>
  </si>
  <si>
    <t>СУПЕРТУШЬ ДЛЯ РЕСНИЦ GIORDANI GOLD - ЧЁРНЫЙ</t>
  </si>
  <si>
    <t>ПАРФЮМИРОВАННЫЙ КРЕМ ДЛЯ ТЕЛА POSSESS</t>
  </si>
  <si>
    <t xml:space="preserve">ПАРФЮМИРОВАННЫЙ КРЕМ ДЛЯ ТЕЛА ECLAT FEMME WEEKEND </t>
  </si>
  <si>
    <t>ПИТАТЕЛЬНЫЙ КРЕМ ДЛЯ ТЕЛА С ОРГАНИЧЕСКИМ МАСЛОМ КАКАО И КОКОСА LOVE NATURE</t>
  </si>
  <si>
    <t>ПИТАТЕЛЬНОЕ ЖИДКОЕ МЫЛО С ОРГАНИЧЕСКИМ МАСЛОМ КАКАО И КОКОСА LOVE NATURE</t>
  </si>
  <si>
    <t>ТУШЬ 360° С ЭФФЕКТОМ НАКЛАДНЫХ РЕСНИЦ THE ONE</t>
  </si>
  <si>
    <t>ТУШЬ С ЭКСТРЕМАЛЬНЫМ ОБЪЁМОМ THE ONE TREMENDOUS - ЧЁРНЫЙ</t>
  </si>
  <si>
    <t>ТУШЬ С ЭФФЕКТОМ КОШАЧЬИХ ГЛАЗ THE ONE TREMENDOUS - ЧЁРНЫЙ</t>
  </si>
  <si>
    <t>УВЛАЖНЯЮЩИЙ СС-ГЕЛЬ, СОВЕРШЕНСТВУЮЩИЙ ТОН КОЖИ GIORDANI GOLD - ЕСТЕСТВЕННЫЙ</t>
  </si>
  <si>
    <t xml:space="preserve">                                                                                                                                      - СВЕТЛЫЙ</t>
  </si>
  <si>
    <t xml:space="preserve">                                                                                                                                      - НАТУРАЛЬНЫЙ</t>
  </si>
  <si>
    <t xml:space="preserve">                                                                                                                                      - ЗАГАР</t>
  </si>
  <si>
    <t>ТУШЬ ДЛЯ РЕСНИЦ 5 В 1 THE ONE WONDER LASH - УЛЬТРАЧЁРНЫЙ</t>
  </si>
  <si>
    <t>СКРАБ-ШАМПУНЬ ДЛЯ ВОЛОС С УГЛЁМ И ОРГАНИЧЕСКОЙ МЯТОЙ LOVE NATURE</t>
  </si>
  <si>
    <t>СТОЙКИЕ ТЕНИ-ПОДВОДКА ДЛЯ ВЕК THE ONE COLOUR UNLIMITED - ЛАЗУРНЫЙ СИНИЙ</t>
  </si>
  <si>
    <t xml:space="preserve">                                                                                                                 - ЗЕЛЁНЫЙ ИЗУМРУД</t>
  </si>
  <si>
    <t xml:space="preserve">                                                                                                                 - ИГРИСТЫЙ НЮД</t>
  </si>
  <si>
    <t xml:space="preserve">                                                                                                                 - ФИАЛКОВЫЙ СОРБЕТ</t>
  </si>
  <si>
    <t xml:space="preserve">                                                                                                                 - РОЗОВЫЙ ЗАКАТ</t>
  </si>
  <si>
    <t>УЛЬТРАПИГМЕНТИРОВАННАЯ ТОНАЛЬНАЯ ОСНОВА В СТИКЕ THE ONE - ВАНИЛЬНЫЙ НЮД</t>
  </si>
  <si>
    <t xml:space="preserve">                                                                                                                      - ФАРФОРОВЫЙ</t>
  </si>
  <si>
    <t xml:space="preserve">                                                                                                                      - СВЕТЛЫЙ РОЗОВЫЙ</t>
  </si>
  <si>
    <t xml:space="preserve">                                                                                                                      - СВЕТЛЫЙ БЕЖ</t>
  </si>
  <si>
    <t xml:space="preserve">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</si>
  <si>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- ТЁПЛЫЙ БЕЖ</t>
  </si>
  <si>
    <t>МУЛЬТИФУНКЦИОНАЛЬНЫЙ УВЛАЖНЯЮЩИЙ КРЕМ-ТОН ДЛЯ ЛИЦА THE ONE A-Z SPF 30 - СВЕТЛЫЙ</t>
  </si>
  <si>
    <t xml:space="preserve">                              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</si>
  <si>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                              -  ЕСТЕСТВЕННЫЙ</t>
  </si>
  <si>
    <t>МУЛЬТИФУНКЦИОНАЛЬНЫЙ МАТИРУЮЩИЙ КРЕМ-ТОН ДЛЯ ЛИЦА THE ONE A-Z SPF 30 - СВЕТЛЫЙ</t>
  </si>
  <si>
    <t xml:space="preserve">                           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</si>
  <si>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                           - ЕСТЕСТВЕННЫЙ</t>
  </si>
  <si>
    <t>ТИНТ ДЛЯ ГУБ И ЩЁК THE ONE IN ACTION - МИЛЫЙ РОЗОВЫЙ</t>
  </si>
  <si>
    <t xml:space="preserve">                                                                        - ЭНЕРГИЧНЫЙ КРАСНЫЙ</t>
  </si>
  <si>
    <t xml:space="preserve">                                                                        - СВЕЖИЙ ЯГОДНЫЙ</t>
  </si>
  <si>
    <t>ВЛАГОСТОЙКАЯ ТУШЬ ДЛЯ РЕСНИЦ THE ONE IN ACTION</t>
  </si>
  <si>
    <t>СУПЕРСТОЙКАЯ ТОНАЛЬНАЯ ОСНОВА THE ONE IN ACTION SPF 40 - СВЕТЛЫЙ</t>
  </si>
  <si>
    <t xml:space="preserve">                                                                                                               - СРЕДНИЙ</t>
  </si>
  <si>
    <t xml:space="preserve">                                                                                                               - ТЁМНЫЙ</t>
  </si>
  <si>
    <t>КОНДИЦИОНЕР ДЛЯ ЖИРНЫХ ВОЛОС С ОРГАНИЧЕСКИМИ ЛИМОНОМ И МЯТОЙ LOVE NATURE</t>
  </si>
  <si>
    <t>УКРЕПЛЯЮЩАЯ МАСКА-СМУЗИ ДЛЯ ВОЛОС С ОРГАНИЧЕСКИМ БАНАНОМ LOVE NATURE</t>
  </si>
  <si>
    <t>ШАРИКОВЫЙ ДЕЗОДОРАНТ GIORDANI GOLD WOMAN</t>
  </si>
  <si>
    <t>КРЕМОВЫЙ ДЕЗОДОРАНТ-АНТИПЕРСПИРАНТ CВЫРАВНИВАЮЩИМ ТОН КОЖИ ЭФФЕКТОМ ACTIVELLE</t>
  </si>
  <si>
    <t>МЫЛО NORTH FOR MEN ULTIMATE BALANCE</t>
  </si>
  <si>
    <t>МАРКЕР ДЛЯ БРОВЕЙ THE ONE - СВЕТЛО-КОРИЧНЕВЫЙ</t>
  </si>
  <si>
    <t xml:space="preserve">                                                   - КОРИЧНЕВЫЙ</t>
  </si>
  <si>
    <t xml:space="preserve">                                                   - ТЁМНО-КОРИЧНЕВЫЙ</t>
  </si>
  <si>
    <t>МОЧАЛКА ДЛЯ ДУША С УГЛЁМ</t>
  </si>
  <si>
    <t>ОЧИЩАЮЩЕЕ МЫЛО ДЛЯ ЛИЦА И ТЕЛА PURE SKIN</t>
  </si>
  <si>
    <t>ЗАЩИТНЫЙ ДНЕВНОЙ КРЕМ OPTIMALS URBAN GUARD 3D SPF 25</t>
  </si>
  <si>
    <t>ЗАЩИТНЫЙ НОЧНОЙ КРЕМ OPTIMALS URBAN GUARD 3D</t>
  </si>
  <si>
    <t>ПОДАРОЧНЫЙ НАБОР GIORDANI GOLD GOOD AS GOLD</t>
  </si>
  <si>
    <t>КРЕМ ДЛЯ НОГ С РОЗОВЫМ ГРЕЙПФРУТОМ И КИВИ FEET UP</t>
  </si>
  <si>
    <t>СПРЕЙ-ДЕЗОДОРАНТ ДЛЯ НОГ С РОЗОВЫМ ГРЕЙПФРУТОМ И КИВИ FEET UP</t>
  </si>
  <si>
    <t>МЫЛО SPRINGTIME STROLL</t>
  </si>
  <si>
    <t>ГЕЛЬ ДЛЯ ДУША С СОСНОЙ И ЭВКАЛИПТОМ SCENTS &amp; MOMENT</t>
  </si>
  <si>
    <t>ГЕЛЬ ДЛЯ ДУША С КЛУБНИКОЙ И ЧЁРНОЙ СМОРОДИНОЙ SCENTS &amp; MOMENTS</t>
  </si>
  <si>
    <t>ШАМПУНЬ ДЛЯ ВОЛОС И ТЕЛА ДЛЯ ЧУВСТВИТЕЛЬНОЙ КОЖИ NORTH FOR MEN SENSITIVE PROTECT</t>
  </si>
  <si>
    <t>ШАРИКОВЫЙ ДЕЗОДОРАНТ-АНТИПЕРСПИРАНТ ДЛЯ ЧУВСТВИТЕЛЬНОЙ КОЖИ NORTH FOR MEN SENSITIVE PROTECT</t>
  </si>
  <si>
    <t>ГЕЛЬ 2-В-1 ДЛЯ БРИТЬЯ И УМЫВАНИЯ ДЛЯ ЧУВСТВИТЕЛЬНОЙ КОЖИ NORTH FOR MEN SENSITIVE PROTECT</t>
  </si>
  <si>
    <t>ОМОЛАЖИВАЮЩИЙ БУСТЕР ДЛЯ ЛИЦА OPTIMALS</t>
  </si>
  <si>
    <t>СПЕЦИАЛЬНОЕ СМЯГЧАЮЩЕЕ СРЕДСТВО С МАСЛОМ ЯБЛОЧНЫХ СЕМЯН</t>
  </si>
  <si>
    <t>ВЫРАВНИВАЮЩАЯ БАЗА ПОД МАКИЯЖ THE ONE MAKE-UP PRO</t>
  </si>
  <si>
    <t>МАСЛО ДЛЯ ГУБ THE ONE - НЮД</t>
  </si>
  <si>
    <t xml:space="preserve">                                            - КРАСНЫЙ</t>
  </si>
  <si>
    <t xml:space="preserve">                                            - ЛИЛОВЫЙ</t>
  </si>
  <si>
    <t>СУПЕРСТОЙКАЯ МАТОВАЯ ЖИДКАЯ ПОМАДА THE ONE COLOUR UNLIMITED ULTRA FIX - ПРЯНЫЙ НЮД</t>
  </si>
  <si>
    <t xml:space="preserve">                                                                                                                                                 - МЕДОВАЯ КАРАМЕЛЬ</t>
  </si>
  <si>
    <t xml:space="preserve">                                                                                                                                                 - РУМЯНЫЙ БЕЖ</t>
  </si>
  <si>
    <t xml:space="preserve">                                 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</si>
  <si>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                                 - ПЕПЕЛЬНЫЙ МАУВ</t>
  </si>
  <si>
    <t xml:space="preserve">                                                                                                                                                 - ЦВЕТУЩИЙ ПИОН</t>
  </si>
  <si>
    <t xml:space="preserve">                                                                                                                                                 - НЕЖНЫЙ КОРАЛЛ</t>
  </si>
  <si>
    <t xml:space="preserve">                                                                                                                                                 - ТЕРРАКОТОВЫЙ КРАСНЫЙ</t>
  </si>
  <si>
    <t xml:space="preserve">                                                                                                                                                 - ОГНЕННЫЙ АЛЫЙ</t>
  </si>
  <si>
    <t xml:space="preserve">                                                                                                                                                 - РАННЯЯ ВИШНЯ</t>
  </si>
  <si>
    <t>РУМЯНА-БРОНЗЕР В ШАРИКАХ GIORDANI GOLD - СИЯНИЕ ЗОЛОТА</t>
  </si>
  <si>
    <t>ГЛЯНЦЕВЫЙ БЛЕСК ДЛЯ ГУБ THE ONE - НЮД</t>
  </si>
  <si>
    <t xml:space="preserve">                                                                - ПИОН</t>
  </si>
  <si>
    <t xml:space="preserve">                                                                - РОЗА</t>
  </si>
  <si>
    <t xml:space="preserve">                                                                - ФУКСИЯ</t>
  </si>
  <si>
    <t xml:space="preserve">                                                                - ВИШНЯ</t>
  </si>
  <si>
    <t>ДЕТСКАЯ ЗУБНАЯ ПАСТА С КЛУБНИЧНЫМ ВКУСОМ OPTIFRESH</t>
  </si>
  <si>
    <t>ШАРИКОВЫЙ ДЕЗОДОРАНТ-АНТИПЕРСПИРАНТ ECLAT FEMME WEEKEND</t>
  </si>
  <si>
    <t>МУЖСКОЙ ШАРИКОВЫЙ ДЕЗОДОРАНТ-АНТИПЕРСПИРАНТ GREATER</t>
  </si>
  <si>
    <t>МАССАЖЕР ДЛЯ ГЛАЗ</t>
  </si>
  <si>
    <t>ЗАЩИТНЫЙ КРЕМ ДЛЯ РУК И НОГТЕЙ С ОРГАНИЧЕСКИМ МАСЛОМ МАКАДАМИИ LOVE NATURE. БОЛЬШОЙ ОБЪЁМ</t>
  </si>
  <si>
    <t>ПИТАТЕЛЬНЫЙ КРЕМ ДЛЯ РУК С ОРГАНИЧЕСКИМ МАСЛОМ КОКОСА LOVE NATURE. БОЛЬШОЙ ОБЪЁМ</t>
  </si>
  <si>
    <t>ЛАК ДЛЯ НОГТЕЙ THE ONE - ПУДРОВЫЙ СЕРЫЙ</t>
  </si>
  <si>
    <t xml:space="preserve">                                              - СИНИЙ ДЕНИМ</t>
  </si>
  <si>
    <t xml:space="preserve">                                              - СЛИВОЧНЫЙ КРЕМ</t>
  </si>
  <si>
    <t>ЖИДКИЕ РУМЯНА-ХАЙЛАЙТЕР THE ONE - НЕЖНЫЙ РОЗОВЫЙ</t>
  </si>
  <si>
    <t xml:space="preserve">                                                                   - ПАСТЕЛЬНЫЙ КОРАЛЛОВЫЙ</t>
  </si>
  <si>
    <t>МАТОВАЯ ПОМАДА С ЭФФЕКТОМ СИЯНИЯ GIORDANI GOLD SPF 25 - БЛАГОРОДНЫЙ НЮД</t>
  </si>
  <si>
    <t xml:space="preserve">                                                                                                                - НЕЖНАЯ КАРАМЕЛЬ</t>
  </si>
  <si>
    <t xml:space="preserve">                                                                                                                - РОЗОВЫЙ ЯНТАРЬ</t>
  </si>
  <si>
    <t xml:space="preserve">                                                                                                                - ПЫЛАЮЩИЙ РУМЯНЕЦ</t>
  </si>
  <si>
    <t xml:space="preserve">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</si>
  <si>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- КЛАССИЧЕСКИЙ МАУВ</t>
  </si>
  <si>
    <t xml:space="preserve">                                                                                                                - ТЁПЛЫЙ БАГРЯНЕЦ</t>
  </si>
  <si>
    <t xml:space="preserve">                                                                                                                - РОМАНТИЧЕСКИЙ КРАСНЫЙ</t>
  </si>
  <si>
    <t xml:space="preserve">                                                                                                                - ОГНЕННЫЙ БОРДО</t>
  </si>
  <si>
    <t xml:space="preserve">                                                                                                                - НЕЖНЫЙ КЛЮКВЕННЫЙ</t>
  </si>
  <si>
    <t>КОВРИК ДЛЯ МЫТЬЯ КИСТЕЙ</t>
  </si>
  <si>
    <t>ЖИДКОЕ МЫЛО ДЛЯ РУК С ЛИМОНОМ И ВЕРБЕНОЙ ESSENSE &amp; CO. (РЕФИЛ)</t>
  </si>
  <si>
    <t>ГУБНАЯ ПОМАДА 5 В 1 С ЭФФЕКТОМ ОБЪЁМА THE ONE COLOUR STYLIST - НЕПОКОРНЫЙ НЮД</t>
  </si>
  <si>
    <t xml:space="preserve">                                                                                                                           - МАНЯЩИЙ МАУВ</t>
  </si>
  <si>
    <t xml:space="preserve">                                                                                                                           - НЕЗАБЫВАЕМАЯ ФУКСИЯ</t>
  </si>
  <si>
    <t>ДЕТСКИЙ ШАМПУНЬ ДЛЯ ВОЛОС И ТЕЛА С ОРГАНИЧЕСКОЙ ГОЛУБИКОЙ LOVE NATURE</t>
  </si>
  <si>
    <t>ДЕТСКОЕ МЫЛО  LOVE NATURE</t>
  </si>
  <si>
    <t>КРЕМ ДЛЯ ДУША С ОРГАНИЧЕСКИМ МАСЛОМ КАКАО И МЯТОЙ LOVE NATURE</t>
  </si>
  <si>
    <t>МЫЛО С ОРГАНИЧЕСКИМ МАСЛОМ КАКАО И МЯТОЙ LOVE NATURE</t>
  </si>
  <si>
    <t>УНИВЕРСАЛЬНЫЙ КРЕМ ДЛЯ ЛИЦА И ТЕЛА С ОРГАНИЧЕСКИМ МАСЛОМ КАКАО И МЯТОЙ LOVE NATURE</t>
  </si>
  <si>
    <t>АРОМАТНАЯ ПЕНА ДЛЯ ВАНН С ЦИТРУСОМ И РОЖДЕСТВЕНСКИМИ СПЕЦИЯМИ HAPPY HOLIDAYS</t>
  </si>
  <si>
    <t>АРОМАТНОЕ МЫЛО С ЦИТРУСОМ И РОЖДЕСТВЕНСКИМИ СПЕЦИЯМИ HAPPY HOLIDAYS</t>
  </si>
  <si>
    <t>АРОМАТНЫЙ КРЕМ ДЛЯ РУК С ЦИТРУСОМ И РОЖДЕСТВЕНСКИМИ СПЕЦИЯМИ HAPPY HOLIDAYS</t>
  </si>
  <si>
    <t>ЛАК ДЛЯ НОГТЕЙ ONCOLOUR - МОРОЗНАЯ ЛАВАНДА</t>
  </si>
  <si>
    <t xml:space="preserve">                                                   - ПОЛЯРНАЯ РОЗА</t>
  </si>
  <si>
    <t xml:space="preserve">                                                   - ГОЛУБОЙ ЛЁД</t>
  </si>
  <si>
    <t xml:space="preserve">                                                   - СИНИЙ ИНЕЙ</t>
  </si>
  <si>
    <t>АНТИЦЕЛЛЮЛИТНЫЙ МАССАЖЁР THE BODY EDITION</t>
  </si>
  <si>
    <t>ТОНИК ДЛЯ ЛИЦА С ОРГАНИЧЕСКИМ АЛОЭ ВЕРА И КОКОСОВОЙ ВОДОЙ</t>
  </si>
  <si>
    <t>МИЦЕЛЛЯРНАЯ ВОДА С ОРГАНИЧЕСКИМ ОВСОМ И ЯГОДАМИ ГОДЖИ LOVE NATURE</t>
  </si>
  <si>
    <t>ТРИММЕР ДЛЯ ЛИЦА И ТЕЛА</t>
  </si>
  <si>
    <t>МИНИ-КРЕМ ДЛЯ РУК</t>
  </si>
  <si>
    <t>ДЕТСКИЙ ШАМПУНЬ ДЛЯ ВОЛОС И ТЕЛА  LOVE NATURE</t>
  </si>
  <si>
    <t>МНОГОРАЗОВЫЙ БРИТВЕННЫЙ СТАНОК</t>
  </si>
  <si>
    <t>СМЕННЫЕ КАССЕТЫ ДЛЯ БРИТВЕННОГО СТАНКА</t>
  </si>
  <si>
    <t>ДВУСТОРОННИЙ КАРАНДАШ ДЛЯ ГЛАЗ ONCOLOUR - ЛЕДЯНАЯ СИНЕВА</t>
  </si>
  <si>
    <t xml:space="preserve">                                                                                        - ЛИЛОВАЯ АРКТИКА</t>
  </si>
  <si>
    <t>МАСКА ДЛЯ ВОЛОС С ОРГАНИЧЕСКИМ МАНГО И МАРАКУЙЕЙ LOVE NATURE</t>
  </si>
  <si>
    <t>ГЕЛЬ ДЛЯ ДУША С ОРГАНИЧЕСКИМ МАНГО И МАРАКУЙЕЙ LOVE NATURE</t>
  </si>
  <si>
    <t>КОМПЬЮТЕРНЫЕ ОЧКИ</t>
  </si>
  <si>
    <t>ЗАКРЕПЛЯЮЩЕЕ МАТИРУЮЩЕЕ ПОКРЫТИЕ ДЛЯ ЛАКА THE ONE</t>
  </si>
  <si>
    <t>СПОНЖ ДЛЯ МАКИЯЖА</t>
  </si>
  <si>
    <t>НАКЛЕЙКИ ДЛЯ ДИЗАЙНА НОГТЕЙ THE ONE</t>
  </si>
  <si>
    <t>ШЕЛКОВИСТАЯ КИСТЬ ДЛЯ ТОНАЛЬНОЙ ОСНОВЫ GIORDANI GOLD</t>
  </si>
  <si>
    <t>КОСМЕТИЧКА GIORDANI GOLD</t>
  </si>
  <si>
    <t>ТКАНЕВАЯ САЛФЕТКА ДЛЯ СНЯТИЯ МАКИЯЖА</t>
  </si>
  <si>
    <t>РАСКЛАДНАЯ КОСМЕТИЧКА С ЯРКИМ ПРИНТОМ</t>
  </si>
  <si>
    <t>НАБОР ПОЛОТЕНЕЦ</t>
  </si>
  <si>
    <t>МОЧАЛКА HAPPY HOLIDAYS</t>
  </si>
  <si>
    <t>УХАЖИВАЮЩИЙ КРЕМ ДЛЯ ДУША С ОРГАНИЧЕСКИМ ОВСОМ И АБРИКОСОМ LOVE NATURE</t>
  </si>
  <si>
    <t>ПОДАРОЧНЫЙ НАБОР NORDIC WATERS</t>
  </si>
  <si>
    <t>ПОДАРОЧНЫЙ НАБОР GIORDANI GOLD MAN</t>
  </si>
  <si>
    <t>СПЕЦИАЛЬНОЕ СМЯГЧАЮЩЕЕ СРЕДСТВО</t>
  </si>
  <si>
    <t>ПОДТЯГИВАЮЩИЙ КРЕМ ДЛЯ ВЕК ROYAL VELVET</t>
  </si>
  <si>
    <t>ИНТЕНСИВНО ПОДТЯГИВАЮЩИЕ КАПСУЛЫ ДЛЯ ЛИЦА ROYAL VELVET</t>
  </si>
  <si>
    <t>ТУАЛЕТНАЯ ВОДА MEN'S COLLECTION CITRUS TONIC</t>
  </si>
  <si>
    <t>АНТИБАКТЕРИАЛЬНЫЙ КАРАНДАШ-КОРРЕКТОР "ЧАЙНОЕ ДЕРЕВО"</t>
  </si>
  <si>
    <t>ЧУВСТВЕННАЯ ТУАЛЕТНАЯ ВОДА FEEL GOOD</t>
  </si>
  <si>
    <t>ЛАК ДЛЯ НОГТЕЙ ONCOLOUR - ЖЕМЧУГ</t>
  </si>
  <si>
    <t>КРЕМ ДЛЯ РУК И НОГТЕЙ С ОРГАНИЧЕСКИМ МАСЛОМ МАКАДАМИИ LOVE NATURE</t>
  </si>
  <si>
    <t>ТУАЛЕТНАЯ ВОДА ELVIE</t>
  </si>
  <si>
    <t>ПАРФЮМИРОВАННЫЙ КРЕМ ДЛЯ ТЕЛА LOVE POTION</t>
  </si>
  <si>
    <t>ПАРФЮМЕРНАЯ ВОДА MAGNETISTA</t>
  </si>
  <si>
    <t>ЖЕНСКАЯ ПАРФЮМЕРНАЯ ВОДА LOVE POTION</t>
  </si>
  <si>
    <t>ПАРФЮМЕРНАЯ ВОДА POSSESS ABSOLUTE</t>
  </si>
  <si>
    <t>КИСТЬ ДЛЯ РАСПРЕДЕЛЕНИЯ КРЕМА</t>
  </si>
  <si>
    <t>ПАРФЮМИРОВАННЫЙ КРЕМ ДЛЯ РУК GREATER</t>
  </si>
  <si>
    <t>ВЫРАВНИВАЮЩИЙ КРЕМ ДЛЯ ЛИЦА С SPF 10 GLOW ESSENTIALS</t>
  </si>
  <si>
    <t xml:space="preserve">ГУБНАЯ ПОМАДА 5 В 1 С ЭФФЕКТОМ ОБЪЁМА THE ONE COLOUR STYLIST - КРЕМОВЫЙ НЮД </t>
  </si>
  <si>
    <t xml:space="preserve">                                                                                                                           - ПЕПЕЛЬНАЯ РОЗА </t>
  </si>
  <si>
    <t xml:space="preserve">                                                                                                                           - ЭЛЕГАНТНЫЙ РОЗОВЫЙ </t>
  </si>
  <si>
    <t xml:space="preserve">                                                                                                                           - ДИКАЯ ВИШНЯ </t>
  </si>
  <si>
    <t xml:space="preserve">                                                                                                                           - ЯГОДНЫЙ МИКС </t>
  </si>
  <si>
    <t xml:space="preserve">                                                                                                                           - ТЁПЛЫЙ КОРАЛЛ</t>
  </si>
  <si>
    <t xml:space="preserve">                                                                                                                           - ГОРЯЧИЙ ШОКОЛАД</t>
  </si>
  <si>
    <t xml:space="preserve">                                                                                                                           - КЛАССИЧЕСКИЙ КРАСНЫЙ</t>
  </si>
  <si>
    <t xml:space="preserve">                                                                                                                           - ПЫШНАЯ СЛИВА </t>
  </si>
  <si>
    <t xml:space="preserve">                                                                                                                           - НАСЫЩЕННЫЙ ВИННЫЙ</t>
  </si>
  <si>
    <t>17/2023</t>
  </si>
  <si>
    <t>13/2023</t>
  </si>
  <si>
    <t>14/2023</t>
  </si>
  <si>
    <t>15/2023</t>
  </si>
  <si>
    <t>16/2023</t>
  </si>
  <si>
    <t>18/2023</t>
  </si>
  <si>
    <t>предложение со стр. 9</t>
  </si>
  <si>
    <t>ЦЕНА 259 РУБ. ПРИ ЗАКАЗЕ ЛЮБОЙ КРЕМОВОЙ ГУБНОЙ ПОМАДЫ THE ONE SMART SYNC</t>
  </si>
  <si>
    <t>предложение со стр. 20-21</t>
  </si>
  <si>
    <t>предложение со стр. 23, 25</t>
  </si>
  <si>
    <t>ПРИ ПОКУПКЕ ЛЮБЫХ ДВУХ АРОМАТОВ ЦЕНА КАЖДОГО 1099 РУБ.</t>
  </si>
  <si>
    <t>предложение со стр. 33</t>
  </si>
  <si>
    <t>предложение со стр. 41</t>
  </si>
  <si>
    <t>ЦЕНА 1 РУБ. ПРИ ЗАКАЗЕ ТУАЛЕТНОЙ ВОДЫ MISTER GIORDANI (33654)</t>
  </si>
  <si>
    <t>предложение со стр. 43</t>
  </si>
  <si>
    <t>предложение со стр. 134</t>
  </si>
  <si>
    <t>предложение со стр. 49</t>
  </si>
  <si>
    <t>предложение со стр. 67</t>
  </si>
  <si>
    <t>ЦЕНА 1 РУБ. ПРИ ЗАКАЗЕ ЛЮБОГО ПРОДУКТА СО СТР. 67-73 (КРОМЕ 30888 И 37449)</t>
  </si>
  <si>
    <t>предложение со стр. 71</t>
  </si>
  <si>
    <t>ПРИ ПОКУПКЕ ЛЮБЫХ ДВУХ ПРОДУКТОВ ЦЕНА КАЖДОГО 949 РУБ.</t>
  </si>
  <si>
    <t>ПРИ ПОКУПКЕ ЛЮБЫХ ДВУХ ПРОДУКТОВ ЦЕНА КАЖДОГО 939 РУБ.</t>
  </si>
  <si>
    <t>ПРИ ПОКУПКЕ ЛЮБЫХ ДВУХ ПРОДУКТОВ ЦЕНА КАЖДОГО 1199 РУБ.</t>
  </si>
  <si>
    <t>предложение со стр. 96</t>
  </si>
  <si>
    <t>предложение со стр. 124</t>
  </si>
  <si>
    <t>предложение со стр. 125</t>
  </si>
  <si>
    <t>предложение со стр. 126</t>
  </si>
  <si>
    <t>предложение со стр. 132</t>
  </si>
  <si>
    <t>ПРИ ПОКУПКЕ ЛЮБЫХ ДВУХ ПРОДУКТОВ ЦЕНА КАЖДОГО 769 РУБ.</t>
  </si>
  <si>
    <t>ПРИ ПОКУПКЕ ЛЮБЫХ ДВУХ ПРОДУКТОВ ЦЕНА КАЖДОГО 679 РУБ.</t>
  </si>
  <si>
    <t>предложение со стр. 142</t>
  </si>
  <si>
    <t>ЦЕНА 329 РУБ. ПРИ ПОКУПКЕ ЛЮБОГО ПРОДУКТА LOVE NATURE СО СТР. 141-145 (КРОМЕ АКСЕССУАРОВ)</t>
  </si>
  <si>
    <t>предложение со стр. 155</t>
  </si>
  <si>
    <t>предложение со стр. 1</t>
  </si>
  <si>
    <t>+</t>
  </si>
  <si>
    <t>КАТАЛОГ № 03 2024 (19.02.2024 - 09.03.2024)</t>
  </si>
  <si>
    <t>ЦЕНА 999 РУБ. ПРИ ЗАКАЗЕ ЛЮБОГО ПРОДУКТА WELLOSOPHY (КРОМЕ АКСЕССУАРОВ)</t>
  </si>
  <si>
    <t>ЦЕНА 119 РУБ. ПРИ ПОКУПКЕ ЛЮБОГО ПРОДУКТА ИЗ ЭТОГО КАТАЛОГА ИЛИ НА САЙТЕ В ПЕРИОД ДЕЙСТВИЯ КАТАЛОГА (КРОМЕ 47410, 47409 И ПРОДУКТОВ ЗА ДОСТАВКУ)</t>
  </si>
  <si>
    <t>ЦЕНА 1199 РУБ. ПРИ ЗАКАЗЕ НА 2000 РУБ. ИЗ ЭТОГО КАТАЛОГА ИЛИ НА САЙТЕ В ПЕРИОД ДЕЙСТВИЯ КАТАЛОГА (КРОМЕ 47117 И ПРОДУКТОВ ЗА ДОСТАВКУ)</t>
  </si>
  <si>
    <t>ЦЕНА 449 РУБ. ПРИ ПОКУПКЕ ЛЮБОГО ПРОДУКТА OPTIMALS СО СТР. 130-133 (КРОМЕ 42590)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</si>
</sst>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mm\/yyyy"/>
  </numFmts>
  <fonts count="52" x14ac:knownFonts="1">
    <font>
      <sz val="10"/>
      <name val="Arial"/>
      <charset val="204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sz val="11"/>
      <name val="Tahoma"/>
      <family val="2"/>
      <charset val="204"/>
    </font>
    <font>
      <sz val="11"/>
      <name val="Tahoma"/>
      <family val="2"/>
    </font>
    <font>
      <sz val="10"/>
      <name val="Tahoma"/>
      <family val="2"/>
      <charset val="204"/>
    </font>
    <font>
      <b/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Tahoma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8"/>
      <name val="Tahoma"/>
      <family val="2"/>
    </font>
    <font>
      <b/>
      <sz val="8"/>
      <color indexed="8"/>
      <name val="Tahoma"/>
      <family val="2"/>
    </font>
    <font>
      <b/>
      <sz val="9"/>
      <name val="Tahoma"/>
      <family val="2"/>
    </font>
    <font>
      <sz val="8"/>
      <name val="Tahoma"/>
      <family val="2"/>
      <charset val="204"/>
    </font>
    <font>
      <b/>
      <sz val="8"/>
      <name val="Tahoma"/>
      <family val="2"/>
      <charset val="204"/>
    </font>
    <font>
      <sz val="8"/>
      <name val="Arial"/>
      <family val="2"/>
    </font>
    <font>
      <b/>
      <sz val="11"/>
      <color rgb="FFFF0000"/>
      <name val="Tahoma"/>
      <family val="2"/>
      <charset val="204"/>
    </font>
    <font>
      <b/>
      <sz val="11"/>
      <color rgb="FFFF0000"/>
      <name val="Arial"/>
      <family val="2"/>
      <charset val="204"/>
    </font>
    <font>
      <sz val="8"/>
      <name val="Arial"/>
      <family val="2"/>
      <charset val="204"/>
    </font>
    <font>
      <sz val="8"/>
      <name val="Tahoma"/>
      <family val="2"/>
    </font>
    <font>
      <b/>
      <sz val="8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sz val="8"/>
      <color theme="1" tint="4.9989318521683403E-2"/>
      <name val="Tahoma"/>
      <family val="2"/>
      <charset val="204"/>
    </font>
    <font>
      <b/>
      <sz val="8"/>
      <color theme="1" tint="4.9989318521683403E-2"/>
      <name val="Tahoma"/>
      <family val="2"/>
      <charset val="204"/>
    </font>
    <font>
      <sz val="10"/>
      <color theme="1" tint="4.9989318521683403E-2"/>
      <name val="Arial"/>
      <family val="2"/>
      <charset val="204"/>
    </font>
    <font>
      <b/>
      <sz val="9"/>
      <name val="Tahoma"/>
      <family val="2"/>
      <charset val="204"/>
    </font>
    <font>
      <b/>
      <sz val="12"/>
      <color theme="1"/>
      <name val="Calibri"/>
      <family val="2"/>
      <charset val="204"/>
    </font>
    <font>
      <b/>
      <sz val="12"/>
      <color theme="1"/>
      <name val="Tahoma"/>
      <family val="2"/>
      <charset val="204"/>
    </font>
    <font>
      <b/>
      <sz val="12"/>
      <name val="Calibri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sz val="12"/>
      <name val="Tahoma"/>
      <family val="2"/>
      <charset val="204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204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3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1" fillId="7" borderId="1" applyNumberFormat="0" applyAlignment="0" applyProtection="0"/>
    <xf numFmtId="0" fontId="12" fillId="20" borderId="8" applyNumberFormat="0" applyAlignment="0" applyProtection="0"/>
    <xf numFmtId="0" fontId="13" fillId="20" borderId="1" applyNumberFormat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21" borderId="2" applyNumberFormat="0" applyAlignment="0" applyProtection="0"/>
    <xf numFmtId="0" fontId="19" fillId="0" borderId="0" applyNumberFormat="0" applyFill="0" applyBorder="0" applyAlignment="0" applyProtection="0"/>
    <xf numFmtId="0" fontId="20" fillId="22" borderId="0" applyNumberFormat="0" applyBorder="0" applyAlignment="0" applyProtection="0"/>
    <xf numFmtId="0" fontId="21" fillId="3" borderId="0" applyNumberFormat="0" applyBorder="0" applyAlignment="0" applyProtection="0"/>
    <xf numFmtId="0" fontId="22" fillId="0" borderId="0" applyNumberFormat="0" applyFill="0" applyBorder="0" applyAlignment="0" applyProtection="0"/>
    <xf numFmtId="0" fontId="10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23" fillId="0" borderId="6" applyNumberFormat="0" applyFill="0" applyAlignment="0" applyProtection="0"/>
    <xf numFmtId="0" fontId="24" fillId="0" borderId="0" applyNumberFormat="0" applyFill="0" applyBorder="0" applyAlignment="0" applyProtection="0"/>
    <xf numFmtId="0" fontId="25" fillId="4" borderId="0" applyNumberFormat="0" applyBorder="0" applyAlignment="0" applyProtection="0"/>
    <xf numFmtId="0" fontId="31" fillId="26" borderId="0"/>
  </cellStyleXfs>
  <cellXfs count="199">
    <xf numFmtId="0" fontId="0" fillId="0" borderId="0" xfId="0"/>
    <xf numFmtId="0" fontId="2" fillId="0" borderId="0" xfId="21" applyFont="1" applyAlignment="1">
      <alignment vertical="center"/>
    </xf>
    <xf numFmtId="9" fontId="2" fillId="0" borderId="0" xfId="21" applyNumberFormat="1" applyFont="1" applyAlignment="1">
      <alignment horizontal="center" vertical="center"/>
    </xf>
    <xf numFmtId="0" fontId="4" fillId="0" borderId="0" xfId="0" applyFont="1"/>
    <xf numFmtId="0" fontId="3" fillId="0" borderId="0" xfId="2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21" applyFont="1" applyAlignment="1">
      <alignment horizontal="center" vertical="center"/>
    </xf>
    <xf numFmtId="1" fontId="2" fillId="0" borderId="10" xfId="21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1" fontId="2" fillId="0" borderId="0" xfId="21" applyNumberFormat="1" applyFont="1" applyAlignment="1">
      <alignment horizontal="center" vertical="center"/>
    </xf>
    <xf numFmtId="0" fontId="5" fillId="0" borderId="0" xfId="21" applyFont="1" applyAlignment="1">
      <alignment vertical="center"/>
    </xf>
    <xf numFmtId="0" fontId="3" fillId="24" borderId="0" xfId="0" applyFont="1" applyFill="1"/>
    <xf numFmtId="0" fontId="0" fillId="0" borderId="10" xfId="0" applyBorder="1"/>
    <xf numFmtId="1" fontId="2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 vertical="center"/>
    </xf>
    <xf numFmtId="9" fontId="2" fillId="0" borderId="11" xfId="21" applyNumberFormat="1" applyFont="1" applyBorder="1" applyAlignment="1">
      <alignment horizontal="center" vertical="center"/>
    </xf>
    <xf numFmtId="0" fontId="4" fillId="0" borderId="11" xfId="21" applyFont="1" applyBorder="1" applyAlignment="1">
      <alignment horizontal="center" vertical="center"/>
    </xf>
    <xf numFmtId="1" fontId="26" fillId="0" borderId="11" xfId="19" applyNumberFormat="1" applyFont="1" applyFill="1" applyBorder="1" applyAlignment="1">
      <alignment horizontal="center" vertical="center" wrapText="1"/>
    </xf>
    <xf numFmtId="1" fontId="27" fillId="25" borderId="11" xfId="0" applyNumberFormat="1" applyFont="1" applyFill="1" applyBorder="1" applyAlignment="1">
      <alignment horizontal="center" vertical="center" wrapText="1"/>
    </xf>
    <xf numFmtId="43" fontId="28" fillId="24" borderId="10" xfId="19" applyFont="1" applyFill="1" applyBorder="1" applyAlignment="1">
      <alignment horizontal="center" vertical="center" wrapText="1"/>
    </xf>
    <xf numFmtId="43" fontId="28" fillId="0" borderId="13" xfId="19" applyFont="1" applyFill="1" applyBorder="1" applyAlignment="1">
      <alignment horizontal="center" vertical="center" wrapText="1"/>
    </xf>
    <xf numFmtId="1" fontId="3" fillId="0" borderId="0" xfId="0" applyNumberFormat="1" applyFont="1"/>
    <xf numFmtId="0" fontId="2" fillId="0" borderId="14" xfId="21" applyFont="1" applyBorder="1" applyAlignment="1">
      <alignment horizontal="center" vertical="center"/>
    </xf>
    <xf numFmtId="9" fontId="2" fillId="0" borderId="15" xfId="21" applyNumberFormat="1" applyFont="1" applyBorder="1" applyAlignment="1">
      <alignment horizontal="center" vertical="center"/>
    </xf>
    <xf numFmtId="1" fontId="2" fillId="0" borderId="15" xfId="21" applyNumberFormat="1" applyFont="1" applyBorder="1" applyAlignment="1">
      <alignment horizontal="center" vertical="center"/>
    </xf>
    <xf numFmtId="0" fontId="2" fillId="0" borderId="15" xfId="21" applyFont="1" applyBorder="1" applyAlignment="1">
      <alignment horizontal="center" vertical="center"/>
    </xf>
    <xf numFmtId="0" fontId="3" fillId="0" borderId="15" xfId="21" applyFont="1" applyBorder="1" applyAlignment="1">
      <alignment horizontal="center" vertical="center"/>
    </xf>
    <xf numFmtId="3" fontId="27" fillId="25" borderId="11" xfId="0" applyNumberFormat="1" applyFont="1" applyFill="1" applyBorder="1" applyAlignment="1">
      <alignment horizontal="center" vertical="center" wrapText="1"/>
    </xf>
    <xf numFmtId="3" fontId="27" fillId="25" borderId="11" xfId="19" applyNumberFormat="1" applyFont="1" applyFill="1" applyBorder="1" applyAlignment="1">
      <alignment horizontal="center" vertical="center" wrapText="1"/>
    </xf>
    <xf numFmtId="3" fontId="27" fillId="25" borderId="10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1" fontId="26" fillId="0" borderId="13" xfId="19" applyNumberFormat="1" applyFont="1" applyFill="1" applyBorder="1" applyAlignment="1">
      <alignment horizontal="center" vertical="center" wrapText="1"/>
    </xf>
    <xf numFmtId="3" fontId="4" fillId="0" borderId="0" xfId="0" applyNumberFormat="1" applyFont="1"/>
    <xf numFmtId="3" fontId="2" fillId="0" borderId="11" xfId="21" applyNumberFormat="1" applyFont="1" applyBorder="1" applyAlignment="1">
      <alignment horizontal="center" vertical="center"/>
    </xf>
    <xf numFmtId="3" fontId="2" fillId="0" borderId="15" xfId="21" applyNumberFormat="1" applyFont="1" applyBorder="1" applyAlignment="1">
      <alignment horizontal="center" vertical="center"/>
    </xf>
    <xf numFmtId="3" fontId="2" fillId="0" borderId="16" xfId="21" applyNumberFormat="1" applyFont="1" applyBorder="1" applyAlignment="1">
      <alignment horizontal="center" vertical="center"/>
    </xf>
    <xf numFmtId="3" fontId="2" fillId="0" borderId="0" xfId="21" applyNumberFormat="1" applyFont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2" fillId="0" borderId="0" xfId="0" applyFont="1"/>
    <xf numFmtId="0" fontId="3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29" fillId="0" borderId="10" xfId="19" applyNumberFormat="1" applyFont="1" applyBorder="1" applyAlignment="1">
      <alignment horizontal="center" vertical="center" wrapText="1"/>
    </xf>
    <xf numFmtId="0" fontId="29" fillId="0" borderId="10" xfId="0" applyFont="1" applyBorder="1" applyAlignment="1">
      <alignment horizontal="left" vertical="top" wrapText="1"/>
    </xf>
    <xf numFmtId="1" fontId="26" fillId="0" borderId="10" xfId="19" applyNumberFormat="1" applyFont="1" applyBorder="1" applyAlignment="1">
      <alignment horizontal="center" vertical="center" wrapText="1"/>
    </xf>
    <xf numFmtId="1" fontId="30" fillId="0" borderId="10" xfId="19" applyNumberFormat="1" applyFont="1" applyBorder="1" applyAlignment="1">
      <alignment horizontal="center" vertical="center" wrapText="1"/>
    </xf>
    <xf numFmtId="0" fontId="30" fillId="0" borderId="10" xfId="0" applyFont="1" applyBorder="1" applyAlignment="1">
      <alignment horizontal="left" vertical="top" wrapText="1"/>
    </xf>
    <xf numFmtId="0" fontId="26" fillId="0" borderId="10" xfId="21" applyFont="1" applyBorder="1" applyAlignment="1">
      <alignment horizontal="center" vertical="center"/>
    </xf>
    <xf numFmtId="9" fontId="26" fillId="0" borderId="10" xfId="21" applyNumberFormat="1" applyFont="1" applyBorder="1" applyAlignment="1">
      <alignment horizontal="center" vertical="center"/>
    </xf>
    <xf numFmtId="1" fontId="26" fillId="0" borderId="10" xfId="21" applyNumberFormat="1" applyFont="1" applyBorder="1" applyAlignment="1">
      <alignment horizontal="center" vertical="center"/>
    </xf>
    <xf numFmtId="3" fontId="26" fillId="0" borderId="10" xfId="21" applyNumberFormat="1" applyFont="1" applyBorder="1" applyAlignment="1">
      <alignment horizontal="center" vertical="center"/>
    </xf>
    <xf numFmtId="0" fontId="29" fillId="0" borderId="10" xfId="21" applyFont="1" applyBorder="1" applyAlignment="1">
      <alignment horizontal="left" vertical="center"/>
    </xf>
    <xf numFmtId="0" fontId="3" fillId="24" borderId="11" xfId="0" applyFont="1" applyFill="1" applyBorder="1"/>
    <xf numFmtId="0" fontId="3" fillId="0" borderId="11" xfId="0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1" fontId="35" fillId="0" borderId="10" xfId="19" applyNumberFormat="1" applyFont="1" applyBorder="1" applyAlignment="1">
      <alignment horizontal="center" vertical="center" wrapText="1"/>
    </xf>
    <xf numFmtId="0" fontId="26" fillId="0" borderId="10" xfId="0" applyFont="1" applyBorder="1" applyAlignment="1">
      <alignment horizontal="left" vertical="top" wrapText="1"/>
    </xf>
    <xf numFmtId="0" fontId="2" fillId="0" borderId="0" xfId="21" applyFont="1" applyAlignment="1">
      <alignment horizontal="center" vertical="center"/>
    </xf>
    <xf numFmtId="0" fontId="2" fillId="0" borderId="11" xfId="21" applyFont="1" applyBorder="1" applyAlignment="1">
      <alignment horizontal="center" vertical="center"/>
    </xf>
    <xf numFmtId="0" fontId="30" fillId="0" borderId="10" xfId="21" applyFont="1" applyBorder="1" applyAlignment="1">
      <alignment horizontal="left" vertical="center"/>
    </xf>
    <xf numFmtId="0" fontId="30" fillId="0" borderId="10" xfId="21" applyFont="1" applyBorder="1" applyAlignment="1">
      <alignment horizontal="center" vertical="center"/>
    </xf>
    <xf numFmtId="3" fontId="30" fillId="0" borderId="10" xfId="21" applyNumberFormat="1" applyFont="1" applyBorder="1" applyAlignment="1">
      <alignment horizontal="center" vertical="center"/>
    </xf>
    <xf numFmtId="1" fontId="26" fillId="0" borderId="10" xfId="19" applyNumberFormat="1" applyFont="1" applyFill="1" applyBorder="1" applyAlignment="1">
      <alignment horizontal="center" vertical="center" wrapText="1"/>
    </xf>
    <xf numFmtId="1" fontId="30" fillId="0" borderId="10" xfId="21" applyNumberFormat="1" applyFont="1" applyBorder="1" applyAlignment="1">
      <alignment horizontal="center" vertical="center"/>
    </xf>
    <xf numFmtId="9" fontId="30" fillId="0" borderId="10" xfId="21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4" fillId="0" borderId="0" xfId="21" applyFont="1" applyAlignment="1">
      <alignment horizontal="left" vertical="center"/>
    </xf>
    <xf numFmtId="0" fontId="30" fillId="0" borderId="10" xfId="0" applyFont="1" applyBorder="1" applyAlignment="1">
      <alignment horizontal="center"/>
    </xf>
    <xf numFmtId="0" fontId="2" fillId="27" borderId="12" xfId="0" applyFont="1" applyFill="1" applyBorder="1" applyAlignment="1">
      <alignment horizontal="center"/>
    </xf>
    <xf numFmtId="1" fontId="3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/>
    </xf>
    <xf numFmtId="9" fontId="2" fillId="0" borderId="17" xfId="21" applyNumberFormat="1" applyFont="1" applyBorder="1" applyAlignment="1">
      <alignment horizontal="center" vertical="center"/>
    </xf>
    <xf numFmtId="1" fontId="2" fillId="0" borderId="17" xfId="21" applyNumberFormat="1" applyFont="1" applyBorder="1" applyAlignment="1">
      <alignment horizontal="center" vertical="center"/>
    </xf>
    <xf numFmtId="0" fontId="3" fillId="0" borderId="17" xfId="21" applyFont="1" applyBorder="1" applyAlignment="1">
      <alignment horizontal="center" vertical="center"/>
    </xf>
    <xf numFmtId="3" fontId="2" fillId="0" borderId="17" xfId="21" applyNumberFormat="1" applyFont="1" applyBorder="1" applyAlignment="1">
      <alignment horizontal="center" vertical="center"/>
    </xf>
    <xf numFmtId="3" fontId="2" fillId="0" borderId="18" xfId="21" applyNumberFormat="1" applyFont="1" applyBorder="1" applyAlignment="1">
      <alignment horizontal="center" vertical="center"/>
    </xf>
    <xf numFmtId="0" fontId="5" fillId="0" borderId="10" xfId="21" applyFont="1" applyBorder="1" applyAlignment="1">
      <alignment vertical="center"/>
    </xf>
    <xf numFmtId="0" fontId="0" fillId="0" borderId="17" xfId="0" applyBorder="1"/>
    <xf numFmtId="3" fontId="36" fillId="25" borderId="10" xfId="19" applyNumberFormat="1" applyFont="1" applyFill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/>
    </xf>
    <xf numFmtId="0" fontId="4" fillId="0" borderId="17" xfId="21" applyFont="1" applyBorder="1" applyAlignment="1">
      <alignment horizontal="left" vertical="center"/>
    </xf>
    <xf numFmtId="0" fontId="3" fillId="0" borderId="10" xfId="0" applyFont="1" applyBorder="1" applyAlignment="1">
      <alignment horizontal="center"/>
    </xf>
    <xf numFmtId="0" fontId="4" fillId="0" borderId="10" xfId="0" applyFont="1" applyBorder="1" applyAlignment="1">
      <alignment vertical="center"/>
    </xf>
    <xf numFmtId="0" fontId="2" fillId="0" borderId="12" xfId="21" applyFont="1" applyBorder="1" applyAlignment="1">
      <alignment horizontal="center" vertical="center"/>
    </xf>
    <xf numFmtId="0" fontId="35" fillId="0" borderId="10" xfId="21" applyFont="1" applyBorder="1" applyAlignment="1">
      <alignment vertical="center"/>
    </xf>
    <xf numFmtId="0" fontId="7" fillId="0" borderId="0" xfId="0" applyFont="1"/>
    <xf numFmtId="1" fontId="29" fillId="0" borderId="17" xfId="21" applyNumberFormat="1" applyFont="1" applyBorder="1" applyAlignment="1">
      <alignment horizontal="center" vertical="center"/>
    </xf>
    <xf numFmtId="0" fontId="29" fillId="0" borderId="10" xfId="21" applyFont="1" applyBorder="1" applyAlignment="1">
      <alignment horizontal="center" vertical="center"/>
    </xf>
    <xf numFmtId="3" fontId="29" fillId="0" borderId="10" xfId="21" applyNumberFormat="1" applyFont="1" applyBorder="1" applyAlignment="1">
      <alignment horizontal="center" vertical="center"/>
    </xf>
    <xf numFmtId="1" fontId="38" fillId="0" borderId="10" xfId="19" applyNumberFormat="1" applyFont="1" applyBorder="1" applyAlignment="1">
      <alignment horizontal="center" vertical="center" wrapText="1"/>
    </xf>
    <xf numFmtId="0" fontId="40" fillId="0" borderId="10" xfId="0" applyFont="1" applyBorder="1" applyAlignment="1">
      <alignment horizontal="center"/>
    </xf>
    <xf numFmtId="0" fontId="26" fillId="0" borderId="11" xfId="21" applyFont="1" applyBorder="1" applyAlignment="1">
      <alignment horizontal="center" vertical="center"/>
    </xf>
    <xf numFmtId="9" fontId="30" fillId="0" borderId="23" xfId="21" applyNumberFormat="1" applyFont="1" applyBorder="1" applyAlignment="1">
      <alignment horizontal="center" vertical="center"/>
    </xf>
    <xf numFmtId="1" fontId="30" fillId="0" borderId="23" xfId="21" applyNumberFormat="1" applyFont="1" applyBorder="1" applyAlignment="1">
      <alignment horizontal="center" vertical="center"/>
    </xf>
    <xf numFmtId="0" fontId="30" fillId="0" borderId="11" xfId="21" applyFont="1" applyBorder="1" applyAlignment="1">
      <alignment horizontal="left" vertical="center"/>
    </xf>
    <xf numFmtId="0" fontId="30" fillId="0" borderId="11" xfId="21" applyFont="1" applyBorder="1" applyAlignment="1">
      <alignment horizontal="center" vertical="center"/>
    </xf>
    <xf numFmtId="3" fontId="30" fillId="0" borderId="11" xfId="21" applyNumberFormat="1" applyFont="1" applyBorder="1" applyAlignment="1">
      <alignment horizontal="center" vertical="center"/>
    </xf>
    <xf numFmtId="0" fontId="29" fillId="0" borderId="17" xfId="21" applyFont="1" applyBorder="1" applyAlignment="1">
      <alignment horizontal="center" vertical="center"/>
    </xf>
    <xf numFmtId="0" fontId="29" fillId="0" borderId="17" xfId="21" applyFont="1" applyBorder="1" applyAlignment="1">
      <alignment horizontal="left" vertical="center"/>
    </xf>
    <xf numFmtId="3" fontId="29" fillId="0" borderId="17" xfId="21" applyNumberFormat="1" applyFont="1" applyBorder="1" applyAlignment="1">
      <alignment horizontal="center" vertical="center"/>
    </xf>
    <xf numFmtId="0" fontId="26" fillId="28" borderId="20" xfId="21" applyFont="1" applyFill="1" applyBorder="1" applyAlignment="1">
      <alignment horizontal="center" vertical="center"/>
    </xf>
    <xf numFmtId="9" fontId="30" fillId="28" borderId="21" xfId="21" applyNumberFormat="1" applyFont="1" applyFill="1" applyBorder="1" applyAlignment="1">
      <alignment horizontal="center" vertical="center"/>
    </xf>
    <xf numFmtId="1" fontId="30" fillId="28" borderId="21" xfId="21" applyNumberFormat="1" applyFont="1" applyFill="1" applyBorder="1" applyAlignment="1">
      <alignment horizontal="center" vertical="center"/>
    </xf>
    <xf numFmtId="0" fontId="30" fillId="28" borderId="21" xfId="21" applyFont="1" applyFill="1" applyBorder="1" applyAlignment="1">
      <alignment horizontal="center" vertical="center"/>
    </xf>
    <xf numFmtId="3" fontId="30" fillId="28" borderId="21" xfId="21" applyNumberFormat="1" applyFont="1" applyFill="1" applyBorder="1" applyAlignment="1">
      <alignment horizontal="center" vertical="center"/>
    </xf>
    <xf numFmtId="3" fontId="30" fillId="28" borderId="19" xfId="21" applyNumberFormat="1" applyFont="1" applyFill="1" applyBorder="1" applyAlignment="1">
      <alignment horizontal="center" vertical="center"/>
    </xf>
    <xf numFmtId="0" fontId="30" fillId="28" borderId="22" xfId="21" applyFont="1" applyFill="1" applyBorder="1" applyAlignment="1">
      <alignment horizontal="left" vertical="center"/>
    </xf>
    <xf numFmtId="1" fontId="29" fillId="0" borderId="10" xfId="19" applyNumberFormat="1" applyFont="1" applyFill="1" applyBorder="1" applyAlignment="1">
      <alignment horizontal="center" vertical="center" wrapText="1"/>
    </xf>
    <xf numFmtId="1" fontId="39" fillId="0" borderId="10" xfId="19" applyNumberFormat="1" applyFont="1" applyFill="1" applyBorder="1" applyAlignment="1">
      <alignment horizontal="center" vertical="center" wrapText="1"/>
    </xf>
    <xf numFmtId="0" fontId="3" fillId="29" borderId="10" xfId="0" applyFont="1" applyFill="1" applyBorder="1"/>
    <xf numFmtId="0" fontId="3" fillId="24" borderId="10" xfId="0" applyFont="1" applyFill="1" applyBorder="1" applyAlignment="1">
      <alignment horizontal="center"/>
    </xf>
    <xf numFmtId="0" fontId="3" fillId="0" borderId="10" xfId="21" applyFont="1" applyBorder="1" applyAlignment="1">
      <alignment horizontal="center" vertical="center"/>
    </xf>
    <xf numFmtId="3" fontId="3" fillId="0" borderId="10" xfId="21" applyNumberFormat="1" applyFont="1" applyBorder="1" applyAlignment="1">
      <alignment horizontal="center" vertical="center"/>
    </xf>
    <xf numFmtId="1" fontId="3" fillId="0" borderId="10" xfId="21" applyNumberFormat="1" applyFont="1" applyBorder="1" applyAlignment="1">
      <alignment horizontal="center" vertical="center"/>
    </xf>
    <xf numFmtId="0" fontId="4" fillId="0" borderId="10" xfId="0" applyFont="1" applyBorder="1"/>
    <xf numFmtId="0" fontId="4" fillId="0" borderId="10" xfId="0" applyFont="1" applyBorder="1" applyAlignment="1">
      <alignment horizontal="center"/>
    </xf>
    <xf numFmtId="3" fontId="2" fillId="0" borderId="10" xfId="21" applyNumberFormat="1" applyFont="1" applyBorder="1" applyAlignment="1">
      <alignment horizontal="center" vertical="center"/>
    </xf>
    <xf numFmtId="164" fontId="2" fillId="0" borderId="10" xfId="21" applyNumberFormat="1" applyFont="1" applyBorder="1" applyAlignment="1">
      <alignment horizontal="center" vertical="center"/>
    </xf>
    <xf numFmtId="0" fontId="30" fillId="0" borderId="10" xfId="21" applyFont="1" applyBorder="1" applyAlignment="1">
      <alignment vertical="center"/>
    </xf>
    <xf numFmtId="1" fontId="41" fillId="0" borderId="10" xfId="21" applyNumberFormat="1" applyFont="1" applyBorder="1" applyAlignment="1">
      <alignment horizontal="center" vertical="center"/>
    </xf>
    <xf numFmtId="0" fontId="26" fillId="0" borderId="10" xfId="21" applyFont="1" applyBorder="1" applyAlignment="1">
      <alignment horizontal="left" vertical="center"/>
    </xf>
    <xf numFmtId="0" fontId="2" fillId="0" borderId="10" xfId="21" applyFont="1" applyBorder="1" applyAlignment="1">
      <alignment horizontal="center" vertical="center"/>
    </xf>
    <xf numFmtId="0" fontId="3" fillId="0" borderId="24" xfId="0" applyFont="1" applyBorder="1" applyAlignment="1">
      <alignment horizontal="center"/>
    </xf>
    <xf numFmtId="0" fontId="3" fillId="28" borderId="10" xfId="0" applyFont="1" applyFill="1" applyBorder="1" applyAlignment="1">
      <alignment horizontal="center"/>
    </xf>
    <xf numFmtId="0" fontId="3" fillId="28" borderId="24" xfId="0" applyFont="1" applyFill="1" applyBorder="1" applyAlignment="1">
      <alignment horizontal="center"/>
    </xf>
    <xf numFmtId="0" fontId="4" fillId="28" borderId="10" xfId="0" applyFont="1" applyFill="1" applyBorder="1" applyAlignment="1">
      <alignment vertical="center"/>
    </xf>
    <xf numFmtId="1" fontId="3" fillId="28" borderId="10" xfId="0" applyNumberFormat="1" applyFont="1" applyFill="1" applyBorder="1" applyAlignment="1">
      <alignment horizontal="center"/>
    </xf>
    <xf numFmtId="0" fontId="4" fillId="28" borderId="17" xfId="21" applyFont="1" applyFill="1" applyBorder="1" applyAlignment="1">
      <alignment horizontal="left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45" fillId="0" borderId="25" xfId="0" applyFont="1" applyBorder="1"/>
    <xf numFmtId="0" fontId="45" fillId="0" borderId="19" xfId="0" applyFont="1" applyBorder="1"/>
    <xf numFmtId="0" fontId="45" fillId="0" borderId="25" xfId="0" applyFont="1" applyBorder="1" applyAlignment="1">
      <alignment wrapText="1"/>
    </xf>
    <xf numFmtId="0" fontId="46" fillId="28" borderId="25" xfId="0" applyFont="1" applyFill="1" applyBorder="1" applyAlignment="1">
      <alignment horizontal="right"/>
    </xf>
    <xf numFmtId="0" fontId="4" fillId="28" borderId="19" xfId="21" applyFont="1" applyFill="1" applyBorder="1"/>
    <xf numFmtId="0" fontId="47" fillId="28" borderId="25" xfId="0" applyFont="1" applyFill="1" applyBorder="1" applyAlignment="1">
      <alignment horizontal="center"/>
    </xf>
    <xf numFmtId="0" fontId="46" fillId="0" borderId="0" xfId="0" applyFont="1" applyAlignment="1">
      <alignment horizontal="right"/>
    </xf>
    <xf numFmtId="0" fontId="4" fillId="0" borderId="0" xfId="21" applyFont="1"/>
    <xf numFmtId="0" fontId="47" fillId="0" borderId="0" xfId="0" applyFont="1" applyAlignment="1">
      <alignment horizontal="right"/>
    </xf>
    <xf numFmtId="0" fontId="48" fillId="0" borderId="0" xfId="0" applyFont="1"/>
    <xf numFmtId="0" fontId="48" fillId="0" borderId="0" xfId="0" applyFont="1" applyAlignment="1">
      <alignment vertical="center"/>
    </xf>
    <xf numFmtId="0" fontId="49" fillId="0" borderId="20" xfId="0" applyFont="1" applyBorder="1"/>
    <xf numFmtId="0" fontId="49" fillId="0" borderId="25" xfId="0" applyFont="1" applyBorder="1"/>
    <xf numFmtId="0" fontId="50" fillId="0" borderId="25" xfId="0" applyFont="1" applyBorder="1" applyAlignment="1">
      <alignment horizontal="center"/>
    </xf>
    <xf numFmtId="0" fontId="46" fillId="28" borderId="20" xfId="0" applyFont="1" applyFill="1" applyBorder="1" applyAlignment="1">
      <alignment horizontal="center"/>
    </xf>
    <xf numFmtId="0" fontId="3" fillId="28" borderId="25" xfId="21" applyFont="1" applyFill="1" applyBorder="1"/>
    <xf numFmtId="0" fontId="46" fillId="28" borderId="26" xfId="0" applyFont="1" applyFill="1" applyBorder="1" applyAlignment="1">
      <alignment horizontal="center"/>
    </xf>
    <xf numFmtId="0" fontId="2" fillId="28" borderId="25" xfId="21" applyFont="1" applyFill="1" applyBorder="1"/>
    <xf numFmtId="0" fontId="45" fillId="0" borderId="25" xfId="0" applyFont="1" applyBorder="1" applyAlignment="1">
      <alignment horizontal="center" wrapText="1"/>
    </xf>
    <xf numFmtId="0" fontId="46" fillId="0" borderId="27" xfId="0" applyFont="1" applyBorder="1" applyAlignment="1">
      <alignment horizontal="right"/>
    </xf>
    <xf numFmtId="0" fontId="3" fillId="0" borderId="28" xfId="21" applyFont="1" applyBorder="1"/>
    <xf numFmtId="0" fontId="51" fillId="0" borderId="27" xfId="0" applyFont="1" applyBorder="1" applyAlignment="1">
      <alignment horizontal="center"/>
    </xf>
    <xf numFmtId="0" fontId="46" fillId="0" borderId="25" xfId="0" applyFont="1" applyBorder="1" applyAlignment="1">
      <alignment horizontal="right"/>
    </xf>
    <xf numFmtId="0" fontId="3" fillId="0" borderId="22" xfId="0" applyFont="1" applyBorder="1" applyAlignment="1">
      <alignment vertical="center"/>
    </xf>
    <xf numFmtId="0" fontId="51" fillId="0" borderId="25" xfId="0" applyFont="1" applyBorder="1" applyAlignment="1">
      <alignment horizontal="center"/>
    </xf>
    <xf numFmtId="0" fontId="3" fillId="0" borderId="18" xfId="21" applyFont="1" applyBorder="1" applyAlignment="1">
      <alignment horizontal="center" vertical="center"/>
    </xf>
    <xf numFmtId="0" fontId="2" fillId="27" borderId="29" xfId="0" applyFont="1" applyFill="1" applyBorder="1" applyAlignment="1">
      <alignment horizontal="center"/>
    </xf>
    <xf numFmtId="9" fontId="2" fillId="0" borderId="30" xfId="21" applyNumberFormat="1" applyFont="1" applyBorder="1" applyAlignment="1">
      <alignment horizontal="center" vertical="center"/>
    </xf>
    <xf numFmtId="1" fontId="2" fillId="0" borderId="30" xfId="21" applyNumberFormat="1" applyFont="1" applyBorder="1" applyAlignment="1">
      <alignment horizontal="center" vertical="center"/>
    </xf>
    <xf numFmtId="0" fontId="4" fillId="0" borderId="30" xfId="21" applyFont="1" applyBorder="1" applyAlignment="1">
      <alignment horizontal="left" vertical="center"/>
    </xf>
    <xf numFmtId="0" fontId="3" fillId="0" borderId="30" xfId="21" applyFont="1" applyBorder="1" applyAlignment="1">
      <alignment horizontal="center" vertical="center"/>
    </xf>
    <xf numFmtId="3" fontId="2" fillId="0" borderId="30" xfId="21" applyNumberFormat="1" applyFont="1" applyBorder="1" applyAlignment="1">
      <alignment horizontal="center" vertical="center"/>
    </xf>
    <xf numFmtId="0" fontId="3" fillId="0" borderId="31" xfId="21" applyFont="1" applyBorder="1" applyAlignment="1">
      <alignment horizontal="center" vertical="center"/>
    </xf>
    <xf numFmtId="1" fontId="2" fillId="0" borderId="32" xfId="21" applyNumberFormat="1" applyFont="1" applyBorder="1" applyAlignment="1">
      <alignment horizontal="center" vertical="center"/>
    </xf>
    <xf numFmtId="0" fontId="5" fillId="0" borderId="32" xfId="21" applyFont="1" applyBorder="1" applyAlignment="1">
      <alignment vertical="center"/>
    </xf>
    <xf numFmtId="3" fontId="2" fillId="0" borderId="31" xfId="21" applyNumberFormat="1" applyFont="1" applyBorder="1" applyAlignment="1">
      <alignment horizontal="center" vertical="center"/>
    </xf>
    <xf numFmtId="0" fontId="2" fillId="0" borderId="29" xfId="21" applyFont="1" applyBorder="1" applyAlignment="1">
      <alignment horizontal="center" vertical="center"/>
    </xf>
    <xf numFmtId="1" fontId="27" fillId="0" borderId="11" xfId="0" applyNumberFormat="1" applyFont="1" applyBorder="1" applyAlignment="1">
      <alignment horizontal="center" vertical="center" wrapText="1"/>
    </xf>
    <xf numFmtId="3" fontId="27" fillId="0" borderId="11" xfId="0" applyNumberFormat="1" applyFont="1" applyBorder="1" applyAlignment="1">
      <alignment horizontal="center" vertical="center" wrapText="1"/>
    </xf>
    <xf numFmtId="3" fontId="27" fillId="0" borderId="10" xfId="0" applyNumberFormat="1" applyFont="1" applyBorder="1" applyAlignment="1">
      <alignment horizontal="center" vertical="center" wrapText="1"/>
    </xf>
    <xf numFmtId="1" fontId="29" fillId="0" borderId="11" xfId="19" applyNumberFormat="1" applyFont="1" applyFill="1" applyBorder="1" applyAlignment="1">
      <alignment horizontal="center" vertical="center" wrapText="1"/>
    </xf>
    <xf numFmtId="1" fontId="37" fillId="0" borderId="11" xfId="0" applyNumberFormat="1" applyFont="1" applyBorder="1" applyAlignment="1">
      <alignment horizontal="center" vertical="center" wrapText="1"/>
    </xf>
    <xf numFmtId="3" fontId="37" fillId="0" borderId="11" xfId="0" applyNumberFormat="1" applyFont="1" applyBorder="1" applyAlignment="1">
      <alignment horizontal="center" vertical="center" wrapText="1"/>
    </xf>
    <xf numFmtId="3" fontId="37" fillId="25" borderId="11" xfId="19" applyNumberFormat="1" applyFont="1" applyFill="1" applyBorder="1" applyAlignment="1">
      <alignment horizontal="center" vertical="center" wrapText="1"/>
    </xf>
    <xf numFmtId="3" fontId="37" fillId="0" borderId="10" xfId="0" applyNumberFormat="1" applyFont="1" applyBorder="1" applyAlignment="1">
      <alignment horizontal="center" vertical="center" wrapText="1"/>
    </xf>
    <xf numFmtId="1" fontId="36" fillId="0" borderId="11" xfId="0" applyNumberFormat="1" applyFont="1" applyBorder="1" applyAlignment="1">
      <alignment horizontal="center" vertical="center" wrapText="1"/>
    </xf>
    <xf numFmtId="3" fontId="36" fillId="0" borderId="11" xfId="0" applyNumberFormat="1" applyFont="1" applyBorder="1" applyAlignment="1">
      <alignment horizontal="center" vertical="center" wrapText="1"/>
    </xf>
    <xf numFmtId="3" fontId="36" fillId="25" borderId="11" xfId="19" applyNumberFormat="1" applyFont="1" applyFill="1" applyBorder="1" applyAlignment="1">
      <alignment horizontal="center" vertical="center" wrapText="1"/>
    </xf>
    <xf numFmtId="3" fontId="36" fillId="0" borderId="10" xfId="0" applyNumberFormat="1" applyFont="1" applyBorder="1" applyAlignment="1">
      <alignment horizontal="center" vertical="center" wrapText="1"/>
    </xf>
    <xf numFmtId="1" fontId="36" fillId="0" borderId="10" xfId="0" applyNumberFormat="1" applyFont="1" applyBorder="1" applyAlignment="1">
      <alignment horizontal="center" vertical="center" wrapText="1"/>
    </xf>
    <xf numFmtId="9" fontId="2" fillId="0" borderId="10" xfId="21" applyNumberFormat="1" applyFont="1" applyBorder="1" applyAlignment="1">
      <alignment horizontal="center" vertical="center"/>
    </xf>
    <xf numFmtId="0" fontId="4" fillId="0" borderId="10" xfId="21" applyFont="1" applyBorder="1" applyAlignment="1">
      <alignment horizontal="left" vertical="center"/>
    </xf>
    <xf numFmtId="3" fontId="2" fillId="0" borderId="33" xfId="21" applyNumberFormat="1" applyFont="1" applyBorder="1" applyAlignment="1">
      <alignment horizontal="center" vertical="center"/>
    </xf>
    <xf numFmtId="0" fontId="28" fillId="0" borderId="0" xfId="21" applyFont="1" applyAlignment="1">
      <alignment horizontal="center" vertical="center"/>
    </xf>
    <xf numFmtId="0" fontId="26" fillId="0" borderId="0" xfId="0" applyFont="1" applyFill="1" applyBorder="1" applyAlignment="1">
      <alignment horizontal="center"/>
    </xf>
    <xf numFmtId="0" fontId="0" fillId="0" borderId="0" xfId="0" applyBorder="1"/>
    <xf numFmtId="0" fontId="29" fillId="0" borderId="0" xfId="21" applyFont="1" applyBorder="1" applyAlignment="1">
      <alignment horizontal="left" vertical="center"/>
    </xf>
    <xf numFmtId="0" fontId="26" fillId="27" borderId="10" xfId="0" applyFont="1" applyFill="1" applyBorder="1" applyAlignment="1">
      <alignment horizontal="center"/>
    </xf>
    <xf numFmtId="0" fontId="26" fillId="0" borderId="14" xfId="21" applyFont="1" applyBorder="1" applyAlignment="1">
      <alignment horizontal="center" vertical="center"/>
    </xf>
    <xf numFmtId="9" fontId="26" fillId="0" borderId="15" xfId="21" applyNumberFormat="1" applyFont="1" applyBorder="1" applyAlignment="1">
      <alignment horizontal="center" vertical="center"/>
    </xf>
    <xf numFmtId="1" fontId="26" fillId="0" borderId="15" xfId="21" applyNumberFormat="1" applyFont="1" applyBorder="1" applyAlignment="1">
      <alignment horizontal="center" vertical="center"/>
    </xf>
    <xf numFmtId="0" fontId="26" fillId="0" borderId="15" xfId="21" applyFont="1" applyBorder="1" applyAlignment="1">
      <alignment horizontal="center" vertical="center"/>
    </xf>
    <xf numFmtId="3" fontId="26" fillId="0" borderId="15" xfId="21" applyNumberFormat="1" applyFont="1" applyBorder="1" applyAlignment="1">
      <alignment horizontal="center" vertical="center"/>
    </xf>
    <xf numFmtId="3" fontId="26" fillId="0" borderId="16" xfId="21" applyNumberFormat="1" applyFont="1" applyBorder="1" applyAlignment="1">
      <alignment horizontal="center" vertical="center"/>
    </xf>
  </cellXfs>
  <cellStyles count="53">
    <cellStyle name="20% - Акцент1" xfId="1" xr:uid="{00000000-0005-0000-0000-000000000000}"/>
    <cellStyle name="20% - Акцент2" xfId="2" xr:uid="{00000000-0005-0000-0000-000001000000}"/>
    <cellStyle name="20% - Акцент3" xfId="3" xr:uid="{00000000-0005-0000-0000-000002000000}"/>
    <cellStyle name="20% - Акцент4" xfId="4" xr:uid="{00000000-0005-0000-0000-000003000000}"/>
    <cellStyle name="20% - Акцент5" xfId="5" xr:uid="{00000000-0005-0000-0000-000004000000}"/>
    <cellStyle name="20% - Акцент6" xfId="6" xr:uid="{00000000-0005-0000-0000-000005000000}"/>
    <cellStyle name="40% - Акцент1" xfId="7" xr:uid="{00000000-0005-0000-0000-000006000000}"/>
    <cellStyle name="40% - Акцент2" xfId="8" xr:uid="{00000000-0005-0000-0000-000007000000}"/>
    <cellStyle name="40% - Акцент3" xfId="9" xr:uid="{00000000-0005-0000-0000-000008000000}"/>
    <cellStyle name="40% - Акцент4" xfId="10" xr:uid="{00000000-0005-0000-0000-000009000000}"/>
    <cellStyle name="40% - Акцент5" xfId="11" xr:uid="{00000000-0005-0000-0000-00000A000000}"/>
    <cellStyle name="40% - Акцент6" xfId="12" xr:uid="{00000000-0005-0000-0000-00000B000000}"/>
    <cellStyle name="60% - Акцент1" xfId="13" xr:uid="{00000000-0005-0000-0000-00000C000000}"/>
    <cellStyle name="60% - Акцент2" xfId="14" xr:uid="{00000000-0005-0000-0000-00000D000000}"/>
    <cellStyle name="60% - Акцент3" xfId="15" xr:uid="{00000000-0005-0000-0000-00000E000000}"/>
    <cellStyle name="60% - Акцент4" xfId="16" xr:uid="{00000000-0005-0000-0000-00000F000000}"/>
    <cellStyle name="60% - Акцент5" xfId="17" xr:uid="{00000000-0005-0000-0000-000010000000}"/>
    <cellStyle name="60% - Акцент6" xfId="18" xr:uid="{00000000-0005-0000-0000-000011000000}"/>
    <cellStyle name="Comma" xfId="19" builtinId="3"/>
    <cellStyle name="Normal" xfId="0" builtinId="0"/>
    <cellStyle name="Normal 2" xfId="20" xr:uid="{00000000-0005-0000-0000-000014000000}"/>
    <cellStyle name="Normal_Version 1" xfId="21" xr:uid="{00000000-0005-0000-0000-000015000000}"/>
    <cellStyle name="WhiteBackGround" xfId="52" xr:uid="{00000000-0005-0000-0000-000016000000}"/>
    <cellStyle name="Акцент1" xfId="22" xr:uid="{00000000-0005-0000-0000-000017000000}"/>
    <cellStyle name="Акцент2" xfId="23" xr:uid="{00000000-0005-0000-0000-000018000000}"/>
    <cellStyle name="Акцент3" xfId="24" xr:uid="{00000000-0005-0000-0000-000019000000}"/>
    <cellStyle name="Акцент4" xfId="25" xr:uid="{00000000-0005-0000-0000-00001A000000}"/>
    <cellStyle name="Акцент5" xfId="26" xr:uid="{00000000-0005-0000-0000-00001B000000}"/>
    <cellStyle name="Акцент6" xfId="27" xr:uid="{00000000-0005-0000-0000-00001C000000}"/>
    <cellStyle name="Ввод " xfId="28" xr:uid="{00000000-0005-0000-0000-00001D000000}"/>
    <cellStyle name="Вывод" xfId="29" xr:uid="{00000000-0005-0000-0000-00001E000000}"/>
    <cellStyle name="Вычисление" xfId="30" xr:uid="{00000000-0005-0000-0000-00001F000000}"/>
    <cellStyle name="Заголовок 1" xfId="31" xr:uid="{00000000-0005-0000-0000-000020000000}"/>
    <cellStyle name="Заголовок 2" xfId="32" xr:uid="{00000000-0005-0000-0000-000021000000}"/>
    <cellStyle name="Заголовок 3" xfId="33" xr:uid="{00000000-0005-0000-0000-000022000000}"/>
    <cellStyle name="Заголовок 4" xfId="34" xr:uid="{00000000-0005-0000-0000-000023000000}"/>
    <cellStyle name="Итог" xfId="35" xr:uid="{00000000-0005-0000-0000-000024000000}"/>
    <cellStyle name="Контрольная ячейка" xfId="36" xr:uid="{00000000-0005-0000-0000-000025000000}"/>
    <cellStyle name="Название" xfId="37" xr:uid="{00000000-0005-0000-0000-000026000000}"/>
    <cellStyle name="Нейтральный" xfId="38" xr:uid="{00000000-0005-0000-0000-000027000000}"/>
    <cellStyle name="Плохой" xfId="39" xr:uid="{00000000-0005-0000-0000-000028000000}"/>
    <cellStyle name="Пояснение" xfId="40" xr:uid="{00000000-0005-0000-0000-000029000000}"/>
    <cellStyle name="Примечание" xfId="41" xr:uid="{00000000-0005-0000-0000-00002A000000}"/>
    <cellStyle name="Примечание 2" xfId="42" xr:uid="{00000000-0005-0000-0000-00002B000000}"/>
    <cellStyle name="Примечание 3" xfId="43" xr:uid="{00000000-0005-0000-0000-00002C000000}"/>
    <cellStyle name="Примечание 4" xfId="44" xr:uid="{00000000-0005-0000-0000-00002D000000}"/>
    <cellStyle name="Примечание 5" xfId="45" xr:uid="{00000000-0005-0000-0000-00002E000000}"/>
    <cellStyle name="Примечание 6" xfId="46" xr:uid="{00000000-0005-0000-0000-00002F000000}"/>
    <cellStyle name="Примечание 7" xfId="47" xr:uid="{00000000-0005-0000-0000-000030000000}"/>
    <cellStyle name="Примечание 8" xfId="48" xr:uid="{00000000-0005-0000-0000-000031000000}"/>
    <cellStyle name="Связанная ячейка" xfId="49" xr:uid="{00000000-0005-0000-0000-000032000000}"/>
    <cellStyle name="Текст предупреждения" xfId="50" xr:uid="{00000000-0005-0000-0000-000033000000}"/>
    <cellStyle name="Хороший" xfId="51" xr:uid="{00000000-0005-0000-0000-000034000000}"/>
  </cellStyles>
  <dxfs count="45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967D7E1F-6DD3-4863-B380-CBD04C4BA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5D1F48CD-DBFA-4FD2-876A-90B17FB62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094C67E1-3879-432E-9A75-F83E98D43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25DB7CC0-A248-4C0D-8CE7-7D93DCBAE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6" name="Picture 2217" descr="_">
          <a:extLst>
            <a:ext uri="{FF2B5EF4-FFF2-40B4-BE49-F238E27FC236}">
              <a16:creationId xmlns:a16="http://schemas.microsoft.com/office/drawing/2014/main" id="{43AB9884-A6FB-48C0-B243-18394DF2D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7" name="Picture 2218" descr="_">
          <a:extLst>
            <a:ext uri="{FF2B5EF4-FFF2-40B4-BE49-F238E27FC236}">
              <a16:creationId xmlns:a16="http://schemas.microsoft.com/office/drawing/2014/main" id="{C7B8B4C6-9D77-4EE5-A792-8EF3030B4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8" name="Picture 2217" descr="_">
          <a:extLst>
            <a:ext uri="{FF2B5EF4-FFF2-40B4-BE49-F238E27FC236}">
              <a16:creationId xmlns:a16="http://schemas.microsoft.com/office/drawing/2014/main" id="{650C63CF-6270-48F9-A843-4DF8430B4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9" name="Picture 2218" descr="_">
          <a:extLst>
            <a:ext uri="{FF2B5EF4-FFF2-40B4-BE49-F238E27FC236}">
              <a16:creationId xmlns:a16="http://schemas.microsoft.com/office/drawing/2014/main" id="{D7537A17-E261-4601-9B87-0D3FC2A9A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0;&#1072;&#1090;&#1072;&#1083;&#1086;&#1075;%2012%20&#1056;&#1086;&#1089;&#1089;&#1080;&#1103;\&#1044;&#1054;&#1060;%20&#1056;&#1054;&#1057;&#1057;&#1048;&#1071;%2010%20&#1050;&#1040;&#1058;&#1040;&#1051;&#1054;&#1043;%6010%20c%2014%2007%20&#1087;&#1086;%2002%2008%20&#1060;&#1054;&#1056;&#1052;&#1059;&#1051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U:\&#1055;&#1088;&#1072;&#1081;&#1089;-&#1083;&#1080;&#1089;&#1090;&#1099;%202024\&#1050;&#1072;&#1090;&#1072;&#1083;&#1086;&#1075;%20&#1056;&#1086;&#1089;&#1089;&#1080;&#1103;%2002%202024\C02-2024_Russia_for%20DOF.xlsx" TargetMode="External"/><Relationship Id="rId1" Type="http://schemas.openxmlformats.org/officeDocument/2006/relationships/externalLinkPath" Target="file:///U:\&#1055;&#1088;&#1072;&#1081;&#1089;-&#1083;&#1080;&#1089;&#1090;&#1099;%202024\&#1050;&#1072;&#1090;&#1072;&#1083;&#1086;&#1075;%20&#1056;&#1086;&#1089;&#1089;&#1080;&#1103;%2002%202024\C02-2024_Russia_for%20DO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КАТАЛОГ`08 (1)"/>
      <sheetName val="10 КАТАЛОГ`08 (2)"/>
      <sheetName val="10 КАТАЛОГ`08 (3)"/>
      <sheetName val="СПЕЦ ПРЕДЛОЖЕНИЯ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ort"/>
    </sheetNames>
    <sheetDataSet>
      <sheetData sheetId="0">
        <row r="1">
          <cell r="B1" t="str">
            <v>Code</v>
          </cell>
          <cell r="C1" t="str">
            <v>Description</v>
          </cell>
          <cell r="D1" t="str">
            <v>BP</v>
          </cell>
          <cell r="E1" t="str">
            <v>BV</v>
          </cell>
          <cell r="F1" t="str">
            <v>Consultant price standard</v>
          </cell>
          <cell r="G1" t="str">
            <v>Consultant price offer</v>
          </cell>
          <cell r="H1" t="str">
            <v>Ctlg. price stnd.</v>
          </cell>
          <cell r="I1" t="str">
            <v>Catalog price offer LC</v>
          </cell>
          <cell r="J1" t="str">
            <v>Discount</v>
          </cell>
          <cell r="K1" t="str">
            <v>Page</v>
          </cell>
          <cell r="L1" t="str">
            <v>Source of sales</v>
          </cell>
        </row>
        <row r="2">
          <cell r="B2">
            <v>546801</v>
          </cell>
          <cell r="C2" t="str">
            <v>WLNS&amp;Body Edition Anti-Cellulite</v>
          </cell>
          <cell r="D2">
            <v>60</v>
          </cell>
          <cell r="E2">
            <v>3666</v>
          </cell>
          <cell r="F2">
            <v>4880</v>
          </cell>
          <cell r="G2">
            <v>4399</v>
          </cell>
          <cell r="H2">
            <v>6100</v>
          </cell>
          <cell r="I2">
            <v>5499</v>
          </cell>
          <cell r="J2">
            <v>9.8524590163934403E-2</v>
          </cell>
          <cell r="K2" t="str">
            <v>1</v>
          </cell>
          <cell r="L2" t="str">
            <v>CTLG-MC</v>
          </cell>
        </row>
        <row r="3">
          <cell r="B3">
            <v>41817</v>
          </cell>
          <cell r="C3" t="str">
            <v>The body edition Anti-Cellulite Gel</v>
          </cell>
          <cell r="D3">
            <v>15</v>
          </cell>
          <cell r="E3">
            <v>933</v>
          </cell>
          <cell r="F3">
            <v>1280</v>
          </cell>
          <cell r="G3">
            <v>1119</v>
          </cell>
          <cell r="H3">
            <v>1600</v>
          </cell>
          <cell r="I3">
            <v>1399</v>
          </cell>
          <cell r="J3">
            <v>0.12562499999999999</v>
          </cell>
          <cell r="K3" t="str">
            <v>2</v>
          </cell>
          <cell r="L3" t="str">
            <v>CTLG-MC</v>
          </cell>
        </row>
        <row r="4">
          <cell r="B4">
            <v>41817</v>
          </cell>
          <cell r="C4" t="str">
            <v>The body edition Anti-Cellulite Gel</v>
          </cell>
          <cell r="D4">
            <v>15</v>
          </cell>
          <cell r="E4">
            <v>639</v>
          </cell>
          <cell r="F4">
            <v>1280</v>
          </cell>
          <cell r="G4">
            <v>767</v>
          </cell>
          <cell r="H4">
            <v>1600</v>
          </cell>
          <cell r="I4">
            <v>959</v>
          </cell>
          <cell r="J4">
            <v>0.40062500000000001</v>
          </cell>
          <cell r="K4" t="str">
            <v>2</v>
          </cell>
          <cell r="L4" t="str">
            <v>CTLG-MC</v>
          </cell>
        </row>
        <row r="5">
          <cell r="B5">
            <v>41817</v>
          </cell>
          <cell r="C5" t="str">
            <v>The body edition Anti-Cellulite Gel</v>
          </cell>
          <cell r="D5">
            <v>15</v>
          </cell>
          <cell r="E5">
            <v>0</v>
          </cell>
          <cell r="F5">
            <v>1280</v>
          </cell>
          <cell r="G5">
            <v>1</v>
          </cell>
          <cell r="H5">
            <v>1600</v>
          </cell>
          <cell r="I5">
            <v>1</v>
          </cell>
          <cell r="J5">
            <v>0.99937500000000001</v>
          </cell>
          <cell r="K5" t="str">
            <v>2</v>
          </cell>
          <cell r="L5" t="str">
            <v>CTLG-MC</v>
          </cell>
        </row>
        <row r="6">
          <cell r="B6">
            <v>29689</v>
          </cell>
          <cell r="C6" t="str">
            <v>Natural Balance Shake strawberry</v>
          </cell>
          <cell r="D6">
            <v>45</v>
          </cell>
          <cell r="E6">
            <v>2999</v>
          </cell>
          <cell r="F6">
            <v>4000</v>
          </cell>
          <cell r="G6">
            <v>3599</v>
          </cell>
          <cell r="H6">
            <v>5000</v>
          </cell>
          <cell r="I6">
            <v>4499</v>
          </cell>
          <cell r="J6">
            <v>0.1002</v>
          </cell>
          <cell r="K6" t="str">
            <v>2</v>
          </cell>
          <cell r="L6" t="str">
            <v>CTLG-MC</v>
          </cell>
        </row>
        <row r="7">
          <cell r="B7">
            <v>29689</v>
          </cell>
          <cell r="C7" t="str">
            <v>Natural Balance Shake strawberry</v>
          </cell>
          <cell r="D7">
            <v>45</v>
          </cell>
          <cell r="E7">
            <v>1999</v>
          </cell>
          <cell r="F7">
            <v>4000</v>
          </cell>
          <cell r="G7">
            <v>2399</v>
          </cell>
          <cell r="H7">
            <v>5000</v>
          </cell>
          <cell r="I7">
            <v>2999</v>
          </cell>
          <cell r="J7">
            <v>0.4002</v>
          </cell>
          <cell r="K7" t="str">
            <v>2</v>
          </cell>
          <cell r="L7" t="str">
            <v>CTLG-MC</v>
          </cell>
        </row>
        <row r="8">
          <cell r="B8">
            <v>29689</v>
          </cell>
          <cell r="C8" t="str">
            <v>Natural Balance Shake strawberry</v>
          </cell>
          <cell r="D8">
            <v>45</v>
          </cell>
          <cell r="E8">
            <v>0</v>
          </cell>
          <cell r="F8">
            <v>4000</v>
          </cell>
          <cell r="G8">
            <v>1</v>
          </cell>
          <cell r="H8">
            <v>5000</v>
          </cell>
          <cell r="I8">
            <v>1</v>
          </cell>
          <cell r="J8">
            <v>0.99980000000000002</v>
          </cell>
          <cell r="K8" t="str">
            <v>2</v>
          </cell>
          <cell r="L8" t="str">
            <v>CTLG-MC</v>
          </cell>
        </row>
        <row r="9">
          <cell r="B9">
            <v>29690</v>
          </cell>
          <cell r="C9" t="str">
            <v>Natural Balance Shake vanilla</v>
          </cell>
          <cell r="D9">
            <v>45</v>
          </cell>
          <cell r="E9">
            <v>2999</v>
          </cell>
          <cell r="F9">
            <v>4000</v>
          </cell>
          <cell r="G9">
            <v>3599</v>
          </cell>
          <cell r="H9">
            <v>5000</v>
          </cell>
          <cell r="I9">
            <v>4499</v>
          </cell>
          <cell r="J9">
            <v>0.1002</v>
          </cell>
          <cell r="K9" t="str">
            <v>2</v>
          </cell>
          <cell r="L9" t="str">
            <v>CTLG-MC</v>
          </cell>
        </row>
        <row r="10">
          <cell r="B10">
            <v>29690</v>
          </cell>
          <cell r="C10" t="str">
            <v>Natural Balance Shake vanilla</v>
          </cell>
          <cell r="D10">
            <v>45</v>
          </cell>
          <cell r="E10">
            <v>1999</v>
          </cell>
          <cell r="F10">
            <v>4000</v>
          </cell>
          <cell r="G10">
            <v>2399</v>
          </cell>
          <cell r="H10">
            <v>5000</v>
          </cell>
          <cell r="I10">
            <v>2999</v>
          </cell>
          <cell r="J10">
            <v>0.4002</v>
          </cell>
          <cell r="K10" t="str">
            <v>2</v>
          </cell>
          <cell r="L10" t="str">
            <v>CTLG-MC</v>
          </cell>
        </row>
        <row r="11">
          <cell r="B11">
            <v>29690</v>
          </cell>
          <cell r="C11" t="str">
            <v>Natural Balance Shake vanilla</v>
          </cell>
          <cell r="D11">
            <v>45</v>
          </cell>
          <cell r="E11">
            <v>0</v>
          </cell>
          <cell r="F11">
            <v>4000</v>
          </cell>
          <cell r="G11">
            <v>1</v>
          </cell>
          <cell r="H11">
            <v>5000</v>
          </cell>
          <cell r="I11">
            <v>1</v>
          </cell>
          <cell r="J11">
            <v>0.99980000000000002</v>
          </cell>
          <cell r="K11" t="str">
            <v>2</v>
          </cell>
          <cell r="L11" t="str">
            <v>CTLG-MC</v>
          </cell>
        </row>
        <row r="12">
          <cell r="B12">
            <v>29691</v>
          </cell>
          <cell r="C12" t="str">
            <v>Natural Balance Shake chocolate</v>
          </cell>
          <cell r="D12">
            <v>45</v>
          </cell>
          <cell r="E12">
            <v>2999</v>
          </cell>
          <cell r="F12">
            <v>4000</v>
          </cell>
          <cell r="G12">
            <v>3599</v>
          </cell>
          <cell r="H12">
            <v>5000</v>
          </cell>
          <cell r="I12">
            <v>4499</v>
          </cell>
          <cell r="J12">
            <v>0.1002</v>
          </cell>
          <cell r="K12" t="str">
            <v>2</v>
          </cell>
          <cell r="L12" t="str">
            <v>CTLG-MC</v>
          </cell>
        </row>
        <row r="13">
          <cell r="B13">
            <v>29691</v>
          </cell>
          <cell r="C13" t="str">
            <v>Natural Balance Shake chocolate</v>
          </cell>
          <cell r="D13">
            <v>45</v>
          </cell>
          <cell r="E13">
            <v>1999</v>
          </cell>
          <cell r="F13">
            <v>4000</v>
          </cell>
          <cell r="G13">
            <v>2399</v>
          </cell>
          <cell r="H13">
            <v>5000</v>
          </cell>
          <cell r="I13">
            <v>2999</v>
          </cell>
          <cell r="J13">
            <v>0.4002</v>
          </cell>
          <cell r="K13" t="str">
            <v>2</v>
          </cell>
          <cell r="L13" t="str">
            <v>CTLG-MC</v>
          </cell>
        </row>
        <row r="14">
          <cell r="B14">
            <v>29691</v>
          </cell>
          <cell r="C14" t="str">
            <v>Natural Balance Shake chocolate</v>
          </cell>
          <cell r="D14">
            <v>45</v>
          </cell>
          <cell r="E14">
            <v>0</v>
          </cell>
          <cell r="F14">
            <v>4000</v>
          </cell>
          <cell r="G14">
            <v>1</v>
          </cell>
          <cell r="H14">
            <v>5000</v>
          </cell>
          <cell r="I14">
            <v>1</v>
          </cell>
          <cell r="J14">
            <v>0.99980000000000002</v>
          </cell>
          <cell r="K14" t="str">
            <v>2</v>
          </cell>
          <cell r="L14" t="str">
            <v>CTLG-MC</v>
          </cell>
        </row>
        <row r="15">
          <cell r="B15">
            <v>29695</v>
          </cell>
          <cell r="C15" t="str">
            <v>Natural Balance Soup asparagus</v>
          </cell>
          <cell r="D15">
            <v>45</v>
          </cell>
          <cell r="E15">
            <v>2999</v>
          </cell>
          <cell r="F15">
            <v>4000</v>
          </cell>
          <cell r="G15">
            <v>3599</v>
          </cell>
          <cell r="H15">
            <v>5000</v>
          </cell>
          <cell r="I15">
            <v>4499</v>
          </cell>
          <cell r="J15">
            <v>0.1002</v>
          </cell>
          <cell r="K15" t="str">
            <v>2</v>
          </cell>
          <cell r="L15" t="str">
            <v>CTLG-MC</v>
          </cell>
        </row>
        <row r="16">
          <cell r="B16">
            <v>29695</v>
          </cell>
          <cell r="C16" t="str">
            <v>Natural Balance Soup asparagus</v>
          </cell>
          <cell r="D16">
            <v>45</v>
          </cell>
          <cell r="E16">
            <v>1999</v>
          </cell>
          <cell r="F16">
            <v>4000</v>
          </cell>
          <cell r="G16">
            <v>2399</v>
          </cell>
          <cell r="H16">
            <v>5000</v>
          </cell>
          <cell r="I16">
            <v>2999</v>
          </cell>
          <cell r="J16">
            <v>0.4002</v>
          </cell>
          <cell r="K16" t="str">
            <v>2</v>
          </cell>
          <cell r="L16" t="str">
            <v>CTLG-MC</v>
          </cell>
        </row>
        <row r="17">
          <cell r="B17">
            <v>29695</v>
          </cell>
          <cell r="C17" t="str">
            <v>Natural Balance Soup asparagus</v>
          </cell>
          <cell r="D17">
            <v>45</v>
          </cell>
          <cell r="E17">
            <v>0</v>
          </cell>
          <cell r="F17">
            <v>4000</v>
          </cell>
          <cell r="G17">
            <v>1</v>
          </cell>
          <cell r="H17">
            <v>5000</v>
          </cell>
          <cell r="I17">
            <v>1</v>
          </cell>
          <cell r="J17">
            <v>0.99980000000000002</v>
          </cell>
          <cell r="K17" t="str">
            <v>2</v>
          </cell>
          <cell r="L17" t="str">
            <v>CTLG-MC</v>
          </cell>
        </row>
        <row r="18">
          <cell r="B18">
            <v>36169</v>
          </cell>
          <cell r="C18" t="str">
            <v xml:space="preserve">Protein Blend (AminoLabs) </v>
          </cell>
          <cell r="D18">
            <v>45</v>
          </cell>
          <cell r="E18">
            <v>2999</v>
          </cell>
          <cell r="F18">
            <v>4000</v>
          </cell>
          <cell r="G18">
            <v>3599</v>
          </cell>
          <cell r="H18">
            <v>5000</v>
          </cell>
          <cell r="I18">
            <v>4499</v>
          </cell>
          <cell r="J18">
            <v>0.1002</v>
          </cell>
          <cell r="K18" t="str">
            <v>2</v>
          </cell>
          <cell r="L18" t="str">
            <v>CTLG-MC</v>
          </cell>
        </row>
        <row r="19">
          <cell r="B19">
            <v>36169</v>
          </cell>
          <cell r="C19" t="str">
            <v xml:space="preserve">Protein Blend (AminoLabs) </v>
          </cell>
          <cell r="D19">
            <v>45</v>
          </cell>
          <cell r="E19">
            <v>1999</v>
          </cell>
          <cell r="F19">
            <v>4000</v>
          </cell>
          <cell r="G19">
            <v>2399</v>
          </cell>
          <cell r="H19">
            <v>5000</v>
          </cell>
          <cell r="I19">
            <v>2999</v>
          </cell>
          <cell r="J19">
            <v>0.4002</v>
          </cell>
          <cell r="K19" t="str">
            <v>2</v>
          </cell>
          <cell r="L19" t="str">
            <v>CTLG-MC</v>
          </cell>
        </row>
        <row r="20">
          <cell r="B20">
            <v>36169</v>
          </cell>
          <cell r="C20" t="str">
            <v xml:space="preserve">Protein Blend (AminoLabs) </v>
          </cell>
          <cell r="D20">
            <v>45</v>
          </cell>
          <cell r="E20">
            <v>0</v>
          </cell>
          <cell r="F20">
            <v>4000</v>
          </cell>
          <cell r="G20">
            <v>1</v>
          </cell>
          <cell r="H20">
            <v>5000</v>
          </cell>
          <cell r="I20">
            <v>1</v>
          </cell>
          <cell r="J20">
            <v>0.99980000000000002</v>
          </cell>
          <cell r="K20" t="str">
            <v>2</v>
          </cell>
          <cell r="L20" t="str">
            <v>CTLG-MC</v>
          </cell>
        </row>
        <row r="21">
          <cell r="B21">
            <v>546802</v>
          </cell>
          <cell r="C21" t="str">
            <v>WLNS&amp;The Body Edition Firming</v>
          </cell>
          <cell r="D21">
            <v>60</v>
          </cell>
          <cell r="E21">
            <v>3666</v>
          </cell>
          <cell r="F21">
            <v>4880</v>
          </cell>
          <cell r="G21">
            <v>4399</v>
          </cell>
          <cell r="H21">
            <v>6100</v>
          </cell>
          <cell r="I21">
            <v>5499</v>
          </cell>
          <cell r="J21">
            <v>9.8524590163934403E-2</v>
          </cell>
          <cell r="K21" t="str">
            <v>1</v>
          </cell>
          <cell r="L21" t="str">
            <v>CTLG-MC</v>
          </cell>
        </row>
        <row r="22">
          <cell r="B22">
            <v>41819</v>
          </cell>
          <cell r="C22" t="str">
            <v xml:space="preserve">The body edition Firming Body Gel </v>
          </cell>
          <cell r="D22">
            <v>15</v>
          </cell>
          <cell r="E22">
            <v>933</v>
          </cell>
          <cell r="F22">
            <v>1280</v>
          </cell>
          <cell r="G22">
            <v>1119</v>
          </cell>
          <cell r="H22">
            <v>1600</v>
          </cell>
          <cell r="I22">
            <v>1399</v>
          </cell>
          <cell r="J22">
            <v>0.12562499999999999</v>
          </cell>
          <cell r="K22" t="str">
            <v>2</v>
          </cell>
          <cell r="L22" t="str">
            <v>CTLG-MC</v>
          </cell>
        </row>
        <row r="23">
          <cell r="B23">
            <v>41819</v>
          </cell>
          <cell r="C23" t="str">
            <v xml:space="preserve">The body edition Firming Body Gel </v>
          </cell>
          <cell r="D23">
            <v>15</v>
          </cell>
          <cell r="E23">
            <v>639</v>
          </cell>
          <cell r="F23">
            <v>1280</v>
          </cell>
          <cell r="G23">
            <v>767</v>
          </cell>
          <cell r="H23">
            <v>1600</v>
          </cell>
          <cell r="I23">
            <v>959</v>
          </cell>
          <cell r="J23">
            <v>0.40062500000000001</v>
          </cell>
          <cell r="K23" t="str">
            <v>2</v>
          </cell>
          <cell r="L23" t="str">
            <v>CTLG-MC</v>
          </cell>
        </row>
        <row r="24">
          <cell r="B24">
            <v>41819</v>
          </cell>
          <cell r="C24" t="str">
            <v xml:space="preserve">The body edition Firming Body Gel </v>
          </cell>
          <cell r="D24">
            <v>15</v>
          </cell>
          <cell r="E24">
            <v>0</v>
          </cell>
          <cell r="F24">
            <v>1280</v>
          </cell>
          <cell r="G24">
            <v>1</v>
          </cell>
          <cell r="H24">
            <v>1600</v>
          </cell>
          <cell r="I24">
            <v>1</v>
          </cell>
          <cell r="J24">
            <v>0.99937500000000001</v>
          </cell>
          <cell r="K24" t="str">
            <v>2</v>
          </cell>
          <cell r="L24" t="str">
            <v>CTLG-MC</v>
          </cell>
        </row>
        <row r="25">
          <cell r="B25">
            <v>29689</v>
          </cell>
          <cell r="C25" t="str">
            <v>Natural Balance Shake strawberry</v>
          </cell>
          <cell r="D25">
            <v>45</v>
          </cell>
          <cell r="E25">
            <v>2999</v>
          </cell>
          <cell r="F25">
            <v>4000</v>
          </cell>
          <cell r="G25">
            <v>3599</v>
          </cell>
          <cell r="H25">
            <v>5000</v>
          </cell>
          <cell r="I25">
            <v>4499</v>
          </cell>
          <cell r="J25">
            <v>0.1002</v>
          </cell>
          <cell r="K25" t="str">
            <v>2</v>
          </cell>
          <cell r="L25" t="str">
            <v>CTLG-MC</v>
          </cell>
        </row>
        <row r="26">
          <cell r="B26">
            <v>29689</v>
          </cell>
          <cell r="C26" t="str">
            <v>Natural Balance Shake strawberry</v>
          </cell>
          <cell r="D26">
            <v>45</v>
          </cell>
          <cell r="E26">
            <v>1999</v>
          </cell>
          <cell r="F26">
            <v>4000</v>
          </cell>
          <cell r="G26">
            <v>2399</v>
          </cell>
          <cell r="H26">
            <v>5000</v>
          </cell>
          <cell r="I26">
            <v>2999</v>
          </cell>
          <cell r="J26">
            <v>0.4002</v>
          </cell>
          <cell r="K26" t="str">
            <v>2</v>
          </cell>
          <cell r="L26" t="str">
            <v>CTLG-MC</v>
          </cell>
        </row>
        <row r="27">
          <cell r="B27">
            <v>29689</v>
          </cell>
          <cell r="C27" t="str">
            <v>Natural Balance Shake strawberry</v>
          </cell>
          <cell r="D27">
            <v>45</v>
          </cell>
          <cell r="E27">
            <v>0</v>
          </cell>
          <cell r="F27">
            <v>4000</v>
          </cell>
          <cell r="G27">
            <v>1</v>
          </cell>
          <cell r="H27">
            <v>5000</v>
          </cell>
          <cell r="I27">
            <v>1</v>
          </cell>
          <cell r="J27">
            <v>0.99980000000000002</v>
          </cell>
          <cell r="K27" t="str">
            <v>2</v>
          </cell>
          <cell r="L27" t="str">
            <v>CTLG-MC</v>
          </cell>
        </row>
        <row r="28">
          <cell r="B28">
            <v>29690</v>
          </cell>
          <cell r="C28" t="str">
            <v>Natural Balance Shake vanilla</v>
          </cell>
          <cell r="D28">
            <v>45</v>
          </cell>
          <cell r="E28">
            <v>2999</v>
          </cell>
          <cell r="F28">
            <v>4000</v>
          </cell>
          <cell r="G28">
            <v>3599</v>
          </cell>
          <cell r="H28">
            <v>5000</v>
          </cell>
          <cell r="I28">
            <v>4499</v>
          </cell>
          <cell r="J28">
            <v>0.1002</v>
          </cell>
          <cell r="K28" t="str">
            <v>2</v>
          </cell>
          <cell r="L28" t="str">
            <v>CTLG-MC</v>
          </cell>
        </row>
        <row r="29">
          <cell r="B29">
            <v>29690</v>
          </cell>
          <cell r="C29" t="str">
            <v>Natural Balance Shake vanilla</v>
          </cell>
          <cell r="D29">
            <v>45</v>
          </cell>
          <cell r="E29">
            <v>1999</v>
          </cell>
          <cell r="F29">
            <v>4000</v>
          </cell>
          <cell r="G29">
            <v>2399</v>
          </cell>
          <cell r="H29">
            <v>5000</v>
          </cell>
          <cell r="I29">
            <v>2999</v>
          </cell>
          <cell r="J29">
            <v>0.4002</v>
          </cell>
          <cell r="K29" t="str">
            <v>2</v>
          </cell>
          <cell r="L29" t="str">
            <v>CTLG-MC</v>
          </cell>
        </row>
        <row r="30">
          <cell r="B30">
            <v>29690</v>
          </cell>
          <cell r="C30" t="str">
            <v>Natural Balance Shake vanilla</v>
          </cell>
          <cell r="D30">
            <v>45</v>
          </cell>
          <cell r="E30">
            <v>0</v>
          </cell>
          <cell r="F30">
            <v>4000</v>
          </cell>
          <cell r="G30">
            <v>1</v>
          </cell>
          <cell r="H30">
            <v>5000</v>
          </cell>
          <cell r="I30">
            <v>1</v>
          </cell>
          <cell r="J30">
            <v>0.99980000000000002</v>
          </cell>
          <cell r="K30" t="str">
            <v>2</v>
          </cell>
          <cell r="L30" t="str">
            <v>CTLG-MC</v>
          </cell>
        </row>
        <row r="31">
          <cell r="B31">
            <v>29691</v>
          </cell>
          <cell r="C31" t="str">
            <v>Natural Balance Shake chocolate</v>
          </cell>
          <cell r="D31">
            <v>45</v>
          </cell>
          <cell r="E31">
            <v>2999</v>
          </cell>
          <cell r="F31">
            <v>4000</v>
          </cell>
          <cell r="G31">
            <v>3599</v>
          </cell>
          <cell r="H31">
            <v>5000</v>
          </cell>
          <cell r="I31">
            <v>4499</v>
          </cell>
          <cell r="J31">
            <v>0.1002</v>
          </cell>
          <cell r="K31" t="str">
            <v>2</v>
          </cell>
          <cell r="L31" t="str">
            <v>CTLG-MC</v>
          </cell>
        </row>
        <row r="32">
          <cell r="B32">
            <v>29691</v>
          </cell>
          <cell r="C32" t="str">
            <v>Natural Balance Shake chocolate</v>
          </cell>
          <cell r="D32">
            <v>45</v>
          </cell>
          <cell r="E32">
            <v>1999</v>
          </cell>
          <cell r="F32">
            <v>4000</v>
          </cell>
          <cell r="G32">
            <v>2399</v>
          </cell>
          <cell r="H32">
            <v>5000</v>
          </cell>
          <cell r="I32">
            <v>2999</v>
          </cell>
          <cell r="J32">
            <v>0.4002</v>
          </cell>
          <cell r="K32" t="str">
            <v>2</v>
          </cell>
          <cell r="L32" t="str">
            <v>CTLG-MC</v>
          </cell>
        </row>
        <row r="33">
          <cell r="B33">
            <v>29691</v>
          </cell>
          <cell r="C33" t="str">
            <v>Natural Balance Shake chocolate</v>
          </cell>
          <cell r="D33">
            <v>45</v>
          </cell>
          <cell r="E33">
            <v>0</v>
          </cell>
          <cell r="F33">
            <v>4000</v>
          </cell>
          <cell r="G33">
            <v>1</v>
          </cell>
          <cell r="H33">
            <v>5000</v>
          </cell>
          <cell r="I33">
            <v>1</v>
          </cell>
          <cell r="J33">
            <v>0.99980000000000002</v>
          </cell>
          <cell r="K33" t="str">
            <v>2</v>
          </cell>
          <cell r="L33" t="str">
            <v>CTLG-MC</v>
          </cell>
        </row>
        <row r="34">
          <cell r="B34">
            <v>29695</v>
          </cell>
          <cell r="C34" t="str">
            <v>Natural Balance Soup asparagus</v>
          </cell>
          <cell r="D34">
            <v>45</v>
          </cell>
          <cell r="E34">
            <v>2999</v>
          </cell>
          <cell r="F34">
            <v>4000</v>
          </cell>
          <cell r="G34">
            <v>3599</v>
          </cell>
          <cell r="H34">
            <v>5000</v>
          </cell>
          <cell r="I34">
            <v>4499</v>
          </cell>
          <cell r="J34">
            <v>0.1002</v>
          </cell>
          <cell r="K34" t="str">
            <v>2</v>
          </cell>
          <cell r="L34" t="str">
            <v>CTLG-MC</v>
          </cell>
        </row>
        <row r="35">
          <cell r="B35">
            <v>29695</v>
          </cell>
          <cell r="C35" t="str">
            <v>Natural Balance Soup asparagus</v>
          </cell>
          <cell r="D35">
            <v>45</v>
          </cell>
          <cell r="E35">
            <v>1999</v>
          </cell>
          <cell r="F35">
            <v>4000</v>
          </cell>
          <cell r="G35">
            <v>2399</v>
          </cell>
          <cell r="H35">
            <v>5000</v>
          </cell>
          <cell r="I35">
            <v>2999</v>
          </cell>
          <cell r="J35">
            <v>0.4002</v>
          </cell>
          <cell r="K35" t="str">
            <v>2</v>
          </cell>
          <cell r="L35" t="str">
            <v>CTLG-MC</v>
          </cell>
        </row>
        <row r="36">
          <cell r="B36">
            <v>29695</v>
          </cell>
          <cell r="C36" t="str">
            <v>Natural Balance Soup asparagus</v>
          </cell>
          <cell r="D36">
            <v>45</v>
          </cell>
          <cell r="E36">
            <v>0</v>
          </cell>
          <cell r="F36">
            <v>4000</v>
          </cell>
          <cell r="G36">
            <v>1</v>
          </cell>
          <cell r="H36">
            <v>5000</v>
          </cell>
          <cell r="I36">
            <v>1</v>
          </cell>
          <cell r="J36">
            <v>0.99980000000000002</v>
          </cell>
          <cell r="K36" t="str">
            <v>2</v>
          </cell>
          <cell r="L36" t="str">
            <v>CTLG-MC</v>
          </cell>
        </row>
        <row r="37">
          <cell r="B37">
            <v>36169</v>
          </cell>
          <cell r="C37" t="str">
            <v xml:space="preserve">Protein Blend (AminoLabs) </v>
          </cell>
          <cell r="D37">
            <v>45</v>
          </cell>
          <cell r="E37">
            <v>2999</v>
          </cell>
          <cell r="F37">
            <v>4000</v>
          </cell>
          <cell r="G37">
            <v>3599</v>
          </cell>
          <cell r="H37">
            <v>5000</v>
          </cell>
          <cell r="I37">
            <v>4499</v>
          </cell>
          <cell r="J37">
            <v>0.1002</v>
          </cell>
          <cell r="K37" t="str">
            <v>2</v>
          </cell>
          <cell r="L37" t="str">
            <v>CTLG-MC</v>
          </cell>
        </row>
        <row r="38">
          <cell r="B38">
            <v>36169</v>
          </cell>
          <cell r="C38" t="str">
            <v xml:space="preserve">Protein Blend (AminoLabs) </v>
          </cell>
          <cell r="D38">
            <v>45</v>
          </cell>
          <cell r="E38">
            <v>1999</v>
          </cell>
          <cell r="F38">
            <v>4000</v>
          </cell>
          <cell r="G38">
            <v>2399</v>
          </cell>
          <cell r="H38">
            <v>5000</v>
          </cell>
          <cell r="I38">
            <v>2999</v>
          </cell>
          <cell r="J38">
            <v>0.4002</v>
          </cell>
          <cell r="K38" t="str">
            <v>2</v>
          </cell>
          <cell r="L38" t="str">
            <v>CTLG-MC</v>
          </cell>
        </row>
        <row r="39">
          <cell r="B39">
            <v>36169</v>
          </cell>
          <cell r="C39" t="str">
            <v xml:space="preserve">Protein Blend (AminoLabs) </v>
          </cell>
          <cell r="D39">
            <v>45</v>
          </cell>
          <cell r="E39">
            <v>0</v>
          </cell>
          <cell r="F39">
            <v>4000</v>
          </cell>
          <cell r="G39">
            <v>1</v>
          </cell>
          <cell r="H39">
            <v>5000</v>
          </cell>
          <cell r="I39">
            <v>1</v>
          </cell>
          <cell r="J39">
            <v>0.99980000000000002</v>
          </cell>
          <cell r="K39" t="str">
            <v>2</v>
          </cell>
          <cell r="L39" t="str">
            <v>CTLG-MC</v>
          </cell>
        </row>
        <row r="40">
          <cell r="A40">
            <v>46068</v>
          </cell>
          <cell r="B40">
            <v>46068</v>
          </cell>
          <cell r="C40" t="str">
            <v xml:space="preserve">Wellosophy Scoop </v>
          </cell>
          <cell r="D40">
            <v>1</v>
          </cell>
          <cell r="E40">
            <v>40</v>
          </cell>
          <cell r="F40">
            <v>95</v>
          </cell>
          <cell r="G40">
            <v>95</v>
          </cell>
          <cell r="H40">
            <v>119</v>
          </cell>
          <cell r="I40">
            <v>119</v>
          </cell>
          <cell r="J40">
            <v>0</v>
          </cell>
          <cell r="K40" t="str">
            <v>1</v>
          </cell>
          <cell r="L40" t="str">
            <v>CTLG-MC</v>
          </cell>
          <cell r="M40">
            <v>46068</v>
          </cell>
        </row>
        <row r="41">
          <cell r="A41">
            <v>46664</v>
          </cell>
          <cell r="B41">
            <v>46664</v>
          </cell>
          <cell r="C41" t="str">
            <v>Wellosophy Smartshake Bottle</v>
          </cell>
          <cell r="D41">
            <v>14</v>
          </cell>
          <cell r="E41">
            <v>467</v>
          </cell>
          <cell r="F41">
            <v>1119</v>
          </cell>
          <cell r="G41">
            <v>1119</v>
          </cell>
          <cell r="H41">
            <v>1399</v>
          </cell>
          <cell r="I41">
            <v>1399</v>
          </cell>
          <cell r="J41">
            <v>0</v>
          </cell>
          <cell r="K41" t="str">
            <v>1</v>
          </cell>
          <cell r="L41" t="str">
            <v>CTLG-MC</v>
          </cell>
          <cell r="M41">
            <v>46664</v>
          </cell>
        </row>
        <row r="42">
          <cell r="A42">
            <v>46684</v>
          </cell>
          <cell r="B42">
            <v>46684</v>
          </cell>
          <cell r="C42" t="str">
            <v>Wellosophy Hydrate Water Bottle</v>
          </cell>
          <cell r="D42">
            <v>14</v>
          </cell>
          <cell r="E42">
            <v>467</v>
          </cell>
          <cell r="F42">
            <v>1119</v>
          </cell>
          <cell r="G42">
            <v>1119</v>
          </cell>
          <cell r="H42">
            <v>1399</v>
          </cell>
          <cell r="I42">
            <v>1399</v>
          </cell>
          <cell r="J42">
            <v>0</v>
          </cell>
          <cell r="K42" t="str">
            <v>1</v>
          </cell>
          <cell r="L42" t="str">
            <v>CTLG-MC</v>
          </cell>
          <cell r="M42">
            <v>46684</v>
          </cell>
        </row>
        <row r="43">
          <cell r="A43">
            <v>29688</v>
          </cell>
          <cell r="B43">
            <v>29688</v>
          </cell>
          <cell r="C43" t="str">
            <v>Astaxanthin &amp; Bilberry Extract</v>
          </cell>
          <cell r="D43">
            <v>29</v>
          </cell>
          <cell r="E43">
            <v>1867</v>
          </cell>
          <cell r="F43">
            <v>2240</v>
          </cell>
          <cell r="G43">
            <v>2240</v>
          </cell>
          <cell r="H43">
            <v>2800</v>
          </cell>
          <cell r="I43">
            <v>2800</v>
          </cell>
          <cell r="J43">
            <v>0</v>
          </cell>
          <cell r="K43" t="str">
            <v>1</v>
          </cell>
          <cell r="L43" t="str">
            <v>CTLG-MC</v>
          </cell>
          <cell r="M43">
            <v>29688</v>
          </cell>
        </row>
        <row r="44">
          <cell r="B44">
            <v>29688</v>
          </cell>
          <cell r="C44" t="str">
            <v>Astaxanthin &amp; Bilberry Extract</v>
          </cell>
          <cell r="D44">
            <v>29</v>
          </cell>
          <cell r="E44">
            <v>1333</v>
          </cell>
          <cell r="F44">
            <v>2240</v>
          </cell>
          <cell r="G44">
            <v>1599</v>
          </cell>
          <cell r="H44">
            <v>2800</v>
          </cell>
          <cell r="I44">
            <v>1999</v>
          </cell>
          <cell r="J44">
            <v>0.28607142857142898</v>
          </cell>
          <cell r="K44" t="str">
            <v>1</v>
          </cell>
          <cell r="L44" t="str">
            <v>CTLG-MC</v>
          </cell>
        </row>
        <row r="45">
          <cell r="B45">
            <v>29688</v>
          </cell>
          <cell r="C45" t="str">
            <v>Astaxanthin &amp; Bilberry Extract</v>
          </cell>
          <cell r="D45">
            <v>29</v>
          </cell>
          <cell r="E45">
            <v>0</v>
          </cell>
          <cell r="F45">
            <v>2240</v>
          </cell>
          <cell r="G45">
            <v>1</v>
          </cell>
          <cell r="H45">
            <v>2800</v>
          </cell>
          <cell r="I45">
            <v>1</v>
          </cell>
          <cell r="J45">
            <v>0.99964285714285706</v>
          </cell>
          <cell r="K45" t="str">
            <v>1</v>
          </cell>
          <cell r="L45" t="str">
            <v>CTLG-MC</v>
          </cell>
        </row>
        <row r="46">
          <cell r="A46">
            <v>29689</v>
          </cell>
          <cell r="B46">
            <v>29689</v>
          </cell>
          <cell r="C46" t="str">
            <v>Natural Balance Shake strawberry</v>
          </cell>
          <cell r="D46">
            <v>52</v>
          </cell>
          <cell r="E46">
            <v>3333</v>
          </cell>
          <cell r="F46">
            <v>4000</v>
          </cell>
          <cell r="G46">
            <v>4000</v>
          </cell>
          <cell r="H46">
            <v>5000</v>
          </cell>
          <cell r="I46">
            <v>5000</v>
          </cell>
          <cell r="J46">
            <v>0</v>
          </cell>
          <cell r="K46" t="str">
            <v>1</v>
          </cell>
          <cell r="L46" t="str">
            <v>CTLG-MC</v>
          </cell>
          <cell r="M46">
            <v>29689</v>
          </cell>
        </row>
        <row r="47">
          <cell r="B47">
            <v>29689</v>
          </cell>
          <cell r="C47" t="str">
            <v>Natural Balance Shake strawberry</v>
          </cell>
          <cell r="D47">
            <v>52</v>
          </cell>
          <cell r="E47">
            <v>2333</v>
          </cell>
          <cell r="F47">
            <v>4000</v>
          </cell>
          <cell r="G47">
            <v>2799</v>
          </cell>
          <cell r="H47">
            <v>5000</v>
          </cell>
          <cell r="I47">
            <v>3499</v>
          </cell>
          <cell r="J47">
            <v>0.30020000000000002</v>
          </cell>
          <cell r="K47" t="str">
            <v>1</v>
          </cell>
          <cell r="L47" t="str">
            <v>CTLG-MC</v>
          </cell>
        </row>
        <row r="48">
          <cell r="B48">
            <v>29689</v>
          </cell>
          <cell r="C48" t="str">
            <v>Natural Balance Shake strawberry</v>
          </cell>
          <cell r="D48">
            <v>52</v>
          </cell>
          <cell r="E48">
            <v>0</v>
          </cell>
          <cell r="F48">
            <v>4000</v>
          </cell>
          <cell r="G48">
            <v>1</v>
          </cell>
          <cell r="H48">
            <v>5000</v>
          </cell>
          <cell r="I48">
            <v>1</v>
          </cell>
          <cell r="J48">
            <v>0.99980000000000002</v>
          </cell>
          <cell r="K48" t="str">
            <v>1</v>
          </cell>
          <cell r="L48" t="str">
            <v>CTLG-MC</v>
          </cell>
        </row>
        <row r="49">
          <cell r="A49">
            <v>29690</v>
          </cell>
          <cell r="B49">
            <v>29690</v>
          </cell>
          <cell r="C49" t="str">
            <v>Natural Balance Shake vanilla</v>
          </cell>
          <cell r="D49">
            <v>52</v>
          </cell>
          <cell r="E49">
            <v>3333</v>
          </cell>
          <cell r="F49">
            <v>4000</v>
          </cell>
          <cell r="G49">
            <v>4000</v>
          </cell>
          <cell r="H49">
            <v>5000</v>
          </cell>
          <cell r="I49">
            <v>5000</v>
          </cell>
          <cell r="J49">
            <v>0</v>
          </cell>
          <cell r="K49" t="str">
            <v>1</v>
          </cell>
          <cell r="L49" t="str">
            <v>CTLG-MC</v>
          </cell>
          <cell r="M49">
            <v>29690</v>
          </cell>
        </row>
        <row r="50">
          <cell r="B50">
            <v>29690</v>
          </cell>
          <cell r="C50" t="str">
            <v>Natural Balance Shake vanilla</v>
          </cell>
          <cell r="D50">
            <v>52</v>
          </cell>
          <cell r="E50">
            <v>2333</v>
          </cell>
          <cell r="F50">
            <v>4000</v>
          </cell>
          <cell r="G50">
            <v>2799</v>
          </cell>
          <cell r="H50">
            <v>5000</v>
          </cell>
          <cell r="I50">
            <v>3499</v>
          </cell>
          <cell r="J50">
            <v>0.30020000000000002</v>
          </cell>
          <cell r="K50" t="str">
            <v>1</v>
          </cell>
          <cell r="L50" t="str">
            <v>CTLG-MC</v>
          </cell>
        </row>
        <row r="51">
          <cell r="B51">
            <v>29690</v>
          </cell>
          <cell r="C51" t="str">
            <v>Natural Balance Shake vanilla</v>
          </cell>
          <cell r="D51">
            <v>52</v>
          </cell>
          <cell r="E51">
            <v>0</v>
          </cell>
          <cell r="F51">
            <v>4000</v>
          </cell>
          <cell r="G51">
            <v>1</v>
          </cell>
          <cell r="H51">
            <v>5000</v>
          </cell>
          <cell r="I51">
            <v>1</v>
          </cell>
          <cell r="J51">
            <v>0.99980000000000002</v>
          </cell>
          <cell r="K51" t="str">
            <v>1</v>
          </cell>
          <cell r="L51" t="str">
            <v>CTLG-MC</v>
          </cell>
        </row>
        <row r="52">
          <cell r="A52">
            <v>29691</v>
          </cell>
          <cell r="B52">
            <v>29691</v>
          </cell>
          <cell r="C52" t="str">
            <v>Natural Balance Shake chocolate</v>
          </cell>
          <cell r="D52">
            <v>52</v>
          </cell>
          <cell r="E52">
            <v>3333</v>
          </cell>
          <cell r="F52">
            <v>4000</v>
          </cell>
          <cell r="G52">
            <v>4000</v>
          </cell>
          <cell r="H52">
            <v>5000</v>
          </cell>
          <cell r="I52">
            <v>5000</v>
          </cell>
          <cell r="J52">
            <v>0</v>
          </cell>
          <cell r="K52" t="str">
            <v>1</v>
          </cell>
          <cell r="L52" t="str">
            <v>CTLG-MC</v>
          </cell>
          <cell r="M52">
            <v>29691</v>
          </cell>
        </row>
        <row r="53">
          <cell r="B53">
            <v>29691</v>
          </cell>
          <cell r="C53" t="str">
            <v>Natural Balance Shake chocolate</v>
          </cell>
          <cell r="D53">
            <v>52</v>
          </cell>
          <cell r="E53">
            <v>2333</v>
          </cell>
          <cell r="F53">
            <v>4000</v>
          </cell>
          <cell r="G53">
            <v>2799</v>
          </cell>
          <cell r="H53">
            <v>5000</v>
          </cell>
          <cell r="I53">
            <v>3499</v>
          </cell>
          <cell r="J53">
            <v>0.30020000000000002</v>
          </cell>
          <cell r="K53" t="str">
            <v>1</v>
          </cell>
          <cell r="L53" t="str">
            <v>CTLG-MC</v>
          </cell>
        </row>
        <row r="54">
          <cell r="B54">
            <v>29691</v>
          </cell>
          <cell r="C54" t="str">
            <v>Natural Balance Shake chocolate</v>
          </cell>
          <cell r="D54">
            <v>52</v>
          </cell>
          <cell r="E54">
            <v>0</v>
          </cell>
          <cell r="F54">
            <v>4000</v>
          </cell>
          <cell r="G54">
            <v>1</v>
          </cell>
          <cell r="H54">
            <v>5000</v>
          </cell>
          <cell r="I54">
            <v>1</v>
          </cell>
          <cell r="J54">
            <v>0.99980000000000002</v>
          </cell>
          <cell r="K54" t="str">
            <v>1</v>
          </cell>
          <cell r="L54" t="str">
            <v>CTLG-MC</v>
          </cell>
        </row>
        <row r="55">
          <cell r="A55">
            <v>29696</v>
          </cell>
          <cell r="B55">
            <v>29696</v>
          </cell>
          <cell r="C55" t="str">
            <v>WellnessPack woman</v>
          </cell>
          <cell r="D55">
            <v>50</v>
          </cell>
          <cell r="E55">
            <v>3000</v>
          </cell>
          <cell r="F55">
            <v>3600</v>
          </cell>
          <cell r="G55">
            <v>3600</v>
          </cell>
          <cell r="H55">
            <v>4500</v>
          </cell>
          <cell r="I55">
            <v>4500</v>
          </cell>
          <cell r="J55">
            <v>0</v>
          </cell>
          <cell r="K55" t="str">
            <v>1</v>
          </cell>
          <cell r="L55" t="str">
            <v>CTLG-MC</v>
          </cell>
          <cell r="M55">
            <v>29696</v>
          </cell>
        </row>
        <row r="56">
          <cell r="B56">
            <v>29696</v>
          </cell>
          <cell r="C56" t="str">
            <v>WellnessPack woman</v>
          </cell>
          <cell r="D56">
            <v>50</v>
          </cell>
          <cell r="E56">
            <v>2133</v>
          </cell>
          <cell r="F56">
            <v>3600</v>
          </cell>
          <cell r="G56">
            <v>2559</v>
          </cell>
          <cell r="H56">
            <v>4500</v>
          </cell>
          <cell r="I56">
            <v>3199</v>
          </cell>
          <cell r="J56">
            <v>0.28911111111111099</v>
          </cell>
          <cell r="K56" t="str">
            <v>1</v>
          </cell>
          <cell r="L56" t="str">
            <v>CTLG-MC</v>
          </cell>
        </row>
        <row r="57">
          <cell r="B57">
            <v>29696</v>
          </cell>
          <cell r="C57" t="str">
            <v>WellnessPack woman</v>
          </cell>
          <cell r="D57">
            <v>50</v>
          </cell>
          <cell r="E57">
            <v>0</v>
          </cell>
          <cell r="F57">
            <v>3600</v>
          </cell>
          <cell r="G57">
            <v>1</v>
          </cell>
          <cell r="H57">
            <v>4500</v>
          </cell>
          <cell r="I57">
            <v>1</v>
          </cell>
          <cell r="J57">
            <v>0.99977777777777799</v>
          </cell>
          <cell r="K57" t="str">
            <v>1</v>
          </cell>
          <cell r="L57" t="str">
            <v>CTLG-MC</v>
          </cell>
        </row>
        <row r="58">
          <cell r="A58">
            <v>29697</v>
          </cell>
          <cell r="B58">
            <v>29697</v>
          </cell>
          <cell r="C58" t="str">
            <v>WellnessPack man</v>
          </cell>
          <cell r="D58">
            <v>50</v>
          </cell>
          <cell r="E58">
            <v>3000</v>
          </cell>
          <cell r="F58">
            <v>3600</v>
          </cell>
          <cell r="G58">
            <v>3600</v>
          </cell>
          <cell r="H58">
            <v>4500</v>
          </cell>
          <cell r="I58">
            <v>4500</v>
          </cell>
          <cell r="J58">
            <v>0</v>
          </cell>
          <cell r="K58" t="str">
            <v>1</v>
          </cell>
          <cell r="L58" t="str">
            <v>CTLG-MC</v>
          </cell>
          <cell r="M58">
            <v>29697</v>
          </cell>
        </row>
        <row r="59">
          <cell r="B59">
            <v>29697</v>
          </cell>
          <cell r="C59" t="str">
            <v>WellnessPack man</v>
          </cell>
          <cell r="D59">
            <v>50</v>
          </cell>
          <cell r="E59">
            <v>2133</v>
          </cell>
          <cell r="F59">
            <v>3600</v>
          </cell>
          <cell r="G59">
            <v>2559</v>
          </cell>
          <cell r="H59">
            <v>4500</v>
          </cell>
          <cell r="I59">
            <v>3199</v>
          </cell>
          <cell r="J59">
            <v>0.28911111111111099</v>
          </cell>
          <cell r="K59" t="str">
            <v>1</v>
          </cell>
          <cell r="L59" t="str">
            <v>CTLG-MC</v>
          </cell>
        </row>
        <row r="60">
          <cell r="B60">
            <v>29697</v>
          </cell>
          <cell r="C60" t="str">
            <v>WellnessPack man</v>
          </cell>
          <cell r="D60">
            <v>50</v>
          </cell>
          <cell r="E60">
            <v>0</v>
          </cell>
          <cell r="F60">
            <v>3600</v>
          </cell>
          <cell r="G60">
            <v>1</v>
          </cell>
          <cell r="H60">
            <v>4500</v>
          </cell>
          <cell r="I60">
            <v>1</v>
          </cell>
          <cell r="J60">
            <v>0.99977777777777799</v>
          </cell>
          <cell r="K60" t="str">
            <v>1</v>
          </cell>
          <cell r="L60" t="str">
            <v>CTLG-MC</v>
          </cell>
        </row>
        <row r="61">
          <cell r="A61">
            <v>29705</v>
          </cell>
          <cell r="B61">
            <v>29705</v>
          </cell>
          <cell r="C61" t="str">
            <v>Omega 3</v>
          </cell>
          <cell r="D61">
            <v>24</v>
          </cell>
          <cell r="E61">
            <v>1533</v>
          </cell>
          <cell r="F61">
            <v>1840</v>
          </cell>
          <cell r="G61">
            <v>1840</v>
          </cell>
          <cell r="H61">
            <v>2300</v>
          </cell>
          <cell r="I61">
            <v>2300</v>
          </cell>
          <cell r="J61">
            <v>0</v>
          </cell>
          <cell r="K61" t="str">
            <v>1</v>
          </cell>
          <cell r="L61" t="str">
            <v>CTLG-MC</v>
          </cell>
          <cell r="M61">
            <v>29705</v>
          </cell>
        </row>
        <row r="62">
          <cell r="B62">
            <v>29705</v>
          </cell>
          <cell r="C62" t="str">
            <v>Omega 3</v>
          </cell>
          <cell r="D62">
            <v>24</v>
          </cell>
          <cell r="E62">
            <v>1066</v>
          </cell>
          <cell r="F62">
            <v>1840</v>
          </cell>
          <cell r="G62">
            <v>1279</v>
          </cell>
          <cell r="H62">
            <v>2300</v>
          </cell>
          <cell r="I62">
            <v>1599</v>
          </cell>
          <cell r="J62">
            <v>0.30478260869565199</v>
          </cell>
          <cell r="K62" t="str">
            <v>1</v>
          </cell>
          <cell r="L62" t="str">
            <v>CTLG-MC</v>
          </cell>
        </row>
        <row r="63">
          <cell r="B63">
            <v>29705</v>
          </cell>
          <cell r="C63" t="str">
            <v>Omega 3</v>
          </cell>
          <cell r="D63">
            <v>24</v>
          </cell>
          <cell r="E63">
            <v>0</v>
          </cell>
          <cell r="F63">
            <v>1840</v>
          </cell>
          <cell r="G63">
            <v>1</v>
          </cell>
          <cell r="H63">
            <v>2300</v>
          </cell>
          <cell r="I63">
            <v>1</v>
          </cell>
          <cell r="J63">
            <v>0.999565217391304</v>
          </cell>
          <cell r="K63" t="str">
            <v>1</v>
          </cell>
          <cell r="L63" t="str">
            <v>CTLG-MC</v>
          </cell>
        </row>
        <row r="64">
          <cell r="A64">
            <v>37285</v>
          </cell>
          <cell r="B64">
            <v>37285</v>
          </cell>
          <cell r="C64" t="str">
            <v>Wellosophy NBS Strawberry</v>
          </cell>
          <cell r="D64">
            <v>52</v>
          </cell>
          <cell r="E64">
            <v>3333</v>
          </cell>
          <cell r="F64">
            <v>4000</v>
          </cell>
          <cell r="G64">
            <v>4000</v>
          </cell>
          <cell r="H64">
            <v>5000</v>
          </cell>
          <cell r="I64">
            <v>5000</v>
          </cell>
          <cell r="J64">
            <v>0</v>
          </cell>
          <cell r="K64" t="str">
            <v>1</v>
          </cell>
          <cell r="L64" t="str">
            <v>CTLG-MC</v>
          </cell>
          <cell r="M64">
            <v>37285</v>
          </cell>
        </row>
        <row r="65">
          <cell r="B65">
            <v>37285</v>
          </cell>
          <cell r="C65" t="str">
            <v>Wellosophy NBS Strawberry</v>
          </cell>
          <cell r="D65">
            <v>52</v>
          </cell>
          <cell r="E65">
            <v>0</v>
          </cell>
          <cell r="F65">
            <v>4000</v>
          </cell>
          <cell r="G65">
            <v>1</v>
          </cell>
          <cell r="H65">
            <v>5000</v>
          </cell>
          <cell r="I65">
            <v>1</v>
          </cell>
          <cell r="J65">
            <v>0.99980000000000002</v>
          </cell>
          <cell r="K65" t="str">
            <v>1</v>
          </cell>
          <cell r="L65" t="str">
            <v>CTLG-MC</v>
          </cell>
        </row>
        <row r="66">
          <cell r="A66">
            <v>37289</v>
          </cell>
          <cell r="B66">
            <v>37289</v>
          </cell>
          <cell r="C66" t="str">
            <v>Wellosophy NBS Chocolate</v>
          </cell>
          <cell r="D66">
            <v>52</v>
          </cell>
          <cell r="E66">
            <v>3333</v>
          </cell>
          <cell r="F66">
            <v>4000</v>
          </cell>
          <cell r="G66">
            <v>4000</v>
          </cell>
          <cell r="H66">
            <v>5000</v>
          </cell>
          <cell r="I66">
            <v>5000</v>
          </cell>
          <cell r="J66">
            <v>0</v>
          </cell>
          <cell r="K66" t="str">
            <v>1</v>
          </cell>
          <cell r="L66" t="str">
            <v>CTLG-MC</v>
          </cell>
          <cell r="M66">
            <v>37289</v>
          </cell>
        </row>
        <row r="67">
          <cell r="B67">
            <v>37289</v>
          </cell>
          <cell r="C67" t="str">
            <v>Wellosophy NBS Chocolate</v>
          </cell>
          <cell r="D67">
            <v>52</v>
          </cell>
          <cell r="E67">
            <v>0</v>
          </cell>
          <cell r="F67">
            <v>4000</v>
          </cell>
          <cell r="G67">
            <v>1</v>
          </cell>
          <cell r="H67">
            <v>5000</v>
          </cell>
          <cell r="I67">
            <v>1</v>
          </cell>
          <cell r="J67">
            <v>0.99980000000000002</v>
          </cell>
          <cell r="K67" t="str">
            <v>1</v>
          </cell>
          <cell r="L67" t="str">
            <v>CTLG-MC</v>
          </cell>
        </row>
        <row r="68">
          <cell r="A68">
            <v>37290</v>
          </cell>
          <cell r="B68">
            <v>37290</v>
          </cell>
          <cell r="C68" t="str">
            <v>Wellosophy NBS Vanilla</v>
          </cell>
          <cell r="D68">
            <v>52</v>
          </cell>
          <cell r="E68">
            <v>3333</v>
          </cell>
          <cell r="F68">
            <v>4000</v>
          </cell>
          <cell r="G68">
            <v>4000</v>
          </cell>
          <cell r="H68">
            <v>5000</v>
          </cell>
          <cell r="I68">
            <v>5000</v>
          </cell>
          <cell r="J68">
            <v>0</v>
          </cell>
          <cell r="K68" t="str">
            <v>1</v>
          </cell>
          <cell r="L68" t="str">
            <v>CTLG-MC</v>
          </cell>
          <cell r="M68">
            <v>37290</v>
          </cell>
        </row>
        <row r="69">
          <cell r="B69">
            <v>37290</v>
          </cell>
          <cell r="C69" t="str">
            <v>Wellosophy NBS Vanilla</v>
          </cell>
          <cell r="D69">
            <v>52</v>
          </cell>
          <cell r="E69">
            <v>0</v>
          </cell>
          <cell r="F69">
            <v>4000</v>
          </cell>
          <cell r="G69">
            <v>1</v>
          </cell>
          <cell r="H69">
            <v>5000</v>
          </cell>
          <cell r="I69">
            <v>1</v>
          </cell>
          <cell r="J69">
            <v>0.99980000000000002</v>
          </cell>
          <cell r="K69" t="str">
            <v>1</v>
          </cell>
          <cell r="L69" t="str">
            <v>CTLG-MC</v>
          </cell>
        </row>
        <row r="70">
          <cell r="A70">
            <v>38556</v>
          </cell>
          <cell r="B70">
            <v>38556</v>
          </cell>
          <cell r="C70" t="str">
            <v>Wellosophy Omega 3</v>
          </cell>
          <cell r="D70">
            <v>24</v>
          </cell>
          <cell r="E70">
            <v>1533</v>
          </cell>
          <cell r="F70">
            <v>1840</v>
          </cell>
          <cell r="G70">
            <v>1840</v>
          </cell>
          <cell r="H70">
            <v>2300</v>
          </cell>
          <cell r="I70">
            <v>2300</v>
          </cell>
          <cell r="J70">
            <v>0</v>
          </cell>
          <cell r="K70" t="str">
            <v>1</v>
          </cell>
          <cell r="L70" t="str">
            <v>CTLG-MC</v>
          </cell>
          <cell r="M70">
            <v>38556</v>
          </cell>
        </row>
        <row r="71">
          <cell r="B71">
            <v>38556</v>
          </cell>
          <cell r="C71" t="str">
            <v>Wellosophy Omega 3</v>
          </cell>
          <cell r="D71">
            <v>24</v>
          </cell>
          <cell r="E71">
            <v>0</v>
          </cell>
          <cell r="F71">
            <v>1840</v>
          </cell>
          <cell r="G71">
            <v>1</v>
          </cell>
          <cell r="H71">
            <v>2300</v>
          </cell>
          <cell r="I71">
            <v>1</v>
          </cell>
          <cell r="J71">
            <v>0.999565217391304</v>
          </cell>
          <cell r="K71" t="str">
            <v>1</v>
          </cell>
          <cell r="L71" t="str">
            <v>CTLG-MC</v>
          </cell>
        </row>
        <row r="72">
          <cell r="A72">
            <v>38557</v>
          </cell>
          <cell r="B72">
            <v>38557</v>
          </cell>
          <cell r="C72" t="str">
            <v>Wellosophy Astaxanthin</v>
          </cell>
          <cell r="D72">
            <v>29</v>
          </cell>
          <cell r="E72">
            <v>1867</v>
          </cell>
          <cell r="F72">
            <v>2240</v>
          </cell>
          <cell r="G72">
            <v>2240</v>
          </cell>
          <cell r="H72">
            <v>2800</v>
          </cell>
          <cell r="I72">
            <v>2800</v>
          </cell>
          <cell r="J72">
            <v>0</v>
          </cell>
          <cell r="K72" t="str">
            <v>1</v>
          </cell>
          <cell r="L72" t="str">
            <v>CTLG-MC</v>
          </cell>
          <cell r="M72">
            <v>38557</v>
          </cell>
        </row>
        <row r="73">
          <cell r="B73">
            <v>38557</v>
          </cell>
          <cell r="C73" t="str">
            <v>Wellosophy Astaxanthin</v>
          </cell>
          <cell r="D73">
            <v>29</v>
          </cell>
          <cell r="E73">
            <v>0</v>
          </cell>
          <cell r="F73">
            <v>2240</v>
          </cell>
          <cell r="G73">
            <v>1</v>
          </cell>
          <cell r="H73">
            <v>2800</v>
          </cell>
          <cell r="I73">
            <v>1</v>
          </cell>
          <cell r="J73">
            <v>0.99964285714285706</v>
          </cell>
          <cell r="K73" t="str">
            <v>1</v>
          </cell>
          <cell r="L73" t="str">
            <v>CTLG-MC</v>
          </cell>
        </row>
        <row r="74">
          <cell r="A74">
            <v>38558</v>
          </cell>
          <cell r="B74">
            <v>38558</v>
          </cell>
          <cell r="C74" t="str">
            <v xml:space="preserve">Wellosophy MVM Man </v>
          </cell>
          <cell r="D74">
            <v>29</v>
          </cell>
          <cell r="E74">
            <v>1867</v>
          </cell>
          <cell r="F74">
            <v>2240</v>
          </cell>
          <cell r="G74">
            <v>2240</v>
          </cell>
          <cell r="H74">
            <v>2800</v>
          </cell>
          <cell r="I74">
            <v>2800</v>
          </cell>
          <cell r="J74">
            <v>0</v>
          </cell>
          <cell r="K74" t="str">
            <v>1</v>
          </cell>
          <cell r="L74" t="str">
            <v>CTLG-MC</v>
          </cell>
          <cell r="M74">
            <v>38558</v>
          </cell>
        </row>
        <row r="75">
          <cell r="A75">
            <v>38559</v>
          </cell>
          <cell r="B75">
            <v>38559</v>
          </cell>
          <cell r="C75" t="str">
            <v>Wellosophy MVM Woman</v>
          </cell>
          <cell r="D75">
            <v>29</v>
          </cell>
          <cell r="E75">
            <v>1867</v>
          </cell>
          <cell r="F75">
            <v>2240</v>
          </cell>
          <cell r="G75">
            <v>2240</v>
          </cell>
          <cell r="H75">
            <v>2800</v>
          </cell>
          <cell r="I75">
            <v>2800</v>
          </cell>
          <cell r="J75">
            <v>0</v>
          </cell>
          <cell r="K75" t="str">
            <v>1</v>
          </cell>
          <cell r="L75" t="str">
            <v>CTLG-MC</v>
          </cell>
          <cell r="M75">
            <v>38559</v>
          </cell>
        </row>
        <row r="76">
          <cell r="A76">
            <v>38836</v>
          </cell>
          <cell r="B76">
            <v>38836</v>
          </cell>
          <cell r="C76" t="str">
            <v>Wellosophy Wellness Pack Man</v>
          </cell>
          <cell r="D76">
            <v>50</v>
          </cell>
          <cell r="E76">
            <v>3000</v>
          </cell>
          <cell r="F76">
            <v>3600</v>
          </cell>
          <cell r="G76">
            <v>3600</v>
          </cell>
          <cell r="H76">
            <v>4500</v>
          </cell>
          <cell r="I76">
            <v>4500</v>
          </cell>
          <cell r="J76">
            <v>0</v>
          </cell>
          <cell r="K76" t="str">
            <v>1</v>
          </cell>
          <cell r="L76" t="str">
            <v>CTLG-MC</v>
          </cell>
          <cell r="M76">
            <v>38836</v>
          </cell>
        </row>
        <row r="77">
          <cell r="B77">
            <v>38836</v>
          </cell>
          <cell r="C77" t="str">
            <v>Wellosophy Wellness Pack Man</v>
          </cell>
          <cell r="D77">
            <v>50</v>
          </cell>
          <cell r="E77">
            <v>0</v>
          </cell>
          <cell r="F77">
            <v>3600</v>
          </cell>
          <cell r="G77">
            <v>1</v>
          </cell>
          <cell r="H77">
            <v>4500</v>
          </cell>
          <cell r="I77">
            <v>1</v>
          </cell>
          <cell r="J77">
            <v>0.99977777777777799</v>
          </cell>
          <cell r="K77" t="str">
            <v>1</v>
          </cell>
          <cell r="L77" t="str">
            <v>CTLG-MC</v>
          </cell>
        </row>
        <row r="78">
          <cell r="A78">
            <v>38838</v>
          </cell>
          <cell r="B78">
            <v>38838</v>
          </cell>
          <cell r="C78" t="str">
            <v>Wellosophy Wellness Pack Woman</v>
          </cell>
          <cell r="D78">
            <v>50</v>
          </cell>
          <cell r="E78">
            <v>3000</v>
          </cell>
          <cell r="F78">
            <v>3600</v>
          </cell>
          <cell r="G78">
            <v>3600</v>
          </cell>
          <cell r="H78">
            <v>4500</v>
          </cell>
          <cell r="I78">
            <v>4500</v>
          </cell>
          <cell r="J78">
            <v>0</v>
          </cell>
          <cell r="K78" t="str">
            <v>1</v>
          </cell>
          <cell r="L78" t="str">
            <v>CTLG-MC</v>
          </cell>
          <cell r="M78">
            <v>38838</v>
          </cell>
        </row>
        <row r="79">
          <cell r="B79">
            <v>38838</v>
          </cell>
          <cell r="C79" t="str">
            <v>Wellosophy Wellness Pack Woman</v>
          </cell>
          <cell r="D79">
            <v>50</v>
          </cell>
          <cell r="E79">
            <v>0</v>
          </cell>
          <cell r="F79">
            <v>3600</v>
          </cell>
          <cell r="G79">
            <v>1</v>
          </cell>
          <cell r="H79">
            <v>4500</v>
          </cell>
          <cell r="I79">
            <v>1</v>
          </cell>
          <cell r="J79">
            <v>0.99977777777777799</v>
          </cell>
          <cell r="K79" t="str">
            <v>1</v>
          </cell>
          <cell r="L79" t="str">
            <v>CTLG-MC</v>
          </cell>
        </row>
        <row r="80">
          <cell r="A80">
            <v>38890</v>
          </cell>
          <cell r="B80">
            <v>38890</v>
          </cell>
          <cell r="C80" t="str">
            <v>Meal Replacement Shake Chocolate</v>
          </cell>
          <cell r="D80">
            <v>70</v>
          </cell>
          <cell r="E80">
            <v>4000</v>
          </cell>
          <cell r="F80">
            <v>4800</v>
          </cell>
          <cell r="G80">
            <v>4800</v>
          </cell>
          <cell r="H80">
            <v>6000</v>
          </cell>
          <cell r="I80">
            <v>6000</v>
          </cell>
          <cell r="J80">
            <v>0</v>
          </cell>
          <cell r="K80" t="str">
            <v>1</v>
          </cell>
          <cell r="L80" t="str">
            <v>CTLG-MC</v>
          </cell>
          <cell r="M80">
            <v>38890</v>
          </cell>
        </row>
        <row r="81">
          <cell r="B81">
            <v>38890</v>
          </cell>
          <cell r="C81" t="str">
            <v>Meal Replacement Shake Chocolate</v>
          </cell>
          <cell r="D81">
            <v>70</v>
          </cell>
          <cell r="E81">
            <v>2799</v>
          </cell>
          <cell r="F81">
            <v>4800</v>
          </cell>
          <cell r="G81">
            <v>3359</v>
          </cell>
          <cell r="H81">
            <v>6000</v>
          </cell>
          <cell r="I81">
            <v>4199</v>
          </cell>
          <cell r="J81">
            <v>0.30016666666666703</v>
          </cell>
          <cell r="K81" t="str">
            <v>1</v>
          </cell>
          <cell r="L81" t="str">
            <v>CTLG-MC</v>
          </cell>
        </row>
        <row r="82">
          <cell r="B82">
            <v>38890</v>
          </cell>
          <cell r="C82" t="str">
            <v>Meal Replacement Shake Chocolate</v>
          </cell>
          <cell r="D82">
            <v>70</v>
          </cell>
          <cell r="E82">
            <v>0</v>
          </cell>
          <cell r="F82">
            <v>4800</v>
          </cell>
          <cell r="G82">
            <v>1</v>
          </cell>
          <cell r="H82">
            <v>6000</v>
          </cell>
          <cell r="I82">
            <v>1</v>
          </cell>
          <cell r="J82">
            <v>0.99983333333333302</v>
          </cell>
          <cell r="K82" t="str">
            <v>1</v>
          </cell>
          <cell r="L82" t="str">
            <v>CTLG-MC</v>
          </cell>
        </row>
        <row r="83">
          <cell r="A83">
            <v>43271</v>
          </cell>
          <cell r="B83">
            <v>43271</v>
          </cell>
          <cell r="C83" t="str">
            <v>Meal Replacement Shake Vanilla</v>
          </cell>
          <cell r="D83">
            <v>70</v>
          </cell>
          <cell r="E83">
            <v>4000</v>
          </cell>
          <cell r="F83">
            <v>4800</v>
          </cell>
          <cell r="G83">
            <v>4800</v>
          </cell>
          <cell r="H83">
            <v>6000</v>
          </cell>
          <cell r="I83">
            <v>6000</v>
          </cell>
          <cell r="J83">
            <v>0</v>
          </cell>
          <cell r="K83" t="str">
            <v>1</v>
          </cell>
          <cell r="L83" t="str">
            <v>CTLG-MC</v>
          </cell>
          <cell r="M83">
            <v>43271</v>
          </cell>
        </row>
        <row r="84">
          <cell r="B84">
            <v>43271</v>
          </cell>
          <cell r="C84" t="str">
            <v>Meal Replacement Shake Vanilla</v>
          </cell>
          <cell r="D84">
            <v>70</v>
          </cell>
          <cell r="E84">
            <v>2799</v>
          </cell>
          <cell r="F84">
            <v>4800</v>
          </cell>
          <cell r="G84">
            <v>3359</v>
          </cell>
          <cell r="H84">
            <v>6000</v>
          </cell>
          <cell r="I84">
            <v>4199</v>
          </cell>
          <cell r="J84">
            <v>0.30016666666666703</v>
          </cell>
          <cell r="K84" t="str">
            <v>1</v>
          </cell>
          <cell r="L84" t="str">
            <v>CTLG-MC</v>
          </cell>
        </row>
        <row r="85">
          <cell r="B85">
            <v>43271</v>
          </cell>
          <cell r="C85" t="str">
            <v>Meal Replacement Shake Vanilla</v>
          </cell>
          <cell r="D85">
            <v>70</v>
          </cell>
          <cell r="E85">
            <v>0</v>
          </cell>
          <cell r="F85">
            <v>4800</v>
          </cell>
          <cell r="G85">
            <v>1</v>
          </cell>
          <cell r="H85">
            <v>6000</v>
          </cell>
          <cell r="I85">
            <v>1</v>
          </cell>
          <cell r="J85">
            <v>0.99983333333333302</v>
          </cell>
          <cell r="K85" t="str">
            <v>1</v>
          </cell>
          <cell r="L85" t="str">
            <v>CTLG-MC</v>
          </cell>
        </row>
        <row r="86">
          <cell r="A86">
            <v>45306</v>
          </cell>
          <cell r="B86">
            <v>45306</v>
          </cell>
          <cell r="C86" t="str">
            <v>Wellosophy MRP Shake Vanilla</v>
          </cell>
          <cell r="D86">
            <v>70</v>
          </cell>
          <cell r="E86">
            <v>4000</v>
          </cell>
          <cell r="F86">
            <v>4800</v>
          </cell>
          <cell r="G86">
            <v>4800</v>
          </cell>
          <cell r="H86">
            <v>6000</v>
          </cell>
          <cell r="I86">
            <v>6000</v>
          </cell>
          <cell r="J86">
            <v>0</v>
          </cell>
          <cell r="K86" t="str">
            <v>1</v>
          </cell>
          <cell r="L86" t="str">
            <v>CTLG-MC</v>
          </cell>
          <cell r="M86">
            <v>45306</v>
          </cell>
        </row>
        <row r="87">
          <cell r="B87">
            <v>45306</v>
          </cell>
          <cell r="C87" t="str">
            <v>Wellosophy MRP Shake Vanilla</v>
          </cell>
          <cell r="D87">
            <v>70</v>
          </cell>
          <cell r="E87">
            <v>0</v>
          </cell>
          <cell r="F87">
            <v>4800</v>
          </cell>
          <cell r="G87">
            <v>1</v>
          </cell>
          <cell r="H87">
            <v>6000</v>
          </cell>
          <cell r="I87">
            <v>1</v>
          </cell>
          <cell r="J87">
            <v>0.99983333333333302</v>
          </cell>
          <cell r="K87" t="str">
            <v>1</v>
          </cell>
          <cell r="L87" t="str">
            <v>CTLG-MC</v>
          </cell>
        </row>
        <row r="88">
          <cell r="A88">
            <v>45307</v>
          </cell>
          <cell r="B88">
            <v>45307</v>
          </cell>
          <cell r="C88" t="str">
            <v>Wellosophy MRP Shake Chocolate</v>
          </cell>
          <cell r="D88">
            <v>70</v>
          </cell>
          <cell r="E88">
            <v>4000</v>
          </cell>
          <cell r="F88">
            <v>4800</v>
          </cell>
          <cell r="G88">
            <v>4800</v>
          </cell>
          <cell r="H88">
            <v>6000</v>
          </cell>
          <cell r="I88">
            <v>6000</v>
          </cell>
          <cell r="J88">
            <v>0</v>
          </cell>
          <cell r="K88" t="str">
            <v>1</v>
          </cell>
          <cell r="L88" t="str">
            <v>CTLG-MC</v>
          </cell>
          <cell r="M88">
            <v>45307</v>
          </cell>
        </row>
        <row r="89">
          <cell r="B89">
            <v>45307</v>
          </cell>
          <cell r="C89" t="str">
            <v>Wellosophy MRP Shake Chocolate</v>
          </cell>
          <cell r="D89">
            <v>70</v>
          </cell>
          <cell r="E89">
            <v>0</v>
          </cell>
          <cell r="F89">
            <v>4800</v>
          </cell>
          <cell r="G89">
            <v>1</v>
          </cell>
          <cell r="H89">
            <v>6000</v>
          </cell>
          <cell r="I89">
            <v>1</v>
          </cell>
          <cell r="J89">
            <v>0.99983333333333302</v>
          </cell>
          <cell r="K89" t="str">
            <v>1</v>
          </cell>
          <cell r="L89" t="str">
            <v>CTLG-MC</v>
          </cell>
        </row>
        <row r="90">
          <cell r="A90">
            <v>36169</v>
          </cell>
          <cell r="B90">
            <v>36169</v>
          </cell>
          <cell r="C90" t="str">
            <v xml:space="preserve">Protein Blend (AminoLabs) </v>
          </cell>
          <cell r="D90">
            <v>52</v>
          </cell>
          <cell r="E90">
            <v>3333</v>
          </cell>
          <cell r="F90">
            <v>4000</v>
          </cell>
          <cell r="G90">
            <v>4000</v>
          </cell>
          <cell r="H90">
            <v>5000</v>
          </cell>
          <cell r="I90">
            <v>5000</v>
          </cell>
          <cell r="J90">
            <v>0</v>
          </cell>
          <cell r="K90" t="str">
            <v>2</v>
          </cell>
          <cell r="L90" t="str">
            <v>CTLG-MC</v>
          </cell>
          <cell r="M90">
            <v>36169</v>
          </cell>
        </row>
        <row r="91">
          <cell r="B91">
            <v>36169</v>
          </cell>
          <cell r="C91" t="str">
            <v xml:space="preserve">Protein Blend (AminoLabs) </v>
          </cell>
          <cell r="D91">
            <v>52</v>
          </cell>
          <cell r="E91">
            <v>2333</v>
          </cell>
          <cell r="F91">
            <v>4000</v>
          </cell>
          <cell r="G91">
            <v>2799</v>
          </cell>
          <cell r="H91">
            <v>5000</v>
          </cell>
          <cell r="I91">
            <v>3499</v>
          </cell>
          <cell r="J91">
            <v>0.30020000000000002</v>
          </cell>
          <cell r="K91" t="str">
            <v>2</v>
          </cell>
          <cell r="L91" t="str">
            <v>CTLG-MC</v>
          </cell>
        </row>
        <row r="92">
          <cell r="B92">
            <v>36169</v>
          </cell>
          <cell r="C92" t="str">
            <v xml:space="preserve">Protein Blend (AminoLabs) </v>
          </cell>
          <cell r="D92">
            <v>52</v>
          </cell>
          <cell r="E92">
            <v>0</v>
          </cell>
          <cell r="F92">
            <v>4000</v>
          </cell>
          <cell r="G92">
            <v>1</v>
          </cell>
          <cell r="H92">
            <v>5000</v>
          </cell>
          <cell r="I92">
            <v>1</v>
          </cell>
          <cell r="J92">
            <v>0.99980000000000002</v>
          </cell>
          <cell r="K92" t="str">
            <v>2</v>
          </cell>
          <cell r="L92" t="str">
            <v>CTLG-MC</v>
          </cell>
        </row>
        <row r="93">
          <cell r="A93">
            <v>37293</v>
          </cell>
          <cell r="B93">
            <v>37293</v>
          </cell>
          <cell r="C93" t="str">
            <v>Wellosophy Protein Blend</v>
          </cell>
          <cell r="D93">
            <v>52</v>
          </cell>
          <cell r="E93">
            <v>3333</v>
          </cell>
          <cell r="F93">
            <v>4000</v>
          </cell>
          <cell r="G93">
            <v>4000</v>
          </cell>
          <cell r="H93">
            <v>5000</v>
          </cell>
          <cell r="I93">
            <v>5000</v>
          </cell>
          <cell r="J93">
            <v>0</v>
          </cell>
          <cell r="K93" t="str">
            <v>2</v>
          </cell>
          <cell r="L93" t="str">
            <v>CTLG-MC</v>
          </cell>
          <cell r="M93">
            <v>37293</v>
          </cell>
        </row>
        <row r="94">
          <cell r="B94">
            <v>37293</v>
          </cell>
          <cell r="C94" t="str">
            <v>Wellosophy Protein Blend</v>
          </cell>
          <cell r="D94">
            <v>52</v>
          </cell>
          <cell r="E94">
            <v>0</v>
          </cell>
          <cell r="F94">
            <v>4000</v>
          </cell>
          <cell r="G94">
            <v>1</v>
          </cell>
          <cell r="H94">
            <v>5000</v>
          </cell>
          <cell r="I94">
            <v>1</v>
          </cell>
          <cell r="J94">
            <v>0.99980000000000002</v>
          </cell>
          <cell r="K94" t="str">
            <v>2</v>
          </cell>
          <cell r="L94" t="str">
            <v>CTLG-MC</v>
          </cell>
        </row>
        <row r="95">
          <cell r="A95">
            <v>40745</v>
          </cell>
          <cell r="B95">
            <v>40745</v>
          </cell>
          <cell r="C95" t="str">
            <v>Wellosophy MRP Mushroom Soup</v>
          </cell>
          <cell r="D95">
            <v>70</v>
          </cell>
          <cell r="E95">
            <v>4000</v>
          </cell>
          <cell r="F95">
            <v>4800</v>
          </cell>
          <cell r="G95">
            <v>4800</v>
          </cell>
          <cell r="H95">
            <v>6000</v>
          </cell>
          <cell r="I95">
            <v>6000</v>
          </cell>
          <cell r="J95">
            <v>0</v>
          </cell>
          <cell r="K95" t="str">
            <v>2</v>
          </cell>
          <cell r="L95" t="str">
            <v>CTLG-MC</v>
          </cell>
          <cell r="M95">
            <v>40745</v>
          </cell>
        </row>
        <row r="96">
          <cell r="B96">
            <v>40745</v>
          </cell>
          <cell r="C96" t="str">
            <v>Wellosophy MRP Mushroom Soup</v>
          </cell>
          <cell r="D96">
            <v>70</v>
          </cell>
          <cell r="E96">
            <v>0</v>
          </cell>
          <cell r="F96">
            <v>4800</v>
          </cell>
          <cell r="G96">
            <v>1</v>
          </cell>
          <cell r="H96">
            <v>6000</v>
          </cell>
          <cell r="I96">
            <v>1</v>
          </cell>
          <cell r="J96">
            <v>0.99983333333333302</v>
          </cell>
          <cell r="K96" t="str">
            <v>2</v>
          </cell>
          <cell r="L96" t="str">
            <v>CTLG-MC</v>
          </cell>
        </row>
        <row r="97">
          <cell r="A97">
            <v>31750</v>
          </cell>
          <cell r="B97">
            <v>31750</v>
          </cell>
          <cell r="C97" t="str">
            <v>Prebiotic Fibre Drink</v>
          </cell>
          <cell r="D97">
            <v>24</v>
          </cell>
          <cell r="E97">
            <v>1533</v>
          </cell>
          <cell r="F97">
            <v>1840</v>
          </cell>
          <cell r="G97">
            <v>1840</v>
          </cell>
          <cell r="H97">
            <v>2300</v>
          </cell>
          <cell r="I97">
            <v>2300</v>
          </cell>
          <cell r="J97">
            <v>0</v>
          </cell>
          <cell r="K97" t="str">
            <v>3</v>
          </cell>
          <cell r="L97" t="str">
            <v>CTLG-MC</v>
          </cell>
          <cell r="M97">
            <v>31750</v>
          </cell>
        </row>
        <row r="98">
          <cell r="A98">
            <v>27996</v>
          </cell>
          <cell r="B98">
            <v>27996</v>
          </cell>
          <cell r="C98" t="str">
            <v>WellnessKids Multivitamins&amp;Minerals</v>
          </cell>
          <cell r="D98">
            <v>17</v>
          </cell>
          <cell r="E98">
            <v>1133</v>
          </cell>
          <cell r="F98">
            <v>1360</v>
          </cell>
          <cell r="G98">
            <v>1360</v>
          </cell>
          <cell r="H98">
            <v>1700</v>
          </cell>
          <cell r="I98">
            <v>1700</v>
          </cell>
          <cell r="J98">
            <v>0</v>
          </cell>
          <cell r="K98" t="str">
            <v>4</v>
          </cell>
          <cell r="L98" t="str">
            <v>CTLG-MC</v>
          </cell>
          <cell r="M98">
            <v>27996</v>
          </cell>
        </row>
        <row r="99">
          <cell r="B99">
            <v>27996</v>
          </cell>
          <cell r="C99" t="str">
            <v>WellnessKids Multivitamins&amp;Minerals</v>
          </cell>
          <cell r="D99">
            <v>17</v>
          </cell>
          <cell r="E99">
            <v>0</v>
          </cell>
          <cell r="F99">
            <v>1360</v>
          </cell>
          <cell r="G99">
            <v>1</v>
          </cell>
          <cell r="H99">
            <v>1700</v>
          </cell>
          <cell r="I99">
            <v>1</v>
          </cell>
          <cell r="J99">
            <v>0.999411764705882</v>
          </cell>
          <cell r="K99" t="str">
            <v>4</v>
          </cell>
          <cell r="L99" t="str">
            <v>CTLG-MC</v>
          </cell>
        </row>
        <row r="100">
          <cell r="A100">
            <v>22467</v>
          </cell>
          <cell r="B100">
            <v>22467</v>
          </cell>
          <cell r="C100" t="str">
            <v>Wellness Kids Omega 3</v>
          </cell>
          <cell r="D100">
            <v>24</v>
          </cell>
          <cell r="E100">
            <v>1533</v>
          </cell>
          <cell r="F100">
            <v>1840</v>
          </cell>
          <cell r="G100">
            <v>1840</v>
          </cell>
          <cell r="H100">
            <v>2300</v>
          </cell>
          <cell r="I100">
            <v>2300</v>
          </cell>
          <cell r="J100">
            <v>0</v>
          </cell>
          <cell r="K100" t="str">
            <v>5</v>
          </cell>
          <cell r="L100" t="str">
            <v>CTLG-MC</v>
          </cell>
          <cell r="M100">
            <v>22467</v>
          </cell>
        </row>
        <row r="101">
          <cell r="B101">
            <v>22467</v>
          </cell>
          <cell r="C101" t="str">
            <v>Wellness Kids Omega 3</v>
          </cell>
          <cell r="D101">
            <v>24</v>
          </cell>
          <cell r="E101">
            <v>0</v>
          </cell>
          <cell r="F101">
            <v>1840</v>
          </cell>
          <cell r="G101">
            <v>1</v>
          </cell>
          <cell r="H101">
            <v>2300</v>
          </cell>
          <cell r="I101">
            <v>1</v>
          </cell>
          <cell r="J101">
            <v>0.999565217391304</v>
          </cell>
          <cell r="K101" t="str">
            <v>5</v>
          </cell>
          <cell r="L101" t="str">
            <v>CTLG-MC</v>
          </cell>
        </row>
        <row r="102">
          <cell r="A102">
            <v>29695</v>
          </cell>
          <cell r="B102">
            <v>29695</v>
          </cell>
          <cell r="C102" t="str">
            <v>Natural Balance Soup asparagus</v>
          </cell>
          <cell r="D102">
            <v>52</v>
          </cell>
          <cell r="E102">
            <v>3333</v>
          </cell>
          <cell r="F102">
            <v>4000</v>
          </cell>
          <cell r="G102">
            <v>4000</v>
          </cell>
          <cell r="H102">
            <v>5000</v>
          </cell>
          <cell r="I102">
            <v>5000</v>
          </cell>
          <cell r="J102">
            <v>0</v>
          </cell>
          <cell r="K102" t="str">
            <v>7</v>
          </cell>
          <cell r="L102" t="str">
            <v>CTLG-MC</v>
          </cell>
          <cell r="M102">
            <v>29695</v>
          </cell>
        </row>
        <row r="103">
          <cell r="B103">
            <v>29695</v>
          </cell>
          <cell r="C103" t="str">
            <v>Natural Balance Soup asparagus</v>
          </cell>
          <cell r="D103">
            <v>52</v>
          </cell>
          <cell r="E103">
            <v>2333</v>
          </cell>
          <cell r="F103">
            <v>4000</v>
          </cell>
          <cell r="G103">
            <v>2799</v>
          </cell>
          <cell r="H103">
            <v>5000</v>
          </cell>
          <cell r="I103">
            <v>3499</v>
          </cell>
          <cell r="J103">
            <v>0.30020000000000002</v>
          </cell>
          <cell r="K103" t="str">
            <v>7</v>
          </cell>
          <cell r="L103" t="str">
            <v>CTLG-MC</v>
          </cell>
        </row>
        <row r="104">
          <cell r="B104">
            <v>29695</v>
          </cell>
          <cell r="C104" t="str">
            <v>Natural Balance Soup asparagus</v>
          </cell>
          <cell r="D104">
            <v>52</v>
          </cell>
          <cell r="E104">
            <v>0</v>
          </cell>
          <cell r="F104">
            <v>4000</v>
          </cell>
          <cell r="G104">
            <v>1</v>
          </cell>
          <cell r="H104">
            <v>5000</v>
          </cell>
          <cell r="I104">
            <v>1</v>
          </cell>
          <cell r="J104">
            <v>0.99980000000000002</v>
          </cell>
          <cell r="K104" t="str">
            <v>7</v>
          </cell>
          <cell r="L104" t="str">
            <v>CTLG-MC</v>
          </cell>
        </row>
        <row r="105">
          <cell r="A105">
            <v>31766</v>
          </cell>
          <cell r="B105">
            <v>31766</v>
          </cell>
          <cell r="C105" t="str">
            <v>Marine Calcium &amp; Vitamin D</v>
          </cell>
          <cell r="D105">
            <v>24</v>
          </cell>
          <cell r="E105">
            <v>1533</v>
          </cell>
          <cell r="F105">
            <v>1840</v>
          </cell>
          <cell r="G105">
            <v>1840</v>
          </cell>
          <cell r="H105">
            <v>2300</v>
          </cell>
          <cell r="I105">
            <v>2300</v>
          </cell>
          <cell r="J105">
            <v>0</v>
          </cell>
          <cell r="K105" t="str">
            <v>7</v>
          </cell>
          <cell r="L105" t="str">
            <v>CTLG-MC</v>
          </cell>
          <cell r="M105">
            <v>31766</v>
          </cell>
        </row>
        <row r="106">
          <cell r="A106">
            <v>29706</v>
          </cell>
          <cell r="B106">
            <v>29706</v>
          </cell>
          <cell r="C106" t="str">
            <v>Hair and Nail NutriComplex</v>
          </cell>
          <cell r="D106">
            <v>29</v>
          </cell>
          <cell r="E106">
            <v>1867</v>
          </cell>
          <cell r="F106">
            <v>2240</v>
          </cell>
          <cell r="G106">
            <v>2240</v>
          </cell>
          <cell r="H106">
            <v>2800</v>
          </cell>
          <cell r="I106">
            <v>2800</v>
          </cell>
          <cell r="J106">
            <v>0</v>
          </cell>
          <cell r="K106" t="str">
            <v>9</v>
          </cell>
          <cell r="L106" t="str">
            <v>CTLG-MC</v>
          </cell>
          <cell r="M106">
            <v>29706</v>
          </cell>
        </row>
        <row r="107">
          <cell r="A107">
            <v>37289</v>
          </cell>
          <cell r="B107">
            <v>37289</v>
          </cell>
          <cell r="C107" t="str">
            <v>Wellosophy NBS Chocolate</v>
          </cell>
          <cell r="D107">
            <v>52</v>
          </cell>
          <cell r="E107">
            <v>3333</v>
          </cell>
          <cell r="F107">
            <v>4000</v>
          </cell>
          <cell r="G107">
            <v>4000</v>
          </cell>
          <cell r="H107">
            <v>5000</v>
          </cell>
          <cell r="I107">
            <v>5000</v>
          </cell>
          <cell r="J107">
            <v>0</v>
          </cell>
          <cell r="K107" t="str">
            <v>10</v>
          </cell>
          <cell r="L107" t="str">
            <v>CTLG-MC</v>
          </cell>
          <cell r="M107">
            <v>37289</v>
          </cell>
        </row>
        <row r="108">
          <cell r="B108">
            <v>37289</v>
          </cell>
          <cell r="C108" t="str">
            <v>Wellosophy NBS Chocolate</v>
          </cell>
          <cell r="D108">
            <v>52</v>
          </cell>
          <cell r="E108">
            <v>0</v>
          </cell>
          <cell r="F108">
            <v>4000</v>
          </cell>
          <cell r="G108">
            <v>1</v>
          </cell>
          <cell r="H108">
            <v>5000</v>
          </cell>
          <cell r="I108">
            <v>1</v>
          </cell>
          <cell r="J108">
            <v>0.99980000000000002</v>
          </cell>
          <cell r="K108" t="str">
            <v>10</v>
          </cell>
          <cell r="L108" t="str">
            <v>CTLG-MC</v>
          </cell>
        </row>
        <row r="109">
          <cell r="A109">
            <v>37290</v>
          </cell>
          <cell r="B109">
            <v>37290</v>
          </cell>
          <cell r="C109" t="str">
            <v>Wellosophy NBS Vanilla</v>
          </cell>
          <cell r="D109">
            <v>52</v>
          </cell>
          <cell r="E109">
            <v>3333</v>
          </cell>
          <cell r="F109">
            <v>4000</v>
          </cell>
          <cell r="G109">
            <v>4000</v>
          </cell>
          <cell r="H109">
            <v>5000</v>
          </cell>
          <cell r="I109">
            <v>5000</v>
          </cell>
          <cell r="J109">
            <v>0</v>
          </cell>
          <cell r="K109" t="str">
            <v>10</v>
          </cell>
          <cell r="L109" t="str">
            <v>CTLG-MC</v>
          </cell>
          <cell r="M109">
            <v>37290</v>
          </cell>
        </row>
        <row r="110">
          <cell r="B110">
            <v>37290</v>
          </cell>
          <cell r="C110" t="str">
            <v>Wellosophy NBS Vanilla</v>
          </cell>
          <cell r="D110">
            <v>52</v>
          </cell>
          <cell r="E110">
            <v>0</v>
          </cell>
          <cell r="F110">
            <v>4000</v>
          </cell>
          <cell r="G110">
            <v>1</v>
          </cell>
          <cell r="H110">
            <v>5000</v>
          </cell>
          <cell r="I110">
            <v>1</v>
          </cell>
          <cell r="J110">
            <v>0.99980000000000002</v>
          </cell>
          <cell r="K110" t="str">
            <v>10</v>
          </cell>
          <cell r="L110" t="str">
            <v>CTLG-MC</v>
          </cell>
        </row>
        <row r="111">
          <cell r="B111">
            <v>25479</v>
          </cell>
          <cell r="C111" t="str">
            <v>Purple Shaker and Scoop</v>
          </cell>
          <cell r="D111">
            <v>1</v>
          </cell>
          <cell r="E111">
            <v>20</v>
          </cell>
          <cell r="F111">
            <v>239</v>
          </cell>
          <cell r="G111">
            <v>47</v>
          </cell>
          <cell r="H111">
            <v>299</v>
          </cell>
          <cell r="I111">
            <v>59</v>
          </cell>
          <cell r="J111">
            <v>0.80267558528428096</v>
          </cell>
          <cell r="K111" t="str">
            <v>11</v>
          </cell>
          <cell r="L111" t="str">
            <v>CTLG-MC</v>
          </cell>
        </row>
        <row r="112">
          <cell r="A112">
            <v>28487</v>
          </cell>
          <cell r="B112">
            <v>28487</v>
          </cell>
          <cell r="C112" t="str">
            <v>WellnessLife+ Kit (woman)</v>
          </cell>
          <cell r="D112">
            <v>102</v>
          </cell>
          <cell r="E112">
            <v>6333</v>
          </cell>
          <cell r="F112">
            <v>7600</v>
          </cell>
          <cell r="G112">
            <v>7600</v>
          </cell>
          <cell r="H112">
            <v>9500</v>
          </cell>
          <cell r="I112">
            <v>9500</v>
          </cell>
          <cell r="J112">
            <v>0</v>
          </cell>
          <cell r="K112" t="str">
            <v>11</v>
          </cell>
          <cell r="L112" t="str">
            <v>CTLG-MC</v>
          </cell>
          <cell r="M112">
            <v>28487</v>
          </cell>
        </row>
        <row r="113">
          <cell r="A113">
            <v>28488</v>
          </cell>
          <cell r="B113">
            <v>28488</v>
          </cell>
          <cell r="C113" t="str">
            <v>WellnessLife+ Kit (man)</v>
          </cell>
          <cell r="D113">
            <v>102</v>
          </cell>
          <cell r="E113">
            <v>6333</v>
          </cell>
          <cell r="F113">
            <v>7600</v>
          </cell>
          <cell r="G113">
            <v>7600</v>
          </cell>
          <cell r="H113">
            <v>9500</v>
          </cell>
          <cell r="I113">
            <v>9500</v>
          </cell>
          <cell r="J113">
            <v>0</v>
          </cell>
          <cell r="K113" t="str">
            <v>11</v>
          </cell>
          <cell r="L113" t="str">
            <v>CTLG-MC</v>
          </cell>
          <cell r="M113">
            <v>28488</v>
          </cell>
        </row>
        <row r="114">
          <cell r="A114">
            <v>28489</v>
          </cell>
          <cell r="B114">
            <v>28489</v>
          </cell>
          <cell r="C114" t="str">
            <v>WellnessLife+ Weight Kit (woman)</v>
          </cell>
          <cell r="D114">
            <v>154</v>
          </cell>
          <cell r="E114">
            <v>9667</v>
          </cell>
          <cell r="F114">
            <v>11600</v>
          </cell>
          <cell r="G114">
            <v>11600</v>
          </cell>
          <cell r="H114">
            <v>14500</v>
          </cell>
          <cell r="I114">
            <v>14500</v>
          </cell>
          <cell r="J114">
            <v>0</v>
          </cell>
          <cell r="K114" t="str">
            <v>11</v>
          </cell>
          <cell r="L114" t="str">
            <v>CTLG-MC</v>
          </cell>
          <cell r="M114">
            <v>28489</v>
          </cell>
        </row>
        <row r="115">
          <cell r="A115">
            <v>28491</v>
          </cell>
          <cell r="B115">
            <v>28491</v>
          </cell>
          <cell r="C115" t="str">
            <v>WellnessLife+ Weight Kit (man)</v>
          </cell>
          <cell r="D115">
            <v>154</v>
          </cell>
          <cell r="E115">
            <v>9667</v>
          </cell>
          <cell r="F115">
            <v>11600</v>
          </cell>
          <cell r="G115">
            <v>11600</v>
          </cell>
          <cell r="H115">
            <v>14500</v>
          </cell>
          <cell r="I115">
            <v>14500</v>
          </cell>
          <cell r="J115">
            <v>0</v>
          </cell>
          <cell r="K115" t="str">
            <v>11</v>
          </cell>
          <cell r="L115" t="str">
            <v>CTLG-MC</v>
          </cell>
          <cell r="M115">
            <v>28491</v>
          </cell>
        </row>
        <row r="116">
          <cell r="A116">
            <v>45117</v>
          </cell>
          <cell r="B116">
            <v>45117</v>
          </cell>
          <cell r="C116" t="str">
            <v>MR Set Vanilla,Vanilla,Asta,Omega</v>
          </cell>
          <cell r="D116">
            <v>193</v>
          </cell>
          <cell r="E116">
            <v>10601</v>
          </cell>
          <cell r="F116">
            <v>13680</v>
          </cell>
          <cell r="G116">
            <v>13680</v>
          </cell>
          <cell r="H116">
            <v>17100</v>
          </cell>
          <cell r="I116">
            <v>17100</v>
          </cell>
          <cell r="J116">
            <v>0</v>
          </cell>
          <cell r="K116" t="str">
            <v>11</v>
          </cell>
          <cell r="L116" t="str">
            <v>CTLG-MC</v>
          </cell>
          <cell r="M116">
            <v>45117</v>
          </cell>
        </row>
        <row r="117">
          <cell r="A117">
            <v>45118</v>
          </cell>
          <cell r="B117">
            <v>45118</v>
          </cell>
          <cell r="C117" t="str">
            <v>MR Set Vanilla,Chocolate,Asta,Omega</v>
          </cell>
          <cell r="D117">
            <v>193</v>
          </cell>
          <cell r="E117">
            <v>10601</v>
          </cell>
          <cell r="F117">
            <v>13680</v>
          </cell>
          <cell r="G117">
            <v>13680</v>
          </cell>
          <cell r="H117">
            <v>17100</v>
          </cell>
          <cell r="I117">
            <v>17100</v>
          </cell>
          <cell r="J117">
            <v>0</v>
          </cell>
          <cell r="K117" t="str">
            <v>11</v>
          </cell>
          <cell r="L117" t="str">
            <v>CTLG-MC</v>
          </cell>
          <cell r="M117">
            <v>45118</v>
          </cell>
        </row>
        <row r="118">
          <cell r="A118">
            <v>45119</v>
          </cell>
          <cell r="B118">
            <v>45119</v>
          </cell>
          <cell r="C118" t="str">
            <v>MR Set Choco,Choco,Asta,Omega</v>
          </cell>
          <cell r="D118">
            <v>193</v>
          </cell>
          <cell r="E118">
            <v>10601</v>
          </cell>
          <cell r="F118">
            <v>13680</v>
          </cell>
          <cell r="G118">
            <v>13680</v>
          </cell>
          <cell r="H118">
            <v>17100</v>
          </cell>
          <cell r="I118">
            <v>17100</v>
          </cell>
          <cell r="J118">
            <v>0</v>
          </cell>
          <cell r="K118" t="str">
            <v>11</v>
          </cell>
          <cell r="L118" t="str">
            <v>CTLG-MC</v>
          </cell>
          <cell r="M118">
            <v>45119</v>
          </cell>
        </row>
        <row r="119">
          <cell r="A119">
            <v>45128</v>
          </cell>
          <cell r="B119">
            <v>45128</v>
          </cell>
          <cell r="C119" t="str">
            <v>MR set Vanilla, WP man</v>
          </cell>
          <cell r="D119">
            <v>120</v>
          </cell>
          <cell r="E119">
            <v>7000</v>
          </cell>
          <cell r="F119">
            <v>8400</v>
          </cell>
          <cell r="G119">
            <v>8400</v>
          </cell>
          <cell r="H119">
            <v>10500</v>
          </cell>
          <cell r="I119">
            <v>10500</v>
          </cell>
          <cell r="J119">
            <v>0</v>
          </cell>
          <cell r="K119" t="str">
            <v>11</v>
          </cell>
          <cell r="L119" t="str">
            <v>CTLG-MC</v>
          </cell>
          <cell r="M119">
            <v>45128</v>
          </cell>
        </row>
        <row r="120">
          <cell r="A120">
            <v>45129</v>
          </cell>
          <cell r="B120">
            <v>45129</v>
          </cell>
          <cell r="C120" t="str">
            <v>MR set Vanilla, WP Woman</v>
          </cell>
          <cell r="D120">
            <v>120</v>
          </cell>
          <cell r="E120">
            <v>7000</v>
          </cell>
          <cell r="F120">
            <v>8400</v>
          </cell>
          <cell r="G120">
            <v>8400</v>
          </cell>
          <cell r="H120">
            <v>10500</v>
          </cell>
          <cell r="I120">
            <v>10500</v>
          </cell>
          <cell r="J120">
            <v>0</v>
          </cell>
          <cell r="K120" t="str">
            <v>11</v>
          </cell>
          <cell r="L120" t="str">
            <v>CTLG-MC</v>
          </cell>
          <cell r="M120">
            <v>45129</v>
          </cell>
        </row>
        <row r="121">
          <cell r="A121">
            <v>45131</v>
          </cell>
          <cell r="B121">
            <v>45131</v>
          </cell>
          <cell r="C121" t="str">
            <v>MR set Chocolate, WP Man</v>
          </cell>
          <cell r="D121">
            <v>120</v>
          </cell>
          <cell r="E121">
            <v>7000</v>
          </cell>
          <cell r="F121">
            <v>8400</v>
          </cell>
          <cell r="G121">
            <v>8400</v>
          </cell>
          <cell r="H121">
            <v>10500</v>
          </cell>
          <cell r="I121">
            <v>10500</v>
          </cell>
          <cell r="J121">
            <v>0</v>
          </cell>
          <cell r="K121" t="str">
            <v>11</v>
          </cell>
          <cell r="L121" t="str">
            <v>CTLG-MC</v>
          </cell>
          <cell r="M121">
            <v>45131</v>
          </cell>
        </row>
        <row r="122">
          <cell r="A122">
            <v>45132</v>
          </cell>
          <cell r="B122">
            <v>45132</v>
          </cell>
          <cell r="C122" t="str">
            <v>MR set Chocolate, WP Woman</v>
          </cell>
          <cell r="D122">
            <v>120</v>
          </cell>
          <cell r="E122">
            <v>7000</v>
          </cell>
          <cell r="F122">
            <v>8400</v>
          </cell>
          <cell r="G122">
            <v>8400</v>
          </cell>
          <cell r="H122">
            <v>10500</v>
          </cell>
          <cell r="I122">
            <v>10500</v>
          </cell>
          <cell r="J122">
            <v>0</v>
          </cell>
          <cell r="K122" t="str">
            <v>11</v>
          </cell>
          <cell r="L122" t="str">
            <v>CTLG-MC</v>
          </cell>
          <cell r="M122">
            <v>45132</v>
          </cell>
        </row>
        <row r="123">
          <cell r="A123">
            <v>47260</v>
          </cell>
          <cell r="B123">
            <v>47260</v>
          </cell>
          <cell r="C123" t="str">
            <v>Wellosophy Daily Wellbeing Set</v>
          </cell>
          <cell r="D123">
            <v>122</v>
          </cell>
          <cell r="E123">
            <v>6333</v>
          </cell>
          <cell r="F123">
            <v>7600</v>
          </cell>
          <cell r="G123">
            <v>7600</v>
          </cell>
          <cell r="H123">
            <v>9500</v>
          </cell>
          <cell r="I123">
            <v>9500</v>
          </cell>
          <cell r="J123">
            <v>0</v>
          </cell>
          <cell r="K123" t="str">
            <v>11</v>
          </cell>
          <cell r="L123" t="str">
            <v>CTLG-MC</v>
          </cell>
          <cell r="M123">
            <v>47260</v>
          </cell>
        </row>
        <row r="124">
          <cell r="A124">
            <v>47269</v>
          </cell>
          <cell r="B124">
            <v>47269</v>
          </cell>
          <cell r="C124" t="str">
            <v>Wellosophy Healthy Weight Loss Plus</v>
          </cell>
          <cell r="D124">
            <v>232</v>
          </cell>
          <cell r="E124">
            <v>11400</v>
          </cell>
          <cell r="F124">
            <v>13680</v>
          </cell>
          <cell r="G124">
            <v>13680</v>
          </cell>
          <cell r="H124">
            <v>17100</v>
          </cell>
          <cell r="I124">
            <v>17100</v>
          </cell>
          <cell r="J124">
            <v>0</v>
          </cell>
          <cell r="K124" t="str">
            <v>11</v>
          </cell>
          <cell r="L124" t="str">
            <v>CTLG-MC</v>
          </cell>
          <cell r="M124">
            <v>47269</v>
          </cell>
        </row>
        <row r="125">
          <cell r="A125">
            <v>47272</v>
          </cell>
          <cell r="B125">
            <v>47272</v>
          </cell>
          <cell r="C125" t="str">
            <v>Wellosophy Healthy Weight Set</v>
          </cell>
          <cell r="D125">
            <v>144</v>
          </cell>
          <cell r="E125">
            <v>7000</v>
          </cell>
          <cell r="F125">
            <v>8400</v>
          </cell>
          <cell r="G125">
            <v>8400</v>
          </cell>
          <cell r="H125">
            <v>10500</v>
          </cell>
          <cell r="I125">
            <v>10500</v>
          </cell>
          <cell r="J125">
            <v>0</v>
          </cell>
          <cell r="K125" t="str">
            <v>11</v>
          </cell>
          <cell r="L125" t="str">
            <v>CTLG-MC</v>
          </cell>
          <cell r="M125">
            <v>47272</v>
          </cell>
        </row>
        <row r="126">
          <cell r="A126">
            <v>47276</v>
          </cell>
          <cell r="B126">
            <v>47276</v>
          </cell>
          <cell r="C126" t="str">
            <v>Wellosophy Weight Loss Set</v>
          </cell>
          <cell r="D126">
            <v>168</v>
          </cell>
          <cell r="E126">
            <v>8000</v>
          </cell>
          <cell r="F126">
            <v>9600</v>
          </cell>
          <cell r="G126">
            <v>9600</v>
          </cell>
          <cell r="H126">
            <v>12000</v>
          </cell>
          <cell r="I126">
            <v>12000</v>
          </cell>
          <cell r="J126">
            <v>0</v>
          </cell>
          <cell r="K126" t="str">
            <v>11</v>
          </cell>
          <cell r="L126" t="str">
            <v>CTLG-MC</v>
          </cell>
          <cell r="M126">
            <v>47276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526"/>
  <sheetViews>
    <sheetView tabSelected="1" zoomScale="76" zoomScaleNormal="76" workbookViewId="0">
      <selection activeCell="D198" sqref="D198"/>
    </sheetView>
  </sheetViews>
  <sheetFormatPr defaultColWidth="9.109375" defaultRowHeight="16.5" customHeight="1" x14ac:dyDescent="0.25"/>
  <cols>
    <col min="1" max="1" width="14" style="60" bestFit="1" customWidth="1"/>
    <col min="2" max="2" width="11.88671875" style="2" customWidth="1"/>
    <col min="3" max="3" width="11.44140625" style="12" customWidth="1"/>
    <col min="4" max="4" width="8.109375" style="12" customWidth="1"/>
    <col min="5" max="5" width="8.5546875" style="12" customWidth="1"/>
    <col min="6" max="6" width="140" style="13" customWidth="1"/>
    <col min="7" max="7" width="9.6640625" style="7" customWidth="1"/>
    <col min="8" max="8" width="10.6640625" style="39" bestFit="1" customWidth="1"/>
    <col min="9" max="9" width="9.6640625" style="39" customWidth="1"/>
    <col min="10" max="10" width="10.5546875" style="39" customWidth="1"/>
    <col min="11" max="11" width="11.5546875" style="39" customWidth="1"/>
    <col min="12" max="16384" width="9.109375" style="1"/>
  </cols>
  <sheetData>
    <row r="1" spans="1:11" ht="16.5" customHeight="1" thickBot="1" x14ac:dyDescent="0.3">
      <c r="A1" s="61"/>
      <c r="B1" s="18"/>
      <c r="C1" s="16"/>
      <c r="D1" s="16"/>
      <c r="E1" s="16"/>
      <c r="F1" s="17" t="s">
        <v>16</v>
      </c>
      <c r="G1" s="19"/>
      <c r="H1" s="36"/>
      <c r="I1" s="36"/>
      <c r="J1" s="36"/>
      <c r="K1" s="36"/>
    </row>
    <row r="2" spans="1:11" ht="16.5" customHeight="1" x14ac:dyDescent="0.25">
      <c r="A2" s="25" t="s">
        <v>4</v>
      </c>
      <c r="B2" s="26" t="s">
        <v>12</v>
      </c>
      <c r="C2" s="27" t="s">
        <v>11</v>
      </c>
      <c r="D2" s="27" t="s">
        <v>15</v>
      </c>
      <c r="E2" s="27" t="s">
        <v>13</v>
      </c>
      <c r="F2" s="28" t="s">
        <v>14</v>
      </c>
      <c r="G2" s="29" t="s">
        <v>5</v>
      </c>
      <c r="H2" s="37" t="s">
        <v>6</v>
      </c>
      <c r="I2" s="37" t="s">
        <v>7</v>
      </c>
      <c r="J2" s="37" t="s">
        <v>8</v>
      </c>
      <c r="K2" s="38" t="s">
        <v>10</v>
      </c>
    </row>
    <row r="3" spans="1:11" ht="16.5" customHeight="1" x14ac:dyDescent="0.25">
      <c r="A3" s="71">
        <v>41991</v>
      </c>
      <c r="B3" s="74">
        <v>0.49402985074626898</v>
      </c>
      <c r="C3" s="75" t="s">
        <v>103</v>
      </c>
      <c r="D3" s="75"/>
      <c r="E3" s="75"/>
      <c r="F3" s="83" t="s">
        <v>161</v>
      </c>
      <c r="G3" s="76">
        <v>3</v>
      </c>
      <c r="H3" s="77">
        <v>226</v>
      </c>
      <c r="I3" s="77">
        <v>271</v>
      </c>
      <c r="J3" s="77">
        <v>339</v>
      </c>
      <c r="K3" s="78">
        <v>68</v>
      </c>
    </row>
    <row r="4" spans="1:11" ht="16.5" customHeight="1" x14ac:dyDescent="0.25">
      <c r="A4" s="71">
        <v>44355</v>
      </c>
      <c r="B4" s="74">
        <v>0.43913043478260899</v>
      </c>
      <c r="C4" s="75" t="s">
        <v>486</v>
      </c>
      <c r="D4" s="75"/>
      <c r="E4" s="75"/>
      <c r="F4" s="83" t="s">
        <v>162</v>
      </c>
      <c r="G4" s="76">
        <v>1</v>
      </c>
      <c r="H4" s="77">
        <v>86</v>
      </c>
      <c r="I4" s="77">
        <v>103</v>
      </c>
      <c r="J4" s="77">
        <v>129</v>
      </c>
      <c r="K4" s="78">
        <v>26</v>
      </c>
    </row>
    <row r="5" spans="1:11" ht="16.5" customHeight="1" x14ac:dyDescent="0.25">
      <c r="A5" s="71">
        <v>44356</v>
      </c>
      <c r="B5" s="74">
        <v>0.39032258064516101</v>
      </c>
      <c r="C5" s="75" t="s">
        <v>486</v>
      </c>
      <c r="D5" s="75"/>
      <c r="E5" s="75"/>
      <c r="F5" s="83" t="s">
        <v>163</v>
      </c>
      <c r="G5" s="76">
        <v>2</v>
      </c>
      <c r="H5" s="77">
        <v>126</v>
      </c>
      <c r="I5" s="77">
        <v>151</v>
      </c>
      <c r="J5" s="77">
        <v>189</v>
      </c>
      <c r="K5" s="78">
        <v>38</v>
      </c>
    </row>
    <row r="6" spans="1:11" ht="16.5" customHeight="1" x14ac:dyDescent="0.25">
      <c r="A6" s="71">
        <v>44869</v>
      </c>
      <c r="B6" s="74"/>
      <c r="C6" s="75" t="s">
        <v>487</v>
      </c>
      <c r="D6" s="75"/>
      <c r="E6" s="75"/>
      <c r="F6" s="83" t="s">
        <v>264</v>
      </c>
      <c r="G6" s="76" t="s">
        <v>17</v>
      </c>
      <c r="H6" s="76" t="s">
        <v>17</v>
      </c>
      <c r="I6" s="77">
        <v>50</v>
      </c>
      <c r="J6" s="76" t="s">
        <v>17</v>
      </c>
      <c r="K6" s="160" t="s">
        <v>17</v>
      </c>
    </row>
    <row r="7" spans="1:11" ht="16.5" customHeight="1" x14ac:dyDescent="0.25">
      <c r="A7" s="71">
        <v>44871</v>
      </c>
      <c r="B7" s="74"/>
      <c r="C7" s="75" t="s">
        <v>487</v>
      </c>
      <c r="D7" s="75"/>
      <c r="E7" s="75"/>
      <c r="F7" s="83" t="s">
        <v>265</v>
      </c>
      <c r="G7" s="76" t="s">
        <v>17</v>
      </c>
      <c r="H7" s="76" t="s">
        <v>17</v>
      </c>
      <c r="I7" s="77">
        <v>50</v>
      </c>
      <c r="J7" s="76" t="s">
        <v>17</v>
      </c>
      <c r="K7" s="160" t="s">
        <v>17</v>
      </c>
    </row>
    <row r="8" spans="1:11" ht="16.5" customHeight="1" x14ac:dyDescent="0.25">
      <c r="A8" s="71">
        <v>44872</v>
      </c>
      <c r="B8" s="74"/>
      <c r="C8" s="75" t="s">
        <v>487</v>
      </c>
      <c r="D8" s="75"/>
      <c r="E8" s="75"/>
      <c r="F8" s="83" t="s">
        <v>266</v>
      </c>
      <c r="G8" s="76" t="s">
        <v>17</v>
      </c>
      <c r="H8" s="76" t="s">
        <v>17</v>
      </c>
      <c r="I8" s="77">
        <v>50</v>
      </c>
      <c r="J8" s="76" t="s">
        <v>17</v>
      </c>
      <c r="K8" s="160" t="s">
        <v>17</v>
      </c>
    </row>
    <row r="9" spans="1:11" ht="16.5" customHeight="1" x14ac:dyDescent="0.25">
      <c r="A9" s="71">
        <v>45929</v>
      </c>
      <c r="B9" s="74">
        <v>0.449253731343284</v>
      </c>
      <c r="C9" s="75" t="s">
        <v>488</v>
      </c>
      <c r="D9" s="75"/>
      <c r="E9" s="75"/>
      <c r="F9" s="83" t="s">
        <v>164</v>
      </c>
      <c r="G9" s="76">
        <v>4</v>
      </c>
      <c r="H9" s="77">
        <v>246</v>
      </c>
      <c r="I9" s="77">
        <v>295</v>
      </c>
      <c r="J9" s="77">
        <v>369</v>
      </c>
      <c r="K9" s="78">
        <v>74</v>
      </c>
    </row>
    <row r="10" spans="1:11" ht="16.5" customHeight="1" x14ac:dyDescent="0.25">
      <c r="A10" s="71">
        <v>45930</v>
      </c>
      <c r="B10" s="74">
        <v>0.449253731343284</v>
      </c>
      <c r="C10" s="75" t="s">
        <v>488</v>
      </c>
      <c r="D10" s="75"/>
      <c r="E10" s="75"/>
      <c r="F10" s="83" t="s">
        <v>267</v>
      </c>
      <c r="G10" s="76">
        <v>4</v>
      </c>
      <c r="H10" s="77">
        <v>246</v>
      </c>
      <c r="I10" s="77">
        <v>295</v>
      </c>
      <c r="J10" s="77">
        <v>369</v>
      </c>
      <c r="K10" s="78">
        <v>74</v>
      </c>
    </row>
    <row r="11" spans="1:11" ht="16.5" customHeight="1" x14ac:dyDescent="0.25">
      <c r="A11" s="71">
        <v>45931</v>
      </c>
      <c r="B11" s="74">
        <v>0.449253731343284</v>
      </c>
      <c r="C11" s="75" t="s">
        <v>488</v>
      </c>
      <c r="D11" s="75"/>
      <c r="E11" s="75"/>
      <c r="F11" s="83" t="s">
        <v>268</v>
      </c>
      <c r="G11" s="76">
        <v>4</v>
      </c>
      <c r="H11" s="77">
        <v>246</v>
      </c>
      <c r="I11" s="77">
        <v>295</v>
      </c>
      <c r="J11" s="77">
        <v>369</v>
      </c>
      <c r="K11" s="78">
        <v>74</v>
      </c>
    </row>
    <row r="12" spans="1:11" ht="16.5" customHeight="1" x14ac:dyDescent="0.25">
      <c r="A12" s="71">
        <v>45932</v>
      </c>
      <c r="B12" s="74">
        <v>0.449253731343284</v>
      </c>
      <c r="C12" s="75" t="s">
        <v>488</v>
      </c>
      <c r="D12" s="75"/>
      <c r="E12" s="75"/>
      <c r="F12" s="83" t="s">
        <v>269</v>
      </c>
      <c r="G12" s="76">
        <v>4</v>
      </c>
      <c r="H12" s="77">
        <v>246</v>
      </c>
      <c r="I12" s="77">
        <v>295</v>
      </c>
      <c r="J12" s="77">
        <v>369</v>
      </c>
      <c r="K12" s="78">
        <v>74</v>
      </c>
    </row>
    <row r="13" spans="1:11" ht="16.5" customHeight="1" x14ac:dyDescent="0.25">
      <c r="A13" s="71">
        <v>45933</v>
      </c>
      <c r="B13" s="74">
        <v>0.44146341463414601</v>
      </c>
      <c r="C13" s="75" t="s">
        <v>489</v>
      </c>
      <c r="D13" s="75"/>
      <c r="E13" s="75"/>
      <c r="F13" s="83" t="s">
        <v>165</v>
      </c>
      <c r="G13" s="76">
        <v>2</v>
      </c>
      <c r="H13" s="77">
        <v>153</v>
      </c>
      <c r="I13" s="77">
        <v>183</v>
      </c>
      <c r="J13" s="77">
        <v>229</v>
      </c>
      <c r="K13" s="78">
        <v>46</v>
      </c>
    </row>
    <row r="14" spans="1:11" ht="16.5" customHeight="1" x14ac:dyDescent="0.25">
      <c r="A14" s="71">
        <v>45934</v>
      </c>
      <c r="B14" s="74">
        <v>0.44146341463414601</v>
      </c>
      <c r="C14" s="75" t="s">
        <v>489</v>
      </c>
      <c r="D14" s="75"/>
      <c r="E14" s="75"/>
      <c r="F14" s="83" t="s">
        <v>270</v>
      </c>
      <c r="G14" s="76">
        <v>2</v>
      </c>
      <c r="H14" s="77">
        <v>153</v>
      </c>
      <c r="I14" s="77">
        <v>183</v>
      </c>
      <c r="J14" s="77">
        <v>229</v>
      </c>
      <c r="K14" s="78">
        <v>46</v>
      </c>
    </row>
    <row r="15" spans="1:11" ht="16.5" customHeight="1" x14ac:dyDescent="0.25">
      <c r="A15" s="71">
        <v>45935</v>
      </c>
      <c r="B15" s="74">
        <v>0.44146341463414601</v>
      </c>
      <c r="C15" s="75" t="s">
        <v>489</v>
      </c>
      <c r="D15" s="75"/>
      <c r="E15" s="75"/>
      <c r="F15" s="83" t="s">
        <v>271</v>
      </c>
      <c r="G15" s="76">
        <v>2</v>
      </c>
      <c r="H15" s="77">
        <v>153</v>
      </c>
      <c r="I15" s="77">
        <v>183</v>
      </c>
      <c r="J15" s="77">
        <v>229</v>
      </c>
      <c r="K15" s="78">
        <v>46</v>
      </c>
    </row>
    <row r="16" spans="1:11" ht="16.5" customHeight="1" x14ac:dyDescent="0.25">
      <c r="A16" s="71">
        <v>45936</v>
      </c>
      <c r="B16" s="74">
        <v>0.44146341463414601</v>
      </c>
      <c r="C16" s="75" t="s">
        <v>489</v>
      </c>
      <c r="D16" s="75"/>
      <c r="E16" s="75"/>
      <c r="F16" s="83" t="s">
        <v>272</v>
      </c>
      <c r="G16" s="76">
        <v>2</v>
      </c>
      <c r="H16" s="77">
        <v>153</v>
      </c>
      <c r="I16" s="77">
        <v>183</v>
      </c>
      <c r="J16" s="77">
        <v>229</v>
      </c>
      <c r="K16" s="78">
        <v>46</v>
      </c>
    </row>
    <row r="17" spans="1:11" ht="16.5" customHeight="1" x14ac:dyDescent="0.25">
      <c r="A17" s="71">
        <v>46062</v>
      </c>
      <c r="B17" s="74">
        <v>0.318636363636364</v>
      </c>
      <c r="C17" s="75" t="s">
        <v>490</v>
      </c>
      <c r="D17" s="75"/>
      <c r="E17" s="75"/>
      <c r="F17" s="83" t="s">
        <v>166</v>
      </c>
      <c r="G17" s="76">
        <v>15</v>
      </c>
      <c r="H17" s="77">
        <v>999</v>
      </c>
      <c r="I17" s="77">
        <v>1199</v>
      </c>
      <c r="J17" s="77">
        <v>1499</v>
      </c>
      <c r="K17" s="78">
        <v>300</v>
      </c>
    </row>
    <row r="18" spans="1:11" ht="16.5" customHeight="1" x14ac:dyDescent="0.25">
      <c r="A18" s="71">
        <v>46063</v>
      </c>
      <c r="B18" s="74">
        <v>0.318636363636364</v>
      </c>
      <c r="C18" s="75" t="s">
        <v>119</v>
      </c>
      <c r="D18" s="75"/>
      <c r="E18" s="75"/>
      <c r="F18" s="83" t="s">
        <v>167</v>
      </c>
      <c r="G18" s="76">
        <v>15</v>
      </c>
      <c r="H18" s="77">
        <v>999</v>
      </c>
      <c r="I18" s="77">
        <v>1199</v>
      </c>
      <c r="J18" s="77">
        <v>1499</v>
      </c>
      <c r="K18" s="78">
        <v>300</v>
      </c>
    </row>
    <row r="19" spans="1:11" ht="16.5" customHeight="1" x14ac:dyDescent="0.25">
      <c r="A19" s="71">
        <v>46435</v>
      </c>
      <c r="B19" s="74">
        <v>0.40100000000000002</v>
      </c>
      <c r="C19" s="75" t="s">
        <v>158</v>
      </c>
      <c r="D19" s="75"/>
      <c r="E19" s="75"/>
      <c r="F19" s="83" t="s">
        <v>168</v>
      </c>
      <c r="G19" s="76">
        <v>6</v>
      </c>
      <c r="H19" s="77">
        <v>399</v>
      </c>
      <c r="I19" s="77">
        <v>479</v>
      </c>
      <c r="J19" s="77">
        <v>599</v>
      </c>
      <c r="K19" s="78">
        <v>120</v>
      </c>
    </row>
    <row r="20" spans="1:11" ht="16.5" customHeight="1" x14ac:dyDescent="0.25">
      <c r="A20" s="71">
        <v>46436</v>
      </c>
      <c r="B20" s="74">
        <v>0.40100000000000002</v>
      </c>
      <c r="C20" s="75" t="s">
        <v>158</v>
      </c>
      <c r="D20" s="75"/>
      <c r="E20" s="75"/>
      <c r="F20" s="83" t="s">
        <v>273</v>
      </c>
      <c r="G20" s="76">
        <v>6</v>
      </c>
      <c r="H20" s="77">
        <v>399</v>
      </c>
      <c r="I20" s="77">
        <v>479</v>
      </c>
      <c r="J20" s="77">
        <v>599</v>
      </c>
      <c r="K20" s="78">
        <v>120</v>
      </c>
    </row>
    <row r="21" spans="1:11" ht="16.5" customHeight="1" x14ac:dyDescent="0.25">
      <c r="A21" s="71">
        <v>46437</v>
      </c>
      <c r="B21" s="74">
        <v>0.40100000000000002</v>
      </c>
      <c r="C21" s="75" t="s">
        <v>158</v>
      </c>
      <c r="D21" s="75"/>
      <c r="E21" s="75"/>
      <c r="F21" s="83" t="s">
        <v>274</v>
      </c>
      <c r="G21" s="76">
        <v>6</v>
      </c>
      <c r="H21" s="77">
        <v>399</v>
      </c>
      <c r="I21" s="77">
        <v>479</v>
      </c>
      <c r="J21" s="77">
        <v>599</v>
      </c>
      <c r="K21" s="78">
        <v>120</v>
      </c>
    </row>
    <row r="22" spans="1:11" ht="16.5" customHeight="1" x14ac:dyDescent="0.25">
      <c r="A22" s="71">
        <v>46438</v>
      </c>
      <c r="B22" s="74">
        <v>0.40100000000000002</v>
      </c>
      <c r="C22" s="75" t="s">
        <v>158</v>
      </c>
      <c r="D22" s="75"/>
      <c r="E22" s="75"/>
      <c r="F22" s="83" t="s">
        <v>275</v>
      </c>
      <c r="G22" s="76">
        <v>6</v>
      </c>
      <c r="H22" s="77">
        <v>399</v>
      </c>
      <c r="I22" s="77">
        <v>479</v>
      </c>
      <c r="J22" s="77">
        <v>599</v>
      </c>
      <c r="K22" s="78">
        <v>120</v>
      </c>
    </row>
    <row r="23" spans="1:11" ht="16.5" customHeight="1" x14ac:dyDescent="0.25">
      <c r="A23" s="71">
        <v>46439</v>
      </c>
      <c r="B23" s="74">
        <v>0.40100000000000002</v>
      </c>
      <c r="C23" s="75" t="s">
        <v>158</v>
      </c>
      <c r="D23" s="75"/>
      <c r="E23" s="75"/>
      <c r="F23" s="83" t="s">
        <v>276</v>
      </c>
      <c r="G23" s="76">
        <v>6</v>
      </c>
      <c r="H23" s="77">
        <v>399</v>
      </c>
      <c r="I23" s="77">
        <v>479</v>
      </c>
      <c r="J23" s="77">
        <v>599</v>
      </c>
      <c r="K23" s="78">
        <v>120</v>
      </c>
    </row>
    <row r="24" spans="1:11" ht="16.5" customHeight="1" x14ac:dyDescent="0.25">
      <c r="A24" s="71">
        <v>46440</v>
      </c>
      <c r="B24" s="74">
        <v>0.40100000000000002</v>
      </c>
      <c r="C24" s="75" t="s">
        <v>158</v>
      </c>
      <c r="D24" s="75"/>
      <c r="E24" s="75"/>
      <c r="F24" s="83" t="s">
        <v>277</v>
      </c>
      <c r="G24" s="76">
        <v>6</v>
      </c>
      <c r="H24" s="77">
        <v>399</v>
      </c>
      <c r="I24" s="77">
        <v>479</v>
      </c>
      <c r="J24" s="77">
        <v>599</v>
      </c>
      <c r="K24" s="78">
        <v>120</v>
      </c>
    </row>
    <row r="25" spans="1:11" ht="16.5" customHeight="1" x14ac:dyDescent="0.25">
      <c r="A25" s="71">
        <v>46441</v>
      </c>
      <c r="B25" s="74">
        <v>0.40100000000000002</v>
      </c>
      <c r="C25" s="75" t="s">
        <v>158</v>
      </c>
      <c r="D25" s="75"/>
      <c r="E25" s="75"/>
      <c r="F25" s="83" t="s">
        <v>278</v>
      </c>
      <c r="G25" s="76">
        <v>6</v>
      </c>
      <c r="H25" s="77">
        <v>399</v>
      </c>
      <c r="I25" s="77">
        <v>479</v>
      </c>
      <c r="J25" s="77">
        <v>599</v>
      </c>
      <c r="K25" s="78">
        <v>120</v>
      </c>
    </row>
    <row r="26" spans="1:11" ht="16.5" customHeight="1" x14ac:dyDescent="0.25">
      <c r="A26" s="71">
        <v>46442</v>
      </c>
      <c r="B26" s="74">
        <v>0.40100000000000002</v>
      </c>
      <c r="C26" s="75" t="s">
        <v>158</v>
      </c>
      <c r="D26" s="75"/>
      <c r="E26" s="75"/>
      <c r="F26" s="83" t="s">
        <v>279</v>
      </c>
      <c r="G26" s="76">
        <v>6</v>
      </c>
      <c r="H26" s="77">
        <v>399</v>
      </c>
      <c r="I26" s="77">
        <v>479</v>
      </c>
      <c r="J26" s="77">
        <v>599</v>
      </c>
      <c r="K26" s="78">
        <v>120</v>
      </c>
    </row>
    <row r="27" spans="1:11" ht="16.5" customHeight="1" x14ac:dyDescent="0.25">
      <c r="A27" s="71">
        <v>46443</v>
      </c>
      <c r="B27" s="74">
        <v>0.40100000000000002</v>
      </c>
      <c r="C27" s="75" t="s">
        <v>158</v>
      </c>
      <c r="D27" s="75"/>
      <c r="E27" s="75"/>
      <c r="F27" s="83" t="s">
        <v>280</v>
      </c>
      <c r="G27" s="76">
        <v>6</v>
      </c>
      <c r="H27" s="77">
        <v>399</v>
      </c>
      <c r="I27" s="77">
        <v>479</v>
      </c>
      <c r="J27" s="77">
        <v>599</v>
      </c>
      <c r="K27" s="78">
        <v>120</v>
      </c>
    </row>
    <row r="28" spans="1:11" ht="16.5" customHeight="1" x14ac:dyDescent="0.25">
      <c r="A28" s="71">
        <v>46444</v>
      </c>
      <c r="B28" s="74">
        <v>0.40100000000000002</v>
      </c>
      <c r="C28" s="75" t="s">
        <v>158</v>
      </c>
      <c r="D28" s="75"/>
      <c r="E28" s="75"/>
      <c r="F28" s="83" t="s">
        <v>281</v>
      </c>
      <c r="G28" s="76">
        <v>6</v>
      </c>
      <c r="H28" s="77">
        <v>399</v>
      </c>
      <c r="I28" s="77">
        <v>479</v>
      </c>
      <c r="J28" s="77">
        <v>599</v>
      </c>
      <c r="K28" s="78">
        <v>120</v>
      </c>
    </row>
    <row r="29" spans="1:11" ht="16.5" customHeight="1" x14ac:dyDescent="0.25">
      <c r="A29" s="71">
        <v>46445</v>
      </c>
      <c r="B29" s="74">
        <v>0.40100000000000002</v>
      </c>
      <c r="C29" s="75" t="s">
        <v>158</v>
      </c>
      <c r="D29" s="75"/>
      <c r="E29" s="75"/>
      <c r="F29" s="83" t="s">
        <v>282</v>
      </c>
      <c r="G29" s="76">
        <v>6</v>
      </c>
      <c r="H29" s="77">
        <v>399</v>
      </c>
      <c r="I29" s="77">
        <v>479</v>
      </c>
      <c r="J29" s="77">
        <v>599</v>
      </c>
      <c r="K29" s="78">
        <v>120</v>
      </c>
    </row>
    <row r="30" spans="1:11" ht="16.5" customHeight="1" x14ac:dyDescent="0.25">
      <c r="A30" s="71">
        <v>46446</v>
      </c>
      <c r="B30" s="74">
        <v>0.40100000000000002</v>
      </c>
      <c r="C30" s="75" t="s">
        <v>158</v>
      </c>
      <c r="D30" s="75"/>
      <c r="E30" s="75"/>
      <c r="F30" s="83" t="s">
        <v>283</v>
      </c>
      <c r="G30" s="76">
        <v>6</v>
      </c>
      <c r="H30" s="77">
        <v>399</v>
      </c>
      <c r="I30" s="77">
        <v>479</v>
      </c>
      <c r="J30" s="77">
        <v>599</v>
      </c>
      <c r="K30" s="78">
        <v>120</v>
      </c>
    </row>
    <row r="31" spans="1:11" ht="16.5" customHeight="1" x14ac:dyDescent="0.25">
      <c r="A31" s="71">
        <v>46447</v>
      </c>
      <c r="B31" s="74">
        <v>0.40100000000000002</v>
      </c>
      <c r="C31" s="75" t="s">
        <v>158</v>
      </c>
      <c r="D31" s="75"/>
      <c r="E31" s="75"/>
      <c r="F31" s="83" t="s">
        <v>284</v>
      </c>
      <c r="G31" s="76">
        <v>6</v>
      </c>
      <c r="H31" s="77">
        <v>399</v>
      </c>
      <c r="I31" s="77">
        <v>479</v>
      </c>
      <c r="J31" s="77">
        <v>599</v>
      </c>
      <c r="K31" s="78">
        <v>120</v>
      </c>
    </row>
    <row r="32" spans="1:11" ht="16.5" customHeight="1" x14ac:dyDescent="0.25">
      <c r="A32" s="71">
        <v>46448</v>
      </c>
      <c r="B32" s="74">
        <v>0.40100000000000002</v>
      </c>
      <c r="C32" s="75" t="s">
        <v>158</v>
      </c>
      <c r="D32" s="75"/>
      <c r="E32" s="75"/>
      <c r="F32" s="83" t="s">
        <v>285</v>
      </c>
      <c r="G32" s="76">
        <v>6</v>
      </c>
      <c r="H32" s="77">
        <v>399</v>
      </c>
      <c r="I32" s="77">
        <v>479</v>
      </c>
      <c r="J32" s="77">
        <v>599</v>
      </c>
      <c r="K32" s="78">
        <v>120</v>
      </c>
    </row>
    <row r="33" spans="1:11" ht="16.5" customHeight="1" x14ac:dyDescent="0.25">
      <c r="A33" s="71">
        <v>46449</v>
      </c>
      <c r="B33" s="74">
        <v>0.40100000000000002</v>
      </c>
      <c r="C33" s="75" t="s">
        <v>158</v>
      </c>
      <c r="D33" s="75"/>
      <c r="E33" s="75"/>
      <c r="F33" s="83" t="s">
        <v>286</v>
      </c>
      <c r="G33" s="76">
        <v>6</v>
      </c>
      <c r="H33" s="77">
        <v>399</v>
      </c>
      <c r="I33" s="77">
        <v>479</v>
      </c>
      <c r="J33" s="77">
        <v>599</v>
      </c>
      <c r="K33" s="78">
        <v>120</v>
      </c>
    </row>
    <row r="34" spans="1:11" ht="16.5" customHeight="1" x14ac:dyDescent="0.25">
      <c r="A34" s="71">
        <v>46483</v>
      </c>
      <c r="B34" s="74">
        <v>0.46914893617021303</v>
      </c>
      <c r="C34" s="75" t="s">
        <v>491</v>
      </c>
      <c r="D34" s="75"/>
      <c r="E34" s="75"/>
      <c r="F34" s="83" t="s">
        <v>169</v>
      </c>
      <c r="G34" s="76">
        <v>5</v>
      </c>
      <c r="H34" s="77">
        <v>333</v>
      </c>
      <c r="I34" s="77">
        <v>399</v>
      </c>
      <c r="J34" s="77">
        <v>499</v>
      </c>
      <c r="K34" s="78">
        <v>100</v>
      </c>
    </row>
    <row r="35" spans="1:11" ht="16.5" customHeight="1" x14ac:dyDescent="0.25">
      <c r="A35" s="71">
        <v>46484</v>
      </c>
      <c r="B35" s="74">
        <v>0.46914893617021303</v>
      </c>
      <c r="C35" s="75" t="s">
        <v>491</v>
      </c>
      <c r="D35" s="75"/>
      <c r="E35" s="75"/>
      <c r="F35" s="83" t="s">
        <v>287</v>
      </c>
      <c r="G35" s="76">
        <v>5</v>
      </c>
      <c r="H35" s="77">
        <v>333</v>
      </c>
      <c r="I35" s="77">
        <v>399</v>
      </c>
      <c r="J35" s="77">
        <v>499</v>
      </c>
      <c r="K35" s="78">
        <v>100</v>
      </c>
    </row>
    <row r="36" spans="1:11" ht="16.5" customHeight="1" x14ac:dyDescent="0.25">
      <c r="A36" s="71">
        <v>46485</v>
      </c>
      <c r="B36" s="74">
        <v>0.46914893617021303</v>
      </c>
      <c r="C36" s="75" t="s">
        <v>491</v>
      </c>
      <c r="D36" s="75"/>
      <c r="E36" s="75"/>
      <c r="F36" s="83" t="s">
        <v>288</v>
      </c>
      <c r="G36" s="76">
        <v>5</v>
      </c>
      <c r="H36" s="77">
        <v>333</v>
      </c>
      <c r="I36" s="77">
        <v>399</v>
      </c>
      <c r="J36" s="77">
        <v>499</v>
      </c>
      <c r="K36" s="78">
        <v>100</v>
      </c>
    </row>
    <row r="37" spans="1:11" ht="16.5" customHeight="1" x14ac:dyDescent="0.25">
      <c r="A37" s="71">
        <v>47009</v>
      </c>
      <c r="B37" s="74">
        <v>0.35249999999999998</v>
      </c>
      <c r="C37" s="75" t="s">
        <v>492</v>
      </c>
      <c r="D37" s="75"/>
      <c r="E37" s="75"/>
      <c r="F37" s="83" t="s">
        <v>170</v>
      </c>
      <c r="G37" s="76">
        <v>3</v>
      </c>
      <c r="H37" s="77">
        <v>173</v>
      </c>
      <c r="I37" s="77">
        <v>207</v>
      </c>
      <c r="J37" s="77">
        <v>259</v>
      </c>
      <c r="K37" s="78">
        <v>52</v>
      </c>
    </row>
    <row r="38" spans="1:11" ht="16.5" customHeight="1" x14ac:dyDescent="0.25">
      <c r="A38" s="71">
        <v>47010</v>
      </c>
      <c r="B38" s="74">
        <v>0.35249999999999998</v>
      </c>
      <c r="C38" s="75" t="s">
        <v>493</v>
      </c>
      <c r="D38" s="75"/>
      <c r="E38" s="75"/>
      <c r="F38" s="83" t="s">
        <v>171</v>
      </c>
      <c r="G38" s="76">
        <v>3</v>
      </c>
      <c r="H38" s="77">
        <v>173</v>
      </c>
      <c r="I38" s="77">
        <v>207</v>
      </c>
      <c r="J38" s="77">
        <v>259</v>
      </c>
      <c r="K38" s="78">
        <v>52</v>
      </c>
    </row>
    <row r="39" spans="1:11" ht="16.5" customHeight="1" x14ac:dyDescent="0.25">
      <c r="A39" s="71">
        <v>47114</v>
      </c>
      <c r="B39" s="74"/>
      <c r="C39" s="75" t="s">
        <v>489</v>
      </c>
      <c r="D39" s="75"/>
      <c r="E39" s="75"/>
      <c r="F39" s="83" t="s">
        <v>172</v>
      </c>
      <c r="G39" s="76">
        <v>6</v>
      </c>
      <c r="H39" s="77">
        <v>200</v>
      </c>
      <c r="I39" s="77">
        <v>479</v>
      </c>
      <c r="J39" s="77">
        <v>599</v>
      </c>
      <c r="K39" s="78">
        <v>120</v>
      </c>
    </row>
    <row r="40" spans="1:11" ht="16.5" customHeight="1" x14ac:dyDescent="0.25">
      <c r="A40" s="71">
        <v>47116</v>
      </c>
      <c r="B40" s="74"/>
      <c r="C40" s="75" t="s">
        <v>488</v>
      </c>
      <c r="D40" s="75"/>
      <c r="E40" s="75"/>
      <c r="F40" s="83" t="s">
        <v>173</v>
      </c>
      <c r="G40" s="76">
        <v>6</v>
      </c>
      <c r="H40" s="77">
        <v>200</v>
      </c>
      <c r="I40" s="77">
        <v>479</v>
      </c>
      <c r="J40" s="77">
        <v>599</v>
      </c>
      <c r="K40" s="78">
        <v>120</v>
      </c>
    </row>
    <row r="41" spans="1:11" ht="16.5" customHeight="1" x14ac:dyDescent="0.25">
      <c r="A41" s="71">
        <v>47117</v>
      </c>
      <c r="B41" s="74"/>
      <c r="C41" s="75" t="s">
        <v>494</v>
      </c>
      <c r="D41" s="75"/>
      <c r="E41" s="75"/>
      <c r="F41" s="83" t="s">
        <v>174</v>
      </c>
      <c r="G41" s="76">
        <v>18</v>
      </c>
      <c r="H41" s="77">
        <v>567</v>
      </c>
      <c r="I41" s="77">
        <v>1359</v>
      </c>
      <c r="J41" s="77">
        <v>1699</v>
      </c>
      <c r="K41" s="78">
        <v>340</v>
      </c>
    </row>
    <row r="42" spans="1:11" ht="16.5" customHeight="1" x14ac:dyDescent="0.25">
      <c r="A42" s="71">
        <v>47195</v>
      </c>
      <c r="B42" s="74">
        <v>0.35249999999999998</v>
      </c>
      <c r="C42" s="75" t="s">
        <v>495</v>
      </c>
      <c r="D42" s="75"/>
      <c r="E42" s="75"/>
      <c r="F42" s="83" t="s">
        <v>175</v>
      </c>
      <c r="G42" s="76">
        <v>3</v>
      </c>
      <c r="H42" s="77">
        <v>173</v>
      </c>
      <c r="I42" s="77">
        <v>207</v>
      </c>
      <c r="J42" s="77">
        <v>259</v>
      </c>
      <c r="K42" s="78">
        <v>52</v>
      </c>
    </row>
    <row r="43" spans="1:11" ht="16.5" customHeight="1" x14ac:dyDescent="0.25">
      <c r="A43" s="71">
        <v>47235</v>
      </c>
      <c r="B43" s="74"/>
      <c r="C43" s="75" t="s">
        <v>496</v>
      </c>
      <c r="D43" s="75"/>
      <c r="E43" s="75"/>
      <c r="F43" s="83" t="s">
        <v>176</v>
      </c>
      <c r="G43" s="76">
        <v>10</v>
      </c>
      <c r="H43" s="77">
        <v>333</v>
      </c>
      <c r="I43" s="77">
        <v>799</v>
      </c>
      <c r="J43" s="77">
        <v>999</v>
      </c>
      <c r="K43" s="78">
        <v>200</v>
      </c>
    </row>
    <row r="44" spans="1:11" ht="16.5" customHeight="1" x14ac:dyDescent="0.25">
      <c r="A44" s="71">
        <v>47236</v>
      </c>
      <c r="B44" s="74"/>
      <c r="C44" s="75" t="s">
        <v>497</v>
      </c>
      <c r="D44" s="75"/>
      <c r="E44" s="75"/>
      <c r="F44" s="83" t="s">
        <v>177</v>
      </c>
      <c r="G44" s="76">
        <v>11</v>
      </c>
      <c r="H44" s="77">
        <v>367</v>
      </c>
      <c r="I44" s="77">
        <v>879</v>
      </c>
      <c r="J44" s="77">
        <v>1099</v>
      </c>
      <c r="K44" s="78">
        <v>220</v>
      </c>
    </row>
    <row r="45" spans="1:11" ht="16.5" customHeight="1" x14ac:dyDescent="0.25">
      <c r="A45" s="71">
        <v>47246</v>
      </c>
      <c r="B45" s="74"/>
      <c r="C45" s="75" t="s">
        <v>498</v>
      </c>
      <c r="D45" s="75"/>
      <c r="E45" s="75"/>
      <c r="F45" s="83" t="s">
        <v>178</v>
      </c>
      <c r="G45" s="76">
        <v>31</v>
      </c>
      <c r="H45" s="77">
        <v>1000</v>
      </c>
      <c r="I45" s="77">
        <v>2399</v>
      </c>
      <c r="J45" s="77">
        <v>2999</v>
      </c>
      <c r="K45" s="78">
        <v>600</v>
      </c>
    </row>
    <row r="46" spans="1:11" ht="16.5" customHeight="1" x14ac:dyDescent="0.25">
      <c r="A46" s="71">
        <v>47409</v>
      </c>
      <c r="B46" s="74"/>
      <c r="C46" s="75" t="s">
        <v>104</v>
      </c>
      <c r="D46" s="75"/>
      <c r="E46" s="75"/>
      <c r="F46" s="83" t="s">
        <v>179</v>
      </c>
      <c r="G46" s="76">
        <v>2</v>
      </c>
      <c r="H46" s="77">
        <v>57</v>
      </c>
      <c r="I46" s="77">
        <v>135</v>
      </c>
      <c r="J46" s="77">
        <v>169</v>
      </c>
      <c r="K46" s="78">
        <v>34</v>
      </c>
    </row>
    <row r="47" spans="1:11" ht="16.5" customHeight="1" x14ac:dyDescent="0.25">
      <c r="A47" s="71">
        <v>47410</v>
      </c>
      <c r="B47" s="74"/>
      <c r="C47" s="75" t="s">
        <v>499</v>
      </c>
      <c r="D47" s="75"/>
      <c r="E47" s="75"/>
      <c r="F47" s="83" t="s">
        <v>180</v>
      </c>
      <c r="G47" s="76">
        <v>2</v>
      </c>
      <c r="H47" s="77">
        <v>57</v>
      </c>
      <c r="I47" s="77">
        <v>135</v>
      </c>
      <c r="J47" s="77">
        <v>169</v>
      </c>
      <c r="K47" s="78">
        <v>34</v>
      </c>
    </row>
    <row r="48" spans="1:11" ht="16.5" customHeight="1" x14ac:dyDescent="0.25">
      <c r="A48" s="71">
        <v>47504</v>
      </c>
      <c r="B48" s="74">
        <v>0.40083333333333299</v>
      </c>
      <c r="C48" s="75" t="s">
        <v>500</v>
      </c>
      <c r="D48" s="75"/>
      <c r="E48" s="75"/>
      <c r="F48" s="83" t="s">
        <v>181</v>
      </c>
      <c r="G48" s="76">
        <v>7</v>
      </c>
      <c r="H48" s="77">
        <v>479</v>
      </c>
      <c r="I48" s="77">
        <v>575</v>
      </c>
      <c r="J48" s="77">
        <v>719</v>
      </c>
      <c r="K48" s="78">
        <v>144</v>
      </c>
    </row>
    <row r="49" spans="1:11" ht="16.5" customHeight="1" x14ac:dyDescent="0.25">
      <c r="A49" s="71">
        <v>47505</v>
      </c>
      <c r="B49" s="74">
        <v>0.40083333333333299</v>
      </c>
      <c r="C49" s="75" t="s">
        <v>500</v>
      </c>
      <c r="D49" s="75"/>
      <c r="E49" s="75"/>
      <c r="F49" s="83" t="s">
        <v>289</v>
      </c>
      <c r="G49" s="76">
        <v>7</v>
      </c>
      <c r="H49" s="77">
        <v>479</v>
      </c>
      <c r="I49" s="77">
        <v>575</v>
      </c>
      <c r="J49" s="77">
        <v>719</v>
      </c>
      <c r="K49" s="78">
        <v>144</v>
      </c>
    </row>
    <row r="50" spans="1:11" ht="16.5" customHeight="1" x14ac:dyDescent="0.25">
      <c r="A50" s="71">
        <v>47506</v>
      </c>
      <c r="B50" s="74">
        <v>0.40083333333333299</v>
      </c>
      <c r="C50" s="75" t="s">
        <v>500</v>
      </c>
      <c r="D50" s="75"/>
      <c r="E50" s="75"/>
      <c r="F50" s="83" t="s">
        <v>290</v>
      </c>
      <c r="G50" s="76">
        <v>7</v>
      </c>
      <c r="H50" s="77">
        <v>479</v>
      </c>
      <c r="I50" s="77">
        <v>575</v>
      </c>
      <c r="J50" s="77">
        <v>719</v>
      </c>
      <c r="K50" s="78">
        <v>144</v>
      </c>
    </row>
    <row r="51" spans="1:11" ht="16.5" customHeight="1" thickBot="1" x14ac:dyDescent="0.3">
      <c r="A51" s="161">
        <v>148228</v>
      </c>
      <c r="B51" s="162"/>
      <c r="C51" s="163" t="s">
        <v>501</v>
      </c>
      <c r="D51" s="163"/>
      <c r="E51" s="163"/>
      <c r="F51" s="164" t="s">
        <v>944</v>
      </c>
      <c r="G51" s="165" t="s">
        <v>17</v>
      </c>
      <c r="H51" s="165" t="s">
        <v>17</v>
      </c>
      <c r="I51" s="166">
        <v>35</v>
      </c>
      <c r="J51" s="165" t="s">
        <v>17</v>
      </c>
      <c r="K51" s="167" t="s">
        <v>17</v>
      </c>
    </row>
    <row r="52" spans="1:11" ht="16.5" customHeight="1" x14ac:dyDescent="0.25">
      <c r="A52" s="44"/>
      <c r="F52" s="69"/>
      <c r="G52" s="4"/>
    </row>
    <row r="53" spans="1:11" ht="16.5" customHeight="1" thickBot="1" x14ac:dyDescent="0.3">
      <c r="A53" s="44"/>
      <c r="F53" s="60" t="s">
        <v>159</v>
      </c>
      <c r="G53" s="4"/>
    </row>
    <row r="54" spans="1:11" ht="16.5" customHeight="1" x14ac:dyDescent="0.25">
      <c r="A54" s="68" t="s">
        <v>4</v>
      </c>
      <c r="B54" s="26" t="s">
        <v>12</v>
      </c>
      <c r="C54" s="27" t="s">
        <v>11</v>
      </c>
      <c r="D54" s="27" t="s">
        <v>15</v>
      </c>
      <c r="E54" s="27" t="s">
        <v>13</v>
      </c>
      <c r="F54" s="28" t="s">
        <v>14</v>
      </c>
      <c r="G54" s="29" t="s">
        <v>5</v>
      </c>
      <c r="H54" s="37" t="s">
        <v>6</v>
      </c>
      <c r="I54" s="37" t="s">
        <v>81</v>
      </c>
      <c r="J54" s="38" t="s">
        <v>82</v>
      </c>
    </row>
    <row r="55" spans="1:11" ht="16.5" customHeight="1" x14ac:dyDescent="0.25">
      <c r="A55" s="71">
        <v>37285</v>
      </c>
      <c r="B55" s="74"/>
      <c r="C55" s="75" t="s">
        <v>502</v>
      </c>
      <c r="D55" s="75"/>
      <c r="E55" s="75"/>
      <c r="F55" s="83" t="s">
        <v>503</v>
      </c>
      <c r="G55" s="76">
        <v>52</v>
      </c>
      <c r="H55" s="77">
        <v>3333</v>
      </c>
      <c r="I55" s="77">
        <v>4000</v>
      </c>
      <c r="J55" s="78">
        <v>5000</v>
      </c>
    </row>
    <row r="56" spans="1:11" ht="16.5" customHeight="1" x14ac:dyDescent="0.25">
      <c r="A56" s="71">
        <v>37289</v>
      </c>
      <c r="B56" s="74"/>
      <c r="C56" s="75" t="s">
        <v>502</v>
      </c>
      <c r="D56" s="75"/>
      <c r="E56" s="75"/>
      <c r="F56" s="83" t="s">
        <v>504</v>
      </c>
      <c r="G56" s="76">
        <v>52</v>
      </c>
      <c r="H56" s="77">
        <v>3333</v>
      </c>
      <c r="I56" s="77">
        <v>4000</v>
      </c>
      <c r="J56" s="78">
        <v>5000</v>
      </c>
    </row>
    <row r="57" spans="1:11" ht="16.5" customHeight="1" x14ac:dyDescent="0.25">
      <c r="A57" s="71">
        <v>37290</v>
      </c>
      <c r="B57" s="74"/>
      <c r="C57" s="75" t="s">
        <v>502</v>
      </c>
      <c r="D57" s="75"/>
      <c r="E57" s="75"/>
      <c r="F57" s="83" t="s">
        <v>505</v>
      </c>
      <c r="G57" s="76">
        <v>52</v>
      </c>
      <c r="H57" s="77">
        <v>3333</v>
      </c>
      <c r="I57" s="77">
        <v>4000</v>
      </c>
      <c r="J57" s="78">
        <v>5000</v>
      </c>
    </row>
    <row r="58" spans="1:11" ht="16.5" customHeight="1" x14ac:dyDescent="0.25">
      <c r="A58" s="71">
        <v>37293</v>
      </c>
      <c r="B58" s="74"/>
      <c r="C58" s="75" t="s">
        <v>502</v>
      </c>
      <c r="D58" s="75"/>
      <c r="E58" s="75"/>
      <c r="F58" s="83" t="s">
        <v>29</v>
      </c>
      <c r="G58" s="76">
        <v>52</v>
      </c>
      <c r="H58" s="77">
        <v>3333</v>
      </c>
      <c r="I58" s="77">
        <v>4000</v>
      </c>
      <c r="J58" s="78">
        <v>5000</v>
      </c>
    </row>
    <row r="59" spans="1:11" ht="16.5" customHeight="1" x14ac:dyDescent="0.25">
      <c r="A59" s="71">
        <v>38556</v>
      </c>
      <c r="B59" s="74"/>
      <c r="C59" s="75" t="s">
        <v>506</v>
      </c>
      <c r="D59" s="75"/>
      <c r="E59" s="75"/>
      <c r="F59" s="83" t="s">
        <v>34</v>
      </c>
      <c r="G59" s="76">
        <v>24</v>
      </c>
      <c r="H59" s="77">
        <v>1533</v>
      </c>
      <c r="I59" s="77">
        <v>1840</v>
      </c>
      <c r="J59" s="78">
        <v>2300</v>
      </c>
    </row>
    <row r="60" spans="1:11" ht="16.5" customHeight="1" x14ac:dyDescent="0.25">
      <c r="A60" s="71">
        <v>38557</v>
      </c>
      <c r="B60" s="74">
        <v>0.14321428571428599</v>
      </c>
      <c r="C60" s="75" t="s">
        <v>507</v>
      </c>
      <c r="D60" s="75"/>
      <c r="E60" s="75"/>
      <c r="F60" s="83" t="s">
        <v>31</v>
      </c>
      <c r="G60" s="76">
        <v>25</v>
      </c>
      <c r="H60" s="77">
        <v>1599</v>
      </c>
      <c r="I60" s="77">
        <v>1919</v>
      </c>
      <c r="J60" s="78">
        <v>2399</v>
      </c>
    </row>
    <row r="61" spans="1:11" ht="16.5" customHeight="1" x14ac:dyDescent="0.25">
      <c r="A61" s="71">
        <v>38558</v>
      </c>
      <c r="B61" s="74"/>
      <c r="C61" s="75" t="s">
        <v>508</v>
      </c>
      <c r="D61" s="75"/>
      <c r="E61" s="75"/>
      <c r="F61" s="83" t="s">
        <v>32</v>
      </c>
      <c r="G61" s="76">
        <v>29</v>
      </c>
      <c r="H61" s="77">
        <v>1867</v>
      </c>
      <c r="I61" s="77">
        <v>2240</v>
      </c>
      <c r="J61" s="78">
        <v>2800</v>
      </c>
    </row>
    <row r="62" spans="1:11" ht="16.5" customHeight="1" x14ac:dyDescent="0.25">
      <c r="A62" s="71">
        <v>38559</v>
      </c>
      <c r="B62" s="74"/>
      <c r="C62" s="75" t="s">
        <v>508</v>
      </c>
      <c r="D62" s="75"/>
      <c r="E62" s="75"/>
      <c r="F62" s="83" t="s">
        <v>33</v>
      </c>
      <c r="G62" s="76">
        <v>29</v>
      </c>
      <c r="H62" s="77">
        <v>1867</v>
      </c>
      <c r="I62" s="77">
        <v>2240</v>
      </c>
      <c r="J62" s="78">
        <v>2800</v>
      </c>
    </row>
    <row r="63" spans="1:11" ht="16.5" customHeight="1" x14ac:dyDescent="0.25">
      <c r="A63" s="71">
        <v>38836</v>
      </c>
      <c r="B63" s="74"/>
      <c r="C63" s="75" t="s">
        <v>509</v>
      </c>
      <c r="D63" s="75"/>
      <c r="E63" s="75"/>
      <c r="F63" s="83" t="s">
        <v>510</v>
      </c>
      <c r="G63" s="76">
        <v>50</v>
      </c>
      <c r="H63" s="77">
        <v>3000</v>
      </c>
      <c r="I63" s="77">
        <v>3600</v>
      </c>
      <c r="J63" s="78">
        <v>4500</v>
      </c>
    </row>
    <row r="64" spans="1:11" ht="16.5" customHeight="1" x14ac:dyDescent="0.25">
      <c r="A64" s="71">
        <v>38838</v>
      </c>
      <c r="B64" s="74"/>
      <c r="C64" s="75" t="s">
        <v>509</v>
      </c>
      <c r="D64" s="75"/>
      <c r="E64" s="75"/>
      <c r="F64" s="83" t="s">
        <v>511</v>
      </c>
      <c r="G64" s="76">
        <v>50</v>
      </c>
      <c r="H64" s="77">
        <v>3000</v>
      </c>
      <c r="I64" s="77">
        <v>3600</v>
      </c>
      <c r="J64" s="78">
        <v>4500</v>
      </c>
    </row>
    <row r="65" spans="1:11" ht="16.5" customHeight="1" x14ac:dyDescent="0.25">
      <c r="A65" s="71">
        <v>40745</v>
      </c>
      <c r="B65" s="74"/>
      <c r="C65" s="75" t="s">
        <v>512</v>
      </c>
      <c r="D65" s="75"/>
      <c r="E65" s="75"/>
      <c r="F65" s="83" t="s">
        <v>160</v>
      </c>
      <c r="G65" s="76">
        <v>70</v>
      </c>
      <c r="H65" s="77">
        <v>4000</v>
      </c>
      <c r="I65" s="77">
        <v>4800</v>
      </c>
      <c r="J65" s="78">
        <v>6000</v>
      </c>
    </row>
    <row r="66" spans="1:11" ht="16.5" customHeight="1" x14ac:dyDescent="0.25">
      <c r="A66" s="71">
        <v>45306</v>
      </c>
      <c r="B66" s="74"/>
      <c r="C66" s="75" t="s">
        <v>512</v>
      </c>
      <c r="D66" s="75"/>
      <c r="E66" s="75"/>
      <c r="F66" s="83" t="s">
        <v>38</v>
      </c>
      <c r="G66" s="76">
        <v>70</v>
      </c>
      <c r="H66" s="77">
        <v>4000</v>
      </c>
      <c r="I66" s="77">
        <v>4800</v>
      </c>
      <c r="J66" s="78">
        <v>6000</v>
      </c>
    </row>
    <row r="67" spans="1:11" ht="16.5" customHeight="1" x14ac:dyDescent="0.25">
      <c r="A67" s="71">
        <v>45307</v>
      </c>
      <c r="B67" s="185"/>
      <c r="C67" s="8" t="s">
        <v>512</v>
      </c>
      <c r="D67" s="8"/>
      <c r="E67" s="8"/>
      <c r="F67" s="186" t="s">
        <v>37</v>
      </c>
      <c r="G67" s="114">
        <v>70</v>
      </c>
      <c r="H67" s="119">
        <v>4000</v>
      </c>
      <c r="I67" s="119">
        <v>4800</v>
      </c>
      <c r="J67" s="187">
        <v>6000</v>
      </c>
    </row>
    <row r="68" spans="1:11" ht="16.5" customHeight="1" x14ac:dyDescent="0.25">
      <c r="A68" s="71">
        <v>46068</v>
      </c>
      <c r="B68" s="185"/>
      <c r="C68" s="8" t="s">
        <v>512</v>
      </c>
      <c r="D68" s="8"/>
      <c r="E68" s="8"/>
      <c r="F68" s="186" t="s">
        <v>60</v>
      </c>
      <c r="G68" s="114">
        <v>1</v>
      </c>
      <c r="H68" s="119">
        <v>40</v>
      </c>
      <c r="I68" s="119">
        <v>95</v>
      </c>
      <c r="J68" s="187">
        <v>119</v>
      </c>
    </row>
    <row r="69" spans="1:11" ht="16.5" customHeight="1" x14ac:dyDescent="0.25">
      <c r="A69" s="71">
        <v>46664</v>
      </c>
      <c r="B69" s="185"/>
      <c r="C69" s="8" t="s">
        <v>30</v>
      </c>
      <c r="D69" s="8"/>
      <c r="E69" s="8"/>
      <c r="F69" s="79" t="s">
        <v>36</v>
      </c>
      <c r="G69" s="114">
        <v>14</v>
      </c>
      <c r="H69" s="119">
        <v>467</v>
      </c>
      <c r="I69" s="119">
        <v>1119</v>
      </c>
      <c r="J69" s="187">
        <v>1399</v>
      </c>
      <c r="K69" s="1"/>
    </row>
    <row r="70" spans="1:11" ht="16.5" customHeight="1" x14ac:dyDescent="0.25">
      <c r="A70" s="71">
        <v>46684</v>
      </c>
      <c r="B70" s="185"/>
      <c r="C70" s="8" t="s">
        <v>502</v>
      </c>
      <c r="D70" s="8"/>
      <c r="E70" s="8"/>
      <c r="F70" s="186" t="s">
        <v>513</v>
      </c>
      <c r="G70" s="114">
        <v>14</v>
      </c>
      <c r="H70" s="119">
        <v>467</v>
      </c>
      <c r="I70" s="119">
        <v>1119</v>
      </c>
      <c r="J70" s="187">
        <v>1399</v>
      </c>
    </row>
    <row r="71" spans="1:11" ht="16.5" customHeight="1" x14ac:dyDescent="0.25">
      <c r="A71" s="71">
        <v>47260</v>
      </c>
      <c r="B71" s="185"/>
      <c r="C71" s="8" t="s">
        <v>514</v>
      </c>
      <c r="D71" s="8"/>
      <c r="E71" s="8"/>
      <c r="F71" s="186" t="s">
        <v>515</v>
      </c>
      <c r="G71" s="114">
        <v>122</v>
      </c>
      <c r="H71" s="119">
        <v>6333</v>
      </c>
      <c r="I71" s="119">
        <v>7600</v>
      </c>
      <c r="J71" s="187">
        <v>9500</v>
      </c>
    </row>
    <row r="72" spans="1:11" ht="16.5" customHeight="1" x14ac:dyDescent="0.25">
      <c r="A72" s="71">
        <v>47269</v>
      </c>
      <c r="B72" s="74"/>
      <c r="C72" s="75" t="s">
        <v>514</v>
      </c>
      <c r="D72" s="75"/>
      <c r="E72" s="75"/>
      <c r="F72" s="83" t="s">
        <v>516</v>
      </c>
      <c r="G72" s="76">
        <v>232</v>
      </c>
      <c r="H72" s="77">
        <v>11400</v>
      </c>
      <c r="I72" s="77">
        <v>13680</v>
      </c>
      <c r="J72" s="78">
        <v>17100</v>
      </c>
    </row>
    <row r="73" spans="1:11" ht="16.5" customHeight="1" x14ac:dyDescent="0.25">
      <c r="A73" s="71">
        <v>47272</v>
      </c>
      <c r="B73" s="74"/>
      <c r="C73" s="75" t="s">
        <v>514</v>
      </c>
      <c r="D73" s="75"/>
      <c r="E73" s="75"/>
      <c r="F73" s="83" t="s">
        <v>517</v>
      </c>
      <c r="G73" s="76">
        <v>144</v>
      </c>
      <c r="H73" s="77">
        <v>7000</v>
      </c>
      <c r="I73" s="77">
        <v>8400</v>
      </c>
      <c r="J73" s="78">
        <v>10500</v>
      </c>
    </row>
    <row r="74" spans="1:11" ht="16.5" customHeight="1" thickBot="1" x14ac:dyDescent="0.3">
      <c r="A74" s="161">
        <v>47276</v>
      </c>
      <c r="B74" s="162"/>
      <c r="C74" s="163" t="s">
        <v>514</v>
      </c>
      <c r="D74" s="163"/>
      <c r="E74" s="163"/>
      <c r="F74" s="164" t="s">
        <v>518</v>
      </c>
      <c r="G74" s="165">
        <v>168</v>
      </c>
      <c r="H74" s="166">
        <v>8000</v>
      </c>
      <c r="I74" s="166">
        <v>9600</v>
      </c>
      <c r="J74" s="170">
        <v>12000</v>
      </c>
    </row>
    <row r="75" spans="1:11" ht="16.5" customHeight="1" x14ac:dyDescent="0.25">
      <c r="A75" s="44"/>
      <c r="G75" s="4"/>
      <c r="K75" s="1"/>
    </row>
    <row r="76" spans="1:11" ht="16.5" customHeight="1" thickBot="1" x14ac:dyDescent="0.3">
      <c r="A76" s="44"/>
      <c r="F76" s="60" t="s">
        <v>945</v>
      </c>
      <c r="G76" s="4"/>
      <c r="K76" s="1"/>
    </row>
    <row r="77" spans="1:11" ht="16.5" customHeight="1" x14ac:dyDescent="0.25">
      <c r="A77" s="68" t="s">
        <v>4</v>
      </c>
      <c r="B77" s="26" t="s">
        <v>12</v>
      </c>
      <c r="C77" s="27" t="s">
        <v>11</v>
      </c>
      <c r="D77" s="27" t="s">
        <v>15</v>
      </c>
      <c r="E77" s="27" t="s">
        <v>13</v>
      </c>
      <c r="F77" s="28" t="s">
        <v>14</v>
      </c>
      <c r="G77" s="29" t="s">
        <v>5</v>
      </c>
      <c r="H77" s="37" t="s">
        <v>6</v>
      </c>
      <c r="I77" s="37" t="s">
        <v>81</v>
      </c>
      <c r="J77" s="38" t="s">
        <v>82</v>
      </c>
      <c r="K77" s="1"/>
    </row>
    <row r="78" spans="1:11" ht="16.5" customHeight="1" x14ac:dyDescent="0.25">
      <c r="A78" s="86">
        <v>29706</v>
      </c>
      <c r="B78" s="74"/>
      <c r="C78" s="75" t="s">
        <v>519</v>
      </c>
      <c r="D78" s="8"/>
      <c r="E78" s="8"/>
      <c r="F78" s="79" t="s">
        <v>35</v>
      </c>
      <c r="G78" s="76">
        <v>29</v>
      </c>
      <c r="H78" s="77">
        <v>1867</v>
      </c>
      <c r="I78" s="77">
        <v>2240</v>
      </c>
      <c r="J78" s="78">
        <v>2800</v>
      </c>
      <c r="K78" s="1" t="s">
        <v>97</v>
      </c>
    </row>
    <row r="79" spans="1:11" ht="16.5" customHeight="1" thickBot="1" x14ac:dyDescent="0.3">
      <c r="A79" s="171">
        <v>31766</v>
      </c>
      <c r="B79" s="162"/>
      <c r="C79" s="163" t="s">
        <v>519</v>
      </c>
      <c r="D79" s="168"/>
      <c r="E79" s="168"/>
      <c r="F79" s="169" t="s">
        <v>96</v>
      </c>
      <c r="G79" s="165">
        <v>24</v>
      </c>
      <c r="H79" s="166">
        <v>1533</v>
      </c>
      <c r="I79" s="166">
        <v>1840</v>
      </c>
      <c r="J79" s="170">
        <v>2300</v>
      </c>
      <c r="K79" s="1" t="s">
        <v>97</v>
      </c>
    </row>
    <row r="80" spans="1:11" ht="16.5" customHeight="1" x14ac:dyDescent="0.25">
      <c r="A80" s="41" t="s">
        <v>56</v>
      </c>
      <c r="B80" s="41" t="s">
        <v>62</v>
      </c>
      <c r="C80" s="41" t="s">
        <v>63</v>
      </c>
      <c r="D80" s="42" t="s">
        <v>57</v>
      </c>
      <c r="F80" s="69"/>
      <c r="G80" s="4"/>
    </row>
    <row r="81" spans="1:11" ht="16.5" customHeight="1" x14ac:dyDescent="0.25">
      <c r="A81" s="43" t="s">
        <v>58</v>
      </c>
      <c r="B81" s="41" t="s">
        <v>62</v>
      </c>
      <c r="C81" s="41" t="s">
        <v>63</v>
      </c>
      <c r="D81" s="42" t="s">
        <v>59</v>
      </c>
      <c r="F81" s="69"/>
      <c r="G81" s="4"/>
    </row>
    <row r="82" spans="1:11" ht="16.5" customHeight="1" thickBot="1" x14ac:dyDescent="0.3">
      <c r="A82" s="43"/>
      <c r="B82" s="41"/>
      <c r="C82" s="41"/>
      <c r="D82" s="42"/>
      <c r="F82" s="4" t="s">
        <v>20</v>
      </c>
      <c r="G82" s="4"/>
    </row>
    <row r="83" spans="1:11" ht="16.5" customHeight="1" x14ac:dyDescent="0.25">
      <c r="A83" s="25" t="s">
        <v>4</v>
      </c>
      <c r="B83" s="26" t="s">
        <v>12</v>
      </c>
      <c r="C83" s="27" t="s">
        <v>11</v>
      </c>
      <c r="D83" s="27" t="s">
        <v>15</v>
      </c>
      <c r="E83" s="27" t="s">
        <v>13</v>
      </c>
      <c r="F83" s="28" t="s">
        <v>14</v>
      </c>
      <c r="G83" s="29" t="s">
        <v>5</v>
      </c>
      <c r="H83" s="37" t="s">
        <v>6</v>
      </c>
      <c r="I83" s="37" t="s">
        <v>7</v>
      </c>
      <c r="J83" s="37" t="s">
        <v>8</v>
      </c>
      <c r="K83" s="38" t="s">
        <v>10</v>
      </c>
    </row>
    <row r="84" spans="1:11" ht="16.5" customHeight="1" x14ac:dyDescent="0.25">
      <c r="A84" s="124">
        <v>8617</v>
      </c>
      <c r="B84" s="74">
        <v>0.37368421052631601</v>
      </c>
      <c r="C84" s="75" t="s">
        <v>520</v>
      </c>
      <c r="D84" s="8"/>
      <c r="E84" s="8"/>
      <c r="F84" s="79" t="s">
        <v>521</v>
      </c>
      <c r="G84" s="76">
        <v>1</v>
      </c>
      <c r="H84" s="77">
        <v>40</v>
      </c>
      <c r="I84" s="77">
        <v>95</v>
      </c>
      <c r="J84" s="77">
        <v>119</v>
      </c>
      <c r="K84" s="78">
        <v>24</v>
      </c>
    </row>
    <row r="85" spans="1:11" ht="16.5" customHeight="1" x14ac:dyDescent="0.25">
      <c r="A85" s="124">
        <v>13659</v>
      </c>
      <c r="B85" s="74">
        <v>0.28039999999999998</v>
      </c>
      <c r="C85" s="75" t="s">
        <v>522</v>
      </c>
      <c r="D85" s="8"/>
      <c r="E85" s="8"/>
      <c r="F85" s="79" t="s">
        <v>523</v>
      </c>
      <c r="G85" s="76">
        <v>19</v>
      </c>
      <c r="H85" s="77">
        <v>1199</v>
      </c>
      <c r="I85" s="77">
        <v>1439</v>
      </c>
      <c r="J85" s="77">
        <v>1799</v>
      </c>
      <c r="K85" s="78">
        <v>360</v>
      </c>
    </row>
    <row r="86" spans="1:11" ht="16.5" customHeight="1" x14ac:dyDescent="0.25">
      <c r="A86" s="124">
        <v>18437</v>
      </c>
      <c r="B86" s="74">
        <v>0.28039999999999998</v>
      </c>
      <c r="C86" s="75" t="s">
        <v>522</v>
      </c>
      <c r="D86" s="8"/>
      <c r="E86" s="8"/>
      <c r="F86" s="79" t="s">
        <v>524</v>
      </c>
      <c r="G86" s="76">
        <v>19</v>
      </c>
      <c r="H86" s="77">
        <v>1199</v>
      </c>
      <c r="I86" s="77">
        <v>1439</v>
      </c>
      <c r="J86" s="77">
        <v>1799</v>
      </c>
      <c r="K86" s="78">
        <v>360</v>
      </c>
    </row>
    <row r="87" spans="1:11" ht="16.5" customHeight="1" x14ac:dyDescent="0.25">
      <c r="A87" s="124">
        <v>21339</v>
      </c>
      <c r="B87" s="74">
        <v>0.26733333333333298</v>
      </c>
      <c r="C87" s="75" t="s">
        <v>522</v>
      </c>
      <c r="D87" s="8"/>
      <c r="E87" s="8"/>
      <c r="F87" s="79" t="s">
        <v>525</v>
      </c>
      <c r="G87" s="76">
        <v>11</v>
      </c>
      <c r="H87" s="77">
        <v>733</v>
      </c>
      <c r="I87" s="77">
        <v>879</v>
      </c>
      <c r="J87" s="77">
        <v>1099</v>
      </c>
      <c r="K87" s="78">
        <v>220</v>
      </c>
    </row>
    <row r="88" spans="1:11" ht="16.5" customHeight="1" x14ac:dyDescent="0.25">
      <c r="A88" s="124">
        <v>22443</v>
      </c>
      <c r="B88" s="74"/>
      <c r="C88" s="75" t="s">
        <v>526</v>
      </c>
      <c r="D88" s="8"/>
      <c r="E88" s="8"/>
      <c r="F88" s="85" t="s">
        <v>182</v>
      </c>
      <c r="G88" s="76" t="s">
        <v>17</v>
      </c>
      <c r="H88" s="77" t="s">
        <v>17</v>
      </c>
      <c r="I88" s="77">
        <v>35</v>
      </c>
      <c r="J88" s="77" t="s">
        <v>17</v>
      </c>
      <c r="K88" s="78" t="s">
        <v>17</v>
      </c>
    </row>
    <row r="89" spans="1:11" ht="16.5" customHeight="1" x14ac:dyDescent="0.25">
      <c r="A89" s="124">
        <v>26825</v>
      </c>
      <c r="B89" s="74">
        <v>0.36388888888888898</v>
      </c>
      <c r="C89" s="75" t="s">
        <v>527</v>
      </c>
      <c r="D89" s="8"/>
      <c r="E89" s="8"/>
      <c r="F89" s="79" t="s">
        <v>528</v>
      </c>
      <c r="G89" s="76">
        <v>2</v>
      </c>
      <c r="H89" s="77">
        <v>77</v>
      </c>
      <c r="I89" s="77">
        <v>183</v>
      </c>
      <c r="J89" s="77">
        <v>229</v>
      </c>
      <c r="K89" s="78">
        <v>46</v>
      </c>
    </row>
    <row r="90" spans="1:11" ht="16.5" customHeight="1" x14ac:dyDescent="0.25">
      <c r="A90" s="124">
        <v>29038</v>
      </c>
      <c r="B90" s="74">
        <v>0.40531914893616999</v>
      </c>
      <c r="C90" s="75" t="s">
        <v>529</v>
      </c>
      <c r="D90" s="8"/>
      <c r="E90" s="8"/>
      <c r="F90" s="79" t="s">
        <v>183</v>
      </c>
      <c r="G90" s="76">
        <v>6</v>
      </c>
      <c r="H90" s="77">
        <v>187</v>
      </c>
      <c r="I90" s="77">
        <v>447</v>
      </c>
      <c r="J90" s="77">
        <v>559</v>
      </c>
      <c r="K90" s="78">
        <v>112</v>
      </c>
    </row>
    <row r="91" spans="1:11" ht="16.5" customHeight="1" x14ac:dyDescent="0.25">
      <c r="A91" s="124">
        <v>29446</v>
      </c>
      <c r="B91" s="74">
        <v>0.30313131313131297</v>
      </c>
      <c r="C91" s="75" t="s">
        <v>530</v>
      </c>
      <c r="D91" s="8"/>
      <c r="E91" s="8"/>
      <c r="F91" s="79" t="s">
        <v>77</v>
      </c>
      <c r="G91" s="76">
        <v>85</v>
      </c>
      <c r="H91" s="77">
        <v>4599</v>
      </c>
      <c r="I91" s="77">
        <v>5519</v>
      </c>
      <c r="J91" s="77">
        <v>6899</v>
      </c>
      <c r="K91" s="78">
        <v>1380</v>
      </c>
    </row>
    <row r="92" spans="1:11" ht="16.5" customHeight="1" x14ac:dyDescent="0.25">
      <c r="A92" s="124">
        <v>30468</v>
      </c>
      <c r="B92" s="74">
        <v>0.40954545454545499</v>
      </c>
      <c r="C92" s="75" t="s">
        <v>531</v>
      </c>
      <c r="D92" s="8"/>
      <c r="E92" s="8"/>
      <c r="F92" s="79" t="s">
        <v>532</v>
      </c>
      <c r="G92" s="76">
        <v>13</v>
      </c>
      <c r="H92" s="77">
        <v>866</v>
      </c>
      <c r="I92" s="77">
        <v>1039</v>
      </c>
      <c r="J92" s="77">
        <v>1299</v>
      </c>
      <c r="K92" s="78">
        <v>260</v>
      </c>
    </row>
    <row r="93" spans="1:11" ht="16.5" customHeight="1" x14ac:dyDescent="0.25">
      <c r="A93" s="124">
        <v>30888</v>
      </c>
      <c r="B93" s="74">
        <v>0.45071428571428601</v>
      </c>
      <c r="C93" s="75" t="s">
        <v>533</v>
      </c>
      <c r="D93" s="8"/>
      <c r="E93" s="8"/>
      <c r="F93" s="79" t="s">
        <v>534</v>
      </c>
      <c r="G93" s="76">
        <v>8</v>
      </c>
      <c r="H93" s="77">
        <v>257</v>
      </c>
      <c r="I93" s="77">
        <v>615</v>
      </c>
      <c r="J93" s="77">
        <v>769</v>
      </c>
      <c r="K93" s="78">
        <v>154</v>
      </c>
    </row>
    <row r="94" spans="1:11" ht="16.5" customHeight="1" x14ac:dyDescent="0.25">
      <c r="A94" s="124">
        <v>30895</v>
      </c>
      <c r="B94" s="74">
        <v>0.39565217391304303</v>
      </c>
      <c r="C94" s="75" t="s">
        <v>535</v>
      </c>
      <c r="D94" s="8"/>
      <c r="E94" s="8"/>
      <c r="F94" s="79" t="s">
        <v>536</v>
      </c>
      <c r="G94" s="76">
        <v>1</v>
      </c>
      <c r="H94" s="77">
        <v>93</v>
      </c>
      <c r="I94" s="77">
        <v>111</v>
      </c>
      <c r="J94" s="77">
        <v>139</v>
      </c>
      <c r="K94" s="78">
        <v>28</v>
      </c>
    </row>
    <row r="95" spans="1:11" ht="16.5" customHeight="1" x14ac:dyDescent="0.25">
      <c r="A95" s="124">
        <v>31494</v>
      </c>
      <c r="B95" s="74"/>
      <c r="C95" s="75" t="s">
        <v>526</v>
      </c>
      <c r="D95" s="8"/>
      <c r="E95" s="8"/>
      <c r="F95" s="85" t="s">
        <v>184</v>
      </c>
      <c r="G95" s="76" t="s">
        <v>17</v>
      </c>
      <c r="H95" s="77" t="s">
        <v>17</v>
      </c>
      <c r="I95" s="77">
        <v>35</v>
      </c>
      <c r="J95" s="77" t="s">
        <v>17</v>
      </c>
      <c r="K95" s="78" t="s">
        <v>17</v>
      </c>
    </row>
    <row r="96" spans="1:11" ht="16.5" customHeight="1" x14ac:dyDescent="0.25">
      <c r="A96" s="124">
        <v>31774</v>
      </c>
      <c r="B96" s="74">
        <v>0.302230215827338</v>
      </c>
      <c r="C96" s="75" t="s">
        <v>537</v>
      </c>
      <c r="D96" s="8"/>
      <c r="E96" s="8"/>
      <c r="F96" s="79" t="s">
        <v>78</v>
      </c>
      <c r="G96" s="76">
        <v>120</v>
      </c>
      <c r="H96" s="77">
        <v>6466</v>
      </c>
      <c r="I96" s="77">
        <v>7759</v>
      </c>
      <c r="J96" s="77">
        <v>9699</v>
      </c>
      <c r="K96" s="78">
        <v>1940</v>
      </c>
    </row>
    <row r="97" spans="1:11" ht="16.5" customHeight="1" x14ac:dyDescent="0.25">
      <c r="A97" s="124">
        <v>32139</v>
      </c>
      <c r="B97" s="74">
        <v>0.34943820224719102</v>
      </c>
      <c r="C97" s="75" t="s">
        <v>538</v>
      </c>
      <c r="D97" s="8"/>
      <c r="E97" s="8"/>
      <c r="F97" s="79" t="s">
        <v>539</v>
      </c>
      <c r="G97" s="76">
        <v>6</v>
      </c>
      <c r="H97" s="77">
        <v>386</v>
      </c>
      <c r="I97" s="77">
        <v>463</v>
      </c>
      <c r="J97" s="77">
        <v>579</v>
      </c>
      <c r="K97" s="78">
        <v>116</v>
      </c>
    </row>
    <row r="98" spans="1:11" ht="16.5" customHeight="1" x14ac:dyDescent="0.25">
      <c r="A98" s="124">
        <v>32369</v>
      </c>
      <c r="B98" s="74">
        <v>0.44823529411764701</v>
      </c>
      <c r="C98" s="75" t="s">
        <v>540</v>
      </c>
      <c r="D98" s="8"/>
      <c r="E98" s="8"/>
      <c r="F98" s="79" t="s">
        <v>541</v>
      </c>
      <c r="G98" s="76">
        <v>5</v>
      </c>
      <c r="H98" s="77">
        <v>313</v>
      </c>
      <c r="I98" s="77">
        <v>375</v>
      </c>
      <c r="J98" s="77">
        <v>469</v>
      </c>
      <c r="K98" s="78">
        <v>94</v>
      </c>
    </row>
    <row r="99" spans="1:11" ht="16.5" customHeight="1" x14ac:dyDescent="0.25">
      <c r="A99" s="124">
        <v>32438</v>
      </c>
      <c r="B99" s="74"/>
      <c r="C99" s="75" t="s">
        <v>542</v>
      </c>
      <c r="D99" s="8"/>
      <c r="E99" s="8"/>
      <c r="F99" s="79" t="s">
        <v>543</v>
      </c>
      <c r="G99" s="76">
        <v>17</v>
      </c>
      <c r="H99" s="77">
        <v>1133</v>
      </c>
      <c r="I99" s="77">
        <v>1360</v>
      </c>
      <c r="J99" s="77">
        <v>1700</v>
      </c>
      <c r="K99" s="78">
        <v>340</v>
      </c>
    </row>
    <row r="100" spans="1:11" ht="16.5" customHeight="1" x14ac:dyDescent="0.25">
      <c r="A100" s="124">
        <v>32627</v>
      </c>
      <c r="B100" s="74"/>
      <c r="C100" s="75" t="s">
        <v>537</v>
      </c>
      <c r="D100" s="8"/>
      <c r="E100" s="8"/>
      <c r="F100" s="79" t="s">
        <v>317</v>
      </c>
      <c r="G100" s="76">
        <v>31</v>
      </c>
      <c r="H100" s="77">
        <v>2000</v>
      </c>
      <c r="I100" s="77">
        <v>2400</v>
      </c>
      <c r="J100" s="77">
        <v>3000</v>
      </c>
      <c r="K100" s="78">
        <v>600</v>
      </c>
    </row>
    <row r="101" spans="1:11" ht="16.5" customHeight="1" x14ac:dyDescent="0.25">
      <c r="A101" s="124">
        <v>32628</v>
      </c>
      <c r="B101" s="74"/>
      <c r="C101" s="75" t="s">
        <v>537</v>
      </c>
      <c r="D101" s="8"/>
      <c r="E101" s="8"/>
      <c r="F101" s="79" t="s">
        <v>318</v>
      </c>
      <c r="G101" s="76">
        <v>31</v>
      </c>
      <c r="H101" s="77">
        <v>2000</v>
      </c>
      <c r="I101" s="77">
        <v>2400</v>
      </c>
      <c r="J101" s="77">
        <v>3000</v>
      </c>
      <c r="K101" s="78">
        <v>600</v>
      </c>
    </row>
    <row r="102" spans="1:11" ht="16.5" customHeight="1" x14ac:dyDescent="0.25">
      <c r="A102" s="124">
        <v>32629</v>
      </c>
      <c r="B102" s="74">
        <v>0.25041666666666701</v>
      </c>
      <c r="C102" s="75" t="s">
        <v>537</v>
      </c>
      <c r="D102" s="8"/>
      <c r="E102" s="8"/>
      <c r="F102" s="79" t="s">
        <v>70</v>
      </c>
      <c r="G102" s="76">
        <v>19</v>
      </c>
      <c r="H102" s="77">
        <v>1199</v>
      </c>
      <c r="I102" s="77">
        <v>1439</v>
      </c>
      <c r="J102" s="77">
        <v>1799</v>
      </c>
      <c r="K102" s="78">
        <v>360</v>
      </c>
    </row>
    <row r="103" spans="1:11" ht="16.5" customHeight="1" x14ac:dyDescent="0.25">
      <c r="A103" s="124">
        <v>32630</v>
      </c>
      <c r="B103" s="74"/>
      <c r="C103" s="75" t="s">
        <v>537</v>
      </c>
      <c r="D103" s="8"/>
      <c r="E103" s="8"/>
      <c r="F103" s="79" t="s">
        <v>69</v>
      </c>
      <c r="G103" s="76">
        <v>40</v>
      </c>
      <c r="H103" s="77">
        <v>2600</v>
      </c>
      <c r="I103" s="77">
        <v>3120</v>
      </c>
      <c r="J103" s="77">
        <v>3900</v>
      </c>
      <c r="K103" s="78">
        <v>780</v>
      </c>
    </row>
    <row r="104" spans="1:11" ht="16.5" customHeight="1" x14ac:dyDescent="0.25">
      <c r="A104" s="124">
        <v>32643</v>
      </c>
      <c r="B104" s="74">
        <v>0.49540229885057502</v>
      </c>
      <c r="C104" s="75" t="s">
        <v>540</v>
      </c>
      <c r="D104" s="8"/>
      <c r="E104" s="8"/>
      <c r="F104" s="79" t="s">
        <v>544</v>
      </c>
      <c r="G104" s="76">
        <v>5</v>
      </c>
      <c r="H104" s="77">
        <v>293</v>
      </c>
      <c r="I104" s="77">
        <v>351</v>
      </c>
      <c r="J104" s="77">
        <v>439</v>
      </c>
      <c r="K104" s="78">
        <v>88</v>
      </c>
    </row>
    <row r="105" spans="1:11" ht="16.5" customHeight="1" x14ac:dyDescent="0.25">
      <c r="A105" s="124">
        <v>32843</v>
      </c>
      <c r="B105" s="74">
        <v>0.39565217391304303</v>
      </c>
      <c r="C105" s="75" t="s">
        <v>535</v>
      </c>
      <c r="D105" s="8"/>
      <c r="E105" s="8"/>
      <c r="F105" s="79" t="s">
        <v>545</v>
      </c>
      <c r="G105" s="76">
        <v>1</v>
      </c>
      <c r="H105" s="77">
        <v>93</v>
      </c>
      <c r="I105" s="77">
        <v>111</v>
      </c>
      <c r="J105" s="77">
        <v>139</v>
      </c>
      <c r="K105" s="78">
        <v>28</v>
      </c>
    </row>
    <row r="106" spans="1:11" ht="16.5" customHeight="1" x14ac:dyDescent="0.25">
      <c r="A106" s="124">
        <v>33028</v>
      </c>
      <c r="B106" s="74">
        <v>0.39494949494949499</v>
      </c>
      <c r="C106" s="75" t="s">
        <v>546</v>
      </c>
      <c r="D106" s="8"/>
      <c r="E106" s="8"/>
      <c r="F106" s="79" t="s">
        <v>547</v>
      </c>
      <c r="G106" s="76">
        <v>6</v>
      </c>
      <c r="H106" s="77">
        <v>399</v>
      </c>
      <c r="I106" s="77">
        <v>479</v>
      </c>
      <c r="J106" s="77">
        <v>599</v>
      </c>
      <c r="K106" s="78">
        <v>120</v>
      </c>
    </row>
    <row r="107" spans="1:11" ht="16.5" customHeight="1" x14ac:dyDescent="0.25">
      <c r="A107" s="124">
        <v>33033</v>
      </c>
      <c r="B107" s="74">
        <v>0.40344827586206899</v>
      </c>
      <c r="C107" s="75" t="s">
        <v>546</v>
      </c>
      <c r="D107" s="8"/>
      <c r="E107" s="8"/>
      <c r="F107" s="79" t="s">
        <v>548</v>
      </c>
      <c r="G107" s="76">
        <v>5</v>
      </c>
      <c r="H107" s="77">
        <v>346</v>
      </c>
      <c r="I107" s="77">
        <v>415</v>
      </c>
      <c r="J107" s="77">
        <v>519</v>
      </c>
      <c r="K107" s="78">
        <v>104</v>
      </c>
    </row>
    <row r="108" spans="1:11" ht="16.5" customHeight="1" x14ac:dyDescent="0.25">
      <c r="A108" s="124">
        <v>33139</v>
      </c>
      <c r="B108" s="74">
        <v>0.39791666666666697</v>
      </c>
      <c r="C108" s="75" t="s">
        <v>549</v>
      </c>
      <c r="D108" s="8"/>
      <c r="E108" s="8"/>
      <c r="F108" s="79" t="s">
        <v>550</v>
      </c>
      <c r="G108" s="76">
        <v>3</v>
      </c>
      <c r="H108" s="77">
        <v>193</v>
      </c>
      <c r="I108" s="77">
        <v>231</v>
      </c>
      <c r="J108" s="77">
        <v>289</v>
      </c>
      <c r="K108" s="78">
        <v>58</v>
      </c>
    </row>
    <row r="109" spans="1:11" ht="16.5" customHeight="1" x14ac:dyDescent="0.25">
      <c r="A109" s="124">
        <v>33144</v>
      </c>
      <c r="B109" s="74">
        <v>0.34590163934426199</v>
      </c>
      <c r="C109" s="75" t="s">
        <v>549</v>
      </c>
      <c r="D109" s="8"/>
      <c r="E109" s="8"/>
      <c r="F109" s="79" t="s">
        <v>551</v>
      </c>
      <c r="G109" s="76">
        <v>4</v>
      </c>
      <c r="H109" s="77">
        <v>266</v>
      </c>
      <c r="I109" s="77">
        <v>319</v>
      </c>
      <c r="J109" s="77">
        <v>399</v>
      </c>
      <c r="K109" s="78">
        <v>80</v>
      </c>
    </row>
    <row r="110" spans="1:11" ht="16.5" customHeight="1" x14ac:dyDescent="0.25">
      <c r="A110" s="124">
        <v>33198</v>
      </c>
      <c r="B110" s="74">
        <v>0.26733333333333298</v>
      </c>
      <c r="C110" s="75" t="s">
        <v>530</v>
      </c>
      <c r="D110" s="8"/>
      <c r="E110" s="8"/>
      <c r="F110" s="79" t="s">
        <v>316</v>
      </c>
      <c r="G110" s="76">
        <v>11</v>
      </c>
      <c r="H110" s="77">
        <v>733</v>
      </c>
      <c r="I110" s="77">
        <v>879</v>
      </c>
      <c r="J110" s="77">
        <v>1099</v>
      </c>
      <c r="K110" s="78">
        <v>220</v>
      </c>
    </row>
    <row r="111" spans="1:11" ht="16.5" customHeight="1" x14ac:dyDescent="0.25">
      <c r="A111" s="124">
        <v>33199</v>
      </c>
      <c r="B111" s="74">
        <v>0.227727272727273</v>
      </c>
      <c r="C111" s="75" t="s">
        <v>530</v>
      </c>
      <c r="D111" s="8"/>
      <c r="E111" s="8"/>
      <c r="F111" s="79" t="s">
        <v>71</v>
      </c>
      <c r="G111" s="76">
        <v>17</v>
      </c>
      <c r="H111" s="77">
        <v>1133</v>
      </c>
      <c r="I111" s="77">
        <v>1359</v>
      </c>
      <c r="J111" s="77">
        <v>1699</v>
      </c>
      <c r="K111" s="78">
        <v>340</v>
      </c>
    </row>
    <row r="112" spans="1:11" ht="16.5" customHeight="1" x14ac:dyDescent="0.25">
      <c r="A112" s="124">
        <v>33200</v>
      </c>
      <c r="B112" s="74"/>
      <c r="C112" s="75" t="s">
        <v>530</v>
      </c>
      <c r="D112" s="8"/>
      <c r="E112" s="8"/>
      <c r="F112" s="79" t="s">
        <v>18</v>
      </c>
      <c r="G112" s="76">
        <v>37</v>
      </c>
      <c r="H112" s="77">
        <v>2400</v>
      </c>
      <c r="I112" s="77">
        <v>2880</v>
      </c>
      <c r="J112" s="77">
        <v>3600</v>
      </c>
      <c r="K112" s="78">
        <v>720</v>
      </c>
    </row>
    <row r="113" spans="1:11" ht="16.5" customHeight="1" x14ac:dyDescent="0.25">
      <c r="A113" s="124">
        <v>33201</v>
      </c>
      <c r="B113" s="74"/>
      <c r="C113" s="75" t="s">
        <v>530</v>
      </c>
      <c r="D113" s="8"/>
      <c r="E113" s="8"/>
      <c r="F113" s="79" t="s">
        <v>19</v>
      </c>
      <c r="G113" s="76">
        <v>27</v>
      </c>
      <c r="H113" s="77">
        <v>1733</v>
      </c>
      <c r="I113" s="77">
        <v>2080</v>
      </c>
      <c r="J113" s="77">
        <v>2600</v>
      </c>
      <c r="K113" s="78">
        <v>520</v>
      </c>
    </row>
    <row r="114" spans="1:11" ht="16.5" customHeight="1" x14ac:dyDescent="0.25">
      <c r="A114" s="124">
        <v>33447</v>
      </c>
      <c r="B114" s="74">
        <v>0.35166666666666702</v>
      </c>
      <c r="C114" s="75" t="s">
        <v>552</v>
      </c>
      <c r="D114" s="8"/>
      <c r="E114" s="8"/>
      <c r="F114" s="79" t="s">
        <v>553</v>
      </c>
      <c r="G114" s="76">
        <v>4</v>
      </c>
      <c r="H114" s="77">
        <v>259</v>
      </c>
      <c r="I114" s="77">
        <v>311</v>
      </c>
      <c r="J114" s="77">
        <v>389</v>
      </c>
      <c r="K114" s="78">
        <v>78</v>
      </c>
    </row>
    <row r="115" spans="1:11" ht="16.5" customHeight="1" x14ac:dyDescent="0.25">
      <c r="A115" s="124">
        <v>33654</v>
      </c>
      <c r="B115" s="74">
        <v>0.485151515151515</v>
      </c>
      <c r="C115" s="75" t="s">
        <v>554</v>
      </c>
      <c r="D115" s="8"/>
      <c r="E115" s="8"/>
      <c r="F115" s="79" t="s">
        <v>555</v>
      </c>
      <c r="G115" s="76">
        <v>17</v>
      </c>
      <c r="H115" s="77">
        <v>1133</v>
      </c>
      <c r="I115" s="77">
        <v>1359</v>
      </c>
      <c r="J115" s="77">
        <v>1699</v>
      </c>
      <c r="K115" s="78">
        <v>340</v>
      </c>
    </row>
    <row r="116" spans="1:11" ht="16.5" customHeight="1" x14ac:dyDescent="0.25">
      <c r="A116" s="124">
        <v>33800</v>
      </c>
      <c r="B116" s="74">
        <v>0.200833333333333</v>
      </c>
      <c r="C116" s="75" t="s">
        <v>556</v>
      </c>
      <c r="D116" s="8"/>
      <c r="E116" s="8"/>
      <c r="F116" s="79" t="s">
        <v>557</v>
      </c>
      <c r="G116" s="76">
        <v>10</v>
      </c>
      <c r="H116" s="77">
        <v>639</v>
      </c>
      <c r="I116" s="77">
        <v>767</v>
      </c>
      <c r="J116" s="77">
        <v>959</v>
      </c>
      <c r="K116" s="78">
        <v>192</v>
      </c>
    </row>
    <row r="117" spans="1:11" ht="16.5" customHeight="1" x14ac:dyDescent="0.25">
      <c r="A117" s="124">
        <v>33801</v>
      </c>
      <c r="B117" s="74">
        <v>0.200833333333333</v>
      </c>
      <c r="C117" s="75" t="s">
        <v>556</v>
      </c>
      <c r="D117" s="8"/>
      <c r="E117" s="8"/>
      <c r="F117" s="79" t="s">
        <v>558</v>
      </c>
      <c r="G117" s="76">
        <v>10</v>
      </c>
      <c r="H117" s="77">
        <v>639</v>
      </c>
      <c r="I117" s="77">
        <v>767</v>
      </c>
      <c r="J117" s="77">
        <v>959</v>
      </c>
      <c r="K117" s="78">
        <v>192</v>
      </c>
    </row>
    <row r="118" spans="1:11" ht="16.5" customHeight="1" x14ac:dyDescent="0.25">
      <c r="A118" s="124">
        <v>33803</v>
      </c>
      <c r="B118" s="74">
        <v>0.200833333333333</v>
      </c>
      <c r="C118" s="75" t="s">
        <v>556</v>
      </c>
      <c r="D118" s="8"/>
      <c r="E118" s="8"/>
      <c r="F118" s="79" t="s">
        <v>559</v>
      </c>
      <c r="G118" s="76">
        <v>10</v>
      </c>
      <c r="H118" s="77">
        <v>639</v>
      </c>
      <c r="I118" s="77">
        <v>767</v>
      </c>
      <c r="J118" s="77">
        <v>959</v>
      </c>
      <c r="K118" s="78">
        <v>192</v>
      </c>
    </row>
    <row r="119" spans="1:11" ht="16.5" customHeight="1" x14ac:dyDescent="0.25">
      <c r="A119" s="124">
        <v>33805</v>
      </c>
      <c r="B119" s="74">
        <v>0.200833333333333</v>
      </c>
      <c r="C119" s="75" t="s">
        <v>556</v>
      </c>
      <c r="D119" s="8"/>
      <c r="E119" s="8"/>
      <c r="F119" s="79" t="s">
        <v>560</v>
      </c>
      <c r="G119" s="76">
        <v>10</v>
      </c>
      <c r="H119" s="77">
        <v>639</v>
      </c>
      <c r="I119" s="77">
        <v>767</v>
      </c>
      <c r="J119" s="77">
        <v>959</v>
      </c>
      <c r="K119" s="78">
        <v>192</v>
      </c>
    </row>
    <row r="120" spans="1:11" ht="16.5" customHeight="1" x14ac:dyDescent="0.25">
      <c r="A120" s="124">
        <v>33806</v>
      </c>
      <c r="B120" s="74">
        <v>0.200833333333333</v>
      </c>
      <c r="C120" s="75" t="s">
        <v>556</v>
      </c>
      <c r="D120" s="8"/>
      <c r="E120" s="8"/>
      <c r="F120" s="79" t="s">
        <v>561</v>
      </c>
      <c r="G120" s="76">
        <v>10</v>
      </c>
      <c r="H120" s="77">
        <v>639</v>
      </c>
      <c r="I120" s="77">
        <v>767</v>
      </c>
      <c r="J120" s="77">
        <v>959</v>
      </c>
      <c r="K120" s="78">
        <v>192</v>
      </c>
    </row>
    <row r="121" spans="1:11" ht="16.5" customHeight="1" x14ac:dyDescent="0.25">
      <c r="A121" s="124">
        <v>33984</v>
      </c>
      <c r="B121" s="74">
        <v>0.25062499999999999</v>
      </c>
      <c r="C121" s="75" t="s">
        <v>537</v>
      </c>
      <c r="D121" s="8"/>
      <c r="E121" s="8"/>
      <c r="F121" s="79" t="s">
        <v>315</v>
      </c>
      <c r="G121" s="76">
        <v>12</v>
      </c>
      <c r="H121" s="77">
        <v>799</v>
      </c>
      <c r="I121" s="77">
        <v>959</v>
      </c>
      <c r="J121" s="77">
        <v>1199</v>
      </c>
      <c r="K121" s="78">
        <v>240</v>
      </c>
    </row>
    <row r="122" spans="1:11" ht="16.5" customHeight="1" x14ac:dyDescent="0.25">
      <c r="A122" s="124">
        <v>33988</v>
      </c>
      <c r="B122" s="74"/>
      <c r="C122" s="75" t="s">
        <v>562</v>
      </c>
      <c r="D122" s="8"/>
      <c r="E122" s="8"/>
      <c r="F122" s="79" t="s">
        <v>563</v>
      </c>
      <c r="G122" s="76">
        <v>16</v>
      </c>
      <c r="H122" s="77">
        <v>1067</v>
      </c>
      <c r="I122" s="77">
        <v>1280</v>
      </c>
      <c r="J122" s="77">
        <v>1600</v>
      </c>
      <c r="K122" s="78">
        <v>320</v>
      </c>
    </row>
    <row r="123" spans="1:11" ht="16.5" customHeight="1" x14ac:dyDescent="0.25">
      <c r="A123" s="124">
        <v>34076</v>
      </c>
      <c r="B123" s="74">
        <v>0.50983606557377104</v>
      </c>
      <c r="C123" s="75" t="s">
        <v>531</v>
      </c>
      <c r="D123" s="8"/>
      <c r="E123" s="8"/>
      <c r="F123" s="79" t="s">
        <v>564</v>
      </c>
      <c r="G123" s="76">
        <v>3</v>
      </c>
      <c r="H123" s="77">
        <v>199</v>
      </c>
      <c r="I123" s="77">
        <v>239</v>
      </c>
      <c r="J123" s="77">
        <v>299</v>
      </c>
      <c r="K123" s="78">
        <v>60</v>
      </c>
    </row>
    <row r="124" spans="1:11" ht="16.5" customHeight="1" x14ac:dyDescent="0.25">
      <c r="A124" s="124">
        <v>34143</v>
      </c>
      <c r="B124" s="74">
        <v>0.227727272727273</v>
      </c>
      <c r="C124" s="75" t="s">
        <v>562</v>
      </c>
      <c r="D124" s="8"/>
      <c r="E124" s="8"/>
      <c r="F124" s="79" t="s">
        <v>565</v>
      </c>
      <c r="G124" s="76">
        <v>17</v>
      </c>
      <c r="H124" s="77">
        <v>1133</v>
      </c>
      <c r="I124" s="77">
        <v>1359</v>
      </c>
      <c r="J124" s="77">
        <v>1699</v>
      </c>
      <c r="K124" s="78">
        <v>340</v>
      </c>
    </row>
    <row r="125" spans="1:11" ht="16.5" customHeight="1" x14ac:dyDescent="0.25">
      <c r="A125" s="124">
        <v>34498</v>
      </c>
      <c r="B125" s="74">
        <v>0.40153846153846201</v>
      </c>
      <c r="C125" s="75" t="s">
        <v>566</v>
      </c>
      <c r="D125" s="8"/>
      <c r="E125" s="8"/>
      <c r="F125" s="79" t="s">
        <v>567</v>
      </c>
      <c r="G125" s="76">
        <v>4</v>
      </c>
      <c r="H125" s="77">
        <v>259</v>
      </c>
      <c r="I125" s="77">
        <v>311</v>
      </c>
      <c r="J125" s="77">
        <v>389</v>
      </c>
      <c r="K125" s="78">
        <v>78</v>
      </c>
    </row>
    <row r="126" spans="1:11" ht="16.5" customHeight="1" x14ac:dyDescent="0.25">
      <c r="A126" s="124">
        <v>34500</v>
      </c>
      <c r="B126" s="74">
        <v>0.40153846153846201</v>
      </c>
      <c r="C126" s="75" t="s">
        <v>566</v>
      </c>
      <c r="D126" s="8"/>
      <c r="E126" s="8"/>
      <c r="F126" s="79" t="s">
        <v>568</v>
      </c>
      <c r="G126" s="76">
        <v>4</v>
      </c>
      <c r="H126" s="77">
        <v>259</v>
      </c>
      <c r="I126" s="77">
        <v>311</v>
      </c>
      <c r="J126" s="77">
        <v>389</v>
      </c>
      <c r="K126" s="78">
        <v>78</v>
      </c>
    </row>
    <row r="127" spans="1:11" ht="16.5" customHeight="1" x14ac:dyDescent="0.25">
      <c r="A127" s="124">
        <v>34522</v>
      </c>
      <c r="B127" s="74">
        <v>0.54166666666666696</v>
      </c>
      <c r="C127" s="75" t="s">
        <v>569</v>
      </c>
      <c r="D127" s="8"/>
      <c r="E127" s="8"/>
      <c r="F127" s="79" t="s">
        <v>570</v>
      </c>
      <c r="G127" s="76">
        <v>23</v>
      </c>
      <c r="H127" s="77">
        <v>1467</v>
      </c>
      <c r="I127" s="77">
        <v>1760</v>
      </c>
      <c r="J127" s="77">
        <v>2200</v>
      </c>
      <c r="K127" s="78">
        <v>440</v>
      </c>
    </row>
    <row r="128" spans="1:11" ht="16.5" customHeight="1" x14ac:dyDescent="0.25">
      <c r="A128" s="124">
        <v>34647</v>
      </c>
      <c r="B128" s="74">
        <v>0.36733333333333301</v>
      </c>
      <c r="C128" s="75" t="s">
        <v>571</v>
      </c>
      <c r="D128" s="8"/>
      <c r="E128" s="8"/>
      <c r="F128" s="79" t="s">
        <v>572</v>
      </c>
      <c r="G128" s="76">
        <v>10</v>
      </c>
      <c r="H128" s="77">
        <v>633</v>
      </c>
      <c r="I128" s="77">
        <v>759</v>
      </c>
      <c r="J128" s="77">
        <v>949</v>
      </c>
      <c r="K128" s="78">
        <v>190</v>
      </c>
    </row>
    <row r="129" spans="1:11" ht="16.5" customHeight="1" x14ac:dyDescent="0.25">
      <c r="A129" s="124">
        <v>34648</v>
      </c>
      <c r="B129" s="74">
        <v>0.36733333333333301</v>
      </c>
      <c r="C129" s="75" t="s">
        <v>571</v>
      </c>
      <c r="D129" s="8"/>
      <c r="E129" s="8"/>
      <c r="F129" s="79" t="s">
        <v>185</v>
      </c>
      <c r="G129" s="76">
        <v>10</v>
      </c>
      <c r="H129" s="77">
        <v>633</v>
      </c>
      <c r="I129" s="77">
        <v>759</v>
      </c>
      <c r="J129" s="77">
        <v>949</v>
      </c>
      <c r="K129" s="78">
        <v>190</v>
      </c>
    </row>
    <row r="130" spans="1:11" ht="16.5" customHeight="1" x14ac:dyDescent="0.25">
      <c r="A130" s="124">
        <v>34649</v>
      </c>
      <c r="B130" s="74">
        <v>0.36733333333333301</v>
      </c>
      <c r="C130" s="75" t="s">
        <v>571</v>
      </c>
      <c r="D130" s="8"/>
      <c r="E130" s="8"/>
      <c r="F130" s="79" t="s">
        <v>186</v>
      </c>
      <c r="G130" s="76">
        <v>10</v>
      </c>
      <c r="H130" s="77">
        <v>633</v>
      </c>
      <c r="I130" s="77">
        <v>759</v>
      </c>
      <c r="J130" s="77">
        <v>949</v>
      </c>
      <c r="K130" s="78">
        <v>190</v>
      </c>
    </row>
    <row r="131" spans="1:11" ht="16.5" customHeight="1" x14ac:dyDescent="0.25">
      <c r="A131" s="124">
        <v>34650</v>
      </c>
      <c r="B131" s="74">
        <v>0.36733333333333301</v>
      </c>
      <c r="C131" s="75" t="s">
        <v>571</v>
      </c>
      <c r="D131" s="8"/>
      <c r="E131" s="8"/>
      <c r="F131" s="79" t="s">
        <v>187</v>
      </c>
      <c r="G131" s="76">
        <v>10</v>
      </c>
      <c r="H131" s="77">
        <v>633</v>
      </c>
      <c r="I131" s="77">
        <v>759</v>
      </c>
      <c r="J131" s="77">
        <v>949</v>
      </c>
      <c r="K131" s="78">
        <v>190</v>
      </c>
    </row>
    <row r="132" spans="1:11" ht="16.5" customHeight="1" x14ac:dyDescent="0.25">
      <c r="A132" s="124">
        <v>34843</v>
      </c>
      <c r="B132" s="74"/>
      <c r="C132" s="75" t="s">
        <v>573</v>
      </c>
      <c r="D132" s="8"/>
      <c r="E132" s="8"/>
      <c r="F132" s="79" t="s">
        <v>574</v>
      </c>
      <c r="G132" s="76">
        <v>6</v>
      </c>
      <c r="H132" s="77">
        <v>393</v>
      </c>
      <c r="I132" s="77">
        <v>472</v>
      </c>
      <c r="J132" s="77">
        <v>590</v>
      </c>
      <c r="K132" s="78">
        <v>118</v>
      </c>
    </row>
    <row r="133" spans="1:11" ht="16.5" customHeight="1" x14ac:dyDescent="0.25">
      <c r="A133" s="124">
        <v>34845</v>
      </c>
      <c r="B133" s="74">
        <v>0.442372881355932</v>
      </c>
      <c r="C133" s="75" t="s">
        <v>573</v>
      </c>
      <c r="D133" s="8"/>
      <c r="E133" s="8"/>
      <c r="F133" s="79" t="s">
        <v>575</v>
      </c>
      <c r="G133" s="76">
        <v>3</v>
      </c>
      <c r="H133" s="77">
        <v>219</v>
      </c>
      <c r="I133" s="77">
        <v>263</v>
      </c>
      <c r="J133" s="77">
        <v>329</v>
      </c>
      <c r="K133" s="78">
        <v>66</v>
      </c>
    </row>
    <row r="134" spans="1:11" ht="16.5" customHeight="1" x14ac:dyDescent="0.25">
      <c r="A134" s="124">
        <v>34849</v>
      </c>
      <c r="B134" s="74"/>
      <c r="C134" s="75" t="s">
        <v>576</v>
      </c>
      <c r="D134" s="8"/>
      <c r="E134" s="8"/>
      <c r="F134" s="79" t="s">
        <v>188</v>
      </c>
      <c r="G134" s="76">
        <v>7</v>
      </c>
      <c r="H134" s="77">
        <v>427</v>
      </c>
      <c r="I134" s="77">
        <v>512</v>
      </c>
      <c r="J134" s="77">
        <v>640</v>
      </c>
      <c r="K134" s="78">
        <v>128</v>
      </c>
    </row>
    <row r="135" spans="1:11" ht="16.5" customHeight="1" x14ac:dyDescent="0.25">
      <c r="A135" s="124">
        <v>35073</v>
      </c>
      <c r="B135" s="74">
        <v>0.30083333333333301</v>
      </c>
      <c r="C135" s="75" t="s">
        <v>562</v>
      </c>
      <c r="D135" s="8"/>
      <c r="E135" s="8"/>
      <c r="F135" s="79" t="s">
        <v>577</v>
      </c>
      <c r="G135" s="76">
        <v>9</v>
      </c>
      <c r="H135" s="77">
        <v>559</v>
      </c>
      <c r="I135" s="77">
        <v>671</v>
      </c>
      <c r="J135" s="77">
        <v>839</v>
      </c>
      <c r="K135" s="78">
        <v>168</v>
      </c>
    </row>
    <row r="136" spans="1:11" ht="16.5" customHeight="1" x14ac:dyDescent="0.25">
      <c r="A136" s="124">
        <v>35076</v>
      </c>
      <c r="B136" s="74"/>
      <c r="C136" s="75" t="s">
        <v>562</v>
      </c>
      <c r="D136" s="8"/>
      <c r="E136" s="8"/>
      <c r="F136" s="79" t="s">
        <v>578</v>
      </c>
      <c r="G136" s="76">
        <v>28</v>
      </c>
      <c r="H136" s="77">
        <v>1800</v>
      </c>
      <c r="I136" s="77">
        <v>2160</v>
      </c>
      <c r="J136" s="77">
        <v>2700</v>
      </c>
      <c r="K136" s="78">
        <v>540</v>
      </c>
    </row>
    <row r="137" spans="1:11" ht="16.5" customHeight="1" x14ac:dyDescent="0.25">
      <c r="A137" s="124">
        <v>35425</v>
      </c>
      <c r="B137" s="74">
        <v>0.50128205128205106</v>
      </c>
      <c r="C137" s="75" t="s">
        <v>579</v>
      </c>
      <c r="D137" s="8"/>
      <c r="E137" s="8"/>
      <c r="F137" s="79" t="s">
        <v>580</v>
      </c>
      <c r="G137" s="76">
        <v>4</v>
      </c>
      <c r="H137" s="77">
        <v>259</v>
      </c>
      <c r="I137" s="77">
        <v>311</v>
      </c>
      <c r="J137" s="77">
        <v>389</v>
      </c>
      <c r="K137" s="78">
        <v>78</v>
      </c>
    </row>
    <row r="138" spans="1:11" ht="16.5" customHeight="1" x14ac:dyDescent="0.25">
      <c r="A138" s="124">
        <v>35576</v>
      </c>
      <c r="B138" s="74">
        <v>0.35762711864406799</v>
      </c>
      <c r="C138" s="75" t="s">
        <v>573</v>
      </c>
      <c r="D138" s="8"/>
      <c r="E138" s="8"/>
      <c r="F138" s="79" t="s">
        <v>581</v>
      </c>
      <c r="G138" s="76">
        <v>4</v>
      </c>
      <c r="H138" s="77">
        <v>253</v>
      </c>
      <c r="I138" s="77">
        <v>303</v>
      </c>
      <c r="J138" s="77">
        <v>379</v>
      </c>
      <c r="K138" s="78">
        <v>76</v>
      </c>
    </row>
    <row r="139" spans="1:11" ht="16.5" customHeight="1" x14ac:dyDescent="0.25">
      <c r="A139" s="124">
        <v>35649</v>
      </c>
      <c r="B139" s="74">
        <v>0.36409090909090902</v>
      </c>
      <c r="C139" s="75" t="s">
        <v>582</v>
      </c>
      <c r="D139" s="8"/>
      <c r="E139" s="8"/>
      <c r="F139" s="79" t="s">
        <v>583</v>
      </c>
      <c r="G139" s="76">
        <v>14</v>
      </c>
      <c r="H139" s="77">
        <v>933</v>
      </c>
      <c r="I139" s="77">
        <v>1119</v>
      </c>
      <c r="J139" s="77">
        <v>1399</v>
      </c>
      <c r="K139" s="78">
        <v>280</v>
      </c>
    </row>
    <row r="140" spans="1:11" ht="16.5" customHeight="1" x14ac:dyDescent="0.25">
      <c r="A140" s="124">
        <v>35651</v>
      </c>
      <c r="B140" s="74">
        <v>0.36409090909090902</v>
      </c>
      <c r="C140" s="75" t="s">
        <v>584</v>
      </c>
      <c r="D140" s="8"/>
      <c r="E140" s="8"/>
      <c r="F140" s="79" t="s">
        <v>585</v>
      </c>
      <c r="G140" s="76">
        <v>14</v>
      </c>
      <c r="H140" s="77">
        <v>933</v>
      </c>
      <c r="I140" s="77">
        <v>1119</v>
      </c>
      <c r="J140" s="77">
        <v>1399</v>
      </c>
      <c r="K140" s="78">
        <v>280</v>
      </c>
    </row>
    <row r="141" spans="1:11" ht="16.5" customHeight="1" x14ac:dyDescent="0.25">
      <c r="A141" s="124">
        <v>35679</v>
      </c>
      <c r="B141" s="74">
        <v>0.31372549019607798</v>
      </c>
      <c r="C141" s="75" t="s">
        <v>586</v>
      </c>
      <c r="D141" s="8"/>
      <c r="E141" s="8"/>
      <c r="F141" s="79" t="s">
        <v>342</v>
      </c>
      <c r="G141" s="76">
        <v>36</v>
      </c>
      <c r="H141" s="77">
        <v>2333</v>
      </c>
      <c r="I141" s="77">
        <v>2800</v>
      </c>
      <c r="J141" s="77">
        <v>3500</v>
      </c>
      <c r="K141" s="78">
        <v>700</v>
      </c>
    </row>
    <row r="142" spans="1:11" ht="16.5" customHeight="1" x14ac:dyDescent="0.25">
      <c r="A142" s="124">
        <v>35767</v>
      </c>
      <c r="B142" s="74">
        <v>0.34383561643835597</v>
      </c>
      <c r="C142" s="75" t="s">
        <v>587</v>
      </c>
      <c r="D142" s="8"/>
      <c r="E142" s="8"/>
      <c r="F142" s="79" t="s">
        <v>588</v>
      </c>
      <c r="G142" s="76">
        <v>5</v>
      </c>
      <c r="H142" s="77">
        <v>319</v>
      </c>
      <c r="I142" s="77">
        <v>383</v>
      </c>
      <c r="J142" s="77">
        <v>479</v>
      </c>
      <c r="K142" s="78">
        <v>96</v>
      </c>
    </row>
    <row r="143" spans="1:11" ht="16.5" customHeight="1" x14ac:dyDescent="0.25">
      <c r="A143" s="124">
        <v>35772</v>
      </c>
      <c r="B143" s="74"/>
      <c r="C143" s="75" t="s">
        <v>589</v>
      </c>
      <c r="D143" s="8"/>
      <c r="E143" s="8"/>
      <c r="F143" s="79" t="s">
        <v>590</v>
      </c>
      <c r="G143" s="76">
        <v>6</v>
      </c>
      <c r="H143" s="77">
        <v>366</v>
      </c>
      <c r="I143" s="77">
        <v>439</v>
      </c>
      <c r="J143" s="77">
        <v>549</v>
      </c>
      <c r="K143" s="78">
        <v>110</v>
      </c>
    </row>
    <row r="144" spans="1:11" ht="16.5" customHeight="1" x14ac:dyDescent="0.25">
      <c r="A144" s="124">
        <v>35773</v>
      </c>
      <c r="B144" s="74"/>
      <c r="C144" s="75" t="s">
        <v>589</v>
      </c>
      <c r="D144" s="8"/>
      <c r="E144" s="8"/>
      <c r="F144" s="79" t="s">
        <v>591</v>
      </c>
      <c r="G144" s="76">
        <v>8</v>
      </c>
      <c r="H144" s="77">
        <v>533</v>
      </c>
      <c r="I144" s="77">
        <v>639</v>
      </c>
      <c r="J144" s="77">
        <v>799</v>
      </c>
      <c r="K144" s="78">
        <v>160</v>
      </c>
    </row>
    <row r="145" spans="1:11" ht="16.5" customHeight="1" x14ac:dyDescent="0.25">
      <c r="A145" s="124">
        <v>35774</v>
      </c>
      <c r="B145" s="74"/>
      <c r="C145" s="75" t="s">
        <v>589</v>
      </c>
      <c r="D145" s="8"/>
      <c r="E145" s="8"/>
      <c r="F145" s="79" t="s">
        <v>592</v>
      </c>
      <c r="G145" s="76">
        <v>6</v>
      </c>
      <c r="H145" s="77">
        <v>366</v>
      </c>
      <c r="I145" s="77">
        <v>439</v>
      </c>
      <c r="J145" s="77">
        <v>549</v>
      </c>
      <c r="K145" s="78">
        <v>110</v>
      </c>
    </row>
    <row r="146" spans="1:11" ht="16.5" customHeight="1" x14ac:dyDescent="0.25">
      <c r="A146" s="124">
        <v>35775</v>
      </c>
      <c r="B146" s="74"/>
      <c r="C146" s="75" t="s">
        <v>589</v>
      </c>
      <c r="D146" s="8"/>
      <c r="E146" s="8"/>
      <c r="F146" s="79" t="s">
        <v>593</v>
      </c>
      <c r="G146" s="76">
        <v>8</v>
      </c>
      <c r="H146" s="77">
        <v>533</v>
      </c>
      <c r="I146" s="77">
        <v>639</v>
      </c>
      <c r="J146" s="77">
        <v>799</v>
      </c>
      <c r="K146" s="78">
        <v>160</v>
      </c>
    </row>
    <row r="147" spans="1:11" ht="16.5" customHeight="1" x14ac:dyDescent="0.25">
      <c r="A147" s="124">
        <v>35778</v>
      </c>
      <c r="B147" s="74">
        <v>0.500714285714286</v>
      </c>
      <c r="C147" s="75" t="s">
        <v>594</v>
      </c>
      <c r="D147" s="8"/>
      <c r="E147" s="8"/>
      <c r="F147" s="79" t="s">
        <v>189</v>
      </c>
      <c r="G147" s="76">
        <v>7</v>
      </c>
      <c r="H147" s="77">
        <v>466</v>
      </c>
      <c r="I147" s="77">
        <v>559</v>
      </c>
      <c r="J147" s="77">
        <v>699</v>
      </c>
      <c r="K147" s="78">
        <v>140</v>
      </c>
    </row>
    <row r="148" spans="1:11" ht="16.5" customHeight="1" x14ac:dyDescent="0.25">
      <c r="A148" s="124">
        <v>35779</v>
      </c>
      <c r="B148" s="74">
        <v>0.500714285714286</v>
      </c>
      <c r="C148" s="75" t="s">
        <v>594</v>
      </c>
      <c r="D148" s="8"/>
      <c r="E148" s="8"/>
      <c r="F148" s="79" t="s">
        <v>190</v>
      </c>
      <c r="G148" s="76">
        <v>7</v>
      </c>
      <c r="H148" s="77">
        <v>466</v>
      </c>
      <c r="I148" s="77">
        <v>559</v>
      </c>
      <c r="J148" s="77">
        <v>699</v>
      </c>
      <c r="K148" s="78">
        <v>140</v>
      </c>
    </row>
    <row r="149" spans="1:11" ht="16.5" customHeight="1" x14ac:dyDescent="0.25">
      <c r="A149" s="124">
        <v>35780</v>
      </c>
      <c r="B149" s="74">
        <v>0.500714285714286</v>
      </c>
      <c r="C149" s="75" t="s">
        <v>594</v>
      </c>
      <c r="D149" s="8"/>
      <c r="E149" s="8"/>
      <c r="F149" s="79" t="s">
        <v>595</v>
      </c>
      <c r="G149" s="76">
        <v>7</v>
      </c>
      <c r="H149" s="77">
        <v>466</v>
      </c>
      <c r="I149" s="77">
        <v>559</v>
      </c>
      <c r="J149" s="77">
        <v>699</v>
      </c>
      <c r="K149" s="78">
        <v>140</v>
      </c>
    </row>
    <row r="150" spans="1:11" ht="16.5" customHeight="1" x14ac:dyDescent="0.25">
      <c r="A150" s="124">
        <v>35781</v>
      </c>
      <c r="B150" s="74">
        <v>0.500714285714286</v>
      </c>
      <c r="C150" s="75" t="s">
        <v>594</v>
      </c>
      <c r="D150" s="8"/>
      <c r="E150" s="8"/>
      <c r="F150" s="79" t="s">
        <v>596</v>
      </c>
      <c r="G150" s="76">
        <v>7</v>
      </c>
      <c r="H150" s="77">
        <v>466</v>
      </c>
      <c r="I150" s="77">
        <v>559</v>
      </c>
      <c r="J150" s="77">
        <v>699</v>
      </c>
      <c r="K150" s="78">
        <v>140</v>
      </c>
    </row>
    <row r="151" spans="1:11" ht="16.5" customHeight="1" x14ac:dyDescent="0.25">
      <c r="A151" s="124">
        <v>35782</v>
      </c>
      <c r="B151" s="74">
        <v>0.500714285714286</v>
      </c>
      <c r="C151" s="75" t="s">
        <v>594</v>
      </c>
      <c r="D151" s="8"/>
      <c r="E151" s="8"/>
      <c r="F151" s="79" t="s">
        <v>597</v>
      </c>
      <c r="G151" s="76">
        <v>7</v>
      </c>
      <c r="H151" s="77">
        <v>466</v>
      </c>
      <c r="I151" s="77">
        <v>559</v>
      </c>
      <c r="J151" s="77">
        <v>699</v>
      </c>
      <c r="K151" s="78">
        <v>140</v>
      </c>
    </row>
    <row r="152" spans="1:11" ht="16.5" customHeight="1" x14ac:dyDescent="0.25">
      <c r="A152" s="124">
        <v>35783</v>
      </c>
      <c r="B152" s="74">
        <v>0.500714285714286</v>
      </c>
      <c r="C152" s="75" t="s">
        <v>594</v>
      </c>
      <c r="D152" s="8"/>
      <c r="E152" s="8"/>
      <c r="F152" s="79" t="s">
        <v>598</v>
      </c>
      <c r="G152" s="76">
        <v>7</v>
      </c>
      <c r="H152" s="77">
        <v>466</v>
      </c>
      <c r="I152" s="77">
        <v>559</v>
      </c>
      <c r="J152" s="77">
        <v>699</v>
      </c>
      <c r="K152" s="78">
        <v>140</v>
      </c>
    </row>
    <row r="153" spans="1:11" ht="16.5" customHeight="1" x14ac:dyDescent="0.25">
      <c r="A153" s="124">
        <v>35784</v>
      </c>
      <c r="B153" s="74">
        <v>0.500714285714286</v>
      </c>
      <c r="C153" s="75" t="s">
        <v>594</v>
      </c>
      <c r="D153" s="8"/>
      <c r="E153" s="8"/>
      <c r="F153" s="79" t="s">
        <v>599</v>
      </c>
      <c r="G153" s="76">
        <v>7</v>
      </c>
      <c r="H153" s="77">
        <v>466</v>
      </c>
      <c r="I153" s="77">
        <v>559</v>
      </c>
      <c r="J153" s="77">
        <v>699</v>
      </c>
      <c r="K153" s="78">
        <v>140</v>
      </c>
    </row>
    <row r="154" spans="1:11" ht="16.5" customHeight="1" x14ac:dyDescent="0.25">
      <c r="A154" s="124">
        <v>35785</v>
      </c>
      <c r="B154" s="74">
        <v>0.500714285714286</v>
      </c>
      <c r="C154" s="75" t="s">
        <v>594</v>
      </c>
      <c r="D154" s="8"/>
      <c r="E154" s="8"/>
      <c r="F154" s="79" t="s">
        <v>600</v>
      </c>
      <c r="G154" s="76">
        <v>7</v>
      </c>
      <c r="H154" s="77">
        <v>466</v>
      </c>
      <c r="I154" s="77">
        <v>559</v>
      </c>
      <c r="J154" s="77">
        <v>699</v>
      </c>
      <c r="K154" s="78">
        <v>140</v>
      </c>
    </row>
    <row r="155" spans="1:11" ht="16.5" customHeight="1" x14ac:dyDescent="0.25">
      <c r="A155" s="124">
        <v>35786</v>
      </c>
      <c r="B155" s="74">
        <v>0.500714285714286</v>
      </c>
      <c r="C155" s="75" t="s">
        <v>594</v>
      </c>
      <c r="D155" s="8"/>
      <c r="E155" s="8"/>
      <c r="F155" s="79" t="s">
        <v>191</v>
      </c>
      <c r="G155" s="76">
        <v>7</v>
      </c>
      <c r="H155" s="77">
        <v>466</v>
      </c>
      <c r="I155" s="77">
        <v>559</v>
      </c>
      <c r="J155" s="77">
        <v>699</v>
      </c>
      <c r="K155" s="78">
        <v>140</v>
      </c>
    </row>
    <row r="156" spans="1:11" ht="16.5" customHeight="1" x14ac:dyDescent="0.25">
      <c r="A156" s="124">
        <v>35787</v>
      </c>
      <c r="B156" s="74">
        <v>0.500714285714286</v>
      </c>
      <c r="C156" s="75" t="s">
        <v>594</v>
      </c>
      <c r="D156" s="8"/>
      <c r="E156" s="8"/>
      <c r="F156" s="79" t="s">
        <v>601</v>
      </c>
      <c r="G156" s="76">
        <v>7</v>
      </c>
      <c r="H156" s="77">
        <v>466</v>
      </c>
      <c r="I156" s="77">
        <v>559</v>
      </c>
      <c r="J156" s="77">
        <v>699</v>
      </c>
      <c r="K156" s="78">
        <v>140</v>
      </c>
    </row>
    <row r="157" spans="1:11" ht="16.5" customHeight="1" x14ac:dyDescent="0.25">
      <c r="A157" s="124">
        <v>35859</v>
      </c>
      <c r="B157" s="74">
        <v>0.488461538461539</v>
      </c>
      <c r="C157" s="75" t="s">
        <v>602</v>
      </c>
      <c r="D157" s="8"/>
      <c r="E157" s="8"/>
      <c r="F157" s="79" t="s">
        <v>603</v>
      </c>
      <c r="G157" s="76">
        <v>4</v>
      </c>
      <c r="H157" s="77">
        <v>266</v>
      </c>
      <c r="I157" s="77">
        <v>319</v>
      </c>
      <c r="J157" s="77">
        <v>399</v>
      </c>
      <c r="K157" s="78">
        <v>80</v>
      </c>
    </row>
    <row r="158" spans="1:11" ht="16.5" customHeight="1" x14ac:dyDescent="0.25">
      <c r="A158" s="124">
        <v>35877</v>
      </c>
      <c r="B158" s="74">
        <v>0.62241379310344802</v>
      </c>
      <c r="C158" s="75" t="s">
        <v>604</v>
      </c>
      <c r="D158" s="8"/>
      <c r="E158" s="8"/>
      <c r="F158" s="79" t="s">
        <v>605</v>
      </c>
      <c r="G158" s="76">
        <v>2</v>
      </c>
      <c r="H158" s="77">
        <v>146</v>
      </c>
      <c r="I158" s="77">
        <v>175</v>
      </c>
      <c r="J158" s="77">
        <v>219</v>
      </c>
      <c r="K158" s="78">
        <v>44</v>
      </c>
    </row>
    <row r="159" spans="1:11" ht="16.5" customHeight="1" x14ac:dyDescent="0.25">
      <c r="A159" s="124">
        <v>35880</v>
      </c>
      <c r="B159" s="74">
        <v>0.54374999999999996</v>
      </c>
      <c r="C159" s="75" t="s">
        <v>604</v>
      </c>
      <c r="D159" s="8"/>
      <c r="E159" s="8"/>
      <c r="F159" s="79" t="s">
        <v>606</v>
      </c>
      <c r="G159" s="76">
        <v>2</v>
      </c>
      <c r="H159" s="77">
        <v>146</v>
      </c>
      <c r="I159" s="77">
        <v>175</v>
      </c>
      <c r="J159" s="77">
        <v>219</v>
      </c>
      <c r="K159" s="78">
        <v>44</v>
      </c>
    </row>
    <row r="160" spans="1:11" ht="16.5" customHeight="1" x14ac:dyDescent="0.25">
      <c r="A160" s="124">
        <v>35887</v>
      </c>
      <c r="B160" s="74">
        <v>0.39642857142857102</v>
      </c>
      <c r="C160" s="75" t="s">
        <v>604</v>
      </c>
      <c r="D160" s="8"/>
      <c r="E160" s="8"/>
      <c r="F160" s="79" t="s">
        <v>607</v>
      </c>
      <c r="G160" s="76">
        <v>2</v>
      </c>
      <c r="H160" s="77">
        <v>113</v>
      </c>
      <c r="I160" s="77">
        <v>135</v>
      </c>
      <c r="J160" s="77">
        <v>169</v>
      </c>
      <c r="K160" s="78">
        <v>34</v>
      </c>
    </row>
    <row r="161" spans="1:11" ht="16.5" customHeight="1" x14ac:dyDescent="0.25">
      <c r="A161" s="124">
        <v>35910</v>
      </c>
      <c r="B161" s="74">
        <v>0.35762711864406799</v>
      </c>
      <c r="C161" s="75" t="s">
        <v>520</v>
      </c>
      <c r="D161" s="8"/>
      <c r="E161" s="8"/>
      <c r="F161" s="79" t="s">
        <v>608</v>
      </c>
      <c r="G161" s="76">
        <v>4</v>
      </c>
      <c r="H161" s="77">
        <v>253</v>
      </c>
      <c r="I161" s="77">
        <v>303</v>
      </c>
      <c r="J161" s="77">
        <v>379</v>
      </c>
      <c r="K161" s="78">
        <v>76</v>
      </c>
    </row>
    <row r="162" spans="1:11" ht="16.5" customHeight="1" x14ac:dyDescent="0.25">
      <c r="A162" s="124">
        <v>35911</v>
      </c>
      <c r="B162" s="74">
        <v>0.55961538461538496</v>
      </c>
      <c r="C162" s="75" t="s">
        <v>520</v>
      </c>
      <c r="D162" s="8"/>
      <c r="E162" s="8"/>
      <c r="F162" s="79" t="s">
        <v>609</v>
      </c>
      <c r="G162" s="76">
        <v>2</v>
      </c>
      <c r="H162" s="77">
        <v>153</v>
      </c>
      <c r="I162" s="77">
        <v>183</v>
      </c>
      <c r="J162" s="77">
        <v>229</v>
      </c>
      <c r="K162" s="78">
        <v>46</v>
      </c>
    </row>
    <row r="163" spans="1:11" ht="16.5" customHeight="1" x14ac:dyDescent="0.25">
      <c r="A163" s="124">
        <v>35912</v>
      </c>
      <c r="B163" s="74">
        <v>0.35762711864406799</v>
      </c>
      <c r="C163" s="75" t="s">
        <v>520</v>
      </c>
      <c r="D163" s="8"/>
      <c r="E163" s="8"/>
      <c r="F163" s="79" t="s">
        <v>610</v>
      </c>
      <c r="G163" s="76">
        <v>4</v>
      </c>
      <c r="H163" s="77">
        <v>253</v>
      </c>
      <c r="I163" s="77">
        <v>303</v>
      </c>
      <c r="J163" s="77">
        <v>379</v>
      </c>
      <c r="K163" s="78">
        <v>76</v>
      </c>
    </row>
    <row r="164" spans="1:11" ht="16.5" customHeight="1" x14ac:dyDescent="0.25">
      <c r="A164" s="124">
        <v>35957</v>
      </c>
      <c r="B164" s="74">
        <v>0.354545454545455</v>
      </c>
      <c r="C164" s="75" t="s">
        <v>552</v>
      </c>
      <c r="D164" s="8"/>
      <c r="E164" s="8"/>
      <c r="F164" s="79" t="s">
        <v>611</v>
      </c>
      <c r="G164" s="76">
        <v>7</v>
      </c>
      <c r="H164" s="77">
        <v>426</v>
      </c>
      <c r="I164" s="77">
        <v>511</v>
      </c>
      <c r="J164" s="77">
        <v>639</v>
      </c>
      <c r="K164" s="78">
        <v>128</v>
      </c>
    </row>
    <row r="165" spans="1:11" ht="16.5" customHeight="1" x14ac:dyDescent="0.25">
      <c r="A165" s="124">
        <v>35958</v>
      </c>
      <c r="B165" s="74">
        <v>0.354545454545455</v>
      </c>
      <c r="C165" s="75" t="s">
        <v>552</v>
      </c>
      <c r="D165" s="8"/>
      <c r="E165" s="8"/>
      <c r="F165" s="79" t="s">
        <v>612</v>
      </c>
      <c r="G165" s="76">
        <v>7</v>
      </c>
      <c r="H165" s="77">
        <v>426</v>
      </c>
      <c r="I165" s="77">
        <v>511</v>
      </c>
      <c r="J165" s="77">
        <v>639</v>
      </c>
      <c r="K165" s="78">
        <v>128</v>
      </c>
    </row>
    <row r="166" spans="1:11" ht="16.5" customHeight="1" x14ac:dyDescent="0.25">
      <c r="A166" s="124">
        <v>36133</v>
      </c>
      <c r="B166" s="74">
        <v>0.36733333333333301</v>
      </c>
      <c r="C166" s="75" t="s">
        <v>538</v>
      </c>
      <c r="D166" s="8"/>
      <c r="E166" s="8"/>
      <c r="F166" s="79" t="s">
        <v>613</v>
      </c>
      <c r="G166" s="76">
        <v>10</v>
      </c>
      <c r="H166" s="77">
        <v>633</v>
      </c>
      <c r="I166" s="77">
        <v>759</v>
      </c>
      <c r="J166" s="77">
        <v>949</v>
      </c>
      <c r="K166" s="78">
        <v>190</v>
      </c>
    </row>
    <row r="167" spans="1:11" ht="16.5" customHeight="1" x14ac:dyDescent="0.25">
      <c r="A167" s="124">
        <v>36152</v>
      </c>
      <c r="B167" s="74">
        <v>0.54324324324324302</v>
      </c>
      <c r="C167" s="75" t="s">
        <v>614</v>
      </c>
      <c r="D167" s="8"/>
      <c r="E167" s="8"/>
      <c r="F167" s="79" t="s">
        <v>615</v>
      </c>
      <c r="G167" s="76">
        <v>2</v>
      </c>
      <c r="H167" s="77">
        <v>113</v>
      </c>
      <c r="I167" s="77">
        <v>135</v>
      </c>
      <c r="J167" s="77">
        <v>169</v>
      </c>
      <c r="K167" s="78">
        <v>34</v>
      </c>
    </row>
    <row r="168" spans="1:11" ht="16.5" customHeight="1" x14ac:dyDescent="0.25">
      <c r="A168" s="124">
        <v>36547</v>
      </c>
      <c r="B168" s="74">
        <v>0.52291666666666703</v>
      </c>
      <c r="C168" s="75" t="s">
        <v>616</v>
      </c>
      <c r="D168" s="8"/>
      <c r="E168" s="8"/>
      <c r="F168" s="79" t="s">
        <v>617</v>
      </c>
      <c r="G168" s="76">
        <v>2</v>
      </c>
      <c r="H168" s="77">
        <v>153</v>
      </c>
      <c r="I168" s="77">
        <v>183</v>
      </c>
      <c r="J168" s="77">
        <v>229</v>
      </c>
      <c r="K168" s="78">
        <v>46</v>
      </c>
    </row>
    <row r="169" spans="1:11" ht="16.5" customHeight="1" x14ac:dyDescent="0.25">
      <c r="A169" s="124">
        <v>36548</v>
      </c>
      <c r="B169" s="74">
        <v>0.52291666666666703</v>
      </c>
      <c r="C169" s="75" t="s">
        <v>616</v>
      </c>
      <c r="D169" s="8"/>
      <c r="E169" s="8"/>
      <c r="F169" s="79" t="s">
        <v>618</v>
      </c>
      <c r="G169" s="76">
        <v>2</v>
      </c>
      <c r="H169" s="77">
        <v>153</v>
      </c>
      <c r="I169" s="77">
        <v>183</v>
      </c>
      <c r="J169" s="77">
        <v>229</v>
      </c>
      <c r="K169" s="78">
        <v>46</v>
      </c>
    </row>
    <row r="170" spans="1:11" ht="16.5" customHeight="1" x14ac:dyDescent="0.25">
      <c r="A170" s="124">
        <v>36550</v>
      </c>
      <c r="B170" s="74">
        <v>0.52291666666666703</v>
      </c>
      <c r="C170" s="75" t="s">
        <v>616</v>
      </c>
      <c r="D170" s="8"/>
      <c r="E170" s="8"/>
      <c r="F170" s="79" t="s">
        <v>619</v>
      </c>
      <c r="G170" s="76">
        <v>2</v>
      </c>
      <c r="H170" s="77">
        <v>153</v>
      </c>
      <c r="I170" s="77">
        <v>183</v>
      </c>
      <c r="J170" s="77">
        <v>229</v>
      </c>
      <c r="K170" s="78">
        <v>46</v>
      </c>
    </row>
    <row r="171" spans="1:11" ht="16.5" customHeight="1" x14ac:dyDescent="0.25">
      <c r="A171" s="124">
        <v>36551</v>
      </c>
      <c r="B171" s="74">
        <v>0.52291666666666703</v>
      </c>
      <c r="C171" s="75" t="s">
        <v>616</v>
      </c>
      <c r="D171" s="8"/>
      <c r="E171" s="8"/>
      <c r="F171" s="79" t="s">
        <v>620</v>
      </c>
      <c r="G171" s="76">
        <v>2</v>
      </c>
      <c r="H171" s="77">
        <v>153</v>
      </c>
      <c r="I171" s="77">
        <v>183</v>
      </c>
      <c r="J171" s="77">
        <v>229</v>
      </c>
      <c r="K171" s="78">
        <v>46</v>
      </c>
    </row>
    <row r="172" spans="1:11" ht="16.5" customHeight="1" x14ac:dyDescent="0.25">
      <c r="A172" s="124">
        <v>36552</v>
      </c>
      <c r="B172" s="74">
        <v>0.52291666666666703</v>
      </c>
      <c r="C172" s="75" t="s">
        <v>616</v>
      </c>
      <c r="D172" s="8"/>
      <c r="E172" s="8"/>
      <c r="F172" s="79" t="s">
        <v>621</v>
      </c>
      <c r="G172" s="76">
        <v>2</v>
      </c>
      <c r="H172" s="77">
        <v>153</v>
      </c>
      <c r="I172" s="77">
        <v>183</v>
      </c>
      <c r="J172" s="77">
        <v>229</v>
      </c>
      <c r="K172" s="78">
        <v>46</v>
      </c>
    </row>
    <row r="173" spans="1:11" ht="16.5" customHeight="1" x14ac:dyDescent="0.25">
      <c r="A173" s="124">
        <v>36553</v>
      </c>
      <c r="B173" s="74">
        <v>0.52291666666666703</v>
      </c>
      <c r="C173" s="75" t="s">
        <v>616</v>
      </c>
      <c r="D173" s="8"/>
      <c r="E173" s="8"/>
      <c r="F173" s="79" t="s">
        <v>622</v>
      </c>
      <c r="G173" s="76">
        <v>2</v>
      </c>
      <c r="H173" s="77">
        <v>153</v>
      </c>
      <c r="I173" s="77">
        <v>183</v>
      </c>
      <c r="J173" s="77">
        <v>229</v>
      </c>
      <c r="K173" s="78">
        <v>46</v>
      </c>
    </row>
    <row r="174" spans="1:11" ht="16.5" customHeight="1" x14ac:dyDescent="0.25">
      <c r="A174" s="124">
        <v>37449</v>
      </c>
      <c r="B174" s="74">
        <v>0.39871794871794902</v>
      </c>
      <c r="C174" s="75" t="s">
        <v>623</v>
      </c>
      <c r="D174" s="8"/>
      <c r="E174" s="8"/>
      <c r="F174" s="79" t="s">
        <v>624</v>
      </c>
      <c r="G174" s="76">
        <v>5</v>
      </c>
      <c r="H174" s="77">
        <v>157</v>
      </c>
      <c r="I174" s="77">
        <v>375</v>
      </c>
      <c r="J174" s="77">
        <v>469</v>
      </c>
      <c r="K174" s="78">
        <v>94</v>
      </c>
    </row>
    <row r="175" spans="1:11" ht="16.5" customHeight="1" x14ac:dyDescent="0.25">
      <c r="A175" s="124">
        <v>37578</v>
      </c>
      <c r="B175" s="74">
        <v>0.30961538461538501</v>
      </c>
      <c r="C175" s="75" t="s">
        <v>573</v>
      </c>
      <c r="D175" s="8"/>
      <c r="E175" s="8"/>
      <c r="F175" s="79" t="s">
        <v>625</v>
      </c>
      <c r="G175" s="76">
        <v>4</v>
      </c>
      <c r="H175" s="77">
        <v>239</v>
      </c>
      <c r="I175" s="77">
        <v>287</v>
      </c>
      <c r="J175" s="77">
        <v>359</v>
      </c>
      <c r="K175" s="78">
        <v>72</v>
      </c>
    </row>
    <row r="176" spans="1:11" ht="16.5" customHeight="1" x14ac:dyDescent="0.25">
      <c r="A176" s="124">
        <v>37738</v>
      </c>
      <c r="B176" s="74">
        <v>0.45083333333333298</v>
      </c>
      <c r="C176" s="75" t="s">
        <v>626</v>
      </c>
      <c r="D176" s="8"/>
      <c r="E176" s="8"/>
      <c r="F176" s="79" t="s">
        <v>627</v>
      </c>
      <c r="G176" s="76">
        <v>7</v>
      </c>
      <c r="H176" s="77">
        <v>439</v>
      </c>
      <c r="I176" s="77">
        <v>527</v>
      </c>
      <c r="J176" s="77">
        <v>659</v>
      </c>
      <c r="K176" s="78">
        <v>132</v>
      </c>
    </row>
    <row r="177" spans="1:11" ht="16.5" customHeight="1" x14ac:dyDescent="0.25">
      <c r="A177" s="124">
        <v>37739</v>
      </c>
      <c r="B177" s="74">
        <v>0.45083333333333298</v>
      </c>
      <c r="C177" s="75" t="s">
        <v>626</v>
      </c>
      <c r="D177" s="8"/>
      <c r="E177" s="8"/>
      <c r="F177" s="79" t="s">
        <v>628</v>
      </c>
      <c r="G177" s="76">
        <v>7</v>
      </c>
      <c r="H177" s="77">
        <v>439</v>
      </c>
      <c r="I177" s="77">
        <v>527</v>
      </c>
      <c r="J177" s="77">
        <v>659</v>
      </c>
      <c r="K177" s="78">
        <v>132</v>
      </c>
    </row>
    <row r="178" spans="1:11" ht="16.5" customHeight="1" x14ac:dyDescent="0.25">
      <c r="A178" s="124">
        <v>37740</v>
      </c>
      <c r="B178" s="74">
        <v>0.45083333333333298</v>
      </c>
      <c r="C178" s="75" t="s">
        <v>626</v>
      </c>
      <c r="D178" s="8"/>
      <c r="E178" s="8"/>
      <c r="F178" s="79" t="s">
        <v>629</v>
      </c>
      <c r="G178" s="76">
        <v>7</v>
      </c>
      <c r="H178" s="77">
        <v>439</v>
      </c>
      <c r="I178" s="77">
        <v>527</v>
      </c>
      <c r="J178" s="77">
        <v>659</v>
      </c>
      <c r="K178" s="78">
        <v>132</v>
      </c>
    </row>
    <row r="179" spans="1:11" ht="16.5" customHeight="1" x14ac:dyDescent="0.25">
      <c r="A179" s="124">
        <v>37766</v>
      </c>
      <c r="B179" s="74">
        <v>0.45071428571428601</v>
      </c>
      <c r="C179" s="75" t="s">
        <v>630</v>
      </c>
      <c r="D179" s="8"/>
      <c r="E179" s="8"/>
      <c r="F179" s="79" t="s">
        <v>631</v>
      </c>
      <c r="G179" s="76">
        <v>8</v>
      </c>
      <c r="H179" s="77">
        <v>513</v>
      </c>
      <c r="I179" s="77">
        <v>615</v>
      </c>
      <c r="J179" s="77">
        <v>769</v>
      </c>
      <c r="K179" s="78">
        <v>154</v>
      </c>
    </row>
    <row r="180" spans="1:11" ht="16.5" customHeight="1" x14ac:dyDescent="0.25">
      <c r="A180" s="124">
        <v>37772</v>
      </c>
      <c r="B180" s="74">
        <v>0.45071428571428601</v>
      </c>
      <c r="C180" s="75" t="s">
        <v>632</v>
      </c>
      <c r="D180" s="8"/>
      <c r="E180" s="8"/>
      <c r="F180" s="79" t="s">
        <v>633</v>
      </c>
      <c r="G180" s="76">
        <v>8</v>
      </c>
      <c r="H180" s="77">
        <v>513</v>
      </c>
      <c r="I180" s="77">
        <v>615</v>
      </c>
      <c r="J180" s="77">
        <v>769</v>
      </c>
      <c r="K180" s="78">
        <v>154</v>
      </c>
    </row>
    <row r="181" spans="1:11" ht="16.5" customHeight="1" x14ac:dyDescent="0.25">
      <c r="A181" s="124">
        <v>37977</v>
      </c>
      <c r="B181" s="74">
        <v>0.44692307692307698</v>
      </c>
      <c r="C181" s="75" t="s">
        <v>634</v>
      </c>
      <c r="D181" s="8"/>
      <c r="E181" s="8"/>
      <c r="F181" s="79" t="s">
        <v>192</v>
      </c>
      <c r="G181" s="76">
        <v>7</v>
      </c>
      <c r="H181" s="77">
        <v>479</v>
      </c>
      <c r="I181" s="77">
        <v>575</v>
      </c>
      <c r="J181" s="77">
        <v>719</v>
      </c>
      <c r="K181" s="78">
        <v>144</v>
      </c>
    </row>
    <row r="182" spans="1:11" ht="16.5" customHeight="1" x14ac:dyDescent="0.25">
      <c r="A182" s="124">
        <v>38335</v>
      </c>
      <c r="B182" s="74">
        <v>0.39791666666666697</v>
      </c>
      <c r="C182" s="75" t="s">
        <v>587</v>
      </c>
      <c r="D182" s="8"/>
      <c r="E182" s="8"/>
      <c r="F182" s="79" t="s">
        <v>635</v>
      </c>
      <c r="G182" s="76">
        <v>3</v>
      </c>
      <c r="H182" s="77">
        <v>97</v>
      </c>
      <c r="I182" s="77">
        <v>231</v>
      </c>
      <c r="J182" s="77">
        <v>289</v>
      </c>
      <c r="K182" s="78">
        <v>58</v>
      </c>
    </row>
    <row r="183" spans="1:11" ht="16.5" customHeight="1" x14ac:dyDescent="0.25">
      <c r="A183" s="124">
        <v>38382</v>
      </c>
      <c r="B183" s="74"/>
      <c r="C183" s="75" t="s">
        <v>636</v>
      </c>
      <c r="D183" s="8"/>
      <c r="E183" s="8"/>
      <c r="F183" s="79" t="s">
        <v>349</v>
      </c>
      <c r="G183" s="76">
        <v>16</v>
      </c>
      <c r="H183" s="77">
        <v>1067</v>
      </c>
      <c r="I183" s="77">
        <v>1280</v>
      </c>
      <c r="J183" s="77">
        <v>1600</v>
      </c>
      <c r="K183" s="78">
        <v>320</v>
      </c>
    </row>
    <row r="184" spans="1:11" ht="16.5" customHeight="1" x14ac:dyDescent="0.25">
      <c r="A184" s="124">
        <v>38385</v>
      </c>
      <c r="B184" s="74"/>
      <c r="C184" s="75" t="s">
        <v>636</v>
      </c>
      <c r="D184" s="8"/>
      <c r="E184" s="8"/>
      <c r="F184" s="79" t="s">
        <v>637</v>
      </c>
      <c r="G184" s="76">
        <v>27</v>
      </c>
      <c r="H184" s="77">
        <v>1733</v>
      </c>
      <c r="I184" s="77">
        <v>2080</v>
      </c>
      <c r="J184" s="77">
        <v>2600</v>
      </c>
      <c r="K184" s="78">
        <v>520</v>
      </c>
    </row>
    <row r="185" spans="1:11" ht="16.5" customHeight="1" x14ac:dyDescent="0.25">
      <c r="A185" s="124">
        <v>38390</v>
      </c>
      <c r="B185" s="74">
        <v>0.227727272727273</v>
      </c>
      <c r="C185" s="75" t="s">
        <v>636</v>
      </c>
      <c r="D185" s="8"/>
      <c r="E185" s="8"/>
      <c r="F185" s="79" t="s">
        <v>72</v>
      </c>
      <c r="G185" s="76">
        <v>17</v>
      </c>
      <c r="H185" s="77">
        <v>1133</v>
      </c>
      <c r="I185" s="77">
        <v>1359</v>
      </c>
      <c r="J185" s="77">
        <v>1699</v>
      </c>
      <c r="K185" s="78">
        <v>340</v>
      </c>
    </row>
    <row r="186" spans="1:11" ht="16.5" customHeight="1" x14ac:dyDescent="0.25">
      <c r="A186" s="124">
        <v>38391</v>
      </c>
      <c r="B186" s="74"/>
      <c r="C186" s="75" t="s">
        <v>636</v>
      </c>
      <c r="D186" s="8"/>
      <c r="E186" s="8"/>
      <c r="F186" s="79" t="s">
        <v>79</v>
      </c>
      <c r="G186" s="76">
        <v>37</v>
      </c>
      <c r="H186" s="77">
        <v>2400</v>
      </c>
      <c r="I186" s="77">
        <v>2880</v>
      </c>
      <c r="J186" s="77">
        <v>3600</v>
      </c>
      <c r="K186" s="78">
        <v>720</v>
      </c>
    </row>
    <row r="187" spans="1:11" ht="16.5" customHeight="1" x14ac:dyDescent="0.25">
      <c r="A187" s="124">
        <v>38497</v>
      </c>
      <c r="B187" s="74">
        <v>0.485151515151515</v>
      </c>
      <c r="C187" s="75" t="s">
        <v>638</v>
      </c>
      <c r="D187" s="8"/>
      <c r="E187" s="8"/>
      <c r="F187" s="79" t="s">
        <v>452</v>
      </c>
      <c r="G187" s="76">
        <v>17</v>
      </c>
      <c r="H187" s="77">
        <v>1133</v>
      </c>
      <c r="I187" s="77">
        <v>1359</v>
      </c>
      <c r="J187" s="77">
        <v>1699</v>
      </c>
      <c r="K187" s="78">
        <v>340</v>
      </c>
    </row>
    <row r="188" spans="1:11" ht="16.5" customHeight="1" x14ac:dyDescent="0.25">
      <c r="A188" s="124">
        <v>38498</v>
      </c>
      <c r="B188" s="74">
        <v>0.39534883720930197</v>
      </c>
      <c r="C188" s="75" t="s">
        <v>639</v>
      </c>
      <c r="D188" s="8"/>
      <c r="E188" s="8"/>
      <c r="F188" s="79" t="s">
        <v>640</v>
      </c>
      <c r="G188" s="76">
        <v>27</v>
      </c>
      <c r="H188" s="77">
        <v>1733</v>
      </c>
      <c r="I188" s="77">
        <v>2080</v>
      </c>
      <c r="J188" s="77">
        <v>2600</v>
      </c>
      <c r="K188" s="78">
        <v>520</v>
      </c>
    </row>
    <row r="189" spans="1:11" ht="16.5" customHeight="1" x14ac:dyDescent="0.25">
      <c r="A189" s="124">
        <v>38531</v>
      </c>
      <c r="B189" s="74">
        <v>0.34236842105263199</v>
      </c>
      <c r="C189" s="75" t="s">
        <v>641</v>
      </c>
      <c r="D189" s="8"/>
      <c r="E189" s="8"/>
      <c r="F189" s="79" t="s">
        <v>642</v>
      </c>
      <c r="G189" s="76">
        <v>26</v>
      </c>
      <c r="H189" s="77">
        <v>1666</v>
      </c>
      <c r="I189" s="77">
        <v>1999</v>
      </c>
      <c r="J189" s="77">
        <v>2499</v>
      </c>
      <c r="K189" s="78">
        <v>500</v>
      </c>
    </row>
    <row r="190" spans="1:11" ht="16.5" customHeight="1" x14ac:dyDescent="0.25">
      <c r="A190" s="124">
        <v>38585</v>
      </c>
      <c r="B190" s="74">
        <v>0.29307692307692301</v>
      </c>
      <c r="C190" s="75" t="s">
        <v>643</v>
      </c>
      <c r="D190" s="8"/>
      <c r="E190" s="8"/>
      <c r="F190" s="79" t="s">
        <v>644</v>
      </c>
      <c r="G190" s="76">
        <v>9</v>
      </c>
      <c r="H190" s="77">
        <v>613</v>
      </c>
      <c r="I190" s="77">
        <v>735</v>
      </c>
      <c r="J190" s="77">
        <v>919</v>
      </c>
      <c r="K190" s="78">
        <v>184</v>
      </c>
    </row>
    <row r="191" spans="1:11" ht="16.5" customHeight="1" x14ac:dyDescent="0.25">
      <c r="A191" s="124">
        <v>38597</v>
      </c>
      <c r="B191" s="74">
        <v>0.29307692307692301</v>
      </c>
      <c r="C191" s="75" t="s">
        <v>643</v>
      </c>
      <c r="D191" s="8"/>
      <c r="E191" s="8"/>
      <c r="F191" s="79" t="s">
        <v>645</v>
      </c>
      <c r="G191" s="76">
        <v>9</v>
      </c>
      <c r="H191" s="77">
        <v>613</v>
      </c>
      <c r="I191" s="77">
        <v>735</v>
      </c>
      <c r="J191" s="77">
        <v>919</v>
      </c>
      <c r="K191" s="78">
        <v>184</v>
      </c>
    </row>
    <row r="192" spans="1:11" ht="16.5" customHeight="1" x14ac:dyDescent="0.25">
      <c r="A192" s="124">
        <v>38599</v>
      </c>
      <c r="B192" s="74">
        <v>0.26733333333333298</v>
      </c>
      <c r="C192" s="75" t="s">
        <v>643</v>
      </c>
      <c r="D192" s="8"/>
      <c r="E192" s="8"/>
      <c r="F192" s="79" t="s">
        <v>646</v>
      </c>
      <c r="G192" s="76">
        <v>11</v>
      </c>
      <c r="H192" s="77">
        <v>733</v>
      </c>
      <c r="I192" s="77">
        <v>879</v>
      </c>
      <c r="J192" s="77">
        <v>1099</v>
      </c>
      <c r="K192" s="78">
        <v>220</v>
      </c>
    </row>
    <row r="193" spans="1:11" ht="16.5" customHeight="1" x14ac:dyDescent="0.25">
      <c r="A193" s="124">
        <v>38602</v>
      </c>
      <c r="B193" s="74">
        <v>0.31631578947368399</v>
      </c>
      <c r="C193" s="75" t="s">
        <v>643</v>
      </c>
      <c r="D193" s="8"/>
      <c r="E193" s="8"/>
      <c r="F193" s="79" t="s">
        <v>647</v>
      </c>
      <c r="G193" s="76">
        <v>13</v>
      </c>
      <c r="H193" s="77">
        <v>866</v>
      </c>
      <c r="I193" s="77">
        <v>1039</v>
      </c>
      <c r="J193" s="77">
        <v>1299</v>
      </c>
      <c r="K193" s="78">
        <v>260</v>
      </c>
    </row>
    <row r="194" spans="1:11" ht="16.5" customHeight="1" x14ac:dyDescent="0.25">
      <c r="A194" s="124">
        <v>38679</v>
      </c>
      <c r="B194" s="74">
        <v>0.39871794871794902</v>
      </c>
      <c r="C194" s="75" t="s">
        <v>587</v>
      </c>
      <c r="D194" s="8"/>
      <c r="E194" s="8"/>
      <c r="F194" s="79" t="s">
        <v>648</v>
      </c>
      <c r="G194" s="76">
        <v>5</v>
      </c>
      <c r="H194" s="77">
        <v>157</v>
      </c>
      <c r="I194" s="77">
        <v>375</v>
      </c>
      <c r="J194" s="77">
        <v>469</v>
      </c>
      <c r="K194" s="78">
        <v>94</v>
      </c>
    </row>
    <row r="195" spans="1:11" ht="16.5" customHeight="1" x14ac:dyDescent="0.25">
      <c r="A195" s="124">
        <v>38722</v>
      </c>
      <c r="B195" s="74">
        <v>0.310714285714286</v>
      </c>
      <c r="C195" s="75" t="s">
        <v>649</v>
      </c>
      <c r="D195" s="8"/>
      <c r="E195" s="8"/>
      <c r="F195" s="79" t="s">
        <v>650</v>
      </c>
      <c r="G195" s="76">
        <v>6</v>
      </c>
      <c r="H195" s="77">
        <v>386</v>
      </c>
      <c r="I195" s="77">
        <v>463</v>
      </c>
      <c r="J195" s="77">
        <v>579</v>
      </c>
      <c r="K195" s="78">
        <v>116</v>
      </c>
    </row>
    <row r="196" spans="1:11" ht="16.5" customHeight="1" x14ac:dyDescent="0.25">
      <c r="A196" s="124">
        <v>38800</v>
      </c>
      <c r="B196" s="74">
        <v>0.40416666666666701</v>
      </c>
      <c r="C196" s="75" t="s">
        <v>651</v>
      </c>
      <c r="D196" s="8"/>
      <c r="E196" s="8"/>
      <c r="F196" s="79" t="s">
        <v>652</v>
      </c>
      <c r="G196" s="76">
        <v>4</v>
      </c>
      <c r="H196" s="77">
        <v>286</v>
      </c>
      <c r="I196" s="77">
        <v>343</v>
      </c>
      <c r="J196" s="77">
        <v>429</v>
      </c>
      <c r="K196" s="78">
        <v>86</v>
      </c>
    </row>
    <row r="197" spans="1:11" ht="16.5" customHeight="1" x14ac:dyDescent="0.25">
      <c r="A197" s="124">
        <v>38801</v>
      </c>
      <c r="B197" s="74">
        <v>0.40416666666666701</v>
      </c>
      <c r="C197" s="75" t="s">
        <v>651</v>
      </c>
      <c r="D197" s="8"/>
      <c r="E197" s="8"/>
      <c r="F197" s="79" t="s">
        <v>653</v>
      </c>
      <c r="G197" s="76">
        <v>4</v>
      </c>
      <c r="H197" s="77">
        <v>286</v>
      </c>
      <c r="I197" s="77">
        <v>343</v>
      </c>
      <c r="J197" s="77">
        <v>429</v>
      </c>
      <c r="K197" s="78">
        <v>86</v>
      </c>
    </row>
    <row r="198" spans="1:11" ht="16.5" customHeight="1" x14ac:dyDescent="0.25">
      <c r="A198" s="124">
        <v>38863</v>
      </c>
      <c r="B198" s="74">
        <v>0.40100000000000002</v>
      </c>
      <c r="C198" s="75" t="s">
        <v>654</v>
      </c>
      <c r="D198" s="8"/>
      <c r="E198" s="8"/>
      <c r="F198" s="79" t="s">
        <v>655</v>
      </c>
      <c r="G198" s="76">
        <v>6</v>
      </c>
      <c r="H198" s="77">
        <v>399</v>
      </c>
      <c r="I198" s="77">
        <v>479</v>
      </c>
      <c r="J198" s="77">
        <v>599</v>
      </c>
      <c r="K198" s="78">
        <v>120</v>
      </c>
    </row>
    <row r="199" spans="1:11" ht="16.5" customHeight="1" x14ac:dyDescent="0.25">
      <c r="A199" s="124">
        <v>38864</v>
      </c>
      <c r="B199" s="74">
        <v>0.40100000000000002</v>
      </c>
      <c r="C199" s="75" t="s">
        <v>654</v>
      </c>
      <c r="D199" s="8"/>
      <c r="E199" s="8"/>
      <c r="F199" s="79" t="s">
        <v>656</v>
      </c>
      <c r="G199" s="76">
        <v>6</v>
      </c>
      <c r="H199" s="77">
        <v>399</v>
      </c>
      <c r="I199" s="77">
        <v>479</v>
      </c>
      <c r="J199" s="77">
        <v>599</v>
      </c>
      <c r="K199" s="78">
        <v>120</v>
      </c>
    </row>
    <row r="200" spans="1:11" ht="16.5" customHeight="1" x14ac:dyDescent="0.25">
      <c r="A200" s="124">
        <v>38865</v>
      </c>
      <c r="B200" s="74">
        <v>0.40100000000000002</v>
      </c>
      <c r="C200" s="75" t="s">
        <v>654</v>
      </c>
      <c r="D200" s="8"/>
      <c r="E200" s="8"/>
      <c r="F200" s="79" t="s">
        <v>657</v>
      </c>
      <c r="G200" s="76">
        <v>6</v>
      </c>
      <c r="H200" s="77">
        <v>399</v>
      </c>
      <c r="I200" s="77">
        <v>479</v>
      </c>
      <c r="J200" s="77">
        <v>599</v>
      </c>
      <c r="K200" s="78">
        <v>120</v>
      </c>
    </row>
    <row r="201" spans="1:11" ht="16.5" customHeight="1" x14ac:dyDescent="0.25">
      <c r="A201" s="124">
        <v>38866</v>
      </c>
      <c r="B201" s="74">
        <v>0.40100000000000002</v>
      </c>
      <c r="C201" s="75" t="s">
        <v>654</v>
      </c>
      <c r="D201" s="8"/>
      <c r="E201" s="8"/>
      <c r="F201" s="79" t="s">
        <v>658</v>
      </c>
      <c r="G201" s="76">
        <v>6</v>
      </c>
      <c r="H201" s="77">
        <v>399</v>
      </c>
      <c r="I201" s="77">
        <v>479</v>
      </c>
      <c r="J201" s="77">
        <v>599</v>
      </c>
      <c r="K201" s="78">
        <v>120</v>
      </c>
    </row>
    <row r="202" spans="1:11" ht="16.5" customHeight="1" x14ac:dyDescent="0.25">
      <c r="A202" s="124">
        <v>38867</v>
      </c>
      <c r="B202" s="74">
        <v>0.40100000000000002</v>
      </c>
      <c r="C202" s="75" t="s">
        <v>654</v>
      </c>
      <c r="D202" s="8"/>
      <c r="E202" s="8"/>
      <c r="F202" s="79" t="s">
        <v>659</v>
      </c>
      <c r="G202" s="76">
        <v>6</v>
      </c>
      <c r="H202" s="77">
        <v>399</v>
      </c>
      <c r="I202" s="77">
        <v>479</v>
      </c>
      <c r="J202" s="77">
        <v>599</v>
      </c>
      <c r="K202" s="78">
        <v>120</v>
      </c>
    </row>
    <row r="203" spans="1:11" ht="16.5" customHeight="1" x14ac:dyDescent="0.25">
      <c r="A203" s="124">
        <v>38868</v>
      </c>
      <c r="B203" s="74">
        <v>0.40100000000000002</v>
      </c>
      <c r="C203" s="75" t="s">
        <v>654</v>
      </c>
      <c r="D203" s="8"/>
      <c r="E203" s="8"/>
      <c r="F203" s="79" t="s">
        <v>660</v>
      </c>
      <c r="G203" s="76">
        <v>6</v>
      </c>
      <c r="H203" s="77">
        <v>399</v>
      </c>
      <c r="I203" s="77">
        <v>479</v>
      </c>
      <c r="J203" s="77">
        <v>599</v>
      </c>
      <c r="K203" s="78">
        <v>120</v>
      </c>
    </row>
    <row r="204" spans="1:11" ht="16.5" customHeight="1" x14ac:dyDescent="0.25">
      <c r="A204" s="124">
        <v>38869</v>
      </c>
      <c r="B204" s="74">
        <v>0.40100000000000002</v>
      </c>
      <c r="C204" s="75" t="s">
        <v>654</v>
      </c>
      <c r="D204" s="8"/>
      <c r="E204" s="8"/>
      <c r="F204" s="79" t="s">
        <v>661</v>
      </c>
      <c r="G204" s="76">
        <v>6</v>
      </c>
      <c r="H204" s="77">
        <v>399</v>
      </c>
      <c r="I204" s="77">
        <v>479</v>
      </c>
      <c r="J204" s="77">
        <v>599</v>
      </c>
      <c r="K204" s="78">
        <v>120</v>
      </c>
    </row>
    <row r="205" spans="1:11" ht="16.5" customHeight="1" x14ac:dyDescent="0.25">
      <c r="A205" s="124">
        <v>38870</v>
      </c>
      <c r="B205" s="74">
        <v>0.40100000000000002</v>
      </c>
      <c r="C205" s="75" t="s">
        <v>654</v>
      </c>
      <c r="D205" s="8"/>
      <c r="E205" s="8"/>
      <c r="F205" s="79" t="s">
        <v>662</v>
      </c>
      <c r="G205" s="76">
        <v>6</v>
      </c>
      <c r="H205" s="77">
        <v>399</v>
      </c>
      <c r="I205" s="77">
        <v>479</v>
      </c>
      <c r="J205" s="77">
        <v>599</v>
      </c>
      <c r="K205" s="78">
        <v>120</v>
      </c>
    </row>
    <row r="206" spans="1:11" ht="16.5" customHeight="1" x14ac:dyDescent="0.25">
      <c r="A206" s="124">
        <v>38871</v>
      </c>
      <c r="B206" s="74">
        <v>0.40100000000000002</v>
      </c>
      <c r="C206" s="75" t="s">
        <v>654</v>
      </c>
      <c r="D206" s="8"/>
      <c r="E206" s="8"/>
      <c r="F206" s="79" t="s">
        <v>663</v>
      </c>
      <c r="G206" s="76">
        <v>6</v>
      </c>
      <c r="H206" s="77">
        <v>399</v>
      </c>
      <c r="I206" s="77">
        <v>479</v>
      </c>
      <c r="J206" s="77">
        <v>599</v>
      </c>
      <c r="K206" s="78">
        <v>120</v>
      </c>
    </row>
    <row r="207" spans="1:11" ht="16.5" customHeight="1" x14ac:dyDescent="0.25">
      <c r="A207" s="124">
        <v>38872</v>
      </c>
      <c r="B207" s="74">
        <v>0.40100000000000002</v>
      </c>
      <c r="C207" s="75" t="s">
        <v>654</v>
      </c>
      <c r="D207" s="8"/>
      <c r="E207" s="8"/>
      <c r="F207" s="79" t="s">
        <v>664</v>
      </c>
      <c r="G207" s="76">
        <v>6</v>
      </c>
      <c r="H207" s="77">
        <v>399</v>
      </c>
      <c r="I207" s="77">
        <v>479</v>
      </c>
      <c r="J207" s="77">
        <v>599</v>
      </c>
      <c r="K207" s="78">
        <v>120</v>
      </c>
    </row>
    <row r="208" spans="1:11" ht="16.5" customHeight="1" x14ac:dyDescent="0.25">
      <c r="A208" s="124">
        <v>38873</v>
      </c>
      <c r="B208" s="74"/>
      <c r="C208" s="75" t="s">
        <v>665</v>
      </c>
      <c r="D208" s="8"/>
      <c r="E208" s="8"/>
      <c r="F208" s="79" t="s">
        <v>666</v>
      </c>
      <c r="G208" s="76">
        <v>6</v>
      </c>
      <c r="H208" s="77">
        <v>387</v>
      </c>
      <c r="I208" s="77">
        <v>464</v>
      </c>
      <c r="J208" s="77">
        <v>580</v>
      </c>
      <c r="K208" s="78">
        <v>116</v>
      </c>
    </row>
    <row r="209" spans="1:11" ht="16.5" customHeight="1" x14ac:dyDescent="0.25">
      <c r="A209" s="124">
        <v>38874</v>
      </c>
      <c r="B209" s="74">
        <v>0.34655172413793101</v>
      </c>
      <c r="C209" s="75" t="s">
        <v>667</v>
      </c>
      <c r="D209" s="8"/>
      <c r="E209" s="8"/>
      <c r="F209" s="79" t="s">
        <v>668</v>
      </c>
      <c r="G209" s="76">
        <v>4</v>
      </c>
      <c r="H209" s="77">
        <v>253</v>
      </c>
      <c r="I209" s="77">
        <v>303</v>
      </c>
      <c r="J209" s="77">
        <v>379</v>
      </c>
      <c r="K209" s="78">
        <v>76</v>
      </c>
    </row>
    <row r="210" spans="1:11" ht="16.5" customHeight="1" x14ac:dyDescent="0.25">
      <c r="A210" s="124">
        <v>38883</v>
      </c>
      <c r="B210" s="74">
        <v>0.40595238095238101</v>
      </c>
      <c r="C210" s="75" t="s">
        <v>669</v>
      </c>
      <c r="D210" s="8"/>
      <c r="E210" s="8"/>
      <c r="F210" s="79" t="s">
        <v>670</v>
      </c>
      <c r="G210" s="76">
        <v>5</v>
      </c>
      <c r="H210" s="77">
        <v>333</v>
      </c>
      <c r="I210" s="77">
        <v>399</v>
      </c>
      <c r="J210" s="77">
        <v>499</v>
      </c>
      <c r="K210" s="78">
        <v>100</v>
      </c>
    </row>
    <row r="211" spans="1:11" ht="16.5" customHeight="1" x14ac:dyDescent="0.25">
      <c r="A211" s="124">
        <v>38884</v>
      </c>
      <c r="B211" s="74">
        <v>0.40595238095238101</v>
      </c>
      <c r="C211" s="75" t="s">
        <v>669</v>
      </c>
      <c r="D211" s="8"/>
      <c r="E211" s="8"/>
      <c r="F211" s="79" t="s">
        <v>671</v>
      </c>
      <c r="G211" s="76">
        <v>5</v>
      </c>
      <c r="H211" s="77">
        <v>333</v>
      </c>
      <c r="I211" s="77">
        <v>399</v>
      </c>
      <c r="J211" s="77">
        <v>499</v>
      </c>
      <c r="K211" s="78">
        <v>100</v>
      </c>
    </row>
    <row r="212" spans="1:11" ht="16.5" customHeight="1" x14ac:dyDescent="0.25">
      <c r="A212" s="124">
        <v>38885</v>
      </c>
      <c r="B212" s="74">
        <v>0.40595238095238101</v>
      </c>
      <c r="C212" s="75" t="s">
        <v>669</v>
      </c>
      <c r="D212" s="8"/>
      <c r="E212" s="8"/>
      <c r="F212" s="79" t="s">
        <v>672</v>
      </c>
      <c r="G212" s="76">
        <v>5</v>
      </c>
      <c r="H212" s="77">
        <v>333</v>
      </c>
      <c r="I212" s="77">
        <v>399</v>
      </c>
      <c r="J212" s="77">
        <v>499</v>
      </c>
      <c r="K212" s="78">
        <v>100</v>
      </c>
    </row>
    <row r="213" spans="1:11" ht="16.5" customHeight="1" x14ac:dyDescent="0.25">
      <c r="A213" s="124">
        <v>38948</v>
      </c>
      <c r="B213" s="74">
        <v>0.50208333333333299</v>
      </c>
      <c r="C213" s="75" t="s">
        <v>673</v>
      </c>
      <c r="D213" s="8"/>
      <c r="E213" s="8"/>
      <c r="F213" s="79" t="s">
        <v>674</v>
      </c>
      <c r="G213" s="76">
        <v>2</v>
      </c>
      <c r="H213" s="77">
        <v>159</v>
      </c>
      <c r="I213" s="77">
        <v>191</v>
      </c>
      <c r="J213" s="77">
        <v>239</v>
      </c>
      <c r="K213" s="78">
        <v>48</v>
      </c>
    </row>
    <row r="214" spans="1:11" ht="16.5" customHeight="1" x14ac:dyDescent="0.25">
      <c r="A214" s="124">
        <v>39399</v>
      </c>
      <c r="B214" s="74">
        <v>0.35249999999999998</v>
      </c>
      <c r="C214" s="75" t="s">
        <v>675</v>
      </c>
      <c r="D214" s="8"/>
      <c r="E214" s="8"/>
      <c r="F214" s="79" t="s">
        <v>676</v>
      </c>
      <c r="G214" s="76">
        <v>3</v>
      </c>
      <c r="H214" s="77">
        <v>173</v>
      </c>
      <c r="I214" s="77">
        <v>207</v>
      </c>
      <c r="J214" s="77">
        <v>259</v>
      </c>
      <c r="K214" s="78">
        <v>52</v>
      </c>
    </row>
    <row r="215" spans="1:11" ht="16.5" customHeight="1" x14ac:dyDescent="0.25">
      <c r="A215" s="124">
        <v>39426</v>
      </c>
      <c r="B215" s="74">
        <v>0.35249999999999998</v>
      </c>
      <c r="C215" s="75" t="s">
        <v>675</v>
      </c>
      <c r="D215" s="8"/>
      <c r="E215" s="8"/>
      <c r="F215" s="79" t="s">
        <v>677</v>
      </c>
      <c r="G215" s="76">
        <v>3</v>
      </c>
      <c r="H215" s="77">
        <v>173</v>
      </c>
      <c r="I215" s="77">
        <v>207</v>
      </c>
      <c r="J215" s="77">
        <v>259</v>
      </c>
      <c r="K215" s="78">
        <v>52</v>
      </c>
    </row>
    <row r="216" spans="1:11" ht="16.5" customHeight="1" x14ac:dyDescent="0.25">
      <c r="A216" s="124">
        <v>39476</v>
      </c>
      <c r="B216" s="74">
        <v>0.39565217391304303</v>
      </c>
      <c r="C216" s="75" t="s">
        <v>535</v>
      </c>
      <c r="D216" s="8"/>
      <c r="E216" s="8"/>
      <c r="F216" s="79" t="s">
        <v>678</v>
      </c>
      <c r="G216" s="76">
        <v>1</v>
      </c>
      <c r="H216" s="77">
        <v>93</v>
      </c>
      <c r="I216" s="77">
        <v>111</v>
      </c>
      <c r="J216" s="77">
        <v>139</v>
      </c>
      <c r="K216" s="78">
        <v>28</v>
      </c>
    </row>
    <row r="217" spans="1:11" ht="16.5" customHeight="1" x14ac:dyDescent="0.25">
      <c r="A217" s="124">
        <v>39800</v>
      </c>
      <c r="B217" s="74">
        <v>0.50208333333333299</v>
      </c>
      <c r="C217" s="75" t="s">
        <v>673</v>
      </c>
      <c r="D217" s="8"/>
      <c r="E217" s="8"/>
      <c r="F217" s="79" t="s">
        <v>679</v>
      </c>
      <c r="G217" s="76">
        <v>2</v>
      </c>
      <c r="H217" s="77">
        <v>159</v>
      </c>
      <c r="I217" s="77">
        <v>191</v>
      </c>
      <c r="J217" s="77">
        <v>239</v>
      </c>
      <c r="K217" s="78">
        <v>48</v>
      </c>
    </row>
    <row r="218" spans="1:11" ht="16.5" customHeight="1" x14ac:dyDescent="0.25">
      <c r="A218" s="124">
        <v>39801</v>
      </c>
      <c r="B218" s="74">
        <v>0.50208333333333299</v>
      </c>
      <c r="C218" s="75" t="s">
        <v>673</v>
      </c>
      <c r="D218" s="8"/>
      <c r="E218" s="8"/>
      <c r="F218" s="79" t="s">
        <v>680</v>
      </c>
      <c r="G218" s="76">
        <v>2</v>
      </c>
      <c r="H218" s="77">
        <v>159</v>
      </c>
      <c r="I218" s="77">
        <v>191</v>
      </c>
      <c r="J218" s="77">
        <v>239</v>
      </c>
      <c r="K218" s="78">
        <v>48</v>
      </c>
    </row>
    <row r="219" spans="1:11" ht="16.5" customHeight="1" x14ac:dyDescent="0.25">
      <c r="A219" s="124">
        <v>39802</v>
      </c>
      <c r="B219" s="74">
        <v>0.50208333333333299</v>
      </c>
      <c r="C219" s="75" t="s">
        <v>673</v>
      </c>
      <c r="D219" s="8"/>
      <c r="E219" s="8"/>
      <c r="F219" s="79" t="s">
        <v>681</v>
      </c>
      <c r="G219" s="76">
        <v>2</v>
      </c>
      <c r="H219" s="77">
        <v>159</v>
      </c>
      <c r="I219" s="77">
        <v>191</v>
      </c>
      <c r="J219" s="77">
        <v>239</v>
      </c>
      <c r="K219" s="78">
        <v>48</v>
      </c>
    </row>
    <row r="220" spans="1:11" ht="16.5" customHeight="1" x14ac:dyDescent="0.25">
      <c r="A220" s="124">
        <v>39803</v>
      </c>
      <c r="B220" s="74">
        <v>0.50208333333333299</v>
      </c>
      <c r="C220" s="75" t="s">
        <v>673</v>
      </c>
      <c r="D220" s="8"/>
      <c r="E220" s="8"/>
      <c r="F220" s="79" t="s">
        <v>682</v>
      </c>
      <c r="G220" s="76">
        <v>2</v>
      </c>
      <c r="H220" s="77">
        <v>159</v>
      </c>
      <c r="I220" s="77">
        <v>191</v>
      </c>
      <c r="J220" s="77">
        <v>239</v>
      </c>
      <c r="K220" s="78">
        <v>48</v>
      </c>
    </row>
    <row r="221" spans="1:11" ht="16.5" customHeight="1" x14ac:dyDescent="0.25">
      <c r="A221" s="124">
        <v>39805</v>
      </c>
      <c r="B221" s="74">
        <v>0.50208333333333299</v>
      </c>
      <c r="C221" s="75" t="s">
        <v>673</v>
      </c>
      <c r="D221" s="8"/>
      <c r="E221" s="8"/>
      <c r="F221" s="79" t="s">
        <v>683</v>
      </c>
      <c r="G221" s="76">
        <v>2</v>
      </c>
      <c r="H221" s="77">
        <v>159</v>
      </c>
      <c r="I221" s="77">
        <v>191</v>
      </c>
      <c r="J221" s="77">
        <v>239</v>
      </c>
      <c r="K221" s="78">
        <v>48</v>
      </c>
    </row>
    <row r="222" spans="1:11" ht="16.5" customHeight="1" x14ac:dyDescent="0.25">
      <c r="A222" s="124">
        <v>39806</v>
      </c>
      <c r="B222" s="74">
        <v>0.50208333333333299</v>
      </c>
      <c r="C222" s="75" t="s">
        <v>673</v>
      </c>
      <c r="D222" s="8"/>
      <c r="E222" s="8"/>
      <c r="F222" s="79" t="s">
        <v>684</v>
      </c>
      <c r="G222" s="76">
        <v>2</v>
      </c>
      <c r="H222" s="77">
        <v>159</v>
      </c>
      <c r="I222" s="77">
        <v>191</v>
      </c>
      <c r="J222" s="77">
        <v>239</v>
      </c>
      <c r="K222" s="78">
        <v>48</v>
      </c>
    </row>
    <row r="223" spans="1:11" ht="16.5" customHeight="1" x14ac:dyDescent="0.25">
      <c r="A223" s="124">
        <v>39807</v>
      </c>
      <c r="B223" s="74">
        <v>0.50208333333333299</v>
      </c>
      <c r="C223" s="75" t="s">
        <v>673</v>
      </c>
      <c r="D223" s="8"/>
      <c r="E223" s="8"/>
      <c r="F223" s="79" t="s">
        <v>685</v>
      </c>
      <c r="G223" s="76">
        <v>2</v>
      </c>
      <c r="H223" s="77">
        <v>159</v>
      </c>
      <c r="I223" s="77">
        <v>191</v>
      </c>
      <c r="J223" s="77">
        <v>239</v>
      </c>
      <c r="K223" s="78">
        <v>48</v>
      </c>
    </row>
    <row r="224" spans="1:11" ht="16.5" customHeight="1" x14ac:dyDescent="0.25">
      <c r="A224" s="124">
        <v>39913</v>
      </c>
      <c r="B224" s="74">
        <v>0.50185185185185199</v>
      </c>
      <c r="C224" s="75" t="s">
        <v>686</v>
      </c>
      <c r="D224" s="8"/>
      <c r="E224" s="8"/>
      <c r="F224" s="79" t="s">
        <v>687</v>
      </c>
      <c r="G224" s="76">
        <v>3</v>
      </c>
      <c r="H224" s="77">
        <v>179</v>
      </c>
      <c r="I224" s="77">
        <v>215</v>
      </c>
      <c r="J224" s="77">
        <v>269</v>
      </c>
      <c r="K224" s="78">
        <v>54</v>
      </c>
    </row>
    <row r="225" spans="1:11" ht="16.5" customHeight="1" x14ac:dyDescent="0.25">
      <c r="A225" s="124">
        <v>39914</v>
      </c>
      <c r="B225" s="74">
        <v>0.50185185185185199</v>
      </c>
      <c r="C225" s="75" t="s">
        <v>686</v>
      </c>
      <c r="D225" s="8"/>
      <c r="E225" s="8"/>
      <c r="F225" s="79" t="s">
        <v>688</v>
      </c>
      <c r="G225" s="76">
        <v>3</v>
      </c>
      <c r="H225" s="77">
        <v>179</v>
      </c>
      <c r="I225" s="77">
        <v>215</v>
      </c>
      <c r="J225" s="77">
        <v>269</v>
      </c>
      <c r="K225" s="78">
        <v>54</v>
      </c>
    </row>
    <row r="226" spans="1:11" ht="16.5" customHeight="1" x14ac:dyDescent="0.25">
      <c r="A226" s="124">
        <v>40682</v>
      </c>
      <c r="B226" s="74">
        <v>0.35128205128205098</v>
      </c>
      <c r="C226" s="75" t="s">
        <v>689</v>
      </c>
      <c r="D226" s="8"/>
      <c r="E226" s="8"/>
      <c r="F226" s="79" t="s">
        <v>690</v>
      </c>
      <c r="G226" s="76">
        <v>8</v>
      </c>
      <c r="H226" s="77">
        <v>506</v>
      </c>
      <c r="I226" s="77">
        <v>607</v>
      </c>
      <c r="J226" s="77">
        <v>759</v>
      </c>
      <c r="K226" s="78">
        <v>152</v>
      </c>
    </row>
    <row r="227" spans="1:11" ht="16.5" customHeight="1" x14ac:dyDescent="0.25">
      <c r="A227" s="124">
        <v>40712</v>
      </c>
      <c r="B227" s="74">
        <v>0.36071428571428599</v>
      </c>
      <c r="C227" s="75" t="s">
        <v>602</v>
      </c>
      <c r="D227" s="8"/>
      <c r="E227" s="8"/>
      <c r="F227" s="79" t="s">
        <v>691</v>
      </c>
      <c r="G227" s="76">
        <v>2</v>
      </c>
      <c r="H227" s="77">
        <v>119</v>
      </c>
      <c r="I227" s="77">
        <v>143</v>
      </c>
      <c r="J227" s="77">
        <v>179</v>
      </c>
      <c r="K227" s="78">
        <v>36</v>
      </c>
    </row>
    <row r="228" spans="1:11" ht="16.5" customHeight="1" x14ac:dyDescent="0.25">
      <c r="A228" s="124">
        <v>40779</v>
      </c>
      <c r="B228" s="74">
        <v>0.39871794871794902</v>
      </c>
      <c r="C228" s="75" t="s">
        <v>546</v>
      </c>
      <c r="D228" s="8"/>
      <c r="E228" s="8"/>
      <c r="F228" s="79" t="s">
        <v>195</v>
      </c>
      <c r="G228" s="76">
        <v>5</v>
      </c>
      <c r="H228" s="77">
        <v>157</v>
      </c>
      <c r="I228" s="77">
        <v>375</v>
      </c>
      <c r="J228" s="77">
        <v>469</v>
      </c>
      <c r="K228" s="78">
        <v>94</v>
      </c>
    </row>
    <row r="229" spans="1:11" ht="16.5" customHeight="1" x14ac:dyDescent="0.25">
      <c r="A229" s="124">
        <v>40781</v>
      </c>
      <c r="B229" s="74">
        <v>0.39811320754717</v>
      </c>
      <c r="C229" s="75" t="s">
        <v>546</v>
      </c>
      <c r="D229" s="8"/>
      <c r="E229" s="8"/>
      <c r="F229" s="79" t="s">
        <v>692</v>
      </c>
      <c r="G229" s="76">
        <v>3</v>
      </c>
      <c r="H229" s="77">
        <v>107</v>
      </c>
      <c r="I229" s="77">
        <v>255</v>
      </c>
      <c r="J229" s="77">
        <v>319</v>
      </c>
      <c r="K229" s="78">
        <v>64</v>
      </c>
    </row>
    <row r="230" spans="1:11" ht="16.5" customHeight="1" x14ac:dyDescent="0.25">
      <c r="A230" s="124">
        <v>40788</v>
      </c>
      <c r="B230" s="74">
        <v>0.47394736842105301</v>
      </c>
      <c r="C230" s="75" t="s">
        <v>105</v>
      </c>
      <c r="D230" s="8"/>
      <c r="E230" s="8"/>
      <c r="F230" s="79" t="s">
        <v>693</v>
      </c>
      <c r="G230" s="76">
        <v>21</v>
      </c>
      <c r="H230" s="77">
        <v>1333</v>
      </c>
      <c r="I230" s="77">
        <v>1599</v>
      </c>
      <c r="J230" s="77">
        <v>1999</v>
      </c>
      <c r="K230" s="78">
        <v>400</v>
      </c>
    </row>
    <row r="231" spans="1:11" ht="16.5" customHeight="1" x14ac:dyDescent="0.25">
      <c r="A231" s="124">
        <v>40790</v>
      </c>
      <c r="B231" s="74">
        <v>0.47394736842105301</v>
      </c>
      <c r="C231" s="75" t="s">
        <v>694</v>
      </c>
      <c r="D231" s="8"/>
      <c r="E231" s="8"/>
      <c r="F231" s="79" t="s">
        <v>695</v>
      </c>
      <c r="G231" s="76">
        <v>21</v>
      </c>
      <c r="H231" s="77">
        <v>1333</v>
      </c>
      <c r="I231" s="77">
        <v>1599</v>
      </c>
      <c r="J231" s="77">
        <v>1999</v>
      </c>
      <c r="K231" s="78">
        <v>400</v>
      </c>
    </row>
    <row r="232" spans="1:11" ht="16.5" customHeight="1" x14ac:dyDescent="0.25">
      <c r="A232" s="124">
        <v>40794</v>
      </c>
      <c r="B232" s="74"/>
      <c r="C232" s="75" t="s">
        <v>636</v>
      </c>
      <c r="D232" s="8"/>
      <c r="E232" s="8"/>
      <c r="F232" s="79" t="s">
        <v>346</v>
      </c>
      <c r="G232" s="76">
        <v>27</v>
      </c>
      <c r="H232" s="77">
        <v>1733</v>
      </c>
      <c r="I232" s="77">
        <v>2080</v>
      </c>
      <c r="J232" s="77">
        <v>2600</v>
      </c>
      <c r="K232" s="78">
        <v>520</v>
      </c>
    </row>
    <row r="233" spans="1:11" ht="16.5" customHeight="1" x14ac:dyDescent="0.25">
      <c r="A233" s="124">
        <v>40844</v>
      </c>
      <c r="B233" s="74">
        <v>0.33541666666666697</v>
      </c>
      <c r="C233" s="75" t="s">
        <v>696</v>
      </c>
      <c r="D233" s="8"/>
      <c r="E233" s="8"/>
      <c r="F233" s="79" t="s">
        <v>697</v>
      </c>
      <c r="G233" s="76">
        <v>3</v>
      </c>
      <c r="H233" s="77">
        <v>213</v>
      </c>
      <c r="I233" s="77">
        <v>255</v>
      </c>
      <c r="J233" s="77">
        <v>319</v>
      </c>
      <c r="K233" s="78">
        <v>64</v>
      </c>
    </row>
    <row r="234" spans="1:11" ht="16.5" customHeight="1" x14ac:dyDescent="0.25">
      <c r="A234" s="124">
        <v>40845</v>
      </c>
      <c r="B234" s="74">
        <v>0.39565217391304303</v>
      </c>
      <c r="C234" s="75" t="s">
        <v>696</v>
      </c>
      <c r="D234" s="8"/>
      <c r="E234" s="8"/>
      <c r="F234" s="79" t="s">
        <v>698</v>
      </c>
      <c r="G234" s="76">
        <v>1</v>
      </c>
      <c r="H234" s="77">
        <v>93</v>
      </c>
      <c r="I234" s="77">
        <v>111</v>
      </c>
      <c r="J234" s="77">
        <v>139</v>
      </c>
      <c r="K234" s="78">
        <v>28</v>
      </c>
    </row>
    <row r="235" spans="1:11" ht="16.5" customHeight="1" x14ac:dyDescent="0.25">
      <c r="A235" s="124">
        <v>40872</v>
      </c>
      <c r="B235" s="74"/>
      <c r="C235" s="75" t="s">
        <v>562</v>
      </c>
      <c r="D235" s="8"/>
      <c r="E235" s="8"/>
      <c r="F235" s="79" t="s">
        <v>699</v>
      </c>
      <c r="G235" s="76">
        <v>28</v>
      </c>
      <c r="H235" s="77">
        <v>1800</v>
      </c>
      <c r="I235" s="77">
        <v>2160</v>
      </c>
      <c r="J235" s="77">
        <v>2700</v>
      </c>
      <c r="K235" s="78">
        <v>540</v>
      </c>
    </row>
    <row r="236" spans="1:11" ht="16.5" customHeight="1" x14ac:dyDescent="0.25">
      <c r="A236" s="124">
        <v>40874</v>
      </c>
      <c r="B236" s="74">
        <v>0.40014285714285702</v>
      </c>
      <c r="C236" s="75" t="s">
        <v>700</v>
      </c>
      <c r="D236" s="8"/>
      <c r="E236" s="8"/>
      <c r="F236" s="79" t="s">
        <v>701</v>
      </c>
      <c r="G236" s="76">
        <v>43</v>
      </c>
      <c r="H236" s="77">
        <v>2799</v>
      </c>
      <c r="I236" s="77">
        <v>3359</v>
      </c>
      <c r="J236" s="77">
        <v>4199</v>
      </c>
      <c r="K236" s="78">
        <v>840</v>
      </c>
    </row>
    <row r="237" spans="1:11" ht="16.5" customHeight="1" x14ac:dyDescent="0.25">
      <c r="A237" s="124">
        <v>40878</v>
      </c>
      <c r="B237" s="74"/>
      <c r="C237" s="75" t="s">
        <v>562</v>
      </c>
      <c r="D237" s="8"/>
      <c r="E237" s="8"/>
      <c r="F237" s="79" t="s">
        <v>702</v>
      </c>
      <c r="G237" s="76">
        <v>28</v>
      </c>
      <c r="H237" s="77">
        <v>1800</v>
      </c>
      <c r="I237" s="77">
        <v>2160</v>
      </c>
      <c r="J237" s="77">
        <v>2700</v>
      </c>
      <c r="K237" s="78">
        <v>540</v>
      </c>
    </row>
    <row r="238" spans="1:11" ht="16.5" customHeight="1" x14ac:dyDescent="0.25">
      <c r="A238" s="124">
        <v>40880</v>
      </c>
      <c r="B238" s="74">
        <v>0.30794871794871798</v>
      </c>
      <c r="C238" s="75" t="s">
        <v>562</v>
      </c>
      <c r="D238" s="8"/>
      <c r="E238" s="8"/>
      <c r="F238" s="79" t="s">
        <v>703</v>
      </c>
      <c r="G238" s="76">
        <v>28</v>
      </c>
      <c r="H238" s="77">
        <v>1799</v>
      </c>
      <c r="I238" s="77">
        <v>2159</v>
      </c>
      <c r="J238" s="77">
        <v>2699</v>
      </c>
      <c r="K238" s="78">
        <v>540</v>
      </c>
    </row>
    <row r="239" spans="1:11" ht="16.5" customHeight="1" x14ac:dyDescent="0.25">
      <c r="A239" s="124">
        <v>40952</v>
      </c>
      <c r="B239" s="74">
        <v>0.57190476190476203</v>
      </c>
      <c r="C239" s="75" t="s">
        <v>533</v>
      </c>
      <c r="D239" s="8"/>
      <c r="E239" s="8"/>
      <c r="F239" s="79" t="s">
        <v>193</v>
      </c>
      <c r="G239" s="76">
        <v>9</v>
      </c>
      <c r="H239" s="77">
        <v>599</v>
      </c>
      <c r="I239" s="77">
        <v>719</v>
      </c>
      <c r="J239" s="77">
        <v>899</v>
      </c>
      <c r="K239" s="78">
        <v>180</v>
      </c>
    </row>
    <row r="240" spans="1:11" ht="16.5" customHeight="1" x14ac:dyDescent="0.25">
      <c r="A240" s="124">
        <v>40953</v>
      </c>
      <c r="B240" s="74">
        <v>0.57190476190476203</v>
      </c>
      <c r="C240" s="75" t="s">
        <v>533</v>
      </c>
      <c r="D240" s="8"/>
      <c r="E240" s="8"/>
      <c r="F240" s="79" t="s">
        <v>704</v>
      </c>
      <c r="G240" s="76">
        <v>9</v>
      </c>
      <c r="H240" s="77">
        <v>599</v>
      </c>
      <c r="I240" s="77">
        <v>719</v>
      </c>
      <c r="J240" s="77">
        <v>899</v>
      </c>
      <c r="K240" s="78">
        <v>180</v>
      </c>
    </row>
    <row r="241" spans="1:11" ht="16.5" customHeight="1" x14ac:dyDescent="0.25">
      <c r="A241" s="124">
        <v>40954</v>
      </c>
      <c r="B241" s="74">
        <v>0.57190476190476203</v>
      </c>
      <c r="C241" s="75" t="s">
        <v>533</v>
      </c>
      <c r="D241" s="8"/>
      <c r="E241" s="8"/>
      <c r="F241" s="79" t="s">
        <v>194</v>
      </c>
      <c r="G241" s="76">
        <v>9</v>
      </c>
      <c r="H241" s="77">
        <v>599</v>
      </c>
      <c r="I241" s="77">
        <v>719</v>
      </c>
      <c r="J241" s="77">
        <v>899</v>
      </c>
      <c r="K241" s="78">
        <v>180</v>
      </c>
    </row>
    <row r="242" spans="1:11" ht="16.5" customHeight="1" x14ac:dyDescent="0.25">
      <c r="A242" s="124">
        <v>41011</v>
      </c>
      <c r="B242" s="74">
        <v>0.46914893617021303</v>
      </c>
      <c r="C242" s="75" t="s">
        <v>491</v>
      </c>
      <c r="D242" s="8"/>
      <c r="E242" s="8"/>
      <c r="F242" s="79" t="s">
        <v>705</v>
      </c>
      <c r="G242" s="76">
        <v>5</v>
      </c>
      <c r="H242" s="77">
        <v>333</v>
      </c>
      <c r="I242" s="77">
        <v>399</v>
      </c>
      <c r="J242" s="77">
        <v>499</v>
      </c>
      <c r="K242" s="78">
        <v>100</v>
      </c>
    </row>
    <row r="243" spans="1:11" ht="16.5" customHeight="1" x14ac:dyDescent="0.25">
      <c r="A243" s="124">
        <v>41012</v>
      </c>
      <c r="B243" s="74">
        <v>0.46914893617021303</v>
      </c>
      <c r="C243" s="75" t="s">
        <v>491</v>
      </c>
      <c r="D243" s="8"/>
      <c r="E243" s="8"/>
      <c r="F243" s="79" t="s">
        <v>706</v>
      </c>
      <c r="G243" s="76">
        <v>5</v>
      </c>
      <c r="H243" s="77">
        <v>333</v>
      </c>
      <c r="I243" s="77">
        <v>399</v>
      </c>
      <c r="J243" s="77">
        <v>499</v>
      </c>
      <c r="K243" s="78">
        <v>100</v>
      </c>
    </row>
    <row r="244" spans="1:11" ht="16.5" customHeight="1" x14ac:dyDescent="0.25">
      <c r="A244" s="124">
        <v>41029</v>
      </c>
      <c r="B244" s="74"/>
      <c r="C244" s="75" t="s">
        <v>707</v>
      </c>
      <c r="D244" s="8"/>
      <c r="E244" s="8"/>
      <c r="F244" s="79" t="s">
        <v>708</v>
      </c>
      <c r="G244" s="76">
        <v>16</v>
      </c>
      <c r="H244" s="77">
        <v>1067</v>
      </c>
      <c r="I244" s="77">
        <v>1280</v>
      </c>
      <c r="J244" s="77">
        <v>1600</v>
      </c>
      <c r="K244" s="78">
        <v>320</v>
      </c>
    </row>
    <row r="245" spans="1:11" ht="16.5" customHeight="1" x14ac:dyDescent="0.25">
      <c r="A245" s="124">
        <v>41032</v>
      </c>
      <c r="B245" s="74"/>
      <c r="C245" s="75" t="s">
        <v>562</v>
      </c>
      <c r="D245" s="8"/>
      <c r="E245" s="8"/>
      <c r="F245" s="79" t="s">
        <v>415</v>
      </c>
      <c r="G245" s="76">
        <v>26</v>
      </c>
      <c r="H245" s="77">
        <v>1667</v>
      </c>
      <c r="I245" s="77">
        <v>2000</v>
      </c>
      <c r="J245" s="77">
        <v>2500</v>
      </c>
      <c r="K245" s="78">
        <v>500</v>
      </c>
    </row>
    <row r="246" spans="1:11" ht="16.5" customHeight="1" x14ac:dyDescent="0.25">
      <c r="A246" s="124">
        <v>41033</v>
      </c>
      <c r="B246" s="74">
        <v>0.25041666666666701</v>
      </c>
      <c r="C246" s="75" t="s">
        <v>709</v>
      </c>
      <c r="D246" s="8"/>
      <c r="E246" s="8"/>
      <c r="F246" s="79" t="s">
        <v>83</v>
      </c>
      <c r="G246" s="76">
        <v>19</v>
      </c>
      <c r="H246" s="77">
        <v>1199</v>
      </c>
      <c r="I246" s="77">
        <v>1439</v>
      </c>
      <c r="J246" s="77">
        <v>1799</v>
      </c>
      <c r="K246" s="78">
        <v>360</v>
      </c>
    </row>
    <row r="247" spans="1:11" ht="16.5" customHeight="1" x14ac:dyDescent="0.25">
      <c r="A247" s="124">
        <v>41034</v>
      </c>
      <c r="B247" s="74">
        <v>0.25041666666666701</v>
      </c>
      <c r="C247" s="75" t="s">
        <v>709</v>
      </c>
      <c r="D247" s="8"/>
      <c r="E247" s="8"/>
      <c r="F247" s="79" t="s">
        <v>73</v>
      </c>
      <c r="G247" s="76">
        <v>19</v>
      </c>
      <c r="H247" s="77">
        <v>1199</v>
      </c>
      <c r="I247" s="77">
        <v>1439</v>
      </c>
      <c r="J247" s="77">
        <v>1799</v>
      </c>
      <c r="K247" s="78">
        <v>360</v>
      </c>
    </row>
    <row r="248" spans="1:11" ht="16.5" customHeight="1" x14ac:dyDescent="0.25">
      <c r="A248" s="124">
        <v>41035</v>
      </c>
      <c r="B248" s="74"/>
      <c r="C248" s="75" t="s">
        <v>710</v>
      </c>
      <c r="D248" s="8"/>
      <c r="E248" s="8"/>
      <c r="F248" s="79" t="s">
        <v>84</v>
      </c>
      <c r="G248" s="76">
        <v>40</v>
      </c>
      <c r="H248" s="77">
        <v>2600</v>
      </c>
      <c r="I248" s="77">
        <v>3120</v>
      </c>
      <c r="J248" s="77">
        <v>3900</v>
      </c>
      <c r="K248" s="78">
        <v>780</v>
      </c>
    </row>
    <row r="249" spans="1:11" ht="16.5" customHeight="1" x14ac:dyDescent="0.25">
      <c r="A249" s="124">
        <v>41037</v>
      </c>
      <c r="B249" s="74"/>
      <c r="C249" s="75" t="s">
        <v>710</v>
      </c>
      <c r="D249" s="8"/>
      <c r="E249" s="8"/>
      <c r="F249" s="79" t="s">
        <v>74</v>
      </c>
      <c r="G249" s="76">
        <v>40</v>
      </c>
      <c r="H249" s="77">
        <v>2600</v>
      </c>
      <c r="I249" s="77">
        <v>3120</v>
      </c>
      <c r="J249" s="77">
        <v>3900</v>
      </c>
      <c r="K249" s="78">
        <v>780</v>
      </c>
    </row>
    <row r="250" spans="1:11" ht="16.5" customHeight="1" x14ac:dyDescent="0.25">
      <c r="A250" s="124">
        <v>41039</v>
      </c>
      <c r="B250" s="74"/>
      <c r="C250" s="75" t="s">
        <v>710</v>
      </c>
      <c r="D250" s="8"/>
      <c r="E250" s="8"/>
      <c r="F250" s="79" t="s">
        <v>76</v>
      </c>
      <c r="G250" s="76">
        <v>40</v>
      </c>
      <c r="H250" s="77">
        <v>2600</v>
      </c>
      <c r="I250" s="77">
        <v>3120</v>
      </c>
      <c r="J250" s="77">
        <v>3900</v>
      </c>
      <c r="K250" s="78">
        <v>780</v>
      </c>
    </row>
    <row r="251" spans="1:11" ht="16.5" customHeight="1" x14ac:dyDescent="0.25">
      <c r="A251" s="124">
        <v>41040</v>
      </c>
      <c r="B251" s="74"/>
      <c r="C251" s="75" t="s">
        <v>710</v>
      </c>
      <c r="D251" s="8"/>
      <c r="E251" s="8"/>
      <c r="F251" s="79" t="s">
        <v>75</v>
      </c>
      <c r="G251" s="76">
        <v>40</v>
      </c>
      <c r="H251" s="77">
        <v>2600</v>
      </c>
      <c r="I251" s="77">
        <v>3120</v>
      </c>
      <c r="J251" s="77">
        <v>3900</v>
      </c>
      <c r="K251" s="78">
        <v>780</v>
      </c>
    </row>
    <row r="252" spans="1:11" ht="16.5" customHeight="1" x14ac:dyDescent="0.25">
      <c r="A252" s="124">
        <v>41044</v>
      </c>
      <c r="B252" s="74"/>
      <c r="C252" s="75" t="s">
        <v>711</v>
      </c>
      <c r="D252" s="8"/>
      <c r="E252" s="8"/>
      <c r="F252" s="79" t="s">
        <v>712</v>
      </c>
      <c r="G252" s="76">
        <v>31</v>
      </c>
      <c r="H252" s="77">
        <v>2000</v>
      </c>
      <c r="I252" s="77">
        <v>2400</v>
      </c>
      <c r="J252" s="77">
        <v>3000</v>
      </c>
      <c r="K252" s="78">
        <v>600</v>
      </c>
    </row>
    <row r="253" spans="1:11" ht="16.5" customHeight="1" x14ac:dyDescent="0.25">
      <c r="A253" s="124">
        <v>41048</v>
      </c>
      <c r="B253" s="74"/>
      <c r="C253" s="75" t="s">
        <v>711</v>
      </c>
      <c r="D253" s="8"/>
      <c r="E253" s="8"/>
      <c r="F253" s="79" t="s">
        <v>713</v>
      </c>
      <c r="G253" s="76">
        <v>31</v>
      </c>
      <c r="H253" s="77">
        <v>2000</v>
      </c>
      <c r="I253" s="77">
        <v>2400</v>
      </c>
      <c r="J253" s="77">
        <v>3000</v>
      </c>
      <c r="K253" s="78">
        <v>600</v>
      </c>
    </row>
    <row r="254" spans="1:11" ht="16.5" customHeight="1" x14ac:dyDescent="0.25">
      <c r="A254" s="124">
        <v>41057</v>
      </c>
      <c r="B254" s="74"/>
      <c r="C254" s="75" t="s">
        <v>714</v>
      </c>
      <c r="D254" s="8"/>
      <c r="E254" s="8"/>
      <c r="F254" s="79" t="s">
        <v>417</v>
      </c>
      <c r="G254" s="76">
        <v>31</v>
      </c>
      <c r="H254" s="77">
        <v>2000</v>
      </c>
      <c r="I254" s="77">
        <v>2400</v>
      </c>
      <c r="J254" s="77">
        <v>3000</v>
      </c>
      <c r="K254" s="78">
        <v>600</v>
      </c>
    </row>
    <row r="255" spans="1:11" ht="16.5" customHeight="1" x14ac:dyDescent="0.25">
      <c r="A255" s="124">
        <v>41058</v>
      </c>
      <c r="B255" s="74"/>
      <c r="C255" s="75" t="s">
        <v>714</v>
      </c>
      <c r="D255" s="8"/>
      <c r="E255" s="8"/>
      <c r="F255" s="79" t="s">
        <v>715</v>
      </c>
      <c r="G255" s="76">
        <v>31</v>
      </c>
      <c r="H255" s="77">
        <v>2000</v>
      </c>
      <c r="I255" s="77">
        <v>2400</v>
      </c>
      <c r="J255" s="77">
        <v>3000</v>
      </c>
      <c r="K255" s="78">
        <v>600</v>
      </c>
    </row>
    <row r="256" spans="1:11" ht="16.5" customHeight="1" x14ac:dyDescent="0.25">
      <c r="A256" s="124">
        <v>41187</v>
      </c>
      <c r="B256" s="74">
        <v>0.53888888888888897</v>
      </c>
      <c r="C256" s="75" t="s">
        <v>716</v>
      </c>
      <c r="D256" s="8"/>
      <c r="E256" s="8"/>
      <c r="F256" s="79" t="s">
        <v>717</v>
      </c>
      <c r="G256" s="76">
        <v>3</v>
      </c>
      <c r="H256" s="77">
        <v>166</v>
      </c>
      <c r="I256" s="77">
        <v>199</v>
      </c>
      <c r="J256" s="77">
        <v>249</v>
      </c>
      <c r="K256" s="78">
        <v>50</v>
      </c>
    </row>
    <row r="257" spans="1:11" ht="16.5" customHeight="1" x14ac:dyDescent="0.25">
      <c r="A257" s="124">
        <v>41188</v>
      </c>
      <c r="B257" s="74">
        <v>0.53888888888888897</v>
      </c>
      <c r="C257" s="75" t="s">
        <v>716</v>
      </c>
      <c r="D257" s="8"/>
      <c r="E257" s="8"/>
      <c r="F257" s="79" t="s">
        <v>718</v>
      </c>
      <c r="G257" s="76">
        <v>3</v>
      </c>
      <c r="H257" s="77">
        <v>166</v>
      </c>
      <c r="I257" s="77">
        <v>199</v>
      </c>
      <c r="J257" s="77">
        <v>249</v>
      </c>
      <c r="K257" s="78">
        <v>50</v>
      </c>
    </row>
    <row r="258" spans="1:11" ht="16.5" customHeight="1" x14ac:dyDescent="0.25">
      <c r="A258" s="124">
        <v>41189</v>
      </c>
      <c r="B258" s="74">
        <v>0.53888888888888897</v>
      </c>
      <c r="C258" s="75" t="s">
        <v>716</v>
      </c>
      <c r="D258" s="8"/>
      <c r="E258" s="8"/>
      <c r="F258" s="79" t="s">
        <v>719</v>
      </c>
      <c r="G258" s="76">
        <v>3</v>
      </c>
      <c r="H258" s="77">
        <v>166</v>
      </c>
      <c r="I258" s="77">
        <v>199</v>
      </c>
      <c r="J258" s="77">
        <v>249</v>
      </c>
      <c r="K258" s="78">
        <v>50</v>
      </c>
    </row>
    <row r="259" spans="1:11" ht="16.5" customHeight="1" x14ac:dyDescent="0.25">
      <c r="A259" s="124">
        <v>41190</v>
      </c>
      <c r="B259" s="74">
        <v>0.53888888888888897</v>
      </c>
      <c r="C259" s="75" t="s">
        <v>716</v>
      </c>
      <c r="D259" s="8"/>
      <c r="E259" s="8"/>
      <c r="F259" s="79" t="s">
        <v>196</v>
      </c>
      <c r="G259" s="76">
        <v>3</v>
      </c>
      <c r="H259" s="77">
        <v>166</v>
      </c>
      <c r="I259" s="77">
        <v>199</v>
      </c>
      <c r="J259" s="77">
        <v>249</v>
      </c>
      <c r="K259" s="78">
        <v>50</v>
      </c>
    </row>
    <row r="260" spans="1:11" ht="16.5" customHeight="1" x14ac:dyDescent="0.25">
      <c r="A260" s="124">
        <v>41191</v>
      </c>
      <c r="B260" s="74">
        <v>0.53888888888888897</v>
      </c>
      <c r="C260" s="75" t="s">
        <v>716</v>
      </c>
      <c r="D260" s="8"/>
      <c r="E260" s="8"/>
      <c r="F260" s="79" t="s">
        <v>197</v>
      </c>
      <c r="G260" s="76">
        <v>3</v>
      </c>
      <c r="H260" s="77">
        <v>166</v>
      </c>
      <c r="I260" s="77">
        <v>199</v>
      </c>
      <c r="J260" s="77">
        <v>249</v>
      </c>
      <c r="K260" s="78">
        <v>50</v>
      </c>
    </row>
    <row r="261" spans="1:11" ht="16.5" customHeight="1" x14ac:dyDescent="0.25">
      <c r="A261" s="124">
        <v>41192</v>
      </c>
      <c r="B261" s="74">
        <v>0.53888888888888897</v>
      </c>
      <c r="C261" s="75" t="s">
        <v>716</v>
      </c>
      <c r="D261" s="8"/>
      <c r="E261" s="8"/>
      <c r="F261" s="79" t="s">
        <v>720</v>
      </c>
      <c r="G261" s="76">
        <v>3</v>
      </c>
      <c r="H261" s="77">
        <v>166</v>
      </c>
      <c r="I261" s="77">
        <v>199</v>
      </c>
      <c r="J261" s="77">
        <v>249</v>
      </c>
      <c r="K261" s="78">
        <v>50</v>
      </c>
    </row>
    <row r="262" spans="1:11" ht="16.5" customHeight="1" x14ac:dyDescent="0.25">
      <c r="A262" s="124">
        <v>41195</v>
      </c>
      <c r="B262" s="74">
        <v>0.53888888888888897</v>
      </c>
      <c r="C262" s="75" t="s">
        <v>716</v>
      </c>
      <c r="D262" s="8"/>
      <c r="E262" s="8"/>
      <c r="F262" s="79" t="s">
        <v>721</v>
      </c>
      <c r="G262" s="76">
        <v>3</v>
      </c>
      <c r="H262" s="77">
        <v>166</v>
      </c>
      <c r="I262" s="77">
        <v>199</v>
      </c>
      <c r="J262" s="77">
        <v>249</v>
      </c>
      <c r="K262" s="78">
        <v>50</v>
      </c>
    </row>
    <row r="263" spans="1:11" ht="16.5" customHeight="1" x14ac:dyDescent="0.25">
      <c r="A263" s="124">
        <v>41196</v>
      </c>
      <c r="B263" s="74">
        <v>0.53888888888888897</v>
      </c>
      <c r="C263" s="75" t="s">
        <v>716</v>
      </c>
      <c r="D263" s="8"/>
      <c r="E263" s="8"/>
      <c r="F263" s="79" t="s">
        <v>722</v>
      </c>
      <c r="G263" s="76">
        <v>3</v>
      </c>
      <c r="H263" s="77">
        <v>166</v>
      </c>
      <c r="I263" s="77">
        <v>199</v>
      </c>
      <c r="J263" s="77">
        <v>249</v>
      </c>
      <c r="K263" s="78">
        <v>50</v>
      </c>
    </row>
    <row r="264" spans="1:11" ht="16.5" customHeight="1" x14ac:dyDescent="0.25">
      <c r="A264" s="124">
        <v>41277</v>
      </c>
      <c r="B264" s="74">
        <v>0.40500000000000003</v>
      </c>
      <c r="C264" s="75" t="s">
        <v>723</v>
      </c>
      <c r="D264" s="8"/>
      <c r="E264" s="8"/>
      <c r="F264" s="79" t="s">
        <v>198</v>
      </c>
      <c r="G264" s="76">
        <v>1</v>
      </c>
      <c r="H264" s="77">
        <v>79</v>
      </c>
      <c r="I264" s="77">
        <v>95</v>
      </c>
      <c r="J264" s="77">
        <v>119</v>
      </c>
      <c r="K264" s="78">
        <v>24</v>
      </c>
    </row>
    <row r="265" spans="1:11" ht="16.5" customHeight="1" x14ac:dyDescent="0.25">
      <c r="A265" s="124">
        <v>41281</v>
      </c>
      <c r="B265" s="74">
        <v>0.40500000000000003</v>
      </c>
      <c r="C265" s="75" t="s">
        <v>723</v>
      </c>
      <c r="D265" s="8"/>
      <c r="E265" s="8"/>
      <c r="F265" s="79" t="s">
        <v>724</v>
      </c>
      <c r="G265" s="76">
        <v>1</v>
      </c>
      <c r="H265" s="77">
        <v>79</v>
      </c>
      <c r="I265" s="77">
        <v>95</v>
      </c>
      <c r="J265" s="77">
        <v>119</v>
      </c>
      <c r="K265" s="78">
        <v>24</v>
      </c>
    </row>
    <row r="266" spans="1:11" ht="16.5" customHeight="1" x14ac:dyDescent="0.25">
      <c r="A266" s="124">
        <v>41283</v>
      </c>
      <c r="B266" s="74">
        <v>0.350833333333333</v>
      </c>
      <c r="C266" s="75" t="s">
        <v>725</v>
      </c>
      <c r="D266" s="8"/>
      <c r="E266" s="8"/>
      <c r="F266" s="79" t="s">
        <v>726</v>
      </c>
      <c r="G266" s="76">
        <v>8</v>
      </c>
      <c r="H266" s="77">
        <v>519</v>
      </c>
      <c r="I266" s="77">
        <v>623</v>
      </c>
      <c r="J266" s="77">
        <v>779</v>
      </c>
      <c r="K266" s="78">
        <v>156</v>
      </c>
    </row>
    <row r="267" spans="1:11" ht="16.5" customHeight="1" x14ac:dyDescent="0.25">
      <c r="A267" s="124">
        <v>41292</v>
      </c>
      <c r="B267" s="74">
        <v>0.36025641025640998</v>
      </c>
      <c r="C267" s="75" t="s">
        <v>727</v>
      </c>
      <c r="D267" s="8"/>
      <c r="E267" s="8"/>
      <c r="F267" s="79" t="s">
        <v>728</v>
      </c>
      <c r="G267" s="76">
        <v>5</v>
      </c>
      <c r="H267" s="77">
        <v>333</v>
      </c>
      <c r="I267" s="77">
        <v>399</v>
      </c>
      <c r="J267" s="77">
        <v>499</v>
      </c>
      <c r="K267" s="78">
        <v>100</v>
      </c>
    </row>
    <row r="268" spans="1:11" ht="16.5" customHeight="1" x14ac:dyDescent="0.25">
      <c r="A268" s="124">
        <v>41295</v>
      </c>
      <c r="B268" s="74">
        <v>0.36025641025640998</v>
      </c>
      <c r="C268" s="75" t="s">
        <v>727</v>
      </c>
      <c r="D268" s="8"/>
      <c r="E268" s="8"/>
      <c r="F268" s="79" t="s">
        <v>729</v>
      </c>
      <c r="G268" s="76">
        <v>5</v>
      </c>
      <c r="H268" s="77">
        <v>333</v>
      </c>
      <c r="I268" s="77">
        <v>399</v>
      </c>
      <c r="J268" s="77">
        <v>499</v>
      </c>
      <c r="K268" s="78">
        <v>100</v>
      </c>
    </row>
    <row r="269" spans="1:11" ht="16.5" customHeight="1" x14ac:dyDescent="0.25">
      <c r="A269" s="124">
        <v>41308</v>
      </c>
      <c r="B269" s="74">
        <v>0.44411764705882401</v>
      </c>
      <c r="C269" s="75" t="s">
        <v>727</v>
      </c>
      <c r="D269" s="8"/>
      <c r="E269" s="8"/>
      <c r="F269" s="79" t="s">
        <v>730</v>
      </c>
      <c r="G269" s="76">
        <v>2</v>
      </c>
      <c r="H269" s="77">
        <v>126</v>
      </c>
      <c r="I269" s="77">
        <v>151</v>
      </c>
      <c r="J269" s="77">
        <v>189</v>
      </c>
      <c r="K269" s="78">
        <v>38</v>
      </c>
    </row>
    <row r="270" spans="1:11" ht="16.5" customHeight="1" x14ac:dyDescent="0.25">
      <c r="A270" s="124">
        <v>41363</v>
      </c>
      <c r="B270" s="74">
        <v>0.35352941176470598</v>
      </c>
      <c r="C270" s="75" t="s">
        <v>731</v>
      </c>
      <c r="D270" s="8"/>
      <c r="E270" s="8"/>
      <c r="F270" s="79" t="s">
        <v>732</v>
      </c>
      <c r="G270" s="76">
        <v>11</v>
      </c>
      <c r="H270" s="77">
        <v>733</v>
      </c>
      <c r="I270" s="77">
        <v>879</v>
      </c>
      <c r="J270" s="77">
        <v>1099</v>
      </c>
      <c r="K270" s="78">
        <v>220</v>
      </c>
    </row>
    <row r="271" spans="1:11" ht="16.5" customHeight="1" x14ac:dyDescent="0.25">
      <c r="A271" s="124">
        <v>41365</v>
      </c>
      <c r="B271" s="74">
        <v>0.35352941176470598</v>
      </c>
      <c r="C271" s="75" t="s">
        <v>733</v>
      </c>
      <c r="D271" s="8"/>
      <c r="E271" s="8"/>
      <c r="F271" s="79" t="s">
        <v>734</v>
      </c>
      <c r="G271" s="76">
        <v>11</v>
      </c>
      <c r="H271" s="77">
        <v>733</v>
      </c>
      <c r="I271" s="77">
        <v>879</v>
      </c>
      <c r="J271" s="77">
        <v>1099</v>
      </c>
      <c r="K271" s="78">
        <v>220</v>
      </c>
    </row>
    <row r="272" spans="1:11" ht="16.5" customHeight="1" x14ac:dyDescent="0.25">
      <c r="A272" s="124">
        <v>41374</v>
      </c>
      <c r="B272" s="74">
        <v>0.30071428571428599</v>
      </c>
      <c r="C272" s="75" t="s">
        <v>733</v>
      </c>
      <c r="D272" s="8"/>
      <c r="E272" s="8"/>
      <c r="F272" s="79" t="s">
        <v>735</v>
      </c>
      <c r="G272" s="76">
        <v>10</v>
      </c>
      <c r="H272" s="77">
        <v>653</v>
      </c>
      <c r="I272" s="77">
        <v>783</v>
      </c>
      <c r="J272" s="77">
        <v>979</v>
      </c>
      <c r="K272" s="78">
        <v>196</v>
      </c>
    </row>
    <row r="273" spans="1:11" ht="16.5" customHeight="1" x14ac:dyDescent="0.25">
      <c r="A273" s="124">
        <v>41383</v>
      </c>
      <c r="B273" s="74">
        <v>0.36894736842105302</v>
      </c>
      <c r="C273" s="75" t="s">
        <v>733</v>
      </c>
      <c r="D273" s="8"/>
      <c r="E273" s="8"/>
      <c r="F273" s="79" t="s">
        <v>736</v>
      </c>
      <c r="G273" s="76">
        <v>12</v>
      </c>
      <c r="H273" s="77">
        <v>799</v>
      </c>
      <c r="I273" s="77">
        <v>959</v>
      </c>
      <c r="J273" s="77">
        <v>1199</v>
      </c>
      <c r="K273" s="78">
        <v>240</v>
      </c>
    </row>
    <row r="274" spans="1:11" ht="16.5" customHeight="1" x14ac:dyDescent="0.25">
      <c r="A274" s="124">
        <v>41387</v>
      </c>
      <c r="B274" s="74">
        <v>0.35352941176470598</v>
      </c>
      <c r="C274" s="75" t="s">
        <v>733</v>
      </c>
      <c r="D274" s="8"/>
      <c r="E274" s="8"/>
      <c r="F274" s="79" t="s">
        <v>737</v>
      </c>
      <c r="G274" s="76">
        <v>11</v>
      </c>
      <c r="H274" s="77">
        <v>733</v>
      </c>
      <c r="I274" s="77">
        <v>879</v>
      </c>
      <c r="J274" s="77">
        <v>1099</v>
      </c>
      <c r="K274" s="78">
        <v>220</v>
      </c>
    </row>
    <row r="275" spans="1:11" ht="16.5" customHeight="1" x14ac:dyDescent="0.25">
      <c r="A275" s="124">
        <v>41408</v>
      </c>
      <c r="B275" s="74">
        <v>0.30099999999999999</v>
      </c>
      <c r="C275" s="75" t="s">
        <v>623</v>
      </c>
      <c r="D275" s="8"/>
      <c r="E275" s="8"/>
      <c r="F275" s="79" t="s">
        <v>738</v>
      </c>
      <c r="G275" s="76">
        <v>7</v>
      </c>
      <c r="H275" s="77">
        <v>466</v>
      </c>
      <c r="I275" s="77">
        <v>559</v>
      </c>
      <c r="J275" s="77">
        <v>699</v>
      </c>
      <c r="K275" s="78">
        <v>140</v>
      </c>
    </row>
    <row r="276" spans="1:11" ht="16.5" customHeight="1" x14ac:dyDescent="0.25">
      <c r="A276" s="124">
        <v>41420</v>
      </c>
      <c r="B276" s="74">
        <v>0.45083333333333298</v>
      </c>
      <c r="C276" s="75" t="s">
        <v>739</v>
      </c>
      <c r="D276" s="8"/>
      <c r="E276" s="8"/>
      <c r="F276" s="79" t="s">
        <v>740</v>
      </c>
      <c r="G276" s="76">
        <v>7</v>
      </c>
      <c r="H276" s="77">
        <v>439</v>
      </c>
      <c r="I276" s="77">
        <v>527</v>
      </c>
      <c r="J276" s="77">
        <v>659</v>
      </c>
      <c r="K276" s="78">
        <v>132</v>
      </c>
    </row>
    <row r="277" spans="1:11" ht="16.5" customHeight="1" x14ac:dyDescent="0.25">
      <c r="A277" s="124">
        <v>41432</v>
      </c>
      <c r="B277" s="74">
        <v>0.45225806451612899</v>
      </c>
      <c r="C277" s="75" t="s">
        <v>739</v>
      </c>
      <c r="D277" s="8"/>
      <c r="E277" s="8"/>
      <c r="F277" s="79" t="s">
        <v>741</v>
      </c>
      <c r="G277" s="76">
        <v>9</v>
      </c>
      <c r="H277" s="77">
        <v>566</v>
      </c>
      <c r="I277" s="77">
        <v>679</v>
      </c>
      <c r="J277" s="77">
        <v>849</v>
      </c>
      <c r="K277" s="78">
        <v>170</v>
      </c>
    </row>
    <row r="278" spans="1:11" ht="16.5" customHeight="1" x14ac:dyDescent="0.25">
      <c r="A278" s="124">
        <v>41437</v>
      </c>
      <c r="B278" s="74">
        <v>0.27769230769230802</v>
      </c>
      <c r="C278" s="75" t="s">
        <v>634</v>
      </c>
      <c r="D278" s="8"/>
      <c r="E278" s="8"/>
      <c r="F278" s="79" t="s">
        <v>742</v>
      </c>
      <c r="G278" s="76">
        <v>10</v>
      </c>
      <c r="H278" s="77">
        <v>626</v>
      </c>
      <c r="I278" s="77">
        <v>751</v>
      </c>
      <c r="J278" s="77">
        <v>939</v>
      </c>
      <c r="K278" s="78">
        <v>188</v>
      </c>
    </row>
    <row r="279" spans="1:11" ht="16.5" customHeight="1" x14ac:dyDescent="0.25">
      <c r="A279" s="124">
        <v>41471</v>
      </c>
      <c r="B279" s="74">
        <v>0.53888888888888897</v>
      </c>
      <c r="C279" s="75" t="s">
        <v>716</v>
      </c>
      <c r="D279" s="8"/>
      <c r="E279" s="8"/>
      <c r="F279" s="79" t="s">
        <v>743</v>
      </c>
      <c r="G279" s="76">
        <v>3</v>
      </c>
      <c r="H279" s="77">
        <v>166</v>
      </c>
      <c r="I279" s="77">
        <v>199</v>
      </c>
      <c r="J279" s="77">
        <v>249</v>
      </c>
      <c r="K279" s="78">
        <v>50</v>
      </c>
    </row>
    <row r="280" spans="1:11" ht="16.5" customHeight="1" x14ac:dyDescent="0.25">
      <c r="A280" s="124">
        <v>41472</v>
      </c>
      <c r="B280" s="74">
        <v>0.53888888888888897</v>
      </c>
      <c r="C280" s="75" t="s">
        <v>716</v>
      </c>
      <c r="D280" s="8"/>
      <c r="E280" s="8"/>
      <c r="F280" s="79" t="s">
        <v>744</v>
      </c>
      <c r="G280" s="76">
        <v>3</v>
      </c>
      <c r="H280" s="77">
        <v>166</v>
      </c>
      <c r="I280" s="77">
        <v>199</v>
      </c>
      <c r="J280" s="77">
        <v>249</v>
      </c>
      <c r="K280" s="78">
        <v>50</v>
      </c>
    </row>
    <row r="281" spans="1:11" ht="16.5" customHeight="1" x14ac:dyDescent="0.25">
      <c r="A281" s="124">
        <v>41473</v>
      </c>
      <c r="B281" s="74">
        <v>0.53888888888888897</v>
      </c>
      <c r="C281" s="75" t="s">
        <v>716</v>
      </c>
      <c r="D281" s="8"/>
      <c r="E281" s="8"/>
      <c r="F281" s="79" t="s">
        <v>745</v>
      </c>
      <c r="G281" s="76">
        <v>3</v>
      </c>
      <c r="H281" s="77">
        <v>166</v>
      </c>
      <c r="I281" s="77">
        <v>199</v>
      </c>
      <c r="J281" s="77">
        <v>249</v>
      </c>
      <c r="K281" s="78">
        <v>50</v>
      </c>
    </row>
    <row r="282" spans="1:11" ht="16.5" customHeight="1" x14ac:dyDescent="0.25">
      <c r="A282" s="124">
        <v>41474</v>
      </c>
      <c r="B282" s="74">
        <v>0.53888888888888897</v>
      </c>
      <c r="C282" s="75" t="s">
        <v>716</v>
      </c>
      <c r="D282" s="8"/>
      <c r="E282" s="8"/>
      <c r="F282" s="79" t="s">
        <v>746</v>
      </c>
      <c r="G282" s="76">
        <v>3</v>
      </c>
      <c r="H282" s="77">
        <v>166</v>
      </c>
      <c r="I282" s="77">
        <v>199</v>
      </c>
      <c r="J282" s="77">
        <v>249</v>
      </c>
      <c r="K282" s="78">
        <v>50</v>
      </c>
    </row>
    <row r="283" spans="1:11" ht="16.5" customHeight="1" x14ac:dyDescent="0.25">
      <c r="A283" s="124">
        <v>41496</v>
      </c>
      <c r="B283" s="74">
        <v>0.35411764705882398</v>
      </c>
      <c r="C283" s="75" t="s">
        <v>675</v>
      </c>
      <c r="D283" s="8"/>
      <c r="E283" s="8"/>
      <c r="F283" s="79" t="s">
        <v>199</v>
      </c>
      <c r="G283" s="76">
        <v>6</v>
      </c>
      <c r="H283" s="77">
        <v>366</v>
      </c>
      <c r="I283" s="77">
        <v>439</v>
      </c>
      <c r="J283" s="77">
        <v>549</v>
      </c>
      <c r="K283" s="78">
        <v>110</v>
      </c>
    </row>
    <row r="284" spans="1:11" ht="16.5" customHeight="1" x14ac:dyDescent="0.25">
      <c r="A284" s="124">
        <v>41505</v>
      </c>
      <c r="B284" s="74">
        <v>0.45083333333333298</v>
      </c>
      <c r="C284" s="75" t="s">
        <v>675</v>
      </c>
      <c r="D284" s="8"/>
      <c r="E284" s="8"/>
      <c r="F284" s="79" t="s">
        <v>200</v>
      </c>
      <c r="G284" s="76">
        <v>7</v>
      </c>
      <c r="H284" s="77">
        <v>439</v>
      </c>
      <c r="I284" s="77">
        <v>527</v>
      </c>
      <c r="J284" s="77">
        <v>659</v>
      </c>
      <c r="K284" s="78">
        <v>132</v>
      </c>
    </row>
    <row r="285" spans="1:11" ht="16.5" customHeight="1" x14ac:dyDescent="0.25">
      <c r="A285" s="124">
        <v>41533</v>
      </c>
      <c r="B285" s="74">
        <v>0.55312499999999998</v>
      </c>
      <c r="C285" s="75" t="s">
        <v>747</v>
      </c>
      <c r="D285" s="8"/>
      <c r="E285" s="8"/>
      <c r="F285" s="79" t="s">
        <v>748</v>
      </c>
      <c r="G285" s="76">
        <v>4</v>
      </c>
      <c r="H285" s="77">
        <v>286</v>
      </c>
      <c r="I285" s="77">
        <v>343</v>
      </c>
      <c r="J285" s="77">
        <v>429</v>
      </c>
      <c r="K285" s="78">
        <v>86</v>
      </c>
    </row>
    <row r="286" spans="1:11" ht="16.5" customHeight="1" x14ac:dyDescent="0.25">
      <c r="A286" s="124">
        <v>41541</v>
      </c>
      <c r="B286" s="74">
        <v>0.35099999999999998</v>
      </c>
      <c r="C286" s="75" t="s">
        <v>749</v>
      </c>
      <c r="D286" s="8"/>
      <c r="E286" s="8"/>
      <c r="F286" s="79" t="s">
        <v>201</v>
      </c>
      <c r="G286" s="76">
        <v>7</v>
      </c>
      <c r="H286" s="77">
        <v>433</v>
      </c>
      <c r="I286" s="77">
        <v>519</v>
      </c>
      <c r="J286" s="77">
        <v>649</v>
      </c>
      <c r="K286" s="78">
        <v>130</v>
      </c>
    </row>
    <row r="287" spans="1:11" ht="16.5" customHeight="1" x14ac:dyDescent="0.25">
      <c r="A287" s="124">
        <v>41542</v>
      </c>
      <c r="B287" s="74">
        <v>0.50983606557377104</v>
      </c>
      <c r="C287" s="75" t="s">
        <v>638</v>
      </c>
      <c r="D287" s="8"/>
      <c r="E287" s="8"/>
      <c r="F287" s="79" t="s">
        <v>750</v>
      </c>
      <c r="G287" s="76">
        <v>3</v>
      </c>
      <c r="H287" s="77">
        <v>199</v>
      </c>
      <c r="I287" s="77">
        <v>239</v>
      </c>
      <c r="J287" s="77">
        <v>299</v>
      </c>
      <c r="K287" s="78">
        <v>60</v>
      </c>
    </row>
    <row r="288" spans="1:11" ht="16.5" customHeight="1" x14ac:dyDescent="0.25">
      <c r="A288" s="124">
        <v>41547</v>
      </c>
      <c r="B288" s="74">
        <v>0.34636363636363598</v>
      </c>
      <c r="C288" s="75" t="s">
        <v>639</v>
      </c>
      <c r="D288" s="8"/>
      <c r="E288" s="8"/>
      <c r="F288" s="79" t="s">
        <v>751</v>
      </c>
      <c r="G288" s="76">
        <v>7</v>
      </c>
      <c r="H288" s="77">
        <v>479</v>
      </c>
      <c r="I288" s="77">
        <v>575</v>
      </c>
      <c r="J288" s="77">
        <v>719</v>
      </c>
      <c r="K288" s="78">
        <v>144</v>
      </c>
    </row>
    <row r="289" spans="1:11" ht="16.5" customHeight="1" x14ac:dyDescent="0.25">
      <c r="A289" s="124">
        <v>41549</v>
      </c>
      <c r="B289" s="74">
        <v>0.35099999999999998</v>
      </c>
      <c r="C289" s="75" t="s">
        <v>749</v>
      </c>
      <c r="D289" s="8"/>
      <c r="E289" s="8"/>
      <c r="F289" s="79" t="s">
        <v>213</v>
      </c>
      <c r="G289" s="76">
        <v>7</v>
      </c>
      <c r="H289" s="77">
        <v>433</v>
      </c>
      <c r="I289" s="77">
        <v>519</v>
      </c>
      <c r="J289" s="77">
        <v>649</v>
      </c>
      <c r="K289" s="78">
        <v>130</v>
      </c>
    </row>
    <row r="290" spans="1:11" ht="16.5" customHeight="1" x14ac:dyDescent="0.25">
      <c r="A290" s="124">
        <v>41559</v>
      </c>
      <c r="B290" s="74">
        <v>0.35099999999999998</v>
      </c>
      <c r="C290" s="75" t="s">
        <v>749</v>
      </c>
      <c r="D290" s="8"/>
      <c r="E290" s="8"/>
      <c r="F290" s="79" t="s">
        <v>202</v>
      </c>
      <c r="G290" s="76">
        <v>7</v>
      </c>
      <c r="H290" s="77">
        <v>433</v>
      </c>
      <c r="I290" s="77">
        <v>519</v>
      </c>
      <c r="J290" s="77">
        <v>649</v>
      </c>
      <c r="K290" s="78">
        <v>130</v>
      </c>
    </row>
    <row r="291" spans="1:11" ht="16.5" customHeight="1" x14ac:dyDescent="0.25">
      <c r="A291" s="124">
        <v>41560</v>
      </c>
      <c r="B291" s="74">
        <v>0.40333333333333299</v>
      </c>
      <c r="C291" s="75" t="s">
        <v>651</v>
      </c>
      <c r="D291" s="8"/>
      <c r="E291" s="8"/>
      <c r="F291" s="79" t="s">
        <v>203</v>
      </c>
      <c r="G291" s="76">
        <v>2</v>
      </c>
      <c r="H291" s="77">
        <v>60</v>
      </c>
      <c r="I291" s="77">
        <v>143</v>
      </c>
      <c r="J291" s="77">
        <v>179</v>
      </c>
      <c r="K291" s="78">
        <v>36</v>
      </c>
    </row>
    <row r="292" spans="1:11" ht="16.5" customHeight="1" x14ac:dyDescent="0.25">
      <c r="A292" s="124">
        <v>41567</v>
      </c>
      <c r="B292" s="74">
        <v>0.35099999999999998</v>
      </c>
      <c r="C292" s="75" t="s">
        <v>749</v>
      </c>
      <c r="D292" s="8"/>
      <c r="E292" s="8"/>
      <c r="F292" s="79" t="s">
        <v>214</v>
      </c>
      <c r="G292" s="76">
        <v>7</v>
      </c>
      <c r="H292" s="77">
        <v>433</v>
      </c>
      <c r="I292" s="77">
        <v>519</v>
      </c>
      <c r="J292" s="77">
        <v>649</v>
      </c>
      <c r="K292" s="78">
        <v>130</v>
      </c>
    </row>
    <row r="293" spans="1:11" ht="16.5" customHeight="1" x14ac:dyDescent="0.25">
      <c r="A293" s="124">
        <v>41568</v>
      </c>
      <c r="B293" s="74">
        <v>0.39577464788732403</v>
      </c>
      <c r="C293" s="75" t="s">
        <v>727</v>
      </c>
      <c r="D293" s="8"/>
      <c r="E293" s="8"/>
      <c r="F293" s="79" t="s">
        <v>204</v>
      </c>
      <c r="G293" s="76">
        <v>4</v>
      </c>
      <c r="H293" s="77">
        <v>286</v>
      </c>
      <c r="I293" s="77">
        <v>343</v>
      </c>
      <c r="J293" s="77">
        <v>429</v>
      </c>
      <c r="K293" s="78">
        <v>86</v>
      </c>
    </row>
    <row r="294" spans="1:11" ht="16.5" customHeight="1" x14ac:dyDescent="0.25">
      <c r="A294" s="124">
        <v>41569</v>
      </c>
      <c r="B294" s="74">
        <v>0.35099999999999998</v>
      </c>
      <c r="C294" s="75" t="s">
        <v>749</v>
      </c>
      <c r="D294" s="8"/>
      <c r="E294" s="8"/>
      <c r="F294" s="79" t="s">
        <v>215</v>
      </c>
      <c r="G294" s="76">
        <v>7</v>
      </c>
      <c r="H294" s="77">
        <v>433</v>
      </c>
      <c r="I294" s="77">
        <v>519</v>
      </c>
      <c r="J294" s="77">
        <v>649</v>
      </c>
      <c r="K294" s="78">
        <v>130</v>
      </c>
    </row>
    <row r="295" spans="1:11" ht="16.5" customHeight="1" x14ac:dyDescent="0.25">
      <c r="A295" s="124">
        <v>41573</v>
      </c>
      <c r="B295" s="74">
        <v>0.35099999999999998</v>
      </c>
      <c r="C295" s="75" t="s">
        <v>749</v>
      </c>
      <c r="D295" s="8"/>
      <c r="E295" s="8"/>
      <c r="F295" s="79" t="s">
        <v>205</v>
      </c>
      <c r="G295" s="76">
        <v>7</v>
      </c>
      <c r="H295" s="77">
        <v>433</v>
      </c>
      <c r="I295" s="77">
        <v>519</v>
      </c>
      <c r="J295" s="77">
        <v>649</v>
      </c>
      <c r="K295" s="78">
        <v>130</v>
      </c>
    </row>
    <row r="296" spans="1:11" ht="16.5" customHeight="1" x14ac:dyDescent="0.25">
      <c r="A296" s="124">
        <v>41623</v>
      </c>
      <c r="B296" s="74">
        <v>0.35099999999999998</v>
      </c>
      <c r="C296" s="75" t="s">
        <v>749</v>
      </c>
      <c r="D296" s="8"/>
      <c r="E296" s="8"/>
      <c r="F296" s="79" t="s">
        <v>206</v>
      </c>
      <c r="G296" s="76">
        <v>7</v>
      </c>
      <c r="H296" s="77">
        <v>433</v>
      </c>
      <c r="I296" s="77">
        <v>519</v>
      </c>
      <c r="J296" s="77">
        <v>649</v>
      </c>
      <c r="K296" s="78">
        <v>130</v>
      </c>
    </row>
    <row r="297" spans="1:11" ht="16.5" customHeight="1" x14ac:dyDescent="0.25">
      <c r="A297" s="124">
        <v>41624</v>
      </c>
      <c r="B297" s="74">
        <v>0.35099999999999998</v>
      </c>
      <c r="C297" s="75" t="s">
        <v>749</v>
      </c>
      <c r="D297" s="8"/>
      <c r="E297" s="8"/>
      <c r="F297" s="79" t="s">
        <v>207</v>
      </c>
      <c r="G297" s="76">
        <v>7</v>
      </c>
      <c r="H297" s="77">
        <v>433</v>
      </c>
      <c r="I297" s="77">
        <v>519</v>
      </c>
      <c r="J297" s="77">
        <v>649</v>
      </c>
      <c r="K297" s="78">
        <v>130</v>
      </c>
    </row>
    <row r="298" spans="1:11" ht="16.5" customHeight="1" x14ac:dyDescent="0.25">
      <c r="A298" s="124">
        <v>41625</v>
      </c>
      <c r="B298" s="74">
        <v>0.46538461538461501</v>
      </c>
      <c r="C298" s="75" t="s">
        <v>675</v>
      </c>
      <c r="D298" s="8"/>
      <c r="E298" s="8"/>
      <c r="F298" s="79" t="s">
        <v>208</v>
      </c>
      <c r="G298" s="76">
        <v>1</v>
      </c>
      <c r="H298" s="77">
        <v>47</v>
      </c>
      <c r="I298" s="77">
        <v>111</v>
      </c>
      <c r="J298" s="77">
        <v>139</v>
      </c>
      <c r="K298" s="78">
        <v>28</v>
      </c>
    </row>
    <row r="299" spans="1:11" ht="16.5" customHeight="1" x14ac:dyDescent="0.25">
      <c r="A299" s="124">
        <v>41649</v>
      </c>
      <c r="B299" s="74">
        <v>0.35099999999999998</v>
      </c>
      <c r="C299" s="75" t="s">
        <v>749</v>
      </c>
      <c r="D299" s="8"/>
      <c r="E299" s="8"/>
      <c r="F299" s="79" t="s">
        <v>216</v>
      </c>
      <c r="G299" s="76">
        <v>7</v>
      </c>
      <c r="H299" s="77">
        <v>433</v>
      </c>
      <c r="I299" s="77">
        <v>519</v>
      </c>
      <c r="J299" s="77">
        <v>649</v>
      </c>
      <c r="K299" s="78">
        <v>130</v>
      </c>
    </row>
    <row r="300" spans="1:11" ht="16.5" customHeight="1" x14ac:dyDescent="0.25">
      <c r="A300" s="124">
        <v>41650</v>
      </c>
      <c r="B300" s="74">
        <v>0.35099999999999998</v>
      </c>
      <c r="C300" s="75" t="s">
        <v>749</v>
      </c>
      <c r="D300" s="8"/>
      <c r="E300" s="8"/>
      <c r="F300" s="79" t="s">
        <v>209</v>
      </c>
      <c r="G300" s="76">
        <v>7</v>
      </c>
      <c r="H300" s="77">
        <v>433</v>
      </c>
      <c r="I300" s="77">
        <v>519</v>
      </c>
      <c r="J300" s="77">
        <v>649</v>
      </c>
      <c r="K300" s="78">
        <v>130</v>
      </c>
    </row>
    <row r="301" spans="1:11" ht="16.5" customHeight="1" x14ac:dyDescent="0.25">
      <c r="A301" s="124">
        <v>41655</v>
      </c>
      <c r="B301" s="74">
        <v>0.35099999999999998</v>
      </c>
      <c r="C301" s="75" t="s">
        <v>749</v>
      </c>
      <c r="D301" s="8"/>
      <c r="E301" s="8"/>
      <c r="F301" s="79" t="s">
        <v>210</v>
      </c>
      <c r="G301" s="76">
        <v>7</v>
      </c>
      <c r="H301" s="77">
        <v>433</v>
      </c>
      <c r="I301" s="77">
        <v>519</v>
      </c>
      <c r="J301" s="77">
        <v>649</v>
      </c>
      <c r="K301" s="78">
        <v>130</v>
      </c>
    </row>
    <row r="302" spans="1:11" ht="16.5" customHeight="1" x14ac:dyDescent="0.25">
      <c r="A302" s="124">
        <v>41656</v>
      </c>
      <c r="B302" s="74">
        <v>0.35099999999999998</v>
      </c>
      <c r="C302" s="75" t="s">
        <v>749</v>
      </c>
      <c r="D302" s="8"/>
      <c r="E302" s="8"/>
      <c r="F302" s="79" t="s">
        <v>211</v>
      </c>
      <c r="G302" s="76">
        <v>7</v>
      </c>
      <c r="H302" s="77">
        <v>433</v>
      </c>
      <c r="I302" s="77">
        <v>519</v>
      </c>
      <c r="J302" s="77">
        <v>649</v>
      </c>
      <c r="K302" s="78">
        <v>130</v>
      </c>
    </row>
    <row r="303" spans="1:11" ht="16.5" customHeight="1" x14ac:dyDescent="0.25">
      <c r="A303" s="124">
        <v>41659</v>
      </c>
      <c r="B303" s="74">
        <v>0.35099999999999998</v>
      </c>
      <c r="C303" s="75" t="s">
        <v>749</v>
      </c>
      <c r="D303" s="8"/>
      <c r="E303" s="8"/>
      <c r="F303" s="79" t="s">
        <v>212</v>
      </c>
      <c r="G303" s="76">
        <v>7</v>
      </c>
      <c r="H303" s="77">
        <v>433</v>
      </c>
      <c r="I303" s="77">
        <v>519</v>
      </c>
      <c r="J303" s="77">
        <v>649</v>
      </c>
      <c r="K303" s="78">
        <v>130</v>
      </c>
    </row>
    <row r="304" spans="1:11" ht="16.5" customHeight="1" x14ac:dyDescent="0.25">
      <c r="A304" s="124">
        <v>41672</v>
      </c>
      <c r="B304" s="74">
        <v>0.35487804878048801</v>
      </c>
      <c r="C304" s="75" t="s">
        <v>527</v>
      </c>
      <c r="D304" s="8"/>
      <c r="E304" s="8"/>
      <c r="F304" s="79" t="s">
        <v>752</v>
      </c>
      <c r="G304" s="76">
        <v>5</v>
      </c>
      <c r="H304" s="77">
        <v>353</v>
      </c>
      <c r="I304" s="77">
        <v>423</v>
      </c>
      <c r="J304" s="77">
        <v>529</v>
      </c>
      <c r="K304" s="78">
        <v>106</v>
      </c>
    </row>
    <row r="305" spans="1:11" ht="16.5" customHeight="1" x14ac:dyDescent="0.25">
      <c r="A305" s="124">
        <v>41675</v>
      </c>
      <c r="B305" s="74">
        <v>0.34531250000000002</v>
      </c>
      <c r="C305" s="75" t="s">
        <v>527</v>
      </c>
      <c r="D305" s="8"/>
      <c r="E305" s="8"/>
      <c r="F305" s="79" t="s">
        <v>753</v>
      </c>
      <c r="G305" s="76">
        <v>4</v>
      </c>
      <c r="H305" s="77">
        <v>279</v>
      </c>
      <c r="I305" s="77">
        <v>335</v>
      </c>
      <c r="J305" s="77">
        <v>419</v>
      </c>
      <c r="K305" s="78">
        <v>84</v>
      </c>
    </row>
    <row r="306" spans="1:11" ht="16.5" customHeight="1" x14ac:dyDescent="0.25">
      <c r="A306" s="124">
        <v>41676</v>
      </c>
      <c r="B306" s="74">
        <v>0.29843750000000002</v>
      </c>
      <c r="C306" s="75" t="s">
        <v>527</v>
      </c>
      <c r="D306" s="8"/>
      <c r="E306" s="8"/>
      <c r="F306" s="79" t="s">
        <v>754</v>
      </c>
      <c r="G306" s="76">
        <v>5</v>
      </c>
      <c r="H306" s="77">
        <v>299</v>
      </c>
      <c r="I306" s="77">
        <v>359</v>
      </c>
      <c r="J306" s="77">
        <v>449</v>
      </c>
      <c r="K306" s="78">
        <v>90</v>
      </c>
    </row>
    <row r="307" spans="1:11" ht="16.5" customHeight="1" x14ac:dyDescent="0.25">
      <c r="A307" s="124">
        <v>41696</v>
      </c>
      <c r="B307" s="74">
        <v>0.49322033898305101</v>
      </c>
      <c r="C307" s="75" t="s">
        <v>755</v>
      </c>
      <c r="D307" s="8"/>
      <c r="E307" s="8"/>
      <c r="F307" s="79" t="s">
        <v>756</v>
      </c>
      <c r="G307" s="76">
        <v>3</v>
      </c>
      <c r="H307" s="77">
        <v>199</v>
      </c>
      <c r="I307" s="77">
        <v>239</v>
      </c>
      <c r="J307" s="77">
        <v>299</v>
      </c>
      <c r="K307" s="78">
        <v>60</v>
      </c>
    </row>
    <row r="308" spans="1:11" ht="16.5" customHeight="1" x14ac:dyDescent="0.25">
      <c r="A308" s="124">
        <v>41715</v>
      </c>
      <c r="B308" s="74">
        <v>0.44035087719298199</v>
      </c>
      <c r="C308" s="75" t="s">
        <v>651</v>
      </c>
      <c r="D308" s="8"/>
      <c r="E308" s="8"/>
      <c r="F308" s="79" t="s">
        <v>757</v>
      </c>
      <c r="G308" s="76">
        <v>3</v>
      </c>
      <c r="H308" s="77">
        <v>213</v>
      </c>
      <c r="I308" s="77">
        <v>255</v>
      </c>
      <c r="J308" s="77">
        <v>319</v>
      </c>
      <c r="K308" s="78">
        <v>64</v>
      </c>
    </row>
    <row r="309" spans="1:11" ht="16.5" customHeight="1" x14ac:dyDescent="0.25">
      <c r="A309" s="124">
        <v>41748</v>
      </c>
      <c r="B309" s="74">
        <v>0.45468750000000002</v>
      </c>
      <c r="C309" s="75" t="s">
        <v>686</v>
      </c>
      <c r="D309" s="8"/>
      <c r="E309" s="8"/>
      <c r="F309" s="79" t="s">
        <v>758</v>
      </c>
      <c r="G309" s="76">
        <v>4</v>
      </c>
      <c r="H309" s="77">
        <v>233</v>
      </c>
      <c r="I309" s="77">
        <v>279</v>
      </c>
      <c r="J309" s="77">
        <v>349</v>
      </c>
      <c r="K309" s="78">
        <v>70</v>
      </c>
    </row>
    <row r="310" spans="1:11" ht="16.5" customHeight="1" x14ac:dyDescent="0.25">
      <c r="A310" s="124">
        <v>41749</v>
      </c>
      <c r="B310" s="74">
        <v>0.45468750000000002</v>
      </c>
      <c r="C310" s="75" t="s">
        <v>686</v>
      </c>
      <c r="D310" s="8"/>
      <c r="E310" s="8"/>
      <c r="F310" s="79" t="s">
        <v>759</v>
      </c>
      <c r="G310" s="76">
        <v>4</v>
      </c>
      <c r="H310" s="77">
        <v>233</v>
      </c>
      <c r="I310" s="77">
        <v>279</v>
      </c>
      <c r="J310" s="77">
        <v>349</v>
      </c>
      <c r="K310" s="78">
        <v>70</v>
      </c>
    </row>
    <row r="311" spans="1:11" ht="16.5" customHeight="1" x14ac:dyDescent="0.25">
      <c r="A311" s="124">
        <v>41750</v>
      </c>
      <c r="B311" s="74">
        <v>0.45468750000000002</v>
      </c>
      <c r="C311" s="75" t="s">
        <v>686</v>
      </c>
      <c r="D311" s="8"/>
      <c r="E311" s="8"/>
      <c r="F311" s="79" t="s">
        <v>760</v>
      </c>
      <c r="G311" s="76">
        <v>4</v>
      </c>
      <c r="H311" s="77">
        <v>233</v>
      </c>
      <c r="I311" s="77">
        <v>279</v>
      </c>
      <c r="J311" s="77">
        <v>349</v>
      </c>
      <c r="K311" s="78">
        <v>70</v>
      </c>
    </row>
    <row r="312" spans="1:11" ht="16.5" customHeight="1" x14ac:dyDescent="0.25">
      <c r="A312" s="124">
        <v>41819</v>
      </c>
      <c r="B312" s="74">
        <v>0.37562499999999999</v>
      </c>
      <c r="C312" s="75" t="s">
        <v>761</v>
      </c>
      <c r="D312" s="8"/>
      <c r="E312" s="8"/>
      <c r="F312" s="79" t="s">
        <v>762</v>
      </c>
      <c r="G312" s="76">
        <v>10</v>
      </c>
      <c r="H312" s="77">
        <v>666</v>
      </c>
      <c r="I312" s="77">
        <v>799</v>
      </c>
      <c r="J312" s="77">
        <v>999</v>
      </c>
      <c r="K312" s="78">
        <v>200</v>
      </c>
    </row>
    <row r="313" spans="1:11" ht="16.5" customHeight="1" x14ac:dyDescent="0.25">
      <c r="A313" s="124">
        <v>41989</v>
      </c>
      <c r="B313" s="74">
        <v>0.49402985074626898</v>
      </c>
      <c r="C313" s="75" t="s">
        <v>103</v>
      </c>
      <c r="D313" s="8"/>
      <c r="E313" s="8"/>
      <c r="F313" s="79" t="s">
        <v>763</v>
      </c>
      <c r="G313" s="76">
        <v>3</v>
      </c>
      <c r="H313" s="77">
        <v>226</v>
      </c>
      <c r="I313" s="77">
        <v>271</v>
      </c>
      <c r="J313" s="77">
        <v>339</v>
      </c>
      <c r="K313" s="78">
        <v>68</v>
      </c>
    </row>
    <row r="314" spans="1:11" ht="16.5" customHeight="1" x14ac:dyDescent="0.25">
      <c r="A314" s="124">
        <v>41990</v>
      </c>
      <c r="B314" s="74">
        <v>0.49402985074626898</v>
      </c>
      <c r="C314" s="75" t="s">
        <v>103</v>
      </c>
      <c r="D314" s="8"/>
      <c r="E314" s="8"/>
      <c r="F314" s="79" t="s">
        <v>764</v>
      </c>
      <c r="G314" s="76">
        <v>3</v>
      </c>
      <c r="H314" s="77">
        <v>226</v>
      </c>
      <c r="I314" s="77">
        <v>271</v>
      </c>
      <c r="J314" s="77">
        <v>339</v>
      </c>
      <c r="K314" s="78">
        <v>68</v>
      </c>
    </row>
    <row r="315" spans="1:11" ht="16.5" customHeight="1" x14ac:dyDescent="0.25">
      <c r="A315" s="124">
        <v>42025</v>
      </c>
      <c r="B315" s="74">
        <v>0.34655172413793101</v>
      </c>
      <c r="C315" s="75" t="s">
        <v>602</v>
      </c>
      <c r="D315" s="8"/>
      <c r="E315" s="8"/>
      <c r="F315" s="79" t="s">
        <v>765</v>
      </c>
      <c r="G315" s="76">
        <v>4</v>
      </c>
      <c r="H315" s="77">
        <v>253</v>
      </c>
      <c r="I315" s="77">
        <v>303</v>
      </c>
      <c r="J315" s="77">
        <v>379</v>
      </c>
      <c r="K315" s="78">
        <v>76</v>
      </c>
    </row>
    <row r="316" spans="1:11" ht="16.5" customHeight="1" x14ac:dyDescent="0.25">
      <c r="A316" s="124">
        <v>42041</v>
      </c>
      <c r="B316" s="74">
        <v>0.34891304347826102</v>
      </c>
      <c r="C316" s="75" t="s">
        <v>638</v>
      </c>
      <c r="D316" s="8"/>
      <c r="E316" s="8"/>
      <c r="F316" s="79" t="s">
        <v>766</v>
      </c>
      <c r="G316" s="76">
        <v>6</v>
      </c>
      <c r="H316" s="77">
        <v>399</v>
      </c>
      <c r="I316" s="77">
        <v>479</v>
      </c>
      <c r="J316" s="77">
        <v>599</v>
      </c>
      <c r="K316" s="78">
        <v>120</v>
      </c>
    </row>
    <row r="317" spans="1:11" ht="16.5" customHeight="1" x14ac:dyDescent="0.25">
      <c r="A317" s="124">
        <v>42101</v>
      </c>
      <c r="B317" s="74">
        <v>0.36894736842105302</v>
      </c>
      <c r="C317" s="75" t="s">
        <v>767</v>
      </c>
      <c r="D317" s="8"/>
      <c r="E317" s="8"/>
      <c r="F317" s="79" t="s">
        <v>434</v>
      </c>
      <c r="G317" s="76">
        <v>12</v>
      </c>
      <c r="H317" s="77">
        <v>799</v>
      </c>
      <c r="I317" s="77">
        <v>959</v>
      </c>
      <c r="J317" s="77">
        <v>1199</v>
      </c>
      <c r="K317" s="78">
        <v>240</v>
      </c>
    </row>
    <row r="318" spans="1:11" ht="16.5" customHeight="1" x14ac:dyDescent="0.25">
      <c r="A318" s="124">
        <v>42102</v>
      </c>
      <c r="B318" s="74">
        <v>0.36894736842105302</v>
      </c>
      <c r="C318" s="75" t="s">
        <v>767</v>
      </c>
      <c r="D318" s="8"/>
      <c r="E318" s="8"/>
      <c r="F318" s="79" t="s">
        <v>768</v>
      </c>
      <c r="G318" s="76">
        <v>12</v>
      </c>
      <c r="H318" s="77">
        <v>799</v>
      </c>
      <c r="I318" s="77">
        <v>959</v>
      </c>
      <c r="J318" s="77">
        <v>1199</v>
      </c>
      <c r="K318" s="78">
        <v>240</v>
      </c>
    </row>
    <row r="319" spans="1:11" ht="16.5" customHeight="1" x14ac:dyDescent="0.25">
      <c r="A319" s="124">
        <v>42103</v>
      </c>
      <c r="B319" s="74">
        <v>0.36894736842105302</v>
      </c>
      <c r="C319" s="75" t="s">
        <v>767</v>
      </c>
      <c r="D319" s="8"/>
      <c r="E319" s="8"/>
      <c r="F319" s="79" t="s">
        <v>436</v>
      </c>
      <c r="G319" s="76">
        <v>12</v>
      </c>
      <c r="H319" s="77">
        <v>799</v>
      </c>
      <c r="I319" s="77">
        <v>959</v>
      </c>
      <c r="J319" s="77">
        <v>1199</v>
      </c>
      <c r="K319" s="78">
        <v>240</v>
      </c>
    </row>
    <row r="320" spans="1:11" ht="16.5" customHeight="1" x14ac:dyDescent="0.25">
      <c r="A320" s="124">
        <v>42104</v>
      </c>
      <c r="B320" s="74">
        <v>0.36894736842105302</v>
      </c>
      <c r="C320" s="75" t="s">
        <v>767</v>
      </c>
      <c r="D320" s="8"/>
      <c r="E320" s="8"/>
      <c r="F320" s="79" t="s">
        <v>769</v>
      </c>
      <c r="G320" s="76">
        <v>12</v>
      </c>
      <c r="H320" s="77">
        <v>799</v>
      </c>
      <c r="I320" s="77">
        <v>959</v>
      </c>
      <c r="J320" s="77">
        <v>1199</v>
      </c>
      <c r="K320" s="78">
        <v>240</v>
      </c>
    </row>
    <row r="321" spans="1:11" ht="16.5" customHeight="1" x14ac:dyDescent="0.25">
      <c r="A321" s="124">
        <v>42105</v>
      </c>
      <c r="B321" s="74">
        <v>0.36894736842105302</v>
      </c>
      <c r="C321" s="75" t="s">
        <v>767</v>
      </c>
      <c r="D321" s="8"/>
      <c r="E321" s="8"/>
      <c r="F321" s="79" t="s">
        <v>770</v>
      </c>
      <c r="G321" s="76">
        <v>12</v>
      </c>
      <c r="H321" s="77">
        <v>799</v>
      </c>
      <c r="I321" s="77">
        <v>959</v>
      </c>
      <c r="J321" s="77">
        <v>1199</v>
      </c>
      <c r="K321" s="78">
        <v>240</v>
      </c>
    </row>
    <row r="322" spans="1:11" ht="16.5" customHeight="1" x14ac:dyDescent="0.25">
      <c r="A322" s="124">
        <v>42106</v>
      </c>
      <c r="B322" s="74">
        <v>0.36894736842105302</v>
      </c>
      <c r="C322" s="75" t="s">
        <v>767</v>
      </c>
      <c r="D322" s="8"/>
      <c r="E322" s="8"/>
      <c r="F322" s="79" t="s">
        <v>771</v>
      </c>
      <c r="G322" s="76">
        <v>12</v>
      </c>
      <c r="H322" s="77">
        <v>799</v>
      </c>
      <c r="I322" s="77">
        <v>959</v>
      </c>
      <c r="J322" s="77">
        <v>1199</v>
      </c>
      <c r="K322" s="78">
        <v>240</v>
      </c>
    </row>
    <row r="323" spans="1:11" ht="16.5" customHeight="1" x14ac:dyDescent="0.25">
      <c r="A323" s="124">
        <v>42107</v>
      </c>
      <c r="B323" s="74">
        <v>0.36894736842105302</v>
      </c>
      <c r="C323" s="75" t="s">
        <v>767</v>
      </c>
      <c r="D323" s="8"/>
      <c r="E323" s="8"/>
      <c r="F323" s="79" t="s">
        <v>772</v>
      </c>
      <c r="G323" s="76">
        <v>12</v>
      </c>
      <c r="H323" s="77">
        <v>799</v>
      </c>
      <c r="I323" s="77">
        <v>959</v>
      </c>
      <c r="J323" s="77">
        <v>1199</v>
      </c>
      <c r="K323" s="78">
        <v>240</v>
      </c>
    </row>
    <row r="324" spans="1:11" ht="16.5" customHeight="1" x14ac:dyDescent="0.25">
      <c r="A324" s="124">
        <v>42112</v>
      </c>
      <c r="B324" s="74">
        <v>0.29470588235294098</v>
      </c>
      <c r="C324" s="75" t="s">
        <v>767</v>
      </c>
      <c r="D324" s="8"/>
      <c r="E324" s="8"/>
      <c r="F324" s="79" t="s">
        <v>441</v>
      </c>
      <c r="G324" s="76">
        <v>12</v>
      </c>
      <c r="H324" s="77">
        <v>799</v>
      </c>
      <c r="I324" s="77">
        <v>959</v>
      </c>
      <c r="J324" s="77">
        <v>1199</v>
      </c>
      <c r="K324" s="78">
        <v>240</v>
      </c>
    </row>
    <row r="325" spans="1:11" ht="16.5" customHeight="1" x14ac:dyDescent="0.25">
      <c r="A325" s="124">
        <v>42113</v>
      </c>
      <c r="B325" s="74">
        <v>0.29470588235294098</v>
      </c>
      <c r="C325" s="75" t="s">
        <v>767</v>
      </c>
      <c r="D325" s="8"/>
      <c r="E325" s="8"/>
      <c r="F325" s="79" t="s">
        <v>442</v>
      </c>
      <c r="G325" s="76">
        <v>12</v>
      </c>
      <c r="H325" s="77">
        <v>799</v>
      </c>
      <c r="I325" s="77">
        <v>959</v>
      </c>
      <c r="J325" s="77">
        <v>1199</v>
      </c>
      <c r="K325" s="78">
        <v>240</v>
      </c>
    </row>
    <row r="326" spans="1:11" ht="16.5" customHeight="1" x14ac:dyDescent="0.25">
      <c r="A326" s="124">
        <v>42119</v>
      </c>
      <c r="B326" s="74">
        <v>0.50124999999999997</v>
      </c>
      <c r="C326" s="75" t="s">
        <v>118</v>
      </c>
      <c r="D326" s="8"/>
      <c r="E326" s="8"/>
      <c r="F326" s="79" t="s">
        <v>773</v>
      </c>
      <c r="G326" s="76">
        <v>4</v>
      </c>
      <c r="H326" s="77">
        <v>266</v>
      </c>
      <c r="I326" s="77">
        <v>319</v>
      </c>
      <c r="J326" s="77">
        <v>399</v>
      </c>
      <c r="K326" s="78">
        <v>80</v>
      </c>
    </row>
    <row r="327" spans="1:11" ht="16.5" customHeight="1" x14ac:dyDescent="0.25">
      <c r="A327" s="124">
        <v>42120</v>
      </c>
      <c r="B327" s="74">
        <v>0.50124999999999997</v>
      </c>
      <c r="C327" s="75" t="s">
        <v>118</v>
      </c>
      <c r="D327" s="8"/>
      <c r="E327" s="8"/>
      <c r="F327" s="79" t="s">
        <v>774</v>
      </c>
      <c r="G327" s="76">
        <v>4</v>
      </c>
      <c r="H327" s="77">
        <v>266</v>
      </c>
      <c r="I327" s="77">
        <v>319</v>
      </c>
      <c r="J327" s="77">
        <v>399</v>
      </c>
      <c r="K327" s="78">
        <v>80</v>
      </c>
    </row>
    <row r="328" spans="1:11" ht="16.5" customHeight="1" x14ac:dyDescent="0.25">
      <c r="A328" s="124">
        <v>42123</v>
      </c>
      <c r="B328" s="74">
        <v>0.50128205128205106</v>
      </c>
      <c r="C328" s="75" t="s">
        <v>579</v>
      </c>
      <c r="D328" s="8"/>
      <c r="E328" s="8"/>
      <c r="F328" s="79" t="s">
        <v>217</v>
      </c>
      <c r="G328" s="76">
        <v>4</v>
      </c>
      <c r="H328" s="77">
        <v>259</v>
      </c>
      <c r="I328" s="77">
        <v>311</v>
      </c>
      <c r="J328" s="77">
        <v>389</v>
      </c>
      <c r="K328" s="78">
        <v>78</v>
      </c>
    </row>
    <row r="329" spans="1:11" ht="16.5" customHeight="1" x14ac:dyDescent="0.25">
      <c r="A329" s="124">
        <v>42124</v>
      </c>
      <c r="B329" s="74">
        <v>0.500714285714286</v>
      </c>
      <c r="C329" s="75" t="s">
        <v>571</v>
      </c>
      <c r="D329" s="8"/>
      <c r="E329" s="8"/>
      <c r="F329" s="79" t="s">
        <v>775</v>
      </c>
      <c r="G329" s="76">
        <v>7</v>
      </c>
      <c r="H329" s="77">
        <v>466</v>
      </c>
      <c r="I329" s="77">
        <v>559</v>
      </c>
      <c r="J329" s="77">
        <v>699</v>
      </c>
      <c r="K329" s="78">
        <v>140</v>
      </c>
    </row>
    <row r="330" spans="1:11" ht="16.5" customHeight="1" x14ac:dyDescent="0.25">
      <c r="A330" s="124">
        <v>42125</v>
      </c>
      <c r="B330" s="74">
        <v>0.500714285714286</v>
      </c>
      <c r="C330" s="75" t="s">
        <v>571</v>
      </c>
      <c r="D330" s="8"/>
      <c r="E330" s="8"/>
      <c r="F330" s="79" t="s">
        <v>776</v>
      </c>
      <c r="G330" s="76">
        <v>7</v>
      </c>
      <c r="H330" s="77">
        <v>466</v>
      </c>
      <c r="I330" s="77">
        <v>559</v>
      </c>
      <c r="J330" s="77">
        <v>699</v>
      </c>
      <c r="K330" s="78">
        <v>140</v>
      </c>
    </row>
    <row r="331" spans="1:11" ht="16.5" customHeight="1" x14ac:dyDescent="0.25">
      <c r="A331" s="124">
        <v>42126</v>
      </c>
      <c r="B331" s="74">
        <v>0.500714285714286</v>
      </c>
      <c r="C331" s="75" t="s">
        <v>571</v>
      </c>
      <c r="D331" s="8"/>
      <c r="E331" s="8"/>
      <c r="F331" s="79" t="s">
        <v>777</v>
      </c>
      <c r="G331" s="76">
        <v>7</v>
      </c>
      <c r="H331" s="77">
        <v>466</v>
      </c>
      <c r="I331" s="77">
        <v>559</v>
      </c>
      <c r="J331" s="77">
        <v>699</v>
      </c>
      <c r="K331" s="78">
        <v>140</v>
      </c>
    </row>
    <row r="332" spans="1:11" ht="16.5" customHeight="1" x14ac:dyDescent="0.25">
      <c r="A332" s="124">
        <v>42127</v>
      </c>
      <c r="B332" s="74">
        <v>0.500714285714286</v>
      </c>
      <c r="C332" s="75" t="s">
        <v>571</v>
      </c>
      <c r="D332" s="8"/>
      <c r="E332" s="8"/>
      <c r="F332" s="79" t="s">
        <v>778</v>
      </c>
      <c r="G332" s="76">
        <v>7</v>
      </c>
      <c r="H332" s="77">
        <v>466</v>
      </c>
      <c r="I332" s="77">
        <v>559</v>
      </c>
      <c r="J332" s="77">
        <v>699</v>
      </c>
      <c r="K332" s="78">
        <v>140</v>
      </c>
    </row>
    <row r="333" spans="1:11" ht="16.5" customHeight="1" x14ac:dyDescent="0.25">
      <c r="A333" s="124">
        <v>42128</v>
      </c>
      <c r="B333" s="74">
        <v>0.500714285714286</v>
      </c>
      <c r="C333" s="75" t="s">
        <v>571</v>
      </c>
      <c r="D333" s="8"/>
      <c r="E333" s="8"/>
      <c r="F333" s="79" t="s">
        <v>779</v>
      </c>
      <c r="G333" s="76">
        <v>7</v>
      </c>
      <c r="H333" s="77">
        <v>466</v>
      </c>
      <c r="I333" s="77">
        <v>559</v>
      </c>
      <c r="J333" s="77">
        <v>699</v>
      </c>
      <c r="K333" s="78">
        <v>140</v>
      </c>
    </row>
    <row r="334" spans="1:11" ht="16.5" customHeight="1" x14ac:dyDescent="0.25">
      <c r="A334" s="124">
        <v>42129</v>
      </c>
      <c r="B334" s="74">
        <v>0.500714285714286</v>
      </c>
      <c r="C334" s="75" t="s">
        <v>571</v>
      </c>
      <c r="D334" s="8"/>
      <c r="E334" s="8"/>
      <c r="F334" s="79" t="s">
        <v>780</v>
      </c>
      <c r="G334" s="76">
        <v>7</v>
      </c>
      <c r="H334" s="77">
        <v>466</v>
      </c>
      <c r="I334" s="77">
        <v>559</v>
      </c>
      <c r="J334" s="77">
        <v>699</v>
      </c>
      <c r="K334" s="78">
        <v>140</v>
      </c>
    </row>
    <row r="335" spans="1:11" ht="16.5" customHeight="1" x14ac:dyDescent="0.25">
      <c r="A335" s="124">
        <v>42130</v>
      </c>
      <c r="B335" s="74">
        <v>0.500714285714286</v>
      </c>
      <c r="C335" s="75" t="s">
        <v>571</v>
      </c>
      <c r="D335" s="8"/>
      <c r="E335" s="8"/>
      <c r="F335" s="79" t="s">
        <v>781</v>
      </c>
      <c r="G335" s="76">
        <v>7</v>
      </c>
      <c r="H335" s="77">
        <v>466</v>
      </c>
      <c r="I335" s="77">
        <v>559</v>
      </c>
      <c r="J335" s="77">
        <v>699</v>
      </c>
      <c r="K335" s="78">
        <v>140</v>
      </c>
    </row>
    <row r="336" spans="1:11" ht="16.5" customHeight="1" x14ac:dyDescent="0.25">
      <c r="A336" s="124">
        <v>42131</v>
      </c>
      <c r="B336" s="74">
        <v>0.500714285714286</v>
      </c>
      <c r="C336" s="75" t="s">
        <v>571</v>
      </c>
      <c r="D336" s="8"/>
      <c r="E336" s="8"/>
      <c r="F336" s="79" t="s">
        <v>782</v>
      </c>
      <c r="G336" s="76">
        <v>7</v>
      </c>
      <c r="H336" s="77">
        <v>466</v>
      </c>
      <c r="I336" s="77">
        <v>559</v>
      </c>
      <c r="J336" s="77">
        <v>699</v>
      </c>
      <c r="K336" s="78">
        <v>140</v>
      </c>
    </row>
    <row r="337" spans="1:11" ht="16.5" customHeight="1" x14ac:dyDescent="0.25">
      <c r="A337" s="124">
        <v>42132</v>
      </c>
      <c r="B337" s="74">
        <v>0.500714285714286</v>
      </c>
      <c r="C337" s="75" t="s">
        <v>571</v>
      </c>
      <c r="D337" s="8"/>
      <c r="E337" s="8"/>
      <c r="F337" s="79" t="s">
        <v>783</v>
      </c>
      <c r="G337" s="76">
        <v>7</v>
      </c>
      <c r="H337" s="77">
        <v>466</v>
      </c>
      <c r="I337" s="77">
        <v>559</v>
      </c>
      <c r="J337" s="77">
        <v>699</v>
      </c>
      <c r="K337" s="78">
        <v>140</v>
      </c>
    </row>
    <row r="338" spans="1:11" ht="16.5" customHeight="1" x14ac:dyDescent="0.25">
      <c r="A338" s="124">
        <v>42133</v>
      </c>
      <c r="B338" s="74">
        <v>0.500714285714286</v>
      </c>
      <c r="C338" s="75" t="s">
        <v>571</v>
      </c>
      <c r="D338" s="8"/>
      <c r="E338" s="8"/>
      <c r="F338" s="79" t="s">
        <v>784</v>
      </c>
      <c r="G338" s="76">
        <v>7</v>
      </c>
      <c r="H338" s="77">
        <v>466</v>
      </c>
      <c r="I338" s="77">
        <v>559</v>
      </c>
      <c r="J338" s="77">
        <v>699</v>
      </c>
      <c r="K338" s="78">
        <v>140</v>
      </c>
    </row>
    <row r="339" spans="1:11" ht="16.5" customHeight="1" x14ac:dyDescent="0.25">
      <c r="A339" s="124">
        <v>42170</v>
      </c>
      <c r="B339" s="74">
        <v>0.200833333333333</v>
      </c>
      <c r="C339" s="75" t="s">
        <v>556</v>
      </c>
      <c r="D339" s="8"/>
      <c r="E339" s="8"/>
      <c r="F339" s="79" t="s">
        <v>785</v>
      </c>
      <c r="G339" s="76">
        <v>10</v>
      </c>
      <c r="H339" s="77">
        <v>639</v>
      </c>
      <c r="I339" s="77">
        <v>767</v>
      </c>
      <c r="J339" s="77">
        <v>959</v>
      </c>
      <c r="K339" s="78">
        <v>192</v>
      </c>
    </row>
    <row r="340" spans="1:11" ht="16.5" customHeight="1" x14ac:dyDescent="0.25">
      <c r="A340" s="124">
        <v>42171</v>
      </c>
      <c r="B340" s="74">
        <v>0.200833333333333</v>
      </c>
      <c r="C340" s="75" t="s">
        <v>556</v>
      </c>
      <c r="D340" s="8"/>
      <c r="E340" s="8"/>
      <c r="F340" s="79" t="s">
        <v>218</v>
      </c>
      <c r="G340" s="76">
        <v>10</v>
      </c>
      <c r="H340" s="77">
        <v>639</v>
      </c>
      <c r="I340" s="77">
        <v>767</v>
      </c>
      <c r="J340" s="77">
        <v>959</v>
      </c>
      <c r="K340" s="78">
        <v>192</v>
      </c>
    </row>
    <row r="341" spans="1:11" ht="16.5" customHeight="1" x14ac:dyDescent="0.25">
      <c r="A341" s="124">
        <v>42172</v>
      </c>
      <c r="B341" s="74">
        <v>0.200833333333333</v>
      </c>
      <c r="C341" s="75" t="s">
        <v>556</v>
      </c>
      <c r="D341" s="8"/>
      <c r="E341" s="8"/>
      <c r="F341" s="79" t="s">
        <v>219</v>
      </c>
      <c r="G341" s="76">
        <v>10</v>
      </c>
      <c r="H341" s="77">
        <v>639</v>
      </c>
      <c r="I341" s="77">
        <v>767</v>
      </c>
      <c r="J341" s="77">
        <v>959</v>
      </c>
      <c r="K341" s="78">
        <v>192</v>
      </c>
    </row>
    <row r="342" spans="1:11" ht="16.5" customHeight="1" x14ac:dyDescent="0.25">
      <c r="A342" s="124">
        <v>42173</v>
      </c>
      <c r="B342" s="74">
        <v>0.200833333333333</v>
      </c>
      <c r="C342" s="75" t="s">
        <v>556</v>
      </c>
      <c r="D342" s="8"/>
      <c r="E342" s="8"/>
      <c r="F342" s="79" t="s">
        <v>786</v>
      </c>
      <c r="G342" s="76">
        <v>10</v>
      </c>
      <c r="H342" s="77">
        <v>639</v>
      </c>
      <c r="I342" s="77">
        <v>767</v>
      </c>
      <c r="J342" s="77">
        <v>959</v>
      </c>
      <c r="K342" s="78">
        <v>192</v>
      </c>
    </row>
    <row r="343" spans="1:11" ht="16.5" customHeight="1" x14ac:dyDescent="0.25">
      <c r="A343" s="124">
        <v>42206</v>
      </c>
      <c r="B343" s="74">
        <v>0.34636363636363598</v>
      </c>
      <c r="C343" s="75" t="s">
        <v>787</v>
      </c>
      <c r="D343" s="8"/>
      <c r="E343" s="8"/>
      <c r="F343" s="79" t="s">
        <v>220</v>
      </c>
      <c r="G343" s="76">
        <v>7</v>
      </c>
      <c r="H343" s="77">
        <v>479</v>
      </c>
      <c r="I343" s="77">
        <v>575</v>
      </c>
      <c r="J343" s="77">
        <v>719</v>
      </c>
      <c r="K343" s="78">
        <v>144</v>
      </c>
    </row>
    <row r="344" spans="1:11" ht="16.5" customHeight="1" x14ac:dyDescent="0.25">
      <c r="A344" s="124">
        <v>42263</v>
      </c>
      <c r="B344" s="74"/>
      <c r="C344" s="75" t="s">
        <v>562</v>
      </c>
      <c r="D344" s="8"/>
      <c r="E344" s="8"/>
      <c r="F344" s="79" t="s">
        <v>788</v>
      </c>
      <c r="G344" s="76">
        <v>16</v>
      </c>
      <c r="H344" s="77">
        <v>1067</v>
      </c>
      <c r="I344" s="77">
        <v>1280</v>
      </c>
      <c r="J344" s="77">
        <v>1600</v>
      </c>
      <c r="K344" s="78">
        <v>320</v>
      </c>
    </row>
    <row r="345" spans="1:11" ht="16.5" customHeight="1" x14ac:dyDescent="0.25">
      <c r="A345" s="124">
        <v>42290</v>
      </c>
      <c r="B345" s="74">
        <v>0.40111111111111097</v>
      </c>
      <c r="C345" s="75" t="s">
        <v>649</v>
      </c>
      <c r="D345" s="8"/>
      <c r="E345" s="8"/>
      <c r="F345" s="79" t="s">
        <v>789</v>
      </c>
      <c r="G345" s="76">
        <v>6</v>
      </c>
      <c r="H345" s="77">
        <v>180</v>
      </c>
      <c r="I345" s="77">
        <v>431</v>
      </c>
      <c r="J345" s="77">
        <v>539</v>
      </c>
      <c r="K345" s="78">
        <v>108</v>
      </c>
    </row>
    <row r="346" spans="1:11" ht="16.5" customHeight="1" x14ac:dyDescent="0.25">
      <c r="A346" s="124">
        <v>42425</v>
      </c>
      <c r="B346" s="74">
        <v>0.25041666666666701</v>
      </c>
      <c r="C346" s="75" t="s">
        <v>709</v>
      </c>
      <c r="D346" s="8"/>
      <c r="E346" s="8"/>
      <c r="F346" s="79" t="s">
        <v>85</v>
      </c>
      <c r="G346" s="76">
        <v>19</v>
      </c>
      <c r="H346" s="77">
        <v>1199</v>
      </c>
      <c r="I346" s="77">
        <v>1439</v>
      </c>
      <c r="J346" s="77">
        <v>1799</v>
      </c>
      <c r="K346" s="78">
        <v>360</v>
      </c>
    </row>
    <row r="347" spans="1:11" ht="16.5" customHeight="1" x14ac:dyDescent="0.25">
      <c r="A347" s="124">
        <v>42444</v>
      </c>
      <c r="B347" s="74">
        <v>0.29666666666666702</v>
      </c>
      <c r="C347" s="75" t="s">
        <v>562</v>
      </c>
      <c r="D347" s="8"/>
      <c r="E347" s="8"/>
      <c r="F347" s="79" t="s">
        <v>790</v>
      </c>
      <c r="G347" s="76">
        <v>20</v>
      </c>
      <c r="H347" s="77">
        <v>1266</v>
      </c>
      <c r="I347" s="77">
        <v>1519</v>
      </c>
      <c r="J347" s="77">
        <v>1899</v>
      </c>
      <c r="K347" s="78">
        <v>380</v>
      </c>
    </row>
    <row r="348" spans="1:11" ht="16.5" customHeight="1" x14ac:dyDescent="0.25">
      <c r="A348" s="124">
        <v>42445</v>
      </c>
      <c r="B348" s="74">
        <v>0.48709677419354802</v>
      </c>
      <c r="C348" s="75" t="s">
        <v>667</v>
      </c>
      <c r="D348" s="8"/>
      <c r="E348" s="8"/>
      <c r="F348" s="79" t="s">
        <v>791</v>
      </c>
      <c r="G348" s="76">
        <v>2</v>
      </c>
      <c r="H348" s="77">
        <v>53</v>
      </c>
      <c r="I348" s="77">
        <v>127</v>
      </c>
      <c r="J348" s="77">
        <v>159</v>
      </c>
      <c r="K348" s="78">
        <v>32</v>
      </c>
    </row>
    <row r="349" spans="1:11" ht="16.5" customHeight="1" x14ac:dyDescent="0.25">
      <c r="A349" s="124">
        <v>42450</v>
      </c>
      <c r="B349" s="74">
        <v>0.48709677419354802</v>
      </c>
      <c r="C349" s="75" t="s">
        <v>667</v>
      </c>
      <c r="D349" s="8"/>
      <c r="E349" s="8"/>
      <c r="F349" s="79" t="s">
        <v>792</v>
      </c>
      <c r="G349" s="76">
        <v>2</v>
      </c>
      <c r="H349" s="77">
        <v>53</v>
      </c>
      <c r="I349" s="77">
        <v>127</v>
      </c>
      <c r="J349" s="77">
        <v>159</v>
      </c>
      <c r="K349" s="78">
        <v>32</v>
      </c>
    </row>
    <row r="350" spans="1:11" ht="16.5" customHeight="1" x14ac:dyDescent="0.25">
      <c r="A350" s="124">
        <v>42478</v>
      </c>
      <c r="B350" s="74">
        <v>0.44583333333333303</v>
      </c>
      <c r="C350" s="75" t="s">
        <v>594</v>
      </c>
      <c r="D350" s="8"/>
      <c r="E350" s="8"/>
      <c r="F350" s="79" t="s">
        <v>793</v>
      </c>
      <c r="G350" s="76">
        <v>4</v>
      </c>
      <c r="H350" s="77">
        <v>133</v>
      </c>
      <c r="I350" s="77">
        <v>319</v>
      </c>
      <c r="J350" s="77">
        <v>399</v>
      </c>
      <c r="K350" s="78">
        <v>80</v>
      </c>
    </row>
    <row r="351" spans="1:11" ht="16.5" customHeight="1" x14ac:dyDescent="0.25">
      <c r="A351" s="124">
        <v>42488</v>
      </c>
      <c r="B351" s="74">
        <v>0.393478260869565</v>
      </c>
      <c r="C351" s="75" t="s">
        <v>794</v>
      </c>
      <c r="D351" s="8"/>
      <c r="E351" s="8"/>
      <c r="F351" s="79" t="s">
        <v>795</v>
      </c>
      <c r="G351" s="76">
        <v>3</v>
      </c>
      <c r="H351" s="77">
        <v>93</v>
      </c>
      <c r="I351" s="77">
        <v>223</v>
      </c>
      <c r="J351" s="77">
        <v>279</v>
      </c>
      <c r="K351" s="78">
        <v>56</v>
      </c>
    </row>
    <row r="352" spans="1:11" ht="16.5" customHeight="1" x14ac:dyDescent="0.25">
      <c r="A352" s="124">
        <v>42495</v>
      </c>
      <c r="B352" s="74">
        <v>0.47394736842105301</v>
      </c>
      <c r="C352" s="75" t="s">
        <v>796</v>
      </c>
      <c r="D352" s="8"/>
      <c r="E352" s="8"/>
      <c r="F352" s="79" t="s">
        <v>797</v>
      </c>
      <c r="G352" s="76">
        <v>21</v>
      </c>
      <c r="H352" s="77">
        <v>1333</v>
      </c>
      <c r="I352" s="77">
        <v>1599</v>
      </c>
      <c r="J352" s="77">
        <v>1999</v>
      </c>
      <c r="K352" s="78">
        <v>400</v>
      </c>
    </row>
    <row r="353" spans="1:11" ht="16.5" customHeight="1" x14ac:dyDescent="0.25">
      <c r="A353" s="124">
        <v>42503</v>
      </c>
      <c r="B353" s="74">
        <v>0.35416666666666702</v>
      </c>
      <c r="C353" s="75" t="s">
        <v>787</v>
      </c>
      <c r="D353" s="8"/>
      <c r="E353" s="8"/>
      <c r="F353" s="79" t="s">
        <v>221</v>
      </c>
      <c r="G353" s="76">
        <v>32</v>
      </c>
      <c r="H353" s="77">
        <v>2067</v>
      </c>
      <c r="I353" s="77">
        <v>2480</v>
      </c>
      <c r="J353" s="77">
        <v>3100</v>
      </c>
      <c r="K353" s="78">
        <v>620</v>
      </c>
    </row>
    <row r="354" spans="1:11" ht="16.5" customHeight="1" x14ac:dyDescent="0.25">
      <c r="A354" s="124">
        <v>42504</v>
      </c>
      <c r="B354" s="74">
        <v>0.34636363636363598</v>
      </c>
      <c r="C354" s="75" t="s">
        <v>796</v>
      </c>
      <c r="D354" s="8"/>
      <c r="E354" s="8"/>
      <c r="F354" s="79" t="s">
        <v>798</v>
      </c>
      <c r="G354" s="76">
        <v>7</v>
      </c>
      <c r="H354" s="77">
        <v>479</v>
      </c>
      <c r="I354" s="77">
        <v>575</v>
      </c>
      <c r="J354" s="77">
        <v>719</v>
      </c>
      <c r="K354" s="78">
        <v>144</v>
      </c>
    </row>
    <row r="355" spans="1:11" ht="16.5" customHeight="1" x14ac:dyDescent="0.25">
      <c r="A355" s="124">
        <v>42507</v>
      </c>
      <c r="B355" s="74">
        <v>0.424545454545455</v>
      </c>
      <c r="C355" s="75" t="s">
        <v>799</v>
      </c>
      <c r="D355" s="8"/>
      <c r="E355" s="8"/>
      <c r="F355" s="79" t="s">
        <v>295</v>
      </c>
      <c r="G355" s="76">
        <v>20</v>
      </c>
      <c r="H355" s="77">
        <v>1266</v>
      </c>
      <c r="I355" s="77">
        <v>1519</v>
      </c>
      <c r="J355" s="77">
        <v>1899</v>
      </c>
      <c r="K355" s="78">
        <v>380</v>
      </c>
    </row>
    <row r="356" spans="1:11" ht="16.5" customHeight="1" x14ac:dyDescent="0.25">
      <c r="A356" s="124">
        <v>42508</v>
      </c>
      <c r="B356" s="74"/>
      <c r="C356" s="75" t="s">
        <v>632</v>
      </c>
      <c r="D356" s="8"/>
      <c r="E356" s="8"/>
      <c r="F356" s="79" t="s">
        <v>326</v>
      </c>
      <c r="G356" s="76">
        <v>14</v>
      </c>
      <c r="H356" s="77">
        <v>933</v>
      </c>
      <c r="I356" s="77">
        <v>1120</v>
      </c>
      <c r="J356" s="77">
        <v>1400</v>
      </c>
      <c r="K356" s="78">
        <v>280</v>
      </c>
    </row>
    <row r="357" spans="1:11" ht="16.5" customHeight="1" x14ac:dyDescent="0.25">
      <c r="A357" s="124">
        <v>42519</v>
      </c>
      <c r="B357" s="74">
        <v>0.34883720930232598</v>
      </c>
      <c r="C357" s="75" t="s">
        <v>800</v>
      </c>
      <c r="D357" s="8"/>
      <c r="E357" s="8"/>
      <c r="F357" s="79" t="s">
        <v>801</v>
      </c>
      <c r="G357" s="76">
        <v>29</v>
      </c>
      <c r="H357" s="77">
        <v>1867</v>
      </c>
      <c r="I357" s="77">
        <v>2240</v>
      </c>
      <c r="J357" s="77">
        <v>2800</v>
      </c>
      <c r="K357" s="78">
        <v>560</v>
      </c>
    </row>
    <row r="358" spans="1:11" ht="16.5" customHeight="1" x14ac:dyDescent="0.25">
      <c r="A358" s="124">
        <v>42520</v>
      </c>
      <c r="B358" s="74">
        <v>0.50045454545454504</v>
      </c>
      <c r="C358" s="75" t="s">
        <v>802</v>
      </c>
      <c r="D358" s="8"/>
      <c r="E358" s="8"/>
      <c r="F358" s="79" t="s">
        <v>313</v>
      </c>
      <c r="G358" s="76">
        <v>11</v>
      </c>
      <c r="H358" s="77">
        <v>733</v>
      </c>
      <c r="I358" s="77">
        <v>879</v>
      </c>
      <c r="J358" s="77">
        <v>1099</v>
      </c>
      <c r="K358" s="78">
        <v>220</v>
      </c>
    </row>
    <row r="359" spans="1:11" ht="16.5" customHeight="1" x14ac:dyDescent="0.25">
      <c r="A359" s="124">
        <v>42521</v>
      </c>
      <c r="B359" s="74">
        <v>0.36588235294117599</v>
      </c>
      <c r="C359" s="75" t="s">
        <v>800</v>
      </c>
      <c r="D359" s="8"/>
      <c r="E359" s="8"/>
      <c r="F359" s="79" t="s">
        <v>803</v>
      </c>
      <c r="G359" s="76">
        <v>6</v>
      </c>
      <c r="H359" s="77">
        <v>359</v>
      </c>
      <c r="I359" s="77">
        <v>431</v>
      </c>
      <c r="J359" s="77">
        <v>539</v>
      </c>
      <c r="K359" s="78">
        <v>108</v>
      </c>
    </row>
    <row r="360" spans="1:11" ht="16.5" customHeight="1" x14ac:dyDescent="0.25">
      <c r="A360" s="124">
        <v>42524</v>
      </c>
      <c r="B360" s="74">
        <v>0.50983606557377104</v>
      </c>
      <c r="C360" s="75" t="s">
        <v>554</v>
      </c>
      <c r="D360" s="8"/>
      <c r="E360" s="8"/>
      <c r="F360" s="79" t="s">
        <v>804</v>
      </c>
      <c r="G360" s="76">
        <v>3</v>
      </c>
      <c r="H360" s="77">
        <v>199</v>
      </c>
      <c r="I360" s="77">
        <v>239</v>
      </c>
      <c r="J360" s="77">
        <v>299</v>
      </c>
      <c r="K360" s="78">
        <v>60</v>
      </c>
    </row>
    <row r="361" spans="1:11" ht="16.5" customHeight="1" x14ac:dyDescent="0.25">
      <c r="A361" s="124">
        <v>42548</v>
      </c>
      <c r="B361" s="74">
        <v>0.40071428571428602</v>
      </c>
      <c r="C361" s="75" t="s">
        <v>805</v>
      </c>
      <c r="D361" s="8"/>
      <c r="E361" s="8"/>
      <c r="F361" s="79" t="s">
        <v>806</v>
      </c>
      <c r="G361" s="76">
        <v>9</v>
      </c>
      <c r="H361" s="77">
        <v>559</v>
      </c>
      <c r="I361" s="77">
        <v>671</v>
      </c>
      <c r="J361" s="77">
        <v>839</v>
      </c>
      <c r="K361" s="78">
        <v>168</v>
      </c>
    </row>
    <row r="362" spans="1:11" ht="16.5" customHeight="1" x14ac:dyDescent="0.25">
      <c r="A362" s="124">
        <v>42549</v>
      </c>
      <c r="B362" s="74">
        <v>0.40071428571428602</v>
      </c>
      <c r="C362" s="75" t="s">
        <v>805</v>
      </c>
      <c r="D362" s="8"/>
      <c r="E362" s="8"/>
      <c r="F362" s="79" t="s">
        <v>807</v>
      </c>
      <c r="G362" s="76">
        <v>9</v>
      </c>
      <c r="H362" s="77">
        <v>559</v>
      </c>
      <c r="I362" s="77">
        <v>671</v>
      </c>
      <c r="J362" s="77">
        <v>839</v>
      </c>
      <c r="K362" s="78">
        <v>168</v>
      </c>
    </row>
    <row r="363" spans="1:11" ht="16.5" customHeight="1" x14ac:dyDescent="0.25">
      <c r="A363" s="124">
        <v>42550</v>
      </c>
      <c r="B363" s="74">
        <v>0.40079999999999999</v>
      </c>
      <c r="C363" s="75" t="s">
        <v>805</v>
      </c>
      <c r="D363" s="8"/>
      <c r="E363" s="8"/>
      <c r="F363" s="79" t="s">
        <v>808</v>
      </c>
      <c r="G363" s="76">
        <v>8</v>
      </c>
      <c r="H363" s="77">
        <v>499</v>
      </c>
      <c r="I363" s="77">
        <v>599</v>
      </c>
      <c r="J363" s="77">
        <v>749</v>
      </c>
      <c r="K363" s="78">
        <v>150</v>
      </c>
    </row>
    <row r="364" spans="1:11" ht="16.5" customHeight="1" x14ac:dyDescent="0.25">
      <c r="A364" s="124">
        <v>42551</v>
      </c>
      <c r="B364" s="74">
        <v>0.40071428571428602</v>
      </c>
      <c r="C364" s="75" t="s">
        <v>805</v>
      </c>
      <c r="D364" s="8"/>
      <c r="E364" s="8"/>
      <c r="F364" s="79" t="s">
        <v>809</v>
      </c>
      <c r="G364" s="76">
        <v>9</v>
      </c>
      <c r="H364" s="77">
        <v>559</v>
      </c>
      <c r="I364" s="77">
        <v>671</v>
      </c>
      <c r="J364" s="77">
        <v>839</v>
      </c>
      <c r="K364" s="78">
        <v>168</v>
      </c>
    </row>
    <row r="365" spans="1:11" ht="16.5" customHeight="1" x14ac:dyDescent="0.25">
      <c r="A365" s="124">
        <v>42588</v>
      </c>
      <c r="B365" s="74">
        <v>0.45100000000000001</v>
      </c>
      <c r="C365" s="75" t="s">
        <v>810</v>
      </c>
      <c r="D365" s="8"/>
      <c r="E365" s="8"/>
      <c r="F365" s="79" t="s">
        <v>811</v>
      </c>
      <c r="G365" s="76">
        <v>6</v>
      </c>
      <c r="H365" s="77">
        <v>366</v>
      </c>
      <c r="I365" s="77">
        <v>439</v>
      </c>
      <c r="J365" s="77">
        <v>549</v>
      </c>
      <c r="K365" s="78">
        <v>110</v>
      </c>
    </row>
    <row r="366" spans="1:11" ht="16.5" customHeight="1" x14ac:dyDescent="0.25">
      <c r="A366" s="124">
        <v>42589</v>
      </c>
      <c r="B366" s="74">
        <v>0.45100000000000001</v>
      </c>
      <c r="C366" s="75" t="s">
        <v>810</v>
      </c>
      <c r="D366" s="8"/>
      <c r="E366" s="8"/>
      <c r="F366" s="79" t="s">
        <v>812</v>
      </c>
      <c r="G366" s="76">
        <v>6</v>
      </c>
      <c r="H366" s="77">
        <v>366</v>
      </c>
      <c r="I366" s="77">
        <v>439</v>
      </c>
      <c r="J366" s="77">
        <v>549</v>
      </c>
      <c r="K366" s="78">
        <v>110</v>
      </c>
    </row>
    <row r="367" spans="1:11" ht="16.5" customHeight="1" x14ac:dyDescent="0.25">
      <c r="A367" s="124">
        <v>42590</v>
      </c>
      <c r="B367" s="74"/>
      <c r="C367" s="75" t="s">
        <v>813</v>
      </c>
      <c r="D367" s="8"/>
      <c r="E367" s="8"/>
      <c r="F367" s="79" t="s">
        <v>814</v>
      </c>
      <c r="G367" s="76">
        <v>8</v>
      </c>
      <c r="H367" s="77">
        <v>547</v>
      </c>
      <c r="I367" s="77">
        <v>656</v>
      </c>
      <c r="J367" s="77">
        <v>820</v>
      </c>
      <c r="K367" s="78">
        <v>164</v>
      </c>
    </row>
    <row r="368" spans="1:11" ht="16.5" customHeight="1" x14ac:dyDescent="0.25">
      <c r="A368" s="124">
        <v>42609</v>
      </c>
      <c r="B368" s="74">
        <v>0.39146341463414602</v>
      </c>
      <c r="C368" s="75" t="s">
        <v>813</v>
      </c>
      <c r="D368" s="8"/>
      <c r="E368" s="8"/>
      <c r="F368" s="79" t="s">
        <v>815</v>
      </c>
      <c r="G368" s="76">
        <v>5</v>
      </c>
      <c r="H368" s="77">
        <v>333</v>
      </c>
      <c r="I368" s="77">
        <v>399</v>
      </c>
      <c r="J368" s="77">
        <v>499</v>
      </c>
      <c r="K368" s="78">
        <v>100</v>
      </c>
    </row>
    <row r="369" spans="1:11" ht="16.5" customHeight="1" x14ac:dyDescent="0.25">
      <c r="A369" s="124">
        <v>42613</v>
      </c>
      <c r="B369" s="74">
        <v>0.39146341463414602</v>
      </c>
      <c r="C369" s="75" t="s">
        <v>813</v>
      </c>
      <c r="D369" s="8"/>
      <c r="E369" s="8"/>
      <c r="F369" s="79" t="s">
        <v>816</v>
      </c>
      <c r="G369" s="76">
        <v>5</v>
      </c>
      <c r="H369" s="77">
        <v>333</v>
      </c>
      <c r="I369" s="77">
        <v>399</v>
      </c>
      <c r="J369" s="77">
        <v>499</v>
      </c>
      <c r="K369" s="78">
        <v>100</v>
      </c>
    </row>
    <row r="370" spans="1:11" ht="16.5" customHeight="1" x14ac:dyDescent="0.25">
      <c r="A370" s="124">
        <v>42616</v>
      </c>
      <c r="B370" s="74">
        <v>0.40561797752808998</v>
      </c>
      <c r="C370" s="75" t="s">
        <v>810</v>
      </c>
      <c r="D370" s="8"/>
      <c r="E370" s="8"/>
      <c r="F370" s="79" t="s">
        <v>817</v>
      </c>
      <c r="G370" s="76">
        <v>5</v>
      </c>
      <c r="H370" s="77">
        <v>353</v>
      </c>
      <c r="I370" s="77">
        <v>423</v>
      </c>
      <c r="J370" s="77">
        <v>529</v>
      </c>
      <c r="K370" s="78">
        <v>106</v>
      </c>
    </row>
    <row r="371" spans="1:11" ht="16.5" customHeight="1" x14ac:dyDescent="0.25">
      <c r="A371" s="124">
        <v>42661</v>
      </c>
      <c r="B371" s="74">
        <v>0.30083333333333301</v>
      </c>
      <c r="C371" s="75" t="s">
        <v>556</v>
      </c>
      <c r="D371" s="8"/>
      <c r="E371" s="8"/>
      <c r="F371" s="79" t="s">
        <v>818</v>
      </c>
      <c r="G371" s="76">
        <v>9</v>
      </c>
      <c r="H371" s="77">
        <v>559</v>
      </c>
      <c r="I371" s="77">
        <v>671</v>
      </c>
      <c r="J371" s="77">
        <v>839</v>
      </c>
      <c r="K371" s="78">
        <v>168</v>
      </c>
    </row>
    <row r="372" spans="1:11" ht="16.5" customHeight="1" x14ac:dyDescent="0.25">
      <c r="A372" s="124">
        <v>42662</v>
      </c>
      <c r="B372" s="74">
        <v>0.30083333333333301</v>
      </c>
      <c r="C372" s="75" t="s">
        <v>556</v>
      </c>
      <c r="D372" s="8"/>
      <c r="E372" s="8"/>
      <c r="F372" s="79" t="s">
        <v>819</v>
      </c>
      <c r="G372" s="76">
        <v>9</v>
      </c>
      <c r="H372" s="77">
        <v>559</v>
      </c>
      <c r="I372" s="77">
        <v>671</v>
      </c>
      <c r="J372" s="77">
        <v>839</v>
      </c>
      <c r="K372" s="78">
        <v>168</v>
      </c>
    </row>
    <row r="373" spans="1:11" ht="16.5" customHeight="1" x14ac:dyDescent="0.25">
      <c r="A373" s="124">
        <v>42663</v>
      </c>
      <c r="B373" s="74">
        <v>0.30083333333333301</v>
      </c>
      <c r="C373" s="75" t="s">
        <v>556</v>
      </c>
      <c r="D373" s="8"/>
      <c r="E373" s="8"/>
      <c r="F373" s="79" t="s">
        <v>820</v>
      </c>
      <c r="G373" s="76">
        <v>9</v>
      </c>
      <c r="H373" s="77">
        <v>559</v>
      </c>
      <c r="I373" s="77">
        <v>671</v>
      </c>
      <c r="J373" s="77">
        <v>839</v>
      </c>
      <c r="K373" s="78">
        <v>168</v>
      </c>
    </row>
    <row r="374" spans="1:11" ht="16.5" customHeight="1" x14ac:dyDescent="0.25">
      <c r="A374" s="124">
        <v>42664</v>
      </c>
      <c r="B374" s="74">
        <v>0.30083333333333301</v>
      </c>
      <c r="C374" s="75" t="s">
        <v>556</v>
      </c>
      <c r="D374" s="8"/>
      <c r="E374" s="8"/>
      <c r="F374" s="79" t="s">
        <v>821</v>
      </c>
      <c r="G374" s="76">
        <v>9</v>
      </c>
      <c r="H374" s="77">
        <v>559</v>
      </c>
      <c r="I374" s="77">
        <v>671</v>
      </c>
      <c r="J374" s="77">
        <v>839</v>
      </c>
      <c r="K374" s="78">
        <v>168</v>
      </c>
    </row>
    <row r="375" spans="1:11" ht="16.5" customHeight="1" x14ac:dyDescent="0.25">
      <c r="A375" s="124">
        <v>42665</v>
      </c>
      <c r="B375" s="74">
        <v>0.30083333333333301</v>
      </c>
      <c r="C375" s="75" t="s">
        <v>556</v>
      </c>
      <c r="D375" s="8"/>
      <c r="E375" s="8"/>
      <c r="F375" s="79" t="s">
        <v>822</v>
      </c>
      <c r="G375" s="76">
        <v>9</v>
      </c>
      <c r="H375" s="77">
        <v>559</v>
      </c>
      <c r="I375" s="77">
        <v>671</v>
      </c>
      <c r="J375" s="77">
        <v>839</v>
      </c>
      <c r="K375" s="78">
        <v>168</v>
      </c>
    </row>
    <row r="376" spans="1:11" ht="16.5" customHeight="1" x14ac:dyDescent="0.25">
      <c r="A376" s="124">
        <v>42666</v>
      </c>
      <c r="B376" s="74">
        <v>0.30083333333333301</v>
      </c>
      <c r="C376" s="75" t="s">
        <v>556</v>
      </c>
      <c r="D376" s="8"/>
      <c r="E376" s="8"/>
      <c r="F376" s="79" t="s">
        <v>823</v>
      </c>
      <c r="G376" s="76">
        <v>9</v>
      </c>
      <c r="H376" s="77">
        <v>559</v>
      </c>
      <c r="I376" s="77">
        <v>671</v>
      </c>
      <c r="J376" s="77">
        <v>839</v>
      </c>
      <c r="K376" s="78">
        <v>168</v>
      </c>
    </row>
    <row r="377" spans="1:11" ht="16.5" customHeight="1" x14ac:dyDescent="0.25">
      <c r="A377" s="124">
        <v>42667</v>
      </c>
      <c r="B377" s="74">
        <v>0.30083333333333301</v>
      </c>
      <c r="C377" s="75" t="s">
        <v>556</v>
      </c>
      <c r="D377" s="8"/>
      <c r="E377" s="8"/>
      <c r="F377" s="79" t="s">
        <v>824</v>
      </c>
      <c r="G377" s="76">
        <v>9</v>
      </c>
      <c r="H377" s="77">
        <v>559</v>
      </c>
      <c r="I377" s="77">
        <v>671</v>
      </c>
      <c r="J377" s="77">
        <v>839</v>
      </c>
      <c r="K377" s="78">
        <v>168</v>
      </c>
    </row>
    <row r="378" spans="1:11" ht="16.5" customHeight="1" x14ac:dyDescent="0.25">
      <c r="A378" s="124">
        <v>42668</v>
      </c>
      <c r="B378" s="74">
        <v>0.30083333333333301</v>
      </c>
      <c r="C378" s="75" t="s">
        <v>556</v>
      </c>
      <c r="D378" s="8"/>
      <c r="E378" s="8"/>
      <c r="F378" s="79" t="s">
        <v>825</v>
      </c>
      <c r="G378" s="76">
        <v>9</v>
      </c>
      <c r="H378" s="77">
        <v>559</v>
      </c>
      <c r="I378" s="77">
        <v>671</v>
      </c>
      <c r="J378" s="77">
        <v>839</v>
      </c>
      <c r="K378" s="78">
        <v>168</v>
      </c>
    </row>
    <row r="379" spans="1:11" ht="16.5" customHeight="1" x14ac:dyDescent="0.25">
      <c r="A379" s="124">
        <v>42669</v>
      </c>
      <c r="B379" s="74">
        <v>0.30083333333333301</v>
      </c>
      <c r="C379" s="75" t="s">
        <v>556</v>
      </c>
      <c r="D379" s="8"/>
      <c r="E379" s="8"/>
      <c r="F379" s="79" t="s">
        <v>826</v>
      </c>
      <c r="G379" s="76">
        <v>9</v>
      </c>
      <c r="H379" s="77">
        <v>559</v>
      </c>
      <c r="I379" s="77">
        <v>671</v>
      </c>
      <c r="J379" s="77">
        <v>839</v>
      </c>
      <c r="K379" s="78">
        <v>168</v>
      </c>
    </row>
    <row r="380" spans="1:11" ht="16.5" customHeight="1" x14ac:dyDescent="0.25">
      <c r="A380" s="124">
        <v>42670</v>
      </c>
      <c r="B380" s="74">
        <v>0.30083333333333301</v>
      </c>
      <c r="C380" s="75" t="s">
        <v>556</v>
      </c>
      <c r="D380" s="8"/>
      <c r="E380" s="8"/>
      <c r="F380" s="79" t="s">
        <v>827</v>
      </c>
      <c r="G380" s="76">
        <v>9</v>
      </c>
      <c r="H380" s="77">
        <v>559</v>
      </c>
      <c r="I380" s="77">
        <v>671</v>
      </c>
      <c r="J380" s="77">
        <v>839</v>
      </c>
      <c r="K380" s="78">
        <v>168</v>
      </c>
    </row>
    <row r="381" spans="1:11" ht="16.5" customHeight="1" x14ac:dyDescent="0.25">
      <c r="A381" s="124">
        <v>42700</v>
      </c>
      <c r="B381" s="74">
        <v>0.44428571428571401</v>
      </c>
      <c r="C381" s="75" t="s">
        <v>556</v>
      </c>
      <c r="D381" s="8"/>
      <c r="E381" s="8"/>
      <c r="F381" s="79" t="s">
        <v>828</v>
      </c>
      <c r="G381" s="76">
        <v>4</v>
      </c>
      <c r="H381" s="77">
        <v>259</v>
      </c>
      <c r="I381" s="77">
        <v>311</v>
      </c>
      <c r="J381" s="77">
        <v>389</v>
      </c>
      <c r="K381" s="78">
        <v>78</v>
      </c>
    </row>
    <row r="382" spans="1:11" ht="16.5" customHeight="1" x14ac:dyDescent="0.25">
      <c r="A382" s="124">
        <v>42739</v>
      </c>
      <c r="B382" s="74">
        <v>0.44764705882352901</v>
      </c>
      <c r="C382" s="75" t="s">
        <v>829</v>
      </c>
      <c r="D382" s="8"/>
      <c r="E382" s="8"/>
      <c r="F382" s="79" t="s">
        <v>331</v>
      </c>
      <c r="G382" s="76">
        <v>10</v>
      </c>
      <c r="H382" s="77">
        <v>626</v>
      </c>
      <c r="I382" s="77">
        <v>751</v>
      </c>
      <c r="J382" s="77">
        <v>939</v>
      </c>
      <c r="K382" s="78">
        <v>188</v>
      </c>
    </row>
    <row r="383" spans="1:11" ht="16.5" customHeight="1" x14ac:dyDescent="0.25">
      <c r="A383" s="124">
        <v>42742</v>
      </c>
      <c r="B383" s="74">
        <v>0.42904761904761901</v>
      </c>
      <c r="C383" s="75" t="s">
        <v>830</v>
      </c>
      <c r="D383" s="8"/>
      <c r="E383" s="8"/>
      <c r="F383" s="79" t="s">
        <v>228</v>
      </c>
      <c r="G383" s="76">
        <v>12</v>
      </c>
      <c r="H383" s="77">
        <v>799</v>
      </c>
      <c r="I383" s="77">
        <v>959</v>
      </c>
      <c r="J383" s="77">
        <v>1199</v>
      </c>
      <c r="K383" s="78">
        <v>240</v>
      </c>
    </row>
    <row r="384" spans="1:11" ht="16.5" customHeight="1" x14ac:dyDescent="0.25">
      <c r="A384" s="124">
        <v>42770</v>
      </c>
      <c r="B384" s="74">
        <v>0.46914893617021303</v>
      </c>
      <c r="C384" s="75" t="s">
        <v>491</v>
      </c>
      <c r="D384" s="8"/>
      <c r="E384" s="8"/>
      <c r="F384" s="79" t="s">
        <v>831</v>
      </c>
      <c r="G384" s="76">
        <v>5</v>
      </c>
      <c r="H384" s="77">
        <v>333</v>
      </c>
      <c r="I384" s="77">
        <v>399</v>
      </c>
      <c r="J384" s="77">
        <v>499</v>
      </c>
      <c r="K384" s="78">
        <v>100</v>
      </c>
    </row>
    <row r="385" spans="1:11" ht="16.5" customHeight="1" x14ac:dyDescent="0.25">
      <c r="A385" s="124">
        <v>42771</v>
      </c>
      <c r="B385" s="74">
        <v>0.46914893617021303</v>
      </c>
      <c r="C385" s="75" t="s">
        <v>491</v>
      </c>
      <c r="D385" s="8"/>
      <c r="E385" s="8"/>
      <c r="F385" s="79" t="s">
        <v>222</v>
      </c>
      <c r="G385" s="76">
        <v>5</v>
      </c>
      <c r="H385" s="77">
        <v>333</v>
      </c>
      <c r="I385" s="77">
        <v>399</v>
      </c>
      <c r="J385" s="77">
        <v>499</v>
      </c>
      <c r="K385" s="78">
        <v>100</v>
      </c>
    </row>
    <row r="386" spans="1:11" ht="16.5" customHeight="1" x14ac:dyDescent="0.25">
      <c r="A386" s="124">
        <v>42772</v>
      </c>
      <c r="B386" s="74">
        <v>0.46914893617021303</v>
      </c>
      <c r="C386" s="75" t="s">
        <v>491</v>
      </c>
      <c r="D386" s="8"/>
      <c r="E386" s="8"/>
      <c r="F386" s="79" t="s">
        <v>223</v>
      </c>
      <c r="G386" s="76">
        <v>5</v>
      </c>
      <c r="H386" s="77">
        <v>333</v>
      </c>
      <c r="I386" s="77">
        <v>399</v>
      </c>
      <c r="J386" s="77">
        <v>499</v>
      </c>
      <c r="K386" s="78">
        <v>100</v>
      </c>
    </row>
    <row r="387" spans="1:11" ht="16.5" customHeight="1" x14ac:dyDescent="0.25">
      <c r="A387" s="124">
        <v>42773</v>
      </c>
      <c r="B387" s="74">
        <v>0.46914893617021303</v>
      </c>
      <c r="C387" s="75" t="s">
        <v>491</v>
      </c>
      <c r="D387" s="8"/>
      <c r="E387" s="8"/>
      <c r="F387" s="79" t="s">
        <v>227</v>
      </c>
      <c r="G387" s="76">
        <v>5</v>
      </c>
      <c r="H387" s="77">
        <v>333</v>
      </c>
      <c r="I387" s="77">
        <v>399</v>
      </c>
      <c r="J387" s="77">
        <v>499</v>
      </c>
      <c r="K387" s="78">
        <v>100</v>
      </c>
    </row>
    <row r="388" spans="1:11" ht="16.5" customHeight="1" x14ac:dyDescent="0.25">
      <c r="A388" s="124">
        <v>42776</v>
      </c>
      <c r="B388" s="74">
        <v>0.46914893617021303</v>
      </c>
      <c r="C388" s="75" t="s">
        <v>491</v>
      </c>
      <c r="D388" s="8"/>
      <c r="E388" s="8"/>
      <c r="F388" s="79" t="s">
        <v>224</v>
      </c>
      <c r="G388" s="76">
        <v>5</v>
      </c>
      <c r="H388" s="77">
        <v>333</v>
      </c>
      <c r="I388" s="77">
        <v>399</v>
      </c>
      <c r="J388" s="77">
        <v>499</v>
      </c>
      <c r="K388" s="78">
        <v>100</v>
      </c>
    </row>
    <row r="389" spans="1:11" ht="16.5" customHeight="1" x14ac:dyDescent="0.25">
      <c r="A389" s="124">
        <v>42777</v>
      </c>
      <c r="B389" s="74">
        <v>0.46914893617021303</v>
      </c>
      <c r="C389" s="75" t="s">
        <v>491</v>
      </c>
      <c r="D389" s="8"/>
      <c r="E389" s="8"/>
      <c r="F389" s="79" t="s">
        <v>225</v>
      </c>
      <c r="G389" s="76">
        <v>5</v>
      </c>
      <c r="H389" s="77">
        <v>333</v>
      </c>
      <c r="I389" s="77">
        <v>399</v>
      </c>
      <c r="J389" s="77">
        <v>499</v>
      </c>
      <c r="K389" s="78">
        <v>100</v>
      </c>
    </row>
    <row r="390" spans="1:11" ht="16.5" customHeight="1" x14ac:dyDescent="0.25">
      <c r="A390" s="124">
        <v>42778</v>
      </c>
      <c r="B390" s="74">
        <v>0.46914893617021303</v>
      </c>
      <c r="C390" s="75" t="s">
        <v>491</v>
      </c>
      <c r="D390" s="8"/>
      <c r="E390" s="8"/>
      <c r="F390" s="79" t="s">
        <v>226</v>
      </c>
      <c r="G390" s="76">
        <v>5</v>
      </c>
      <c r="H390" s="77">
        <v>333</v>
      </c>
      <c r="I390" s="77">
        <v>399</v>
      </c>
      <c r="J390" s="77">
        <v>499</v>
      </c>
      <c r="K390" s="78">
        <v>100</v>
      </c>
    </row>
    <row r="391" spans="1:11" ht="16.5" customHeight="1" x14ac:dyDescent="0.25">
      <c r="A391" s="124">
        <v>42779</v>
      </c>
      <c r="B391" s="74">
        <v>0.48099999999999998</v>
      </c>
      <c r="C391" s="75" t="s">
        <v>579</v>
      </c>
      <c r="D391" s="8"/>
      <c r="E391" s="8"/>
      <c r="F391" s="79" t="s">
        <v>832</v>
      </c>
      <c r="G391" s="76">
        <v>5</v>
      </c>
      <c r="H391" s="77">
        <v>346</v>
      </c>
      <c r="I391" s="77">
        <v>415</v>
      </c>
      <c r="J391" s="77">
        <v>519</v>
      </c>
      <c r="K391" s="78">
        <v>104</v>
      </c>
    </row>
    <row r="392" spans="1:11" ht="16.5" customHeight="1" x14ac:dyDescent="0.25">
      <c r="A392" s="124">
        <v>42786</v>
      </c>
      <c r="B392" s="74">
        <v>0.34891304347826102</v>
      </c>
      <c r="C392" s="75" t="s">
        <v>787</v>
      </c>
      <c r="D392" s="8"/>
      <c r="E392" s="8"/>
      <c r="F392" s="79" t="s">
        <v>229</v>
      </c>
      <c r="G392" s="76">
        <v>6</v>
      </c>
      <c r="H392" s="77">
        <v>399</v>
      </c>
      <c r="I392" s="77">
        <v>479</v>
      </c>
      <c r="J392" s="77">
        <v>599</v>
      </c>
      <c r="K392" s="78">
        <v>120</v>
      </c>
    </row>
    <row r="393" spans="1:11" ht="16.5" customHeight="1" x14ac:dyDescent="0.25">
      <c r="A393" s="124">
        <v>42806</v>
      </c>
      <c r="B393" s="74">
        <v>0.36588235294117599</v>
      </c>
      <c r="C393" s="75" t="s">
        <v>787</v>
      </c>
      <c r="D393" s="8"/>
      <c r="E393" s="8"/>
      <c r="F393" s="79" t="s">
        <v>230</v>
      </c>
      <c r="G393" s="76">
        <v>6</v>
      </c>
      <c r="H393" s="77">
        <v>359</v>
      </c>
      <c r="I393" s="77">
        <v>431</v>
      </c>
      <c r="J393" s="77">
        <v>539</v>
      </c>
      <c r="K393" s="78">
        <v>108</v>
      </c>
    </row>
    <row r="394" spans="1:11" ht="16.5" customHeight="1" x14ac:dyDescent="0.25">
      <c r="A394" s="124">
        <v>42816</v>
      </c>
      <c r="B394" s="74">
        <v>0.44764705882352901</v>
      </c>
      <c r="C394" s="75" t="s">
        <v>829</v>
      </c>
      <c r="D394" s="8"/>
      <c r="E394" s="8"/>
      <c r="F394" s="79" t="s">
        <v>330</v>
      </c>
      <c r="G394" s="76">
        <v>10</v>
      </c>
      <c r="H394" s="77">
        <v>626</v>
      </c>
      <c r="I394" s="77">
        <v>751</v>
      </c>
      <c r="J394" s="77">
        <v>939</v>
      </c>
      <c r="K394" s="78">
        <v>188</v>
      </c>
    </row>
    <row r="395" spans="1:11" ht="16.5" customHeight="1" x14ac:dyDescent="0.25">
      <c r="A395" s="124">
        <v>42828</v>
      </c>
      <c r="B395" s="74">
        <v>0.44764705882352901</v>
      </c>
      <c r="C395" s="75" t="s">
        <v>833</v>
      </c>
      <c r="D395" s="8"/>
      <c r="E395" s="8"/>
      <c r="F395" s="79" t="s">
        <v>309</v>
      </c>
      <c r="G395" s="76">
        <v>10</v>
      </c>
      <c r="H395" s="77">
        <v>626</v>
      </c>
      <c r="I395" s="77">
        <v>751</v>
      </c>
      <c r="J395" s="77">
        <v>939</v>
      </c>
      <c r="K395" s="78">
        <v>188</v>
      </c>
    </row>
    <row r="396" spans="1:11" ht="16.5" customHeight="1" x14ac:dyDescent="0.25">
      <c r="A396" s="124">
        <v>42864</v>
      </c>
      <c r="B396" s="74">
        <v>0.485151515151515</v>
      </c>
      <c r="C396" s="75" t="s">
        <v>120</v>
      </c>
      <c r="D396" s="8"/>
      <c r="E396" s="8"/>
      <c r="F396" s="79" t="s">
        <v>834</v>
      </c>
      <c r="G396" s="76">
        <v>17</v>
      </c>
      <c r="H396" s="77">
        <v>1133</v>
      </c>
      <c r="I396" s="77">
        <v>1359</v>
      </c>
      <c r="J396" s="77">
        <v>1699</v>
      </c>
      <c r="K396" s="78">
        <v>340</v>
      </c>
    </row>
    <row r="397" spans="1:11" ht="16.5" customHeight="1" x14ac:dyDescent="0.25">
      <c r="A397" s="124">
        <v>42881</v>
      </c>
      <c r="B397" s="74">
        <v>0.34531250000000002</v>
      </c>
      <c r="C397" s="75" t="s">
        <v>527</v>
      </c>
      <c r="D397" s="8"/>
      <c r="E397" s="8"/>
      <c r="F397" s="79" t="s">
        <v>835</v>
      </c>
      <c r="G397" s="76">
        <v>4</v>
      </c>
      <c r="H397" s="77">
        <v>279</v>
      </c>
      <c r="I397" s="77">
        <v>335</v>
      </c>
      <c r="J397" s="77">
        <v>419</v>
      </c>
      <c r="K397" s="78">
        <v>84</v>
      </c>
    </row>
    <row r="398" spans="1:11" ht="16.5" customHeight="1" x14ac:dyDescent="0.25">
      <c r="A398" s="124">
        <v>42884</v>
      </c>
      <c r="B398" s="74">
        <v>0.40090909090909099</v>
      </c>
      <c r="C398" s="75" t="s">
        <v>799</v>
      </c>
      <c r="D398" s="8"/>
      <c r="E398" s="8"/>
      <c r="F398" s="79" t="s">
        <v>836</v>
      </c>
      <c r="G398" s="76">
        <v>7</v>
      </c>
      <c r="H398" s="77">
        <v>439</v>
      </c>
      <c r="I398" s="77">
        <v>527</v>
      </c>
      <c r="J398" s="77">
        <v>659</v>
      </c>
      <c r="K398" s="78">
        <v>132</v>
      </c>
    </row>
    <row r="399" spans="1:11" ht="16.5" customHeight="1" x14ac:dyDescent="0.25">
      <c r="A399" s="124">
        <v>43053</v>
      </c>
      <c r="B399" s="74">
        <v>0.44666666666666699</v>
      </c>
      <c r="C399" s="75" t="s">
        <v>566</v>
      </c>
      <c r="D399" s="8"/>
      <c r="E399" s="8"/>
      <c r="F399" s="79" t="s">
        <v>837</v>
      </c>
      <c r="G399" s="76">
        <v>3</v>
      </c>
      <c r="H399" s="77">
        <v>166</v>
      </c>
      <c r="I399" s="77">
        <v>199</v>
      </c>
      <c r="J399" s="77">
        <v>249</v>
      </c>
      <c r="K399" s="78">
        <v>50</v>
      </c>
    </row>
    <row r="400" spans="1:11" ht="16.5" customHeight="1" x14ac:dyDescent="0.25">
      <c r="A400" s="124">
        <v>43054</v>
      </c>
      <c r="B400" s="74">
        <v>0.44666666666666699</v>
      </c>
      <c r="C400" s="75" t="s">
        <v>566</v>
      </c>
      <c r="D400" s="8"/>
      <c r="E400" s="8"/>
      <c r="F400" s="79" t="s">
        <v>838</v>
      </c>
      <c r="G400" s="76">
        <v>3</v>
      </c>
      <c r="H400" s="77">
        <v>166</v>
      </c>
      <c r="I400" s="77">
        <v>199</v>
      </c>
      <c r="J400" s="77">
        <v>249</v>
      </c>
      <c r="K400" s="78">
        <v>50</v>
      </c>
    </row>
    <row r="401" spans="1:11" ht="16.5" customHeight="1" x14ac:dyDescent="0.25">
      <c r="A401" s="124">
        <v>43085</v>
      </c>
      <c r="B401" s="74">
        <v>0.34531250000000002</v>
      </c>
      <c r="C401" s="75" t="s">
        <v>839</v>
      </c>
      <c r="D401" s="8"/>
      <c r="E401" s="8"/>
      <c r="F401" s="79" t="s">
        <v>840</v>
      </c>
      <c r="G401" s="76">
        <v>4</v>
      </c>
      <c r="H401" s="77">
        <v>279</v>
      </c>
      <c r="I401" s="77">
        <v>335</v>
      </c>
      <c r="J401" s="77">
        <v>419</v>
      </c>
      <c r="K401" s="78">
        <v>84</v>
      </c>
    </row>
    <row r="402" spans="1:11" ht="16.5" customHeight="1" x14ac:dyDescent="0.25">
      <c r="A402" s="124">
        <v>43119</v>
      </c>
      <c r="B402" s="74">
        <v>0.29375000000000001</v>
      </c>
      <c r="C402" s="75" t="s">
        <v>839</v>
      </c>
      <c r="D402" s="8"/>
      <c r="E402" s="8"/>
      <c r="F402" s="79" t="s">
        <v>841</v>
      </c>
      <c r="G402" s="76">
        <v>3</v>
      </c>
      <c r="H402" s="77">
        <v>226</v>
      </c>
      <c r="I402" s="77">
        <v>271</v>
      </c>
      <c r="J402" s="77">
        <v>339</v>
      </c>
      <c r="K402" s="78">
        <v>68</v>
      </c>
    </row>
    <row r="403" spans="1:11" ht="16.5" customHeight="1" x14ac:dyDescent="0.25">
      <c r="A403" s="124">
        <v>43123</v>
      </c>
      <c r="B403" s="74">
        <v>0.55125000000000002</v>
      </c>
      <c r="C403" s="75" t="s">
        <v>842</v>
      </c>
      <c r="D403" s="8"/>
      <c r="E403" s="8"/>
      <c r="F403" s="79" t="s">
        <v>843</v>
      </c>
      <c r="G403" s="76">
        <v>4</v>
      </c>
      <c r="H403" s="77">
        <v>239</v>
      </c>
      <c r="I403" s="77">
        <v>287</v>
      </c>
      <c r="J403" s="77">
        <v>359</v>
      </c>
      <c r="K403" s="78">
        <v>72</v>
      </c>
    </row>
    <row r="404" spans="1:11" ht="16.5" customHeight="1" x14ac:dyDescent="0.25">
      <c r="A404" s="124">
        <v>43154</v>
      </c>
      <c r="B404" s="74">
        <v>0.503571428571429</v>
      </c>
      <c r="C404" s="75" t="s">
        <v>725</v>
      </c>
      <c r="D404" s="8"/>
      <c r="E404" s="8"/>
      <c r="F404" s="79" t="s">
        <v>844</v>
      </c>
      <c r="G404" s="76">
        <v>1</v>
      </c>
      <c r="H404" s="77">
        <v>93</v>
      </c>
      <c r="I404" s="77">
        <v>111</v>
      </c>
      <c r="J404" s="77">
        <v>139</v>
      </c>
      <c r="K404" s="78">
        <v>28</v>
      </c>
    </row>
    <row r="405" spans="1:11" ht="16.5" customHeight="1" x14ac:dyDescent="0.25">
      <c r="A405" s="124">
        <v>43185</v>
      </c>
      <c r="B405" s="74">
        <v>0.44133333333333302</v>
      </c>
      <c r="C405" s="75" t="s">
        <v>716</v>
      </c>
      <c r="D405" s="8"/>
      <c r="E405" s="8"/>
      <c r="F405" s="79" t="s">
        <v>845</v>
      </c>
      <c r="G405" s="76">
        <v>4</v>
      </c>
      <c r="H405" s="77">
        <v>279</v>
      </c>
      <c r="I405" s="77">
        <v>335</v>
      </c>
      <c r="J405" s="77">
        <v>419</v>
      </c>
      <c r="K405" s="78">
        <v>84</v>
      </c>
    </row>
    <row r="406" spans="1:11" ht="16.5" customHeight="1" x14ac:dyDescent="0.25">
      <c r="A406" s="124">
        <v>43205</v>
      </c>
      <c r="B406" s="74">
        <v>0.52500000000000002</v>
      </c>
      <c r="C406" s="75" t="s">
        <v>626</v>
      </c>
      <c r="D406" s="8"/>
      <c r="E406" s="8"/>
      <c r="F406" s="79" t="s">
        <v>846</v>
      </c>
      <c r="G406" s="76">
        <v>4</v>
      </c>
      <c r="H406" s="77">
        <v>266</v>
      </c>
      <c r="I406" s="77">
        <v>319</v>
      </c>
      <c r="J406" s="77">
        <v>399</v>
      </c>
      <c r="K406" s="78">
        <v>80</v>
      </c>
    </row>
    <row r="407" spans="1:11" ht="16.5" customHeight="1" x14ac:dyDescent="0.25">
      <c r="A407" s="124">
        <v>43206</v>
      </c>
      <c r="B407" s="74">
        <v>0.52500000000000002</v>
      </c>
      <c r="C407" s="75" t="s">
        <v>626</v>
      </c>
      <c r="D407" s="8"/>
      <c r="E407" s="8"/>
      <c r="F407" s="79" t="s">
        <v>847</v>
      </c>
      <c r="G407" s="76">
        <v>4</v>
      </c>
      <c r="H407" s="77">
        <v>266</v>
      </c>
      <c r="I407" s="77">
        <v>319</v>
      </c>
      <c r="J407" s="77">
        <v>399</v>
      </c>
      <c r="K407" s="78">
        <v>80</v>
      </c>
    </row>
    <row r="408" spans="1:11" ht="16.5" customHeight="1" x14ac:dyDescent="0.25">
      <c r="A408" s="124">
        <v>43207</v>
      </c>
      <c r="B408" s="74">
        <v>0.52500000000000002</v>
      </c>
      <c r="C408" s="75" t="s">
        <v>626</v>
      </c>
      <c r="D408" s="8"/>
      <c r="E408" s="8"/>
      <c r="F408" s="79" t="s">
        <v>848</v>
      </c>
      <c r="G408" s="76">
        <v>4</v>
      </c>
      <c r="H408" s="77">
        <v>266</v>
      </c>
      <c r="I408" s="77">
        <v>319</v>
      </c>
      <c r="J408" s="77">
        <v>399</v>
      </c>
      <c r="K408" s="78">
        <v>80</v>
      </c>
    </row>
    <row r="409" spans="1:11" ht="16.5" customHeight="1" x14ac:dyDescent="0.25">
      <c r="A409" s="124">
        <v>43243</v>
      </c>
      <c r="B409" s="74">
        <v>0.318636363636364</v>
      </c>
      <c r="C409" s="75" t="s">
        <v>767</v>
      </c>
      <c r="D409" s="8"/>
      <c r="E409" s="8"/>
      <c r="F409" s="79" t="s">
        <v>849</v>
      </c>
      <c r="G409" s="76">
        <v>15</v>
      </c>
      <c r="H409" s="77">
        <v>999</v>
      </c>
      <c r="I409" s="77">
        <v>1199</v>
      </c>
      <c r="J409" s="77">
        <v>1499</v>
      </c>
      <c r="K409" s="78">
        <v>300</v>
      </c>
    </row>
    <row r="410" spans="1:11" ht="16.5" customHeight="1" x14ac:dyDescent="0.25">
      <c r="A410" s="124">
        <v>43244</v>
      </c>
      <c r="B410" s="74">
        <v>0.318636363636364</v>
      </c>
      <c r="C410" s="75" t="s">
        <v>767</v>
      </c>
      <c r="D410" s="8"/>
      <c r="E410" s="8"/>
      <c r="F410" s="79" t="s">
        <v>850</v>
      </c>
      <c r="G410" s="76">
        <v>15</v>
      </c>
      <c r="H410" s="77">
        <v>999</v>
      </c>
      <c r="I410" s="77">
        <v>1199</v>
      </c>
      <c r="J410" s="77">
        <v>1499</v>
      </c>
      <c r="K410" s="78">
        <v>300</v>
      </c>
    </row>
    <row r="411" spans="1:11" ht="16.5" customHeight="1" x14ac:dyDescent="0.25">
      <c r="A411" s="124">
        <v>43245</v>
      </c>
      <c r="B411" s="74">
        <v>0.318636363636364</v>
      </c>
      <c r="C411" s="75" t="s">
        <v>767</v>
      </c>
      <c r="D411" s="8"/>
      <c r="E411" s="8"/>
      <c r="F411" s="79" t="s">
        <v>851</v>
      </c>
      <c r="G411" s="76">
        <v>15</v>
      </c>
      <c r="H411" s="77">
        <v>999</v>
      </c>
      <c r="I411" s="77">
        <v>1199</v>
      </c>
      <c r="J411" s="77">
        <v>1499</v>
      </c>
      <c r="K411" s="78">
        <v>300</v>
      </c>
    </row>
    <row r="412" spans="1:11" ht="16.5" customHeight="1" x14ac:dyDescent="0.25">
      <c r="A412" s="124">
        <v>43246</v>
      </c>
      <c r="B412" s="74">
        <v>0.318636363636364</v>
      </c>
      <c r="C412" s="75" t="s">
        <v>767</v>
      </c>
      <c r="D412" s="8"/>
      <c r="E412" s="8"/>
      <c r="F412" s="79" t="s">
        <v>852</v>
      </c>
      <c r="G412" s="76">
        <v>15</v>
      </c>
      <c r="H412" s="77">
        <v>999</v>
      </c>
      <c r="I412" s="77">
        <v>1199</v>
      </c>
      <c r="J412" s="77">
        <v>1499</v>
      </c>
      <c r="K412" s="78">
        <v>300</v>
      </c>
    </row>
    <row r="413" spans="1:11" ht="16.5" customHeight="1" x14ac:dyDescent="0.25">
      <c r="A413" s="124">
        <v>43247</v>
      </c>
      <c r="B413" s="74">
        <v>0.318636363636364</v>
      </c>
      <c r="C413" s="75" t="s">
        <v>767</v>
      </c>
      <c r="D413" s="8"/>
      <c r="E413" s="8"/>
      <c r="F413" s="79" t="s">
        <v>853</v>
      </c>
      <c r="G413" s="76">
        <v>15</v>
      </c>
      <c r="H413" s="77">
        <v>999</v>
      </c>
      <c r="I413" s="77">
        <v>1199</v>
      </c>
      <c r="J413" s="77">
        <v>1499</v>
      </c>
      <c r="K413" s="78">
        <v>300</v>
      </c>
    </row>
    <row r="414" spans="1:11" ht="16.5" customHeight="1" x14ac:dyDescent="0.25">
      <c r="A414" s="124">
        <v>43248</v>
      </c>
      <c r="B414" s="74">
        <v>0.318636363636364</v>
      </c>
      <c r="C414" s="75" t="s">
        <v>767</v>
      </c>
      <c r="D414" s="8"/>
      <c r="E414" s="8"/>
      <c r="F414" s="79" t="s">
        <v>459</v>
      </c>
      <c r="G414" s="76">
        <v>15</v>
      </c>
      <c r="H414" s="77">
        <v>999</v>
      </c>
      <c r="I414" s="77">
        <v>1199</v>
      </c>
      <c r="J414" s="77">
        <v>1499</v>
      </c>
      <c r="K414" s="78">
        <v>300</v>
      </c>
    </row>
    <row r="415" spans="1:11" ht="16.5" customHeight="1" x14ac:dyDescent="0.25">
      <c r="A415" s="124">
        <v>43249</v>
      </c>
      <c r="B415" s="74">
        <v>0.318636363636364</v>
      </c>
      <c r="C415" s="75" t="s">
        <v>767</v>
      </c>
      <c r="D415" s="8"/>
      <c r="E415" s="8"/>
      <c r="F415" s="79" t="s">
        <v>460</v>
      </c>
      <c r="G415" s="76">
        <v>15</v>
      </c>
      <c r="H415" s="77">
        <v>999</v>
      </c>
      <c r="I415" s="77">
        <v>1199</v>
      </c>
      <c r="J415" s="77">
        <v>1499</v>
      </c>
      <c r="K415" s="78">
        <v>300</v>
      </c>
    </row>
    <row r="416" spans="1:11" ht="16.5" customHeight="1" x14ac:dyDescent="0.25">
      <c r="A416" s="124">
        <v>43416</v>
      </c>
      <c r="B416" s="74">
        <v>0.40090909090909099</v>
      </c>
      <c r="C416" s="75" t="s">
        <v>854</v>
      </c>
      <c r="D416" s="8"/>
      <c r="E416" s="8"/>
      <c r="F416" s="79" t="s">
        <v>855</v>
      </c>
      <c r="G416" s="76">
        <v>7</v>
      </c>
      <c r="H416" s="77">
        <v>439</v>
      </c>
      <c r="I416" s="77">
        <v>527</v>
      </c>
      <c r="J416" s="77">
        <v>659</v>
      </c>
      <c r="K416" s="78">
        <v>132</v>
      </c>
    </row>
    <row r="417" spans="1:11" ht="16.5" customHeight="1" x14ac:dyDescent="0.25">
      <c r="A417" s="124">
        <v>43662</v>
      </c>
      <c r="B417" s="74">
        <v>0.34891304347826102</v>
      </c>
      <c r="C417" s="75" t="s">
        <v>796</v>
      </c>
      <c r="D417" s="8"/>
      <c r="E417" s="8"/>
      <c r="F417" s="79" t="s">
        <v>856</v>
      </c>
      <c r="G417" s="76">
        <v>6</v>
      </c>
      <c r="H417" s="77">
        <v>399</v>
      </c>
      <c r="I417" s="77">
        <v>479</v>
      </c>
      <c r="J417" s="77">
        <v>599</v>
      </c>
      <c r="K417" s="78">
        <v>120</v>
      </c>
    </row>
    <row r="418" spans="1:11" ht="16.5" customHeight="1" x14ac:dyDescent="0.25">
      <c r="A418" s="124">
        <v>43663</v>
      </c>
      <c r="B418" s="74">
        <v>0.34891304347826102</v>
      </c>
      <c r="C418" s="75" t="s">
        <v>800</v>
      </c>
      <c r="D418" s="8"/>
      <c r="E418" s="8"/>
      <c r="F418" s="79" t="s">
        <v>857</v>
      </c>
      <c r="G418" s="76">
        <v>6</v>
      </c>
      <c r="H418" s="77">
        <v>399</v>
      </c>
      <c r="I418" s="77">
        <v>479</v>
      </c>
      <c r="J418" s="77">
        <v>599</v>
      </c>
      <c r="K418" s="78">
        <v>120</v>
      </c>
    </row>
    <row r="419" spans="1:11" ht="16.5" customHeight="1" x14ac:dyDescent="0.25">
      <c r="A419" s="124">
        <v>43672</v>
      </c>
      <c r="B419" s="74"/>
      <c r="C419" s="75" t="s">
        <v>542</v>
      </c>
      <c r="D419" s="8"/>
      <c r="E419" s="8"/>
      <c r="F419" s="79" t="s">
        <v>231</v>
      </c>
      <c r="G419" s="76">
        <v>5</v>
      </c>
      <c r="H419" s="77">
        <v>320</v>
      </c>
      <c r="I419" s="77">
        <v>384</v>
      </c>
      <c r="J419" s="77">
        <v>480</v>
      </c>
      <c r="K419" s="78">
        <v>96</v>
      </c>
    </row>
    <row r="420" spans="1:11" ht="16.5" customHeight="1" x14ac:dyDescent="0.25">
      <c r="A420" s="124">
        <v>43691</v>
      </c>
      <c r="B420" s="74">
        <v>0.302230215827338</v>
      </c>
      <c r="C420" s="75" t="s">
        <v>858</v>
      </c>
      <c r="D420" s="8"/>
      <c r="E420" s="8"/>
      <c r="F420" s="79" t="s">
        <v>86</v>
      </c>
      <c r="G420" s="76">
        <v>120</v>
      </c>
      <c r="H420" s="77">
        <v>6466</v>
      </c>
      <c r="I420" s="77">
        <v>7759</v>
      </c>
      <c r="J420" s="77">
        <v>9699</v>
      </c>
      <c r="K420" s="78">
        <v>1940</v>
      </c>
    </row>
    <row r="421" spans="1:11" ht="16.5" customHeight="1" x14ac:dyDescent="0.25">
      <c r="A421" s="124">
        <v>43695</v>
      </c>
      <c r="B421" s="74">
        <v>0.302230215827338</v>
      </c>
      <c r="C421" s="75" t="s">
        <v>858</v>
      </c>
      <c r="D421" s="8"/>
      <c r="E421" s="8"/>
      <c r="F421" s="79" t="s">
        <v>87</v>
      </c>
      <c r="G421" s="76">
        <v>120</v>
      </c>
      <c r="H421" s="77">
        <v>6466</v>
      </c>
      <c r="I421" s="77">
        <v>7759</v>
      </c>
      <c r="J421" s="77">
        <v>9699</v>
      </c>
      <c r="K421" s="78">
        <v>1940</v>
      </c>
    </row>
    <row r="422" spans="1:11" ht="16.5" customHeight="1" x14ac:dyDescent="0.25">
      <c r="A422" s="124">
        <v>43850</v>
      </c>
      <c r="B422" s="74"/>
      <c r="C422" s="75" t="s">
        <v>562</v>
      </c>
      <c r="D422" s="8"/>
      <c r="E422" s="8"/>
      <c r="F422" s="79" t="s">
        <v>859</v>
      </c>
      <c r="G422" s="76">
        <v>9</v>
      </c>
      <c r="H422" s="77">
        <v>300</v>
      </c>
      <c r="I422" s="77">
        <v>720</v>
      </c>
      <c r="J422" s="77">
        <v>900</v>
      </c>
      <c r="K422" s="78">
        <v>180</v>
      </c>
    </row>
    <row r="423" spans="1:11" ht="16.5" customHeight="1" x14ac:dyDescent="0.25">
      <c r="A423" s="124">
        <v>43908</v>
      </c>
      <c r="B423" s="74">
        <v>0.29375000000000001</v>
      </c>
      <c r="C423" s="75" t="s">
        <v>587</v>
      </c>
      <c r="D423" s="8"/>
      <c r="E423" s="8"/>
      <c r="F423" s="79" t="s">
        <v>860</v>
      </c>
      <c r="G423" s="76">
        <v>3</v>
      </c>
      <c r="H423" s="77">
        <v>226</v>
      </c>
      <c r="I423" s="77">
        <v>271</v>
      </c>
      <c r="J423" s="77">
        <v>339</v>
      </c>
      <c r="K423" s="78">
        <v>68</v>
      </c>
    </row>
    <row r="424" spans="1:11" ht="16.5" customHeight="1" x14ac:dyDescent="0.25">
      <c r="A424" s="124">
        <v>43909</v>
      </c>
      <c r="B424" s="74">
        <v>0.35499999999999998</v>
      </c>
      <c r="C424" s="75" t="s">
        <v>587</v>
      </c>
      <c r="D424" s="8"/>
      <c r="E424" s="8"/>
      <c r="F424" s="79" t="s">
        <v>861</v>
      </c>
      <c r="G424" s="76">
        <v>1</v>
      </c>
      <c r="H424" s="77">
        <v>86</v>
      </c>
      <c r="I424" s="77">
        <v>103</v>
      </c>
      <c r="J424" s="77">
        <v>129</v>
      </c>
      <c r="K424" s="78">
        <v>26</v>
      </c>
    </row>
    <row r="425" spans="1:11" ht="16.5" customHeight="1" x14ac:dyDescent="0.25">
      <c r="A425" s="124">
        <v>43925</v>
      </c>
      <c r="B425" s="74">
        <v>0.34590163934426199</v>
      </c>
      <c r="C425" s="75" t="s">
        <v>549</v>
      </c>
      <c r="D425" s="8"/>
      <c r="E425" s="8"/>
      <c r="F425" s="79" t="s">
        <v>862</v>
      </c>
      <c r="G425" s="76">
        <v>4</v>
      </c>
      <c r="H425" s="77">
        <v>266</v>
      </c>
      <c r="I425" s="77">
        <v>319</v>
      </c>
      <c r="J425" s="77">
        <v>399</v>
      </c>
      <c r="K425" s="78">
        <v>80</v>
      </c>
    </row>
    <row r="426" spans="1:11" ht="16.5" customHeight="1" x14ac:dyDescent="0.25">
      <c r="A426" s="124">
        <v>43926</v>
      </c>
      <c r="B426" s="74">
        <v>0.39791666666666697</v>
      </c>
      <c r="C426" s="75" t="s">
        <v>549</v>
      </c>
      <c r="D426" s="8"/>
      <c r="E426" s="8"/>
      <c r="F426" s="79" t="s">
        <v>863</v>
      </c>
      <c r="G426" s="76">
        <v>3</v>
      </c>
      <c r="H426" s="77">
        <v>193</v>
      </c>
      <c r="I426" s="77">
        <v>231</v>
      </c>
      <c r="J426" s="77">
        <v>289</v>
      </c>
      <c r="K426" s="78">
        <v>58</v>
      </c>
    </row>
    <row r="427" spans="1:11" ht="16.5" customHeight="1" x14ac:dyDescent="0.25">
      <c r="A427" s="124">
        <v>43979</v>
      </c>
      <c r="B427" s="74"/>
      <c r="C427" s="75" t="s">
        <v>554</v>
      </c>
      <c r="D427" s="8"/>
      <c r="E427" s="8"/>
      <c r="F427" s="79" t="s">
        <v>864</v>
      </c>
      <c r="G427" s="76">
        <v>3</v>
      </c>
      <c r="H427" s="77">
        <v>100</v>
      </c>
      <c r="I427" s="77">
        <v>239</v>
      </c>
      <c r="J427" s="77">
        <v>299</v>
      </c>
      <c r="K427" s="78">
        <v>60</v>
      </c>
    </row>
    <row r="428" spans="1:11" ht="16.5" customHeight="1" x14ac:dyDescent="0.25">
      <c r="A428" s="124">
        <v>44002</v>
      </c>
      <c r="B428" s="74">
        <v>0.40333333333333299</v>
      </c>
      <c r="C428" s="75" t="s">
        <v>626</v>
      </c>
      <c r="D428" s="8"/>
      <c r="E428" s="8"/>
      <c r="F428" s="79" t="s">
        <v>865</v>
      </c>
      <c r="G428" s="76">
        <v>2</v>
      </c>
      <c r="H428" s="77">
        <v>60</v>
      </c>
      <c r="I428" s="77">
        <v>143</v>
      </c>
      <c r="J428" s="77">
        <v>179</v>
      </c>
      <c r="K428" s="78">
        <v>36</v>
      </c>
    </row>
    <row r="429" spans="1:11" ht="16.5" customHeight="1" x14ac:dyDescent="0.25">
      <c r="A429" s="124">
        <v>44004</v>
      </c>
      <c r="B429" s="74">
        <v>0.39791666666666697</v>
      </c>
      <c r="C429" s="75" t="s">
        <v>579</v>
      </c>
      <c r="D429" s="8"/>
      <c r="E429" s="8"/>
      <c r="F429" s="79" t="s">
        <v>866</v>
      </c>
      <c r="G429" s="76">
        <v>3</v>
      </c>
      <c r="H429" s="77">
        <v>97</v>
      </c>
      <c r="I429" s="77">
        <v>231</v>
      </c>
      <c r="J429" s="77">
        <v>289</v>
      </c>
      <c r="K429" s="78">
        <v>58</v>
      </c>
    </row>
    <row r="430" spans="1:11" ht="16.5" customHeight="1" x14ac:dyDescent="0.25">
      <c r="A430" s="124">
        <v>44006</v>
      </c>
      <c r="B430" s="74">
        <v>0.60697674418604697</v>
      </c>
      <c r="C430" s="75" t="s">
        <v>867</v>
      </c>
      <c r="D430" s="8"/>
      <c r="E430" s="8"/>
      <c r="F430" s="79" t="s">
        <v>234</v>
      </c>
      <c r="G430" s="76">
        <v>2</v>
      </c>
      <c r="H430" s="77">
        <v>57</v>
      </c>
      <c r="I430" s="77">
        <v>135</v>
      </c>
      <c r="J430" s="77">
        <v>169</v>
      </c>
      <c r="K430" s="78">
        <v>34</v>
      </c>
    </row>
    <row r="431" spans="1:11" ht="16.5" customHeight="1" x14ac:dyDescent="0.25">
      <c r="A431" s="124">
        <v>44008</v>
      </c>
      <c r="B431" s="74">
        <v>0.38416666666666699</v>
      </c>
      <c r="C431" s="75" t="s">
        <v>854</v>
      </c>
      <c r="D431" s="8"/>
      <c r="E431" s="8"/>
      <c r="F431" s="79" t="s">
        <v>235</v>
      </c>
      <c r="G431" s="76">
        <v>8</v>
      </c>
      <c r="H431" s="77">
        <v>493</v>
      </c>
      <c r="I431" s="77">
        <v>591</v>
      </c>
      <c r="J431" s="77">
        <v>739</v>
      </c>
      <c r="K431" s="78">
        <v>148</v>
      </c>
    </row>
    <row r="432" spans="1:11" ht="16.5" customHeight="1" x14ac:dyDescent="0.25">
      <c r="A432" s="124">
        <v>44253</v>
      </c>
      <c r="B432" s="74">
        <v>0.34943820224719102</v>
      </c>
      <c r="C432" s="75" t="s">
        <v>529</v>
      </c>
      <c r="D432" s="8"/>
      <c r="E432" s="8"/>
      <c r="F432" s="79" t="s">
        <v>236</v>
      </c>
      <c r="G432" s="76">
        <v>6</v>
      </c>
      <c r="H432" s="77">
        <v>386</v>
      </c>
      <c r="I432" s="77">
        <v>463</v>
      </c>
      <c r="J432" s="77">
        <v>579</v>
      </c>
      <c r="K432" s="78">
        <v>116</v>
      </c>
    </row>
    <row r="433" spans="1:11" ht="16.5" customHeight="1" x14ac:dyDescent="0.25">
      <c r="A433" s="124">
        <v>44254</v>
      </c>
      <c r="B433" s="74">
        <v>0.44733333333333303</v>
      </c>
      <c r="C433" s="75" t="s">
        <v>529</v>
      </c>
      <c r="D433" s="8"/>
      <c r="E433" s="8"/>
      <c r="F433" s="79" t="s">
        <v>237</v>
      </c>
      <c r="G433" s="76">
        <v>9</v>
      </c>
      <c r="H433" s="77">
        <v>553</v>
      </c>
      <c r="I433" s="77">
        <v>663</v>
      </c>
      <c r="J433" s="77">
        <v>829</v>
      </c>
      <c r="K433" s="78">
        <v>166</v>
      </c>
    </row>
    <row r="434" spans="1:11" ht="16.5" customHeight="1" x14ac:dyDescent="0.25">
      <c r="A434" s="124">
        <v>44257</v>
      </c>
      <c r="B434" s="74">
        <v>0.40561797752808998</v>
      </c>
      <c r="C434" s="75" t="s">
        <v>529</v>
      </c>
      <c r="D434" s="8"/>
      <c r="E434" s="8"/>
      <c r="F434" s="79" t="s">
        <v>238</v>
      </c>
      <c r="G434" s="76">
        <v>5</v>
      </c>
      <c r="H434" s="77">
        <v>353</v>
      </c>
      <c r="I434" s="77">
        <v>423</v>
      </c>
      <c r="J434" s="77">
        <v>529</v>
      </c>
      <c r="K434" s="78">
        <v>106</v>
      </c>
    </row>
    <row r="435" spans="1:11" ht="16.5" customHeight="1" x14ac:dyDescent="0.25">
      <c r="A435" s="124">
        <v>44280</v>
      </c>
      <c r="B435" s="74">
        <v>0.43846153846153901</v>
      </c>
      <c r="C435" s="75" t="s">
        <v>725</v>
      </c>
      <c r="D435" s="8"/>
      <c r="E435" s="8"/>
      <c r="F435" s="79" t="s">
        <v>239</v>
      </c>
      <c r="G435" s="76">
        <v>2</v>
      </c>
      <c r="H435" s="77">
        <v>146</v>
      </c>
      <c r="I435" s="77">
        <v>175</v>
      </c>
      <c r="J435" s="77">
        <v>219</v>
      </c>
      <c r="K435" s="78">
        <v>44</v>
      </c>
    </row>
    <row r="436" spans="1:11" ht="16.5" customHeight="1" x14ac:dyDescent="0.25">
      <c r="A436" s="124">
        <v>44299</v>
      </c>
      <c r="B436" s="74">
        <v>0.50045454545454504</v>
      </c>
      <c r="C436" s="75" t="s">
        <v>802</v>
      </c>
      <c r="D436" s="8"/>
      <c r="E436" s="8"/>
      <c r="F436" s="79" t="s">
        <v>240</v>
      </c>
      <c r="G436" s="76">
        <v>11</v>
      </c>
      <c r="H436" s="77">
        <v>733</v>
      </c>
      <c r="I436" s="77">
        <v>879</v>
      </c>
      <c r="J436" s="77">
        <v>1099</v>
      </c>
      <c r="K436" s="78">
        <v>220</v>
      </c>
    </row>
    <row r="437" spans="1:11" ht="16.5" customHeight="1" x14ac:dyDescent="0.25">
      <c r="A437" s="124">
        <v>44306</v>
      </c>
      <c r="B437" s="74"/>
      <c r="C437" s="75" t="s">
        <v>526</v>
      </c>
      <c r="D437" s="8"/>
      <c r="E437" s="8"/>
      <c r="F437" s="85" t="s">
        <v>233</v>
      </c>
      <c r="G437" s="76" t="s">
        <v>17</v>
      </c>
      <c r="H437" s="77" t="s">
        <v>17</v>
      </c>
      <c r="I437" s="77">
        <v>35</v>
      </c>
      <c r="J437" s="77" t="s">
        <v>17</v>
      </c>
      <c r="K437" s="78" t="s">
        <v>17</v>
      </c>
    </row>
    <row r="438" spans="1:11" ht="16.5" customHeight="1" x14ac:dyDescent="0.25">
      <c r="A438" s="124">
        <v>44307</v>
      </c>
      <c r="B438" s="74"/>
      <c r="C438" s="75" t="s">
        <v>121</v>
      </c>
      <c r="D438" s="8"/>
      <c r="E438" s="8"/>
      <c r="F438" s="79" t="s">
        <v>241</v>
      </c>
      <c r="G438" s="76">
        <v>17</v>
      </c>
      <c r="H438" s="77">
        <v>1133</v>
      </c>
      <c r="I438" s="77">
        <v>1360</v>
      </c>
      <c r="J438" s="77">
        <v>1700</v>
      </c>
      <c r="K438" s="78">
        <v>340</v>
      </c>
    </row>
    <row r="439" spans="1:11" ht="16.5" customHeight="1" x14ac:dyDescent="0.25">
      <c r="A439" s="124">
        <v>44308</v>
      </c>
      <c r="B439" s="74">
        <v>0.500588235294118</v>
      </c>
      <c r="C439" s="75" t="s">
        <v>121</v>
      </c>
      <c r="D439" s="8"/>
      <c r="E439" s="8"/>
      <c r="F439" s="79" t="s">
        <v>242</v>
      </c>
      <c r="G439" s="76">
        <v>9</v>
      </c>
      <c r="H439" s="77">
        <v>566</v>
      </c>
      <c r="I439" s="77">
        <v>679</v>
      </c>
      <c r="J439" s="77">
        <v>849</v>
      </c>
      <c r="K439" s="78">
        <v>170</v>
      </c>
    </row>
    <row r="440" spans="1:11" ht="16.5" customHeight="1" x14ac:dyDescent="0.25">
      <c r="A440" s="124">
        <v>44327</v>
      </c>
      <c r="B440" s="74">
        <v>0.44764705882352901</v>
      </c>
      <c r="C440" s="75" t="s">
        <v>833</v>
      </c>
      <c r="D440" s="8"/>
      <c r="E440" s="8"/>
      <c r="F440" s="79" t="s">
        <v>243</v>
      </c>
      <c r="G440" s="76">
        <v>10</v>
      </c>
      <c r="H440" s="77">
        <v>626</v>
      </c>
      <c r="I440" s="77">
        <v>751</v>
      </c>
      <c r="J440" s="77">
        <v>939</v>
      </c>
      <c r="K440" s="78">
        <v>188</v>
      </c>
    </row>
    <row r="441" spans="1:11" ht="16.5" customHeight="1" x14ac:dyDescent="0.25">
      <c r="A441" s="124">
        <v>44370</v>
      </c>
      <c r="B441" s="74">
        <v>0.35411764705882398</v>
      </c>
      <c r="C441" s="75" t="s">
        <v>761</v>
      </c>
      <c r="D441" s="8"/>
      <c r="E441" s="8"/>
      <c r="F441" s="79" t="s">
        <v>244</v>
      </c>
      <c r="G441" s="76">
        <v>6</v>
      </c>
      <c r="H441" s="77">
        <v>366</v>
      </c>
      <c r="I441" s="77">
        <v>439</v>
      </c>
      <c r="J441" s="77">
        <v>549</v>
      </c>
      <c r="K441" s="78">
        <v>110</v>
      </c>
    </row>
    <row r="442" spans="1:11" ht="16.5" customHeight="1" x14ac:dyDescent="0.25">
      <c r="A442" s="124">
        <v>44399</v>
      </c>
      <c r="B442" s="74">
        <v>0.50555555555555598</v>
      </c>
      <c r="C442" s="75" t="s">
        <v>868</v>
      </c>
      <c r="D442" s="8"/>
      <c r="E442" s="8"/>
      <c r="F442" s="79" t="s">
        <v>245</v>
      </c>
      <c r="G442" s="76">
        <v>1</v>
      </c>
      <c r="H442" s="77">
        <v>59</v>
      </c>
      <c r="I442" s="77">
        <v>71</v>
      </c>
      <c r="J442" s="77">
        <v>89</v>
      </c>
      <c r="K442" s="78">
        <v>18</v>
      </c>
    </row>
    <row r="443" spans="1:11" ht="16.5" customHeight="1" x14ac:dyDescent="0.25">
      <c r="A443" s="124">
        <v>44422</v>
      </c>
      <c r="B443" s="74">
        <v>0.50555555555555598</v>
      </c>
      <c r="C443" s="75" t="s">
        <v>868</v>
      </c>
      <c r="D443" s="8"/>
      <c r="E443" s="8"/>
      <c r="F443" s="79" t="s">
        <v>246</v>
      </c>
      <c r="G443" s="76">
        <v>1</v>
      </c>
      <c r="H443" s="77">
        <v>59</v>
      </c>
      <c r="I443" s="77">
        <v>71</v>
      </c>
      <c r="J443" s="77">
        <v>89</v>
      </c>
      <c r="K443" s="78">
        <v>18</v>
      </c>
    </row>
    <row r="444" spans="1:11" ht="16.5" customHeight="1" x14ac:dyDescent="0.25">
      <c r="A444" s="124">
        <v>44480</v>
      </c>
      <c r="B444" s="74">
        <v>0.30166666666666703</v>
      </c>
      <c r="C444" s="75" t="s">
        <v>636</v>
      </c>
      <c r="D444" s="8"/>
      <c r="E444" s="8"/>
      <c r="F444" s="79" t="s">
        <v>80</v>
      </c>
      <c r="G444" s="76">
        <v>109</v>
      </c>
      <c r="H444" s="77">
        <v>5866</v>
      </c>
      <c r="I444" s="77">
        <v>7039</v>
      </c>
      <c r="J444" s="77">
        <v>8799</v>
      </c>
      <c r="K444" s="78">
        <v>1760</v>
      </c>
    </row>
    <row r="445" spans="1:11" ht="16.5" customHeight="1" x14ac:dyDescent="0.25">
      <c r="A445" s="124">
        <v>44569</v>
      </c>
      <c r="B445" s="74">
        <v>0.39642857142857102</v>
      </c>
      <c r="C445" s="75" t="s">
        <v>867</v>
      </c>
      <c r="D445" s="8"/>
      <c r="E445" s="8"/>
      <c r="F445" s="79" t="s">
        <v>247</v>
      </c>
      <c r="G445" s="76">
        <v>2</v>
      </c>
      <c r="H445" s="77">
        <v>113</v>
      </c>
      <c r="I445" s="77">
        <v>135</v>
      </c>
      <c r="J445" s="77">
        <v>169</v>
      </c>
      <c r="K445" s="78">
        <v>34</v>
      </c>
    </row>
    <row r="446" spans="1:11" ht="16.5" customHeight="1" x14ac:dyDescent="0.25">
      <c r="A446" s="124">
        <v>44574</v>
      </c>
      <c r="B446" s="74">
        <v>0.50128205128205106</v>
      </c>
      <c r="C446" s="75" t="s">
        <v>867</v>
      </c>
      <c r="D446" s="8"/>
      <c r="E446" s="8"/>
      <c r="F446" s="79" t="s">
        <v>248</v>
      </c>
      <c r="G446" s="76">
        <v>4</v>
      </c>
      <c r="H446" s="77">
        <v>259</v>
      </c>
      <c r="I446" s="77">
        <v>311</v>
      </c>
      <c r="J446" s="77">
        <v>389</v>
      </c>
      <c r="K446" s="78">
        <v>78</v>
      </c>
    </row>
    <row r="447" spans="1:11" ht="16.5" customHeight="1" x14ac:dyDescent="0.25">
      <c r="A447" s="124">
        <v>44575</v>
      </c>
      <c r="B447" s="74">
        <v>0.50128205128205106</v>
      </c>
      <c r="C447" s="75" t="s">
        <v>867</v>
      </c>
      <c r="D447" s="8"/>
      <c r="E447" s="8"/>
      <c r="F447" s="79" t="s">
        <v>249</v>
      </c>
      <c r="G447" s="76">
        <v>4</v>
      </c>
      <c r="H447" s="77">
        <v>259</v>
      </c>
      <c r="I447" s="77">
        <v>311</v>
      </c>
      <c r="J447" s="77">
        <v>389</v>
      </c>
      <c r="K447" s="78">
        <v>78</v>
      </c>
    </row>
    <row r="448" spans="1:11" ht="16.5" customHeight="1" x14ac:dyDescent="0.25">
      <c r="A448" s="124">
        <v>44950</v>
      </c>
      <c r="B448" s="74">
        <v>0.293939393939394</v>
      </c>
      <c r="C448" s="75" t="s">
        <v>869</v>
      </c>
      <c r="D448" s="8"/>
      <c r="E448" s="8"/>
      <c r="F448" s="79" t="s">
        <v>870</v>
      </c>
      <c r="G448" s="76">
        <v>7</v>
      </c>
      <c r="H448" s="77">
        <v>466</v>
      </c>
      <c r="I448" s="77">
        <v>559</v>
      </c>
      <c r="J448" s="77">
        <v>699</v>
      </c>
      <c r="K448" s="78">
        <v>140</v>
      </c>
    </row>
    <row r="449" spans="1:11" ht="16.5" customHeight="1" x14ac:dyDescent="0.25">
      <c r="A449" s="124">
        <v>44951</v>
      </c>
      <c r="B449" s="74"/>
      <c r="C449" s="75" t="s">
        <v>869</v>
      </c>
      <c r="D449" s="8"/>
      <c r="E449" s="8"/>
      <c r="F449" s="79" t="s">
        <v>468</v>
      </c>
      <c r="G449" s="76">
        <v>10</v>
      </c>
      <c r="H449" s="77">
        <v>660</v>
      </c>
      <c r="I449" s="77">
        <v>792</v>
      </c>
      <c r="J449" s="77">
        <v>990</v>
      </c>
      <c r="K449" s="78">
        <v>198</v>
      </c>
    </row>
    <row r="450" spans="1:11" ht="16.5" customHeight="1" x14ac:dyDescent="0.25">
      <c r="A450" s="124">
        <v>44952</v>
      </c>
      <c r="B450" s="74"/>
      <c r="C450" s="75" t="s">
        <v>665</v>
      </c>
      <c r="D450" s="8"/>
      <c r="E450" s="8"/>
      <c r="F450" s="79" t="s">
        <v>871</v>
      </c>
      <c r="G450" s="76">
        <v>6</v>
      </c>
      <c r="H450" s="77">
        <v>387</v>
      </c>
      <c r="I450" s="77">
        <v>464</v>
      </c>
      <c r="J450" s="77">
        <v>580</v>
      </c>
      <c r="K450" s="78">
        <v>116</v>
      </c>
    </row>
    <row r="451" spans="1:11" ht="16.5" customHeight="1" x14ac:dyDescent="0.25">
      <c r="A451" s="124">
        <v>44953</v>
      </c>
      <c r="B451" s="74">
        <v>0.34655172413793101</v>
      </c>
      <c r="C451" s="75" t="s">
        <v>667</v>
      </c>
      <c r="D451" s="8"/>
      <c r="E451" s="8"/>
      <c r="F451" s="79" t="s">
        <v>872</v>
      </c>
      <c r="G451" s="76">
        <v>4</v>
      </c>
      <c r="H451" s="77">
        <v>253</v>
      </c>
      <c r="I451" s="77">
        <v>303</v>
      </c>
      <c r="J451" s="77">
        <v>379</v>
      </c>
      <c r="K451" s="78">
        <v>76</v>
      </c>
    </row>
    <row r="452" spans="1:11" ht="16.5" customHeight="1" x14ac:dyDescent="0.25">
      <c r="A452" s="124">
        <v>44956</v>
      </c>
      <c r="B452" s="74"/>
      <c r="C452" s="75" t="s">
        <v>869</v>
      </c>
      <c r="D452" s="8"/>
      <c r="E452" s="8"/>
      <c r="F452" s="79" t="s">
        <v>873</v>
      </c>
      <c r="G452" s="76">
        <v>10</v>
      </c>
      <c r="H452" s="77">
        <v>660</v>
      </c>
      <c r="I452" s="77">
        <v>792</v>
      </c>
      <c r="J452" s="77">
        <v>990</v>
      </c>
      <c r="K452" s="78">
        <v>198</v>
      </c>
    </row>
    <row r="453" spans="1:11" ht="16.5" customHeight="1" x14ac:dyDescent="0.25">
      <c r="A453" s="124">
        <v>44957</v>
      </c>
      <c r="B453" s="74">
        <v>0.40071428571428602</v>
      </c>
      <c r="C453" s="75" t="s">
        <v>869</v>
      </c>
      <c r="D453" s="8"/>
      <c r="E453" s="8"/>
      <c r="F453" s="79" t="s">
        <v>874</v>
      </c>
      <c r="G453" s="76">
        <v>9</v>
      </c>
      <c r="H453" s="77">
        <v>559</v>
      </c>
      <c r="I453" s="77">
        <v>671</v>
      </c>
      <c r="J453" s="77">
        <v>839</v>
      </c>
      <c r="K453" s="78">
        <v>168</v>
      </c>
    </row>
    <row r="454" spans="1:11" ht="16.5" customHeight="1" x14ac:dyDescent="0.25">
      <c r="A454" s="124">
        <v>44960</v>
      </c>
      <c r="B454" s="74"/>
      <c r="C454" s="75" t="s">
        <v>875</v>
      </c>
      <c r="D454" s="8"/>
      <c r="E454" s="8"/>
      <c r="F454" s="79" t="s">
        <v>469</v>
      </c>
      <c r="G454" s="76">
        <v>10</v>
      </c>
      <c r="H454" s="77">
        <v>660</v>
      </c>
      <c r="I454" s="77">
        <v>792</v>
      </c>
      <c r="J454" s="77">
        <v>990</v>
      </c>
      <c r="K454" s="78">
        <v>198</v>
      </c>
    </row>
    <row r="455" spans="1:11" ht="16.5" customHeight="1" x14ac:dyDescent="0.25">
      <c r="A455" s="124">
        <v>44961</v>
      </c>
      <c r="B455" s="74">
        <v>0.293939393939394</v>
      </c>
      <c r="C455" s="75" t="s">
        <v>875</v>
      </c>
      <c r="D455" s="8"/>
      <c r="E455" s="8"/>
      <c r="F455" s="79" t="s">
        <v>876</v>
      </c>
      <c r="G455" s="76">
        <v>7</v>
      </c>
      <c r="H455" s="77">
        <v>466</v>
      </c>
      <c r="I455" s="77">
        <v>559</v>
      </c>
      <c r="J455" s="77">
        <v>699</v>
      </c>
      <c r="K455" s="78">
        <v>140</v>
      </c>
    </row>
    <row r="456" spans="1:11" ht="16.5" customHeight="1" x14ac:dyDescent="0.25">
      <c r="A456" s="124">
        <v>44962</v>
      </c>
      <c r="B456" s="74">
        <v>0.30090909090909101</v>
      </c>
      <c r="C456" s="75" t="s">
        <v>869</v>
      </c>
      <c r="D456" s="8"/>
      <c r="E456" s="8"/>
      <c r="F456" s="79" t="s">
        <v>877</v>
      </c>
      <c r="G456" s="76">
        <v>8</v>
      </c>
      <c r="H456" s="77">
        <v>513</v>
      </c>
      <c r="I456" s="77">
        <v>615</v>
      </c>
      <c r="J456" s="77">
        <v>769</v>
      </c>
      <c r="K456" s="78">
        <v>154</v>
      </c>
    </row>
    <row r="457" spans="1:11" ht="16.5" customHeight="1" x14ac:dyDescent="0.25">
      <c r="A457" s="124">
        <v>44963</v>
      </c>
      <c r="B457" s="74"/>
      <c r="C457" s="75" t="s">
        <v>878</v>
      </c>
      <c r="D457" s="8"/>
      <c r="E457" s="8"/>
      <c r="F457" s="79" t="s">
        <v>879</v>
      </c>
      <c r="G457" s="76">
        <v>13</v>
      </c>
      <c r="H457" s="77">
        <v>867</v>
      </c>
      <c r="I457" s="77">
        <v>1040</v>
      </c>
      <c r="J457" s="77">
        <v>1300</v>
      </c>
      <c r="K457" s="78">
        <v>260</v>
      </c>
    </row>
    <row r="458" spans="1:11" ht="16.5" customHeight="1" x14ac:dyDescent="0.25">
      <c r="A458" s="124">
        <v>44964</v>
      </c>
      <c r="B458" s="74">
        <v>0.30083333333333301</v>
      </c>
      <c r="C458" s="75" t="s">
        <v>878</v>
      </c>
      <c r="D458" s="8"/>
      <c r="E458" s="8"/>
      <c r="F458" s="79" t="s">
        <v>880</v>
      </c>
      <c r="G458" s="76">
        <v>9</v>
      </c>
      <c r="H458" s="77">
        <v>559</v>
      </c>
      <c r="I458" s="77">
        <v>671</v>
      </c>
      <c r="J458" s="77">
        <v>839</v>
      </c>
      <c r="K458" s="78">
        <v>168</v>
      </c>
    </row>
    <row r="459" spans="1:11" ht="16.5" customHeight="1" x14ac:dyDescent="0.25">
      <c r="A459" s="124">
        <v>44965</v>
      </c>
      <c r="B459" s="74">
        <v>0.30083333333333301</v>
      </c>
      <c r="C459" s="75" t="s">
        <v>878</v>
      </c>
      <c r="D459" s="8"/>
      <c r="E459" s="8"/>
      <c r="F459" s="79" t="s">
        <v>881</v>
      </c>
      <c r="G459" s="76">
        <v>9</v>
      </c>
      <c r="H459" s="77">
        <v>559</v>
      </c>
      <c r="I459" s="77">
        <v>671</v>
      </c>
      <c r="J459" s="77">
        <v>839</v>
      </c>
      <c r="K459" s="78">
        <v>168</v>
      </c>
    </row>
    <row r="460" spans="1:11" ht="16.5" customHeight="1" x14ac:dyDescent="0.25">
      <c r="A460" s="124">
        <v>44966</v>
      </c>
      <c r="B460" s="74"/>
      <c r="C460" s="75" t="s">
        <v>869</v>
      </c>
      <c r="D460" s="8"/>
      <c r="E460" s="8"/>
      <c r="F460" s="79" t="s">
        <v>882</v>
      </c>
      <c r="G460" s="76">
        <v>6</v>
      </c>
      <c r="H460" s="77">
        <v>400</v>
      </c>
      <c r="I460" s="77">
        <v>480</v>
      </c>
      <c r="J460" s="77">
        <v>600</v>
      </c>
      <c r="K460" s="78">
        <v>120</v>
      </c>
    </row>
    <row r="461" spans="1:11" ht="16.5" customHeight="1" x14ac:dyDescent="0.25">
      <c r="A461" s="124">
        <v>44968</v>
      </c>
      <c r="B461" s="74">
        <v>0.30083333333333301</v>
      </c>
      <c r="C461" s="75" t="s">
        <v>878</v>
      </c>
      <c r="D461" s="8"/>
      <c r="E461" s="8"/>
      <c r="F461" s="79" t="s">
        <v>883</v>
      </c>
      <c r="G461" s="76">
        <v>9</v>
      </c>
      <c r="H461" s="77">
        <v>559</v>
      </c>
      <c r="I461" s="77">
        <v>671</v>
      </c>
      <c r="J461" s="77">
        <v>839</v>
      </c>
      <c r="K461" s="78">
        <v>168</v>
      </c>
    </row>
    <row r="462" spans="1:11" ht="16.5" customHeight="1" x14ac:dyDescent="0.25">
      <c r="A462" s="124">
        <v>44990</v>
      </c>
      <c r="B462" s="74">
        <v>0.35405405405405399</v>
      </c>
      <c r="C462" s="75" t="s">
        <v>878</v>
      </c>
      <c r="D462" s="8"/>
      <c r="E462" s="8"/>
      <c r="F462" s="79" t="s">
        <v>884</v>
      </c>
      <c r="G462" s="76">
        <v>2</v>
      </c>
      <c r="H462" s="77">
        <v>159</v>
      </c>
      <c r="I462" s="77">
        <v>191</v>
      </c>
      <c r="J462" s="77">
        <v>239</v>
      </c>
      <c r="K462" s="78">
        <v>48</v>
      </c>
    </row>
    <row r="463" spans="1:11" ht="16.5" customHeight="1" x14ac:dyDescent="0.25">
      <c r="A463" s="124">
        <v>45068</v>
      </c>
      <c r="B463" s="74">
        <v>0.300250208507089</v>
      </c>
      <c r="C463" s="75" t="s">
        <v>854</v>
      </c>
      <c r="D463" s="8"/>
      <c r="E463" s="8"/>
      <c r="F463" s="79" t="s">
        <v>885</v>
      </c>
      <c r="G463" s="76">
        <v>9</v>
      </c>
      <c r="H463" s="77">
        <v>280</v>
      </c>
      <c r="I463" s="77">
        <v>671</v>
      </c>
      <c r="J463" s="77">
        <v>839</v>
      </c>
      <c r="K463" s="78">
        <v>168</v>
      </c>
    </row>
    <row r="464" spans="1:11" ht="16.5" customHeight="1" x14ac:dyDescent="0.25">
      <c r="A464" s="124">
        <v>45133</v>
      </c>
      <c r="B464" s="74">
        <v>0.50555555555555598</v>
      </c>
      <c r="C464" s="75" t="s">
        <v>868</v>
      </c>
      <c r="D464" s="8"/>
      <c r="E464" s="8"/>
      <c r="F464" s="79" t="s">
        <v>886</v>
      </c>
      <c r="G464" s="76">
        <v>1</v>
      </c>
      <c r="H464" s="77">
        <v>59</v>
      </c>
      <c r="I464" s="77">
        <v>71</v>
      </c>
      <c r="J464" s="77">
        <v>89</v>
      </c>
      <c r="K464" s="78">
        <v>18</v>
      </c>
    </row>
    <row r="465" spans="1:11" ht="16.5" customHeight="1" x14ac:dyDescent="0.25">
      <c r="A465" s="124">
        <v>45253</v>
      </c>
      <c r="B465" s="74"/>
      <c r="C465" s="75" t="s">
        <v>562</v>
      </c>
      <c r="D465" s="8"/>
      <c r="E465" s="8"/>
      <c r="F465" s="79" t="s">
        <v>887</v>
      </c>
      <c r="G465" s="76">
        <v>15</v>
      </c>
      <c r="H465" s="77">
        <v>1000</v>
      </c>
      <c r="I465" s="77">
        <v>1200</v>
      </c>
      <c r="J465" s="77">
        <v>1500</v>
      </c>
      <c r="K465" s="78">
        <v>300</v>
      </c>
    </row>
    <row r="466" spans="1:11" ht="16.5" customHeight="1" x14ac:dyDescent="0.25">
      <c r="A466" s="124">
        <v>45382</v>
      </c>
      <c r="B466" s="74"/>
      <c r="C466" s="75" t="s">
        <v>121</v>
      </c>
      <c r="D466" s="8"/>
      <c r="E466" s="8"/>
      <c r="F466" s="79" t="s">
        <v>250</v>
      </c>
      <c r="G466" s="76">
        <v>17</v>
      </c>
      <c r="H466" s="77">
        <v>1133</v>
      </c>
      <c r="I466" s="77">
        <v>1360</v>
      </c>
      <c r="J466" s="77">
        <v>1700</v>
      </c>
      <c r="K466" s="78">
        <v>340</v>
      </c>
    </row>
    <row r="467" spans="1:11" ht="16.5" customHeight="1" x14ac:dyDescent="0.25">
      <c r="A467" s="124">
        <v>45391</v>
      </c>
      <c r="B467" s="74">
        <v>0.46914893617021303</v>
      </c>
      <c r="C467" s="75" t="s">
        <v>491</v>
      </c>
      <c r="D467" s="8"/>
      <c r="E467" s="8"/>
      <c r="F467" s="79" t="s">
        <v>888</v>
      </c>
      <c r="G467" s="76">
        <v>5</v>
      </c>
      <c r="H467" s="77">
        <v>333</v>
      </c>
      <c r="I467" s="77">
        <v>399</v>
      </c>
      <c r="J467" s="77">
        <v>499</v>
      </c>
      <c r="K467" s="78">
        <v>100</v>
      </c>
    </row>
    <row r="468" spans="1:11" ht="16.5" customHeight="1" x14ac:dyDescent="0.25">
      <c r="A468" s="124">
        <v>45392</v>
      </c>
      <c r="B468" s="74">
        <v>0.46914893617021303</v>
      </c>
      <c r="C468" s="75" t="s">
        <v>491</v>
      </c>
      <c r="D468" s="8"/>
      <c r="E468" s="8"/>
      <c r="F468" s="79" t="s">
        <v>889</v>
      </c>
      <c r="G468" s="76">
        <v>5</v>
      </c>
      <c r="H468" s="77">
        <v>333</v>
      </c>
      <c r="I468" s="77">
        <v>399</v>
      </c>
      <c r="J468" s="77">
        <v>499</v>
      </c>
      <c r="K468" s="78">
        <v>100</v>
      </c>
    </row>
    <row r="469" spans="1:11" ht="16.5" customHeight="1" x14ac:dyDescent="0.25">
      <c r="A469" s="124">
        <v>45393</v>
      </c>
      <c r="B469" s="74">
        <v>0.46914893617021303</v>
      </c>
      <c r="C469" s="75" t="s">
        <v>491</v>
      </c>
      <c r="D469" s="8"/>
      <c r="E469" s="8"/>
      <c r="F469" s="79" t="s">
        <v>890</v>
      </c>
      <c r="G469" s="76">
        <v>5</v>
      </c>
      <c r="H469" s="77">
        <v>333</v>
      </c>
      <c r="I469" s="77">
        <v>399</v>
      </c>
      <c r="J469" s="77">
        <v>499</v>
      </c>
      <c r="K469" s="78">
        <v>100</v>
      </c>
    </row>
    <row r="470" spans="1:11" ht="16.5" customHeight="1" x14ac:dyDescent="0.25">
      <c r="A470" s="124">
        <v>45394</v>
      </c>
      <c r="B470" s="74">
        <v>0.46914893617021303</v>
      </c>
      <c r="C470" s="75" t="s">
        <v>491</v>
      </c>
      <c r="D470" s="8"/>
      <c r="E470" s="8"/>
      <c r="F470" s="79" t="s">
        <v>891</v>
      </c>
      <c r="G470" s="76">
        <v>5</v>
      </c>
      <c r="H470" s="77">
        <v>333</v>
      </c>
      <c r="I470" s="77">
        <v>399</v>
      </c>
      <c r="J470" s="77">
        <v>499</v>
      </c>
      <c r="K470" s="78">
        <v>100</v>
      </c>
    </row>
    <row r="471" spans="1:11" ht="16.5" customHeight="1" x14ac:dyDescent="0.25">
      <c r="A471" s="124">
        <v>45591</v>
      </c>
      <c r="B471" s="74">
        <v>0.302230215827338</v>
      </c>
      <c r="C471" s="75" t="s">
        <v>858</v>
      </c>
      <c r="D471" s="8"/>
      <c r="E471" s="8"/>
      <c r="F471" s="79" t="s">
        <v>88</v>
      </c>
      <c r="G471" s="76">
        <v>120</v>
      </c>
      <c r="H471" s="77">
        <v>6466</v>
      </c>
      <c r="I471" s="77">
        <v>7759</v>
      </c>
      <c r="J471" s="77">
        <v>9699</v>
      </c>
      <c r="K471" s="78">
        <v>1940</v>
      </c>
    </row>
    <row r="472" spans="1:11" ht="16.5" customHeight="1" x14ac:dyDescent="0.25">
      <c r="A472" s="124">
        <v>45592</v>
      </c>
      <c r="B472" s="74">
        <v>0.302230215827338</v>
      </c>
      <c r="C472" s="75" t="s">
        <v>858</v>
      </c>
      <c r="D472" s="8"/>
      <c r="E472" s="8"/>
      <c r="F472" s="79" t="s">
        <v>89</v>
      </c>
      <c r="G472" s="76">
        <v>120</v>
      </c>
      <c r="H472" s="77">
        <v>6466</v>
      </c>
      <c r="I472" s="77">
        <v>7759</v>
      </c>
      <c r="J472" s="77">
        <v>9699</v>
      </c>
      <c r="K472" s="78">
        <v>1940</v>
      </c>
    </row>
    <row r="473" spans="1:11" ht="16.5" customHeight="1" x14ac:dyDescent="0.25">
      <c r="A473" s="124">
        <v>45595</v>
      </c>
      <c r="B473" s="74">
        <v>0.302230215827338</v>
      </c>
      <c r="C473" s="75" t="s">
        <v>892</v>
      </c>
      <c r="D473" s="8"/>
      <c r="E473" s="8"/>
      <c r="F473" s="79" t="s">
        <v>90</v>
      </c>
      <c r="G473" s="76">
        <v>120</v>
      </c>
      <c r="H473" s="77">
        <v>6466</v>
      </c>
      <c r="I473" s="77">
        <v>7759</v>
      </c>
      <c r="J473" s="77">
        <v>9699</v>
      </c>
      <c r="K473" s="78">
        <v>1940</v>
      </c>
    </row>
    <row r="474" spans="1:11" ht="16.5" customHeight="1" x14ac:dyDescent="0.25">
      <c r="A474" s="124">
        <v>45608</v>
      </c>
      <c r="B474" s="74">
        <v>0.302230215827338</v>
      </c>
      <c r="C474" s="75" t="s">
        <v>892</v>
      </c>
      <c r="D474" s="8"/>
      <c r="E474" s="8"/>
      <c r="F474" s="79" t="s">
        <v>91</v>
      </c>
      <c r="G474" s="76">
        <v>120</v>
      </c>
      <c r="H474" s="77">
        <v>6466</v>
      </c>
      <c r="I474" s="77">
        <v>7759</v>
      </c>
      <c r="J474" s="77">
        <v>9699</v>
      </c>
      <c r="K474" s="78">
        <v>1940</v>
      </c>
    </row>
    <row r="475" spans="1:11" ht="16.5" customHeight="1" x14ac:dyDescent="0.25">
      <c r="A475" s="124">
        <v>45799</v>
      </c>
      <c r="B475" s="74">
        <v>0.45083333333333298</v>
      </c>
      <c r="C475" s="75" t="s">
        <v>893</v>
      </c>
      <c r="D475" s="8"/>
      <c r="E475" s="8"/>
      <c r="F475" s="79" t="s">
        <v>894</v>
      </c>
      <c r="G475" s="76">
        <v>7</v>
      </c>
      <c r="H475" s="77">
        <v>439</v>
      </c>
      <c r="I475" s="77">
        <v>527</v>
      </c>
      <c r="J475" s="77">
        <v>659</v>
      </c>
      <c r="K475" s="78">
        <v>132</v>
      </c>
    </row>
    <row r="476" spans="1:11" ht="16.5" customHeight="1" x14ac:dyDescent="0.25">
      <c r="A476" s="124">
        <v>45800</v>
      </c>
      <c r="B476" s="74">
        <v>0.45225806451612899</v>
      </c>
      <c r="C476" s="75" t="s">
        <v>893</v>
      </c>
      <c r="D476" s="8"/>
      <c r="E476" s="8"/>
      <c r="F476" s="79" t="s">
        <v>895</v>
      </c>
      <c r="G476" s="76">
        <v>9</v>
      </c>
      <c r="H476" s="77">
        <v>566</v>
      </c>
      <c r="I476" s="77">
        <v>679</v>
      </c>
      <c r="J476" s="77">
        <v>849</v>
      </c>
      <c r="K476" s="78">
        <v>170</v>
      </c>
    </row>
    <row r="477" spans="1:11" ht="16.5" customHeight="1" x14ac:dyDescent="0.25">
      <c r="A477" s="124">
        <v>45817</v>
      </c>
      <c r="B477" s="74">
        <v>0.35270270270270299</v>
      </c>
      <c r="C477" s="75" t="s">
        <v>896</v>
      </c>
      <c r="D477" s="8"/>
      <c r="E477" s="8"/>
      <c r="F477" s="79" t="s">
        <v>897</v>
      </c>
      <c r="G477" s="76">
        <v>5</v>
      </c>
      <c r="H477" s="77">
        <v>319</v>
      </c>
      <c r="I477" s="77">
        <v>383</v>
      </c>
      <c r="J477" s="77">
        <v>479</v>
      </c>
      <c r="K477" s="78">
        <v>96</v>
      </c>
    </row>
    <row r="478" spans="1:11" ht="16.5" customHeight="1" x14ac:dyDescent="0.25">
      <c r="A478" s="124">
        <v>45819</v>
      </c>
      <c r="B478" s="74">
        <v>0.34943820224719102</v>
      </c>
      <c r="C478" s="75" t="s">
        <v>896</v>
      </c>
      <c r="D478" s="8"/>
      <c r="E478" s="8"/>
      <c r="F478" s="79" t="s">
        <v>898</v>
      </c>
      <c r="G478" s="76">
        <v>6</v>
      </c>
      <c r="H478" s="77">
        <v>386</v>
      </c>
      <c r="I478" s="77">
        <v>463</v>
      </c>
      <c r="J478" s="77">
        <v>579</v>
      </c>
      <c r="K478" s="78">
        <v>116</v>
      </c>
    </row>
    <row r="479" spans="1:11" ht="16.5" customHeight="1" x14ac:dyDescent="0.25">
      <c r="A479" s="124">
        <v>45840</v>
      </c>
      <c r="B479" s="74">
        <v>0.34150943396226402</v>
      </c>
      <c r="C479" s="75" t="s">
        <v>540</v>
      </c>
      <c r="D479" s="8"/>
      <c r="E479" s="8"/>
      <c r="F479" s="79" t="s">
        <v>899</v>
      </c>
      <c r="G479" s="76">
        <v>4</v>
      </c>
      <c r="H479" s="77">
        <v>233</v>
      </c>
      <c r="I479" s="77">
        <v>279</v>
      </c>
      <c r="J479" s="77">
        <v>349</v>
      </c>
      <c r="K479" s="78">
        <v>70</v>
      </c>
    </row>
    <row r="480" spans="1:11" ht="16.5" customHeight="1" x14ac:dyDescent="0.25">
      <c r="A480" s="124">
        <v>45847</v>
      </c>
      <c r="B480" s="74"/>
      <c r="C480" s="75" t="s">
        <v>900</v>
      </c>
      <c r="D480" s="8"/>
      <c r="E480" s="8"/>
      <c r="F480" s="79" t="s">
        <v>901</v>
      </c>
      <c r="G480" s="76">
        <v>30</v>
      </c>
      <c r="H480" s="77">
        <v>967</v>
      </c>
      <c r="I480" s="77">
        <v>2319</v>
      </c>
      <c r="J480" s="77">
        <v>2899</v>
      </c>
      <c r="K480" s="78">
        <v>580</v>
      </c>
    </row>
    <row r="481" spans="1:11" ht="16.5" customHeight="1" x14ac:dyDescent="0.25">
      <c r="A481" s="124">
        <v>45850</v>
      </c>
      <c r="B481" s="74">
        <v>0.39565217391304303</v>
      </c>
      <c r="C481" s="75" t="s">
        <v>902</v>
      </c>
      <c r="D481" s="8"/>
      <c r="E481" s="8"/>
      <c r="F481" s="79" t="s">
        <v>903</v>
      </c>
      <c r="G481" s="76">
        <v>1</v>
      </c>
      <c r="H481" s="77">
        <v>93</v>
      </c>
      <c r="I481" s="77">
        <v>111</v>
      </c>
      <c r="J481" s="77">
        <v>139</v>
      </c>
      <c r="K481" s="78">
        <v>28</v>
      </c>
    </row>
    <row r="482" spans="1:11" ht="16.5" customHeight="1" x14ac:dyDescent="0.25">
      <c r="A482" s="124">
        <v>45851</v>
      </c>
      <c r="B482" s="74">
        <v>0.33541666666666697</v>
      </c>
      <c r="C482" s="75" t="s">
        <v>902</v>
      </c>
      <c r="D482" s="8"/>
      <c r="E482" s="8"/>
      <c r="F482" s="79" t="s">
        <v>904</v>
      </c>
      <c r="G482" s="76">
        <v>3</v>
      </c>
      <c r="H482" s="77">
        <v>213</v>
      </c>
      <c r="I482" s="77">
        <v>255</v>
      </c>
      <c r="J482" s="77">
        <v>319</v>
      </c>
      <c r="K482" s="78">
        <v>64</v>
      </c>
    </row>
    <row r="483" spans="1:11" ht="16.5" customHeight="1" x14ac:dyDescent="0.25">
      <c r="A483" s="124">
        <v>45852</v>
      </c>
      <c r="B483" s="74">
        <v>0.34655172413793101</v>
      </c>
      <c r="C483" s="75" t="s">
        <v>902</v>
      </c>
      <c r="D483" s="8"/>
      <c r="E483" s="8"/>
      <c r="F483" s="79" t="s">
        <v>905</v>
      </c>
      <c r="G483" s="76">
        <v>4</v>
      </c>
      <c r="H483" s="77">
        <v>253</v>
      </c>
      <c r="I483" s="77">
        <v>303</v>
      </c>
      <c r="J483" s="77">
        <v>379</v>
      </c>
      <c r="K483" s="78">
        <v>76</v>
      </c>
    </row>
    <row r="484" spans="1:11" ht="16.5" customHeight="1" x14ac:dyDescent="0.25">
      <c r="A484" s="124">
        <v>45870</v>
      </c>
      <c r="B484" s="74">
        <v>0.53888888888888897</v>
      </c>
      <c r="C484" s="75" t="s">
        <v>716</v>
      </c>
      <c r="D484" s="8"/>
      <c r="E484" s="8"/>
      <c r="F484" s="79" t="s">
        <v>263</v>
      </c>
      <c r="G484" s="76">
        <v>3</v>
      </c>
      <c r="H484" s="77">
        <v>166</v>
      </c>
      <c r="I484" s="77">
        <v>199</v>
      </c>
      <c r="J484" s="77">
        <v>249</v>
      </c>
      <c r="K484" s="78">
        <v>50</v>
      </c>
    </row>
    <row r="485" spans="1:11" ht="16.5" customHeight="1" x14ac:dyDescent="0.25">
      <c r="A485" s="124">
        <v>45871</v>
      </c>
      <c r="B485" s="74">
        <v>0.53888888888888897</v>
      </c>
      <c r="C485" s="75" t="s">
        <v>716</v>
      </c>
      <c r="D485" s="8"/>
      <c r="E485" s="8"/>
      <c r="F485" s="79" t="s">
        <v>260</v>
      </c>
      <c r="G485" s="76">
        <v>3</v>
      </c>
      <c r="H485" s="77">
        <v>166</v>
      </c>
      <c r="I485" s="77">
        <v>199</v>
      </c>
      <c r="J485" s="77">
        <v>249</v>
      </c>
      <c r="K485" s="78">
        <v>50</v>
      </c>
    </row>
    <row r="486" spans="1:11" ht="16.5" customHeight="1" x14ac:dyDescent="0.25">
      <c r="A486" s="124">
        <v>45872</v>
      </c>
      <c r="B486" s="74">
        <v>0.53888888888888897</v>
      </c>
      <c r="C486" s="75" t="s">
        <v>716</v>
      </c>
      <c r="D486" s="8"/>
      <c r="E486" s="8"/>
      <c r="F486" s="79" t="s">
        <v>261</v>
      </c>
      <c r="G486" s="76">
        <v>3</v>
      </c>
      <c r="H486" s="77">
        <v>166</v>
      </c>
      <c r="I486" s="77">
        <v>199</v>
      </c>
      <c r="J486" s="77">
        <v>249</v>
      </c>
      <c r="K486" s="78">
        <v>50</v>
      </c>
    </row>
    <row r="487" spans="1:11" ht="16.5" customHeight="1" x14ac:dyDescent="0.25">
      <c r="A487" s="124">
        <v>45873</v>
      </c>
      <c r="B487" s="74">
        <v>0.53888888888888897</v>
      </c>
      <c r="C487" s="75" t="s">
        <v>716</v>
      </c>
      <c r="D487" s="8"/>
      <c r="E487" s="8"/>
      <c r="F487" s="79" t="s">
        <v>262</v>
      </c>
      <c r="G487" s="76">
        <v>3</v>
      </c>
      <c r="H487" s="77">
        <v>166</v>
      </c>
      <c r="I487" s="77">
        <v>199</v>
      </c>
      <c r="J487" s="77">
        <v>249</v>
      </c>
      <c r="K487" s="78">
        <v>50</v>
      </c>
    </row>
    <row r="488" spans="1:11" ht="16.5" customHeight="1" x14ac:dyDescent="0.25">
      <c r="A488" s="124">
        <v>45890</v>
      </c>
      <c r="B488" s="74">
        <v>0.51888888888888896</v>
      </c>
      <c r="C488" s="75" t="s">
        <v>906</v>
      </c>
      <c r="D488" s="8"/>
      <c r="E488" s="8"/>
      <c r="F488" s="79" t="s">
        <v>907</v>
      </c>
      <c r="G488" s="76">
        <v>13</v>
      </c>
      <c r="H488" s="77">
        <v>866</v>
      </c>
      <c r="I488" s="77">
        <v>1039</v>
      </c>
      <c r="J488" s="77">
        <v>1299</v>
      </c>
      <c r="K488" s="78">
        <v>260</v>
      </c>
    </row>
    <row r="489" spans="1:11" ht="16.5" customHeight="1" x14ac:dyDescent="0.25">
      <c r="A489" s="124">
        <v>46060</v>
      </c>
      <c r="B489" s="74">
        <v>0.31372549019607798</v>
      </c>
      <c r="C489" s="75" t="s">
        <v>908</v>
      </c>
      <c r="D489" s="8"/>
      <c r="E489" s="8"/>
      <c r="F489" s="79" t="s">
        <v>467</v>
      </c>
      <c r="G489" s="76">
        <v>36</v>
      </c>
      <c r="H489" s="77">
        <v>2333</v>
      </c>
      <c r="I489" s="77">
        <v>2800</v>
      </c>
      <c r="J489" s="77">
        <v>3500</v>
      </c>
      <c r="K489" s="78">
        <v>700</v>
      </c>
    </row>
    <row r="490" spans="1:11" ht="16.5" customHeight="1" x14ac:dyDescent="0.25">
      <c r="A490" s="124">
        <v>46217</v>
      </c>
      <c r="B490" s="74">
        <v>0.36409090909090902</v>
      </c>
      <c r="C490" s="75" t="s">
        <v>909</v>
      </c>
      <c r="D490" s="8"/>
      <c r="E490" s="8"/>
      <c r="F490" s="79" t="s">
        <v>910</v>
      </c>
      <c r="G490" s="76">
        <v>14</v>
      </c>
      <c r="H490" s="77">
        <v>933</v>
      </c>
      <c r="I490" s="77">
        <v>1119</v>
      </c>
      <c r="J490" s="77">
        <v>1399</v>
      </c>
      <c r="K490" s="78">
        <v>280</v>
      </c>
    </row>
    <row r="491" spans="1:11" ht="16.5" customHeight="1" x14ac:dyDescent="0.25">
      <c r="A491" s="124">
        <v>46302</v>
      </c>
      <c r="B491" s="74"/>
      <c r="C491" s="75" t="s">
        <v>911</v>
      </c>
      <c r="D491" s="8"/>
      <c r="E491" s="8"/>
      <c r="F491" s="79" t="s">
        <v>259</v>
      </c>
      <c r="G491" s="76">
        <v>57</v>
      </c>
      <c r="H491" s="77">
        <v>1667</v>
      </c>
      <c r="I491" s="77">
        <v>4000</v>
      </c>
      <c r="J491" s="77">
        <v>5000</v>
      </c>
      <c r="K491" s="78">
        <v>1000</v>
      </c>
    </row>
    <row r="492" spans="1:11" ht="16.5" customHeight="1" x14ac:dyDescent="0.25">
      <c r="A492" s="124">
        <v>46357</v>
      </c>
      <c r="B492" s="74">
        <v>0.39871794871794902</v>
      </c>
      <c r="C492" s="75" t="s">
        <v>912</v>
      </c>
      <c r="D492" s="8"/>
      <c r="E492" s="8"/>
      <c r="F492" s="79" t="s">
        <v>251</v>
      </c>
      <c r="G492" s="76">
        <v>5</v>
      </c>
      <c r="H492" s="77">
        <v>157</v>
      </c>
      <c r="I492" s="77">
        <v>375</v>
      </c>
      <c r="J492" s="77">
        <v>469</v>
      </c>
      <c r="K492" s="78">
        <v>94</v>
      </c>
    </row>
    <row r="493" spans="1:11" ht="16.5" customHeight="1" x14ac:dyDescent="0.25">
      <c r="A493" s="124">
        <v>46358</v>
      </c>
      <c r="B493" s="74">
        <v>0.39651162790697703</v>
      </c>
      <c r="C493" s="75" t="s">
        <v>912</v>
      </c>
      <c r="D493" s="8"/>
      <c r="E493" s="8"/>
      <c r="F493" s="79" t="s">
        <v>913</v>
      </c>
      <c r="G493" s="76">
        <v>5</v>
      </c>
      <c r="H493" s="77">
        <v>173</v>
      </c>
      <c r="I493" s="77">
        <v>415</v>
      </c>
      <c r="J493" s="77">
        <v>519</v>
      </c>
      <c r="K493" s="78">
        <v>104</v>
      </c>
    </row>
    <row r="494" spans="1:11" ht="16.5" customHeight="1" x14ac:dyDescent="0.25">
      <c r="A494" s="124">
        <v>46361</v>
      </c>
      <c r="B494" s="74">
        <v>0.40111111111111097</v>
      </c>
      <c r="C494" s="75" t="s">
        <v>912</v>
      </c>
      <c r="D494" s="8"/>
      <c r="E494" s="8"/>
      <c r="F494" s="79" t="s">
        <v>914</v>
      </c>
      <c r="G494" s="76">
        <v>6</v>
      </c>
      <c r="H494" s="77">
        <v>180</v>
      </c>
      <c r="I494" s="77">
        <v>431</v>
      </c>
      <c r="J494" s="77">
        <v>539</v>
      </c>
      <c r="K494" s="78">
        <v>108</v>
      </c>
    </row>
    <row r="495" spans="1:11" ht="16.5" customHeight="1" x14ac:dyDescent="0.25">
      <c r="A495" s="124">
        <v>46403</v>
      </c>
      <c r="B495" s="74">
        <v>0.48974358974359</v>
      </c>
      <c r="C495" s="75" t="s">
        <v>912</v>
      </c>
      <c r="D495" s="8"/>
      <c r="E495" s="8"/>
      <c r="F495" s="79" t="s">
        <v>915</v>
      </c>
      <c r="G495" s="76">
        <v>2</v>
      </c>
      <c r="H495" s="77">
        <v>67</v>
      </c>
      <c r="I495" s="77">
        <v>159</v>
      </c>
      <c r="J495" s="77">
        <v>199</v>
      </c>
      <c r="K495" s="78">
        <v>40</v>
      </c>
    </row>
    <row r="496" spans="1:11" ht="16.5" customHeight="1" x14ac:dyDescent="0.25">
      <c r="A496" s="124">
        <v>46404</v>
      </c>
      <c r="B496" s="74">
        <v>0.41282051282051302</v>
      </c>
      <c r="C496" s="75" t="s">
        <v>912</v>
      </c>
      <c r="D496" s="8"/>
      <c r="E496" s="8"/>
      <c r="F496" s="79" t="s">
        <v>916</v>
      </c>
      <c r="G496" s="76">
        <v>2</v>
      </c>
      <c r="H496" s="77">
        <v>77</v>
      </c>
      <c r="I496" s="77">
        <v>183</v>
      </c>
      <c r="J496" s="77">
        <v>229</v>
      </c>
      <c r="K496" s="78">
        <v>46</v>
      </c>
    </row>
    <row r="497" spans="1:11" ht="16.5" customHeight="1" x14ac:dyDescent="0.25">
      <c r="A497" s="124">
        <v>46405</v>
      </c>
      <c r="B497" s="74"/>
      <c r="C497" s="75" t="s">
        <v>731</v>
      </c>
      <c r="D497" s="8"/>
      <c r="E497" s="8"/>
      <c r="F497" s="79" t="s">
        <v>917</v>
      </c>
      <c r="G497" s="76">
        <v>9</v>
      </c>
      <c r="H497" s="77">
        <v>287</v>
      </c>
      <c r="I497" s="77">
        <v>688</v>
      </c>
      <c r="J497" s="77">
        <v>860</v>
      </c>
      <c r="K497" s="78">
        <v>172</v>
      </c>
    </row>
    <row r="498" spans="1:11" ht="16.5" customHeight="1" x14ac:dyDescent="0.25">
      <c r="A498" s="124">
        <v>46409</v>
      </c>
      <c r="B498" s="74"/>
      <c r="C498" s="75" t="s">
        <v>696</v>
      </c>
      <c r="D498" s="8"/>
      <c r="E498" s="8"/>
      <c r="F498" s="79" t="s">
        <v>918</v>
      </c>
      <c r="G498" s="76">
        <v>5</v>
      </c>
      <c r="H498" s="77">
        <v>154</v>
      </c>
      <c r="I498" s="77">
        <v>368</v>
      </c>
      <c r="J498" s="77">
        <v>460</v>
      </c>
      <c r="K498" s="78">
        <v>92</v>
      </c>
    </row>
    <row r="499" spans="1:11" ht="16.5" customHeight="1" x14ac:dyDescent="0.25">
      <c r="A499" s="124">
        <v>46470</v>
      </c>
      <c r="B499" s="74">
        <v>0.35441176470588198</v>
      </c>
      <c r="C499" s="75" t="s">
        <v>723</v>
      </c>
      <c r="D499" s="8"/>
      <c r="E499" s="8"/>
      <c r="F499" s="79" t="s">
        <v>919</v>
      </c>
      <c r="G499" s="76">
        <v>5</v>
      </c>
      <c r="H499" s="77">
        <v>293</v>
      </c>
      <c r="I499" s="77">
        <v>351</v>
      </c>
      <c r="J499" s="77">
        <v>439</v>
      </c>
      <c r="K499" s="78">
        <v>88</v>
      </c>
    </row>
    <row r="500" spans="1:11" ht="16.5" customHeight="1" x14ac:dyDescent="0.25">
      <c r="A500" s="124">
        <v>46492</v>
      </c>
      <c r="B500" s="74"/>
      <c r="C500" s="75" t="s">
        <v>869</v>
      </c>
      <c r="D500" s="8"/>
      <c r="E500" s="8"/>
      <c r="F500" s="79" t="s">
        <v>920</v>
      </c>
      <c r="G500" s="76">
        <v>6</v>
      </c>
      <c r="H500" s="77">
        <v>200</v>
      </c>
      <c r="I500" s="77">
        <v>479</v>
      </c>
      <c r="J500" s="77">
        <v>599</v>
      </c>
      <c r="K500" s="78">
        <v>120</v>
      </c>
    </row>
    <row r="501" spans="1:11" ht="16.5" customHeight="1" x14ac:dyDescent="0.25">
      <c r="A501" s="124">
        <v>46540</v>
      </c>
      <c r="B501" s="74">
        <v>0.442372881355932</v>
      </c>
      <c r="C501" s="75" t="s">
        <v>921</v>
      </c>
      <c r="D501" s="8"/>
      <c r="E501" s="8"/>
      <c r="F501" s="79" t="s">
        <v>922</v>
      </c>
      <c r="G501" s="76">
        <v>3</v>
      </c>
      <c r="H501" s="77">
        <v>219</v>
      </c>
      <c r="I501" s="77">
        <v>263</v>
      </c>
      <c r="J501" s="77">
        <v>329</v>
      </c>
      <c r="K501" s="78">
        <v>66</v>
      </c>
    </row>
    <row r="502" spans="1:11" ht="16.5" customHeight="1" x14ac:dyDescent="0.25">
      <c r="A502" s="124">
        <v>46541</v>
      </c>
      <c r="B502" s="74">
        <v>0.35762711864406799</v>
      </c>
      <c r="C502" s="75" t="s">
        <v>921</v>
      </c>
      <c r="D502" s="8"/>
      <c r="E502" s="8"/>
      <c r="F502" s="79" t="s">
        <v>923</v>
      </c>
      <c r="G502" s="76">
        <v>4</v>
      </c>
      <c r="H502" s="77">
        <v>253</v>
      </c>
      <c r="I502" s="77">
        <v>303</v>
      </c>
      <c r="J502" s="77">
        <v>379</v>
      </c>
      <c r="K502" s="78">
        <v>76</v>
      </c>
    </row>
    <row r="503" spans="1:11" ht="16.5" customHeight="1" x14ac:dyDescent="0.25">
      <c r="A503" s="124">
        <v>46542</v>
      </c>
      <c r="B503" s="74">
        <v>0.35762711864406799</v>
      </c>
      <c r="C503" s="75" t="s">
        <v>921</v>
      </c>
      <c r="D503" s="8"/>
      <c r="E503" s="8"/>
      <c r="F503" s="79" t="s">
        <v>922</v>
      </c>
      <c r="G503" s="76">
        <v>4</v>
      </c>
      <c r="H503" s="77">
        <v>253</v>
      </c>
      <c r="I503" s="77">
        <v>303</v>
      </c>
      <c r="J503" s="77">
        <v>379</v>
      </c>
      <c r="K503" s="78">
        <v>76</v>
      </c>
    </row>
    <row r="504" spans="1:11" ht="16.5" customHeight="1" x14ac:dyDescent="0.25">
      <c r="A504" s="124">
        <v>46573</v>
      </c>
      <c r="B504" s="74"/>
      <c r="C504" s="75" t="s">
        <v>869</v>
      </c>
      <c r="D504" s="8"/>
      <c r="E504" s="8"/>
      <c r="F504" s="85" t="s">
        <v>253</v>
      </c>
      <c r="G504" s="76" t="s">
        <v>17</v>
      </c>
      <c r="H504" s="77" t="s">
        <v>17</v>
      </c>
      <c r="I504" s="77">
        <v>35</v>
      </c>
      <c r="J504" s="77" t="s">
        <v>17</v>
      </c>
      <c r="K504" s="78" t="s">
        <v>17</v>
      </c>
    </row>
    <row r="505" spans="1:11" ht="16.5" customHeight="1" x14ac:dyDescent="0.25">
      <c r="A505" s="124">
        <v>46683</v>
      </c>
      <c r="B505" s="74"/>
      <c r="C505" s="75" t="s">
        <v>924</v>
      </c>
      <c r="D505" s="8"/>
      <c r="E505" s="8"/>
      <c r="F505" s="79" t="s">
        <v>925</v>
      </c>
      <c r="G505" s="76">
        <v>6</v>
      </c>
      <c r="H505" s="77">
        <v>200</v>
      </c>
      <c r="I505" s="77">
        <v>479</v>
      </c>
      <c r="J505" s="77">
        <v>599</v>
      </c>
      <c r="K505" s="78">
        <v>120</v>
      </c>
    </row>
    <row r="506" spans="1:11" ht="16.5" customHeight="1" x14ac:dyDescent="0.25">
      <c r="A506" s="124">
        <v>46717</v>
      </c>
      <c r="B506" s="74">
        <v>0.485151515151515</v>
      </c>
      <c r="C506" s="75" t="s">
        <v>926</v>
      </c>
      <c r="D506" s="8"/>
      <c r="E506" s="8"/>
      <c r="F506" s="79" t="s">
        <v>254</v>
      </c>
      <c r="G506" s="76">
        <v>17</v>
      </c>
      <c r="H506" s="77">
        <v>1133</v>
      </c>
      <c r="I506" s="77">
        <v>1359</v>
      </c>
      <c r="J506" s="77">
        <v>1699</v>
      </c>
      <c r="K506" s="78">
        <v>340</v>
      </c>
    </row>
    <row r="507" spans="1:11" ht="16.5" customHeight="1" x14ac:dyDescent="0.25">
      <c r="A507" s="124">
        <v>46727</v>
      </c>
      <c r="B507" s="74"/>
      <c r="C507" s="75" t="s">
        <v>900</v>
      </c>
      <c r="D507" s="8"/>
      <c r="E507" s="8"/>
      <c r="F507" s="79" t="s">
        <v>927</v>
      </c>
      <c r="G507" s="76">
        <v>15</v>
      </c>
      <c r="H507" s="77">
        <v>500</v>
      </c>
      <c r="I507" s="77">
        <v>1199</v>
      </c>
      <c r="J507" s="77">
        <v>1499</v>
      </c>
      <c r="K507" s="78">
        <v>300</v>
      </c>
    </row>
    <row r="508" spans="1:11" ht="16.5" customHeight="1" x14ac:dyDescent="0.25">
      <c r="A508" s="124">
        <v>46728</v>
      </c>
      <c r="B508" s="74">
        <v>0.31025641025640999</v>
      </c>
      <c r="C508" s="75" t="s">
        <v>540</v>
      </c>
      <c r="D508" s="8"/>
      <c r="E508" s="8"/>
      <c r="F508" s="79" t="s">
        <v>692</v>
      </c>
      <c r="G508" s="76">
        <v>3</v>
      </c>
      <c r="H508" s="77">
        <v>90</v>
      </c>
      <c r="I508" s="77">
        <v>215</v>
      </c>
      <c r="J508" s="77">
        <v>269</v>
      </c>
      <c r="K508" s="78">
        <v>54</v>
      </c>
    </row>
    <row r="509" spans="1:11" ht="16.5" customHeight="1" x14ac:dyDescent="0.25">
      <c r="A509" s="124">
        <v>46729</v>
      </c>
      <c r="B509" s="74"/>
      <c r="C509" s="75" t="s">
        <v>900</v>
      </c>
      <c r="D509" s="8"/>
      <c r="E509" s="8"/>
      <c r="F509" s="79" t="s">
        <v>928</v>
      </c>
      <c r="G509" s="76">
        <v>9</v>
      </c>
      <c r="H509" s="77">
        <v>300</v>
      </c>
      <c r="I509" s="77">
        <v>719</v>
      </c>
      <c r="J509" s="77">
        <v>899</v>
      </c>
      <c r="K509" s="78">
        <v>180</v>
      </c>
    </row>
    <row r="510" spans="1:11" ht="16.5" customHeight="1" x14ac:dyDescent="0.25">
      <c r="A510" s="124">
        <v>46730</v>
      </c>
      <c r="B510" s="74"/>
      <c r="C510" s="75" t="s">
        <v>649</v>
      </c>
      <c r="D510" s="8"/>
      <c r="E510" s="8"/>
      <c r="F510" s="79" t="s">
        <v>929</v>
      </c>
      <c r="G510" s="76">
        <v>3</v>
      </c>
      <c r="H510" s="77">
        <v>100</v>
      </c>
      <c r="I510" s="77">
        <v>239</v>
      </c>
      <c r="J510" s="77">
        <v>299</v>
      </c>
      <c r="K510" s="78">
        <v>60</v>
      </c>
    </row>
    <row r="511" spans="1:11" ht="16.5" customHeight="1" x14ac:dyDescent="0.25">
      <c r="A511" s="124">
        <v>47093</v>
      </c>
      <c r="B511" s="74"/>
      <c r="C511" s="75" t="s">
        <v>540</v>
      </c>
      <c r="D511" s="8"/>
      <c r="E511" s="8"/>
      <c r="F511" s="79" t="s">
        <v>930</v>
      </c>
      <c r="G511" s="76">
        <v>6</v>
      </c>
      <c r="H511" s="77">
        <v>200</v>
      </c>
      <c r="I511" s="77">
        <v>479</v>
      </c>
      <c r="J511" s="77">
        <v>599</v>
      </c>
      <c r="K511" s="78">
        <v>120</v>
      </c>
    </row>
    <row r="512" spans="1:11" ht="16.5" customHeight="1" x14ac:dyDescent="0.25">
      <c r="A512" s="124">
        <v>47094</v>
      </c>
      <c r="B512" s="74"/>
      <c r="C512" s="75" t="s">
        <v>921</v>
      </c>
      <c r="D512" s="8"/>
      <c r="E512" s="8"/>
      <c r="F512" s="79" t="s">
        <v>255</v>
      </c>
      <c r="G512" s="76">
        <v>6</v>
      </c>
      <c r="H512" s="77">
        <v>200</v>
      </c>
      <c r="I512" s="77">
        <v>479</v>
      </c>
      <c r="J512" s="77">
        <v>599</v>
      </c>
      <c r="K512" s="78">
        <v>120</v>
      </c>
    </row>
    <row r="513" spans="1:11" ht="16.5" customHeight="1" x14ac:dyDescent="0.25">
      <c r="A513" s="124">
        <v>47096</v>
      </c>
      <c r="B513" s="74"/>
      <c r="C513" s="75" t="s">
        <v>586</v>
      </c>
      <c r="D513" s="8"/>
      <c r="E513" s="8"/>
      <c r="F513" s="79" t="s">
        <v>931</v>
      </c>
      <c r="G513" s="76">
        <v>24</v>
      </c>
      <c r="H513" s="77">
        <v>767</v>
      </c>
      <c r="I513" s="77">
        <v>1839</v>
      </c>
      <c r="J513" s="77">
        <v>2299</v>
      </c>
      <c r="K513" s="78">
        <v>460</v>
      </c>
    </row>
    <row r="514" spans="1:11" ht="16.5" customHeight="1" x14ac:dyDescent="0.25">
      <c r="A514" s="124">
        <v>47097</v>
      </c>
      <c r="B514" s="74"/>
      <c r="C514" s="75" t="s">
        <v>908</v>
      </c>
      <c r="D514" s="8"/>
      <c r="E514" s="8"/>
      <c r="F514" s="79" t="s">
        <v>932</v>
      </c>
      <c r="G514" s="76">
        <v>13</v>
      </c>
      <c r="H514" s="77">
        <v>433</v>
      </c>
      <c r="I514" s="77">
        <v>1039</v>
      </c>
      <c r="J514" s="77">
        <v>1299</v>
      </c>
      <c r="K514" s="78">
        <v>260</v>
      </c>
    </row>
    <row r="515" spans="1:11" ht="16.5" customHeight="1" x14ac:dyDescent="0.25">
      <c r="A515" s="124">
        <v>47118</v>
      </c>
      <c r="B515" s="74"/>
      <c r="C515" s="75" t="s">
        <v>933</v>
      </c>
      <c r="D515" s="8"/>
      <c r="E515" s="8"/>
      <c r="F515" s="79" t="s">
        <v>934</v>
      </c>
      <c r="G515" s="76">
        <v>6</v>
      </c>
      <c r="H515" s="77">
        <v>200</v>
      </c>
      <c r="I515" s="77">
        <v>479</v>
      </c>
      <c r="J515" s="77">
        <v>599</v>
      </c>
      <c r="K515" s="78">
        <v>120</v>
      </c>
    </row>
    <row r="516" spans="1:11" ht="16.5" customHeight="1" x14ac:dyDescent="0.25">
      <c r="A516" s="124">
        <v>47119</v>
      </c>
      <c r="B516" s="74"/>
      <c r="C516" s="75" t="s">
        <v>935</v>
      </c>
      <c r="D516" s="8"/>
      <c r="E516" s="8"/>
      <c r="F516" s="79" t="s">
        <v>936</v>
      </c>
      <c r="G516" s="76">
        <v>5</v>
      </c>
      <c r="H516" s="77">
        <v>167</v>
      </c>
      <c r="I516" s="77">
        <v>399</v>
      </c>
      <c r="J516" s="77">
        <v>499</v>
      </c>
      <c r="K516" s="78">
        <v>100</v>
      </c>
    </row>
    <row r="517" spans="1:11" ht="16.5" customHeight="1" x14ac:dyDescent="0.25">
      <c r="A517" s="124">
        <v>47120</v>
      </c>
      <c r="B517" s="74"/>
      <c r="C517" s="75" t="s">
        <v>935</v>
      </c>
      <c r="D517" s="8"/>
      <c r="E517" s="8"/>
      <c r="F517" s="79" t="s">
        <v>937</v>
      </c>
      <c r="G517" s="76">
        <v>9</v>
      </c>
      <c r="H517" s="77">
        <v>300</v>
      </c>
      <c r="I517" s="77">
        <v>719</v>
      </c>
      <c r="J517" s="77">
        <v>899</v>
      </c>
      <c r="K517" s="78">
        <v>180</v>
      </c>
    </row>
    <row r="518" spans="1:11" ht="16.5" customHeight="1" x14ac:dyDescent="0.25">
      <c r="A518" s="124">
        <v>47121</v>
      </c>
      <c r="B518" s="74"/>
      <c r="C518" s="75" t="s">
        <v>933</v>
      </c>
      <c r="D518" s="8"/>
      <c r="E518" s="8"/>
      <c r="F518" s="79" t="s">
        <v>938</v>
      </c>
      <c r="G518" s="76">
        <v>15</v>
      </c>
      <c r="H518" s="77">
        <v>500</v>
      </c>
      <c r="I518" s="77">
        <v>1199</v>
      </c>
      <c r="J518" s="77">
        <v>1499</v>
      </c>
      <c r="K518" s="78">
        <v>300</v>
      </c>
    </row>
    <row r="519" spans="1:11" ht="16.5" customHeight="1" x14ac:dyDescent="0.25">
      <c r="A519" s="124">
        <v>147152</v>
      </c>
      <c r="B519" s="74"/>
      <c r="C519" s="75" t="s">
        <v>800</v>
      </c>
      <c r="D519" s="8"/>
      <c r="E519" s="8"/>
      <c r="F519" s="79" t="s">
        <v>939</v>
      </c>
      <c r="G519" s="76">
        <v>31</v>
      </c>
      <c r="H519" s="77">
        <v>1999</v>
      </c>
      <c r="I519" s="77">
        <v>2399</v>
      </c>
      <c r="J519" s="77">
        <v>2999</v>
      </c>
      <c r="K519" s="78">
        <v>600</v>
      </c>
    </row>
    <row r="520" spans="1:11" ht="16.5" customHeight="1" x14ac:dyDescent="0.25">
      <c r="A520" s="124">
        <v>147153</v>
      </c>
      <c r="B520" s="74"/>
      <c r="C520" s="75" t="s">
        <v>120</v>
      </c>
      <c r="D520" s="8"/>
      <c r="E520" s="8"/>
      <c r="F520" s="79" t="s">
        <v>940</v>
      </c>
      <c r="G520" s="76">
        <v>26</v>
      </c>
      <c r="H520" s="77">
        <v>1666</v>
      </c>
      <c r="I520" s="77">
        <v>1999</v>
      </c>
      <c r="J520" s="77">
        <v>2499</v>
      </c>
      <c r="K520" s="78">
        <v>500</v>
      </c>
    </row>
    <row r="521" spans="1:11" ht="16.5" customHeight="1" x14ac:dyDescent="0.25">
      <c r="A521" s="124">
        <v>147209</v>
      </c>
      <c r="B521" s="74">
        <v>0.46464285714285702</v>
      </c>
      <c r="C521" s="75" t="s">
        <v>941</v>
      </c>
      <c r="D521" s="8"/>
      <c r="E521" s="8"/>
      <c r="F521" s="79" t="s">
        <v>942</v>
      </c>
      <c r="G521" s="76">
        <v>15</v>
      </c>
      <c r="H521" s="77">
        <v>999</v>
      </c>
      <c r="I521" s="77">
        <v>1199</v>
      </c>
      <c r="J521" s="77">
        <v>1499</v>
      </c>
      <c r="K521" s="78">
        <v>300</v>
      </c>
    </row>
    <row r="522" spans="1:11" ht="16.5" customHeight="1" x14ac:dyDescent="0.25">
      <c r="A522" s="124">
        <v>147210</v>
      </c>
      <c r="B522" s="74">
        <v>0.38795918367346899</v>
      </c>
      <c r="C522" s="75" t="s">
        <v>941</v>
      </c>
      <c r="D522" s="8"/>
      <c r="E522" s="8"/>
      <c r="F522" s="79" t="s">
        <v>943</v>
      </c>
      <c r="G522" s="76">
        <v>31</v>
      </c>
      <c r="H522" s="77">
        <v>1999</v>
      </c>
      <c r="I522" s="77">
        <v>2399</v>
      </c>
      <c r="J522" s="77">
        <v>2999</v>
      </c>
      <c r="K522" s="78">
        <v>600</v>
      </c>
    </row>
    <row r="523" spans="1:11" ht="16.5" customHeight="1" x14ac:dyDescent="0.25">
      <c r="A523" s="124">
        <v>148798</v>
      </c>
      <c r="B523" s="74">
        <v>0.54568181818181805</v>
      </c>
      <c r="C523" s="75" t="s">
        <v>799</v>
      </c>
      <c r="D523" s="8"/>
      <c r="E523" s="8"/>
      <c r="F523" s="79" t="s">
        <v>256</v>
      </c>
      <c r="G523" s="76">
        <v>21</v>
      </c>
      <c r="H523" s="77">
        <v>1333</v>
      </c>
      <c r="I523" s="77">
        <v>1599</v>
      </c>
      <c r="J523" s="77">
        <v>1999</v>
      </c>
      <c r="K523" s="78">
        <v>400</v>
      </c>
    </row>
    <row r="524" spans="1:11" ht="16.5" customHeight="1" x14ac:dyDescent="0.25">
      <c r="A524" s="124">
        <v>148799</v>
      </c>
      <c r="B524" s="74">
        <v>0.50213523131672599</v>
      </c>
      <c r="C524" s="75" t="s">
        <v>531</v>
      </c>
      <c r="D524" s="8"/>
      <c r="E524" s="8"/>
      <c r="F524" s="79" t="s">
        <v>257</v>
      </c>
      <c r="G524" s="76">
        <v>14</v>
      </c>
      <c r="H524" s="77">
        <v>933</v>
      </c>
      <c r="I524" s="77">
        <v>1119</v>
      </c>
      <c r="J524" s="77">
        <v>1399</v>
      </c>
      <c r="K524" s="78">
        <v>280</v>
      </c>
    </row>
    <row r="525" spans="1:11" ht="16.5" customHeight="1" x14ac:dyDescent="0.25">
      <c r="A525" s="124">
        <v>148800</v>
      </c>
      <c r="B525" s="74">
        <v>0.465178571428571</v>
      </c>
      <c r="C525" s="75" t="s">
        <v>839</v>
      </c>
      <c r="D525" s="8"/>
      <c r="E525" s="8"/>
      <c r="F525" s="79" t="s">
        <v>258</v>
      </c>
      <c r="G525" s="76">
        <v>6</v>
      </c>
      <c r="H525" s="77">
        <v>399</v>
      </c>
      <c r="I525" s="77">
        <v>479</v>
      </c>
      <c r="J525" s="77">
        <v>599</v>
      </c>
      <c r="K525" s="78">
        <v>120</v>
      </c>
    </row>
    <row r="526" spans="1:11" ht="16.5" customHeight="1" x14ac:dyDescent="0.25">
      <c r="A526" s="124">
        <v>548052</v>
      </c>
      <c r="B526" s="74"/>
      <c r="C526" s="75" t="s">
        <v>858</v>
      </c>
      <c r="D526" s="8"/>
      <c r="E526" s="8"/>
      <c r="F526" s="79" t="s">
        <v>152</v>
      </c>
      <c r="G526" s="76" t="s">
        <v>17</v>
      </c>
      <c r="H526" s="77" t="s">
        <v>17</v>
      </c>
      <c r="I526" s="77">
        <v>175</v>
      </c>
      <c r="J526" s="77" t="s">
        <v>17</v>
      </c>
      <c r="K526" s="78" t="s">
        <v>17</v>
      </c>
    </row>
  </sheetData>
  <sortState xmlns:xlrd2="http://schemas.microsoft.com/office/spreadsheetml/2017/richdata2" ref="A55:J74">
    <sortCondition ref="A55:A74"/>
  </sortState>
  <phoneticPr fontId="0" type="noConversion"/>
  <conditionalFormatting sqref="A53:A77">
    <cfRule type="expression" dxfId="44" priority="9" stopIfTrue="1">
      <formula>AND(COUNTIF(#REF!, A53)&gt;1,NOT(ISBLANK(A53)))</formula>
    </cfRule>
  </conditionalFormatting>
  <conditionalFormatting sqref="A54">
    <cfRule type="duplicateValues" dxfId="43" priority="10"/>
  </conditionalFormatting>
  <conditionalFormatting sqref="A76">
    <cfRule type="duplicateValues" dxfId="42" priority="1"/>
    <cfRule type="expression" dxfId="41" priority="2" stopIfTrue="1">
      <formula>AND(COUNTIF($B$82:$B$83, A76)&gt;1,NOT(ISBLANK(A76)))</formula>
    </cfRule>
  </conditionalFormatting>
  <conditionalFormatting sqref="A77">
    <cfRule type="duplicateValues" dxfId="40" priority="3"/>
  </conditionalFormatting>
  <conditionalFormatting sqref="A80">
    <cfRule type="expression" dxfId="39" priority="330572" stopIfTrue="1">
      <formula>AND(COUNTIF($B$78:$B$83, A80)&gt;1,NOT(ISBLANK(A80)))</formula>
    </cfRule>
  </conditionalFormatting>
  <conditionalFormatting sqref="A80:A81">
    <cfRule type="expression" dxfId="38" priority="330233" stopIfTrue="1">
      <formula>AND(COUNTIF(#REF!, A80)&gt;1,NOT(ISBLANK(A80)))</formula>
    </cfRule>
  </conditionalFormatting>
  <conditionalFormatting sqref="A53">
    <cfRule type="duplicateValues" dxfId="37" priority="330827"/>
    <cfRule type="expression" dxfId="36" priority="330828" stopIfTrue="1">
      <formula>AND(COUNTIF($B$82:$B$83, A53)&gt;1,NOT(ISBLANK(A53)))</formula>
    </cfRule>
  </conditionalFormatting>
  <pageMargins left="0.22" right="0.26" top="0.34" bottom="0.25" header="0.25" footer="0.19"/>
  <pageSetup paperSize="9" scale="42" fitToHeight="5" orientation="portrait" r:id="rId1"/>
  <headerFooter alignWithMargins="0">
    <oddHeader xml:space="preserve">&amp;C&amp;12РОССИЯ
</oddHeader>
  </headerFooter>
  <ignoredErrors>
    <ignoredError sqref="C78:C539 C3:C7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2"/>
  <sheetViews>
    <sheetView topLeftCell="A169" zoomScale="75" workbookViewId="0">
      <selection activeCell="E178" sqref="E178"/>
    </sheetView>
  </sheetViews>
  <sheetFormatPr defaultColWidth="9.109375" defaultRowHeight="18" customHeight="1" x14ac:dyDescent="0.25"/>
  <cols>
    <col min="1" max="1" width="17.6640625" style="10" customWidth="1"/>
    <col min="2" max="2" width="16" style="5" customWidth="1"/>
    <col min="3" max="3" width="149.6640625" style="6" bestFit="1" customWidth="1"/>
    <col min="4" max="4" width="16.33203125" style="24" customWidth="1"/>
    <col min="5" max="5" width="17.109375" style="3" customWidth="1"/>
    <col min="6" max="6" width="15" style="3" customWidth="1"/>
    <col min="7" max="7" width="15.44140625" style="3" customWidth="1"/>
    <col min="8" max="16384" width="9.109375" style="3"/>
  </cols>
  <sheetData>
    <row r="1" spans="1:4" ht="18" customHeight="1" x14ac:dyDescent="0.25">
      <c r="A1" s="73" t="s">
        <v>64</v>
      </c>
      <c r="B1" s="73" t="s">
        <v>65</v>
      </c>
      <c r="C1" s="17" t="s">
        <v>66</v>
      </c>
      <c r="D1" s="72" t="s">
        <v>67</v>
      </c>
    </row>
    <row r="2" spans="1:4" ht="18" customHeight="1" x14ac:dyDescent="0.25">
      <c r="A2" s="84">
        <v>11037</v>
      </c>
      <c r="B2" s="125">
        <v>42490</v>
      </c>
      <c r="C2" s="85" t="s">
        <v>291</v>
      </c>
      <c r="D2" s="82">
        <v>35</v>
      </c>
    </row>
    <row r="3" spans="1:4" ht="18" customHeight="1" x14ac:dyDescent="0.25">
      <c r="A3" s="84">
        <v>11365</v>
      </c>
      <c r="B3" s="125">
        <v>42495</v>
      </c>
      <c r="C3" s="85" t="s">
        <v>292</v>
      </c>
      <c r="D3" s="82">
        <v>35</v>
      </c>
    </row>
    <row r="4" spans="1:4" ht="18" customHeight="1" x14ac:dyDescent="0.25">
      <c r="A4" s="84">
        <v>22443</v>
      </c>
      <c r="B4" s="125">
        <v>42751</v>
      </c>
      <c r="C4" s="85" t="s">
        <v>293</v>
      </c>
      <c r="D4" s="82">
        <v>35</v>
      </c>
    </row>
    <row r="5" spans="1:4" ht="18" customHeight="1" x14ac:dyDescent="0.25">
      <c r="A5" s="84">
        <v>30044</v>
      </c>
      <c r="B5" s="125">
        <v>42514</v>
      </c>
      <c r="C5" s="85" t="s">
        <v>294</v>
      </c>
      <c r="D5" s="82">
        <v>35</v>
      </c>
    </row>
    <row r="6" spans="1:4" ht="18" customHeight="1" x14ac:dyDescent="0.25">
      <c r="A6" s="84">
        <v>30129</v>
      </c>
      <c r="B6" s="125">
        <v>42507</v>
      </c>
      <c r="C6" s="85" t="s">
        <v>295</v>
      </c>
      <c r="D6" s="82">
        <v>35</v>
      </c>
    </row>
    <row r="7" spans="1:4" ht="18" customHeight="1" x14ac:dyDescent="0.25">
      <c r="A7" s="84">
        <v>30321</v>
      </c>
      <c r="B7" s="125">
        <v>42864</v>
      </c>
      <c r="C7" s="85" t="s">
        <v>296</v>
      </c>
      <c r="D7" s="82">
        <v>35</v>
      </c>
    </row>
    <row r="8" spans="1:4" ht="18" customHeight="1" x14ac:dyDescent="0.25">
      <c r="A8" s="84">
        <v>30400</v>
      </c>
      <c r="B8" s="125">
        <v>30399</v>
      </c>
      <c r="C8" s="85" t="s">
        <v>297</v>
      </c>
      <c r="D8" s="82">
        <v>35</v>
      </c>
    </row>
    <row r="9" spans="1:4" ht="18" customHeight="1" x14ac:dyDescent="0.25">
      <c r="A9" s="84">
        <v>30557</v>
      </c>
      <c r="B9" s="125">
        <v>30468</v>
      </c>
      <c r="C9" s="85" t="s">
        <v>298</v>
      </c>
      <c r="D9" s="82">
        <v>35</v>
      </c>
    </row>
    <row r="10" spans="1:4" ht="18" customHeight="1" x14ac:dyDescent="0.25">
      <c r="A10" s="84">
        <v>30885</v>
      </c>
      <c r="B10" s="125">
        <v>42519</v>
      </c>
      <c r="C10" s="85" t="s">
        <v>299</v>
      </c>
      <c r="D10" s="82">
        <v>35</v>
      </c>
    </row>
    <row r="11" spans="1:4" ht="18" customHeight="1" x14ac:dyDescent="0.25">
      <c r="A11" s="84">
        <v>31002</v>
      </c>
      <c r="B11" s="125">
        <v>30058</v>
      </c>
      <c r="C11" s="85" t="s">
        <v>300</v>
      </c>
      <c r="D11" s="82">
        <v>35</v>
      </c>
    </row>
    <row r="12" spans="1:4" ht="18" customHeight="1" x14ac:dyDescent="0.25">
      <c r="A12" s="84">
        <v>31003</v>
      </c>
      <c r="B12" s="125">
        <v>42518</v>
      </c>
      <c r="C12" s="85" t="s">
        <v>301</v>
      </c>
      <c r="D12" s="82">
        <v>35</v>
      </c>
    </row>
    <row r="13" spans="1:4" ht="18" customHeight="1" x14ac:dyDescent="0.25">
      <c r="A13" s="84">
        <v>31292</v>
      </c>
      <c r="B13" s="125">
        <v>42499</v>
      </c>
      <c r="C13" s="85" t="s">
        <v>302</v>
      </c>
      <c r="D13" s="82">
        <v>35</v>
      </c>
    </row>
    <row r="14" spans="1:4" ht="18" customHeight="1" x14ac:dyDescent="0.25">
      <c r="A14" s="84">
        <v>31494</v>
      </c>
      <c r="B14" s="125">
        <v>42815</v>
      </c>
      <c r="C14" s="85" t="s">
        <v>303</v>
      </c>
      <c r="D14" s="82">
        <v>35</v>
      </c>
    </row>
    <row r="15" spans="1:4" ht="18" customHeight="1" x14ac:dyDescent="0.25">
      <c r="A15" s="84">
        <v>31496</v>
      </c>
      <c r="B15" s="125">
        <v>42789</v>
      </c>
      <c r="C15" s="85" t="s">
        <v>304</v>
      </c>
      <c r="D15" s="82">
        <v>35</v>
      </c>
    </row>
    <row r="16" spans="1:4" ht="18" customHeight="1" x14ac:dyDescent="0.25">
      <c r="A16" s="84">
        <v>31817</v>
      </c>
      <c r="B16" s="125">
        <v>42503</v>
      </c>
      <c r="C16" s="85" t="s">
        <v>305</v>
      </c>
      <c r="D16" s="82">
        <v>35</v>
      </c>
    </row>
    <row r="17" spans="1:4" ht="18" customHeight="1" x14ac:dyDescent="0.25">
      <c r="A17" s="84">
        <v>31824</v>
      </c>
      <c r="B17" s="125">
        <v>31825</v>
      </c>
      <c r="C17" s="85" t="s">
        <v>306</v>
      </c>
      <c r="D17" s="82">
        <v>35</v>
      </c>
    </row>
    <row r="18" spans="1:4" ht="18" customHeight="1" x14ac:dyDescent="0.25">
      <c r="A18" s="84">
        <v>32234</v>
      </c>
      <c r="B18" s="125">
        <v>42502</v>
      </c>
      <c r="C18" s="85" t="s">
        <v>307</v>
      </c>
      <c r="D18" s="82">
        <v>35</v>
      </c>
    </row>
    <row r="19" spans="1:4" ht="18" customHeight="1" x14ac:dyDescent="0.25">
      <c r="A19" s="84">
        <v>32441</v>
      </c>
      <c r="B19" s="125">
        <v>32438</v>
      </c>
      <c r="C19" s="85" t="s">
        <v>308</v>
      </c>
      <c r="D19" s="82">
        <v>35</v>
      </c>
    </row>
    <row r="20" spans="1:4" ht="18" customHeight="1" x14ac:dyDescent="0.25">
      <c r="A20" s="84">
        <v>32442</v>
      </c>
      <c r="B20" s="125">
        <v>42828</v>
      </c>
      <c r="C20" s="85" t="s">
        <v>309</v>
      </c>
      <c r="D20" s="82">
        <v>35</v>
      </c>
    </row>
    <row r="21" spans="1:4" ht="18" customHeight="1" x14ac:dyDescent="0.25">
      <c r="A21" s="84">
        <v>33045</v>
      </c>
      <c r="B21" s="125">
        <v>42865</v>
      </c>
      <c r="C21" s="85" t="s">
        <v>310</v>
      </c>
      <c r="D21" s="82">
        <v>35</v>
      </c>
    </row>
    <row r="22" spans="1:4" ht="18" customHeight="1" x14ac:dyDescent="0.25">
      <c r="A22" s="84">
        <v>33649</v>
      </c>
      <c r="B22" s="125">
        <v>33650</v>
      </c>
      <c r="C22" s="85" t="s">
        <v>311</v>
      </c>
      <c r="D22" s="82">
        <v>35</v>
      </c>
    </row>
    <row r="23" spans="1:4" ht="18" customHeight="1" x14ac:dyDescent="0.25">
      <c r="A23" s="84">
        <v>33653</v>
      </c>
      <c r="B23" s="125">
        <v>33654</v>
      </c>
      <c r="C23" s="85" t="s">
        <v>312</v>
      </c>
      <c r="D23" s="82">
        <v>35</v>
      </c>
    </row>
    <row r="24" spans="1:4" ht="18" customHeight="1" x14ac:dyDescent="0.25">
      <c r="A24" s="84">
        <v>34145</v>
      </c>
      <c r="B24" s="125">
        <v>42520</v>
      </c>
      <c r="C24" s="85" t="s">
        <v>313</v>
      </c>
      <c r="D24" s="82">
        <v>35</v>
      </c>
    </row>
    <row r="25" spans="1:4" ht="18" customHeight="1" x14ac:dyDescent="0.25">
      <c r="A25" s="84">
        <v>34506</v>
      </c>
      <c r="B25" s="125">
        <v>42741</v>
      </c>
      <c r="C25" s="85" t="s">
        <v>314</v>
      </c>
      <c r="D25" s="82">
        <v>35</v>
      </c>
    </row>
    <row r="26" spans="1:4" ht="18" customHeight="1" x14ac:dyDescent="0.25">
      <c r="A26" s="84">
        <v>34612</v>
      </c>
      <c r="B26" s="125">
        <v>33201</v>
      </c>
      <c r="C26" s="85" t="s">
        <v>19</v>
      </c>
      <c r="D26" s="82">
        <v>35</v>
      </c>
    </row>
    <row r="27" spans="1:4" ht="18" customHeight="1" x14ac:dyDescent="0.25">
      <c r="A27" s="84">
        <v>34613</v>
      </c>
      <c r="B27" s="125">
        <v>33200</v>
      </c>
      <c r="C27" s="85" t="s">
        <v>18</v>
      </c>
      <c r="D27" s="82">
        <v>35</v>
      </c>
    </row>
    <row r="28" spans="1:4" ht="18" customHeight="1" x14ac:dyDescent="0.25">
      <c r="A28" s="84">
        <v>35084</v>
      </c>
      <c r="B28" s="125">
        <v>33984</v>
      </c>
      <c r="C28" s="85" t="s">
        <v>315</v>
      </c>
      <c r="D28" s="82">
        <v>35</v>
      </c>
    </row>
    <row r="29" spans="1:4" ht="18" customHeight="1" x14ac:dyDescent="0.25">
      <c r="A29" s="84">
        <v>35198</v>
      </c>
      <c r="B29" s="125">
        <v>32630</v>
      </c>
      <c r="C29" s="85" t="s">
        <v>69</v>
      </c>
      <c r="D29" s="82">
        <v>35</v>
      </c>
    </row>
    <row r="30" spans="1:4" ht="18" customHeight="1" x14ac:dyDescent="0.25">
      <c r="A30" s="84">
        <v>35200</v>
      </c>
      <c r="B30" s="125">
        <v>32629</v>
      </c>
      <c r="C30" s="85" t="s">
        <v>70</v>
      </c>
      <c r="D30" s="82">
        <v>35</v>
      </c>
    </row>
    <row r="31" spans="1:4" ht="18" customHeight="1" x14ac:dyDescent="0.25">
      <c r="A31" s="84">
        <v>35231</v>
      </c>
      <c r="B31" s="125">
        <v>33198</v>
      </c>
      <c r="C31" s="85" t="s">
        <v>316</v>
      </c>
      <c r="D31" s="82">
        <v>35</v>
      </c>
    </row>
    <row r="32" spans="1:4" ht="18" customHeight="1" x14ac:dyDescent="0.25">
      <c r="A32" s="84">
        <v>35232</v>
      </c>
      <c r="B32" s="125">
        <v>33199</v>
      </c>
      <c r="C32" s="85" t="s">
        <v>71</v>
      </c>
      <c r="D32" s="82">
        <v>35</v>
      </c>
    </row>
    <row r="33" spans="1:4" ht="18" customHeight="1" x14ac:dyDescent="0.25">
      <c r="A33" s="84">
        <v>35332</v>
      </c>
      <c r="B33" s="125">
        <v>32627</v>
      </c>
      <c r="C33" s="85" t="s">
        <v>317</v>
      </c>
      <c r="D33" s="82">
        <v>35</v>
      </c>
    </row>
    <row r="34" spans="1:4" ht="18" customHeight="1" x14ac:dyDescent="0.25">
      <c r="A34" s="84">
        <v>35333</v>
      </c>
      <c r="B34" s="125">
        <v>32628</v>
      </c>
      <c r="C34" s="85" t="s">
        <v>318</v>
      </c>
      <c r="D34" s="82">
        <v>35</v>
      </c>
    </row>
    <row r="35" spans="1:4" ht="18" customHeight="1" x14ac:dyDescent="0.25">
      <c r="A35" s="84">
        <v>35533</v>
      </c>
      <c r="B35" s="125">
        <v>35531</v>
      </c>
      <c r="C35" s="85" t="s">
        <v>319</v>
      </c>
      <c r="D35" s="82">
        <v>35</v>
      </c>
    </row>
    <row r="36" spans="1:4" ht="18" customHeight="1" x14ac:dyDescent="0.25">
      <c r="A36" s="84">
        <v>35534</v>
      </c>
      <c r="B36" s="125">
        <v>42835</v>
      </c>
      <c r="C36" s="85" t="s">
        <v>320</v>
      </c>
      <c r="D36" s="82">
        <v>35</v>
      </c>
    </row>
    <row r="37" spans="1:4" ht="18" customHeight="1" x14ac:dyDescent="0.25">
      <c r="A37" s="84">
        <v>35578</v>
      </c>
      <c r="B37" s="125">
        <v>34522</v>
      </c>
      <c r="C37" s="85" t="s">
        <v>321</v>
      </c>
      <c r="D37" s="82">
        <v>35</v>
      </c>
    </row>
    <row r="38" spans="1:4" ht="18" customHeight="1" x14ac:dyDescent="0.25">
      <c r="A38" s="84">
        <v>35650</v>
      </c>
      <c r="B38" s="125">
        <v>35649</v>
      </c>
      <c r="C38" s="85" t="s">
        <v>322</v>
      </c>
      <c r="D38" s="82">
        <v>35</v>
      </c>
    </row>
    <row r="39" spans="1:4" ht="18" customHeight="1" x14ac:dyDescent="0.25">
      <c r="A39" s="84">
        <v>35652</v>
      </c>
      <c r="B39" s="125">
        <v>35651</v>
      </c>
      <c r="C39" s="85" t="s">
        <v>323</v>
      </c>
      <c r="D39" s="82">
        <v>35</v>
      </c>
    </row>
    <row r="40" spans="1:4" ht="18" customHeight="1" x14ac:dyDescent="0.25">
      <c r="A40" s="84">
        <v>35654</v>
      </c>
      <c r="B40" s="125">
        <v>36653</v>
      </c>
      <c r="C40" s="85" t="s">
        <v>324</v>
      </c>
      <c r="D40" s="82">
        <v>35</v>
      </c>
    </row>
    <row r="41" spans="1:4" ht="18" customHeight="1" x14ac:dyDescent="0.25">
      <c r="A41" s="84">
        <v>35656</v>
      </c>
      <c r="B41" s="125">
        <v>37766</v>
      </c>
      <c r="C41" s="85" t="s">
        <v>325</v>
      </c>
      <c r="D41" s="82">
        <v>35</v>
      </c>
    </row>
    <row r="42" spans="1:4" ht="18" customHeight="1" x14ac:dyDescent="0.25">
      <c r="A42" s="84">
        <v>35658</v>
      </c>
      <c r="B42" s="125">
        <v>42508</v>
      </c>
      <c r="C42" s="85" t="s">
        <v>326</v>
      </c>
      <c r="D42" s="82">
        <v>35</v>
      </c>
    </row>
    <row r="43" spans="1:4" ht="18" customHeight="1" x14ac:dyDescent="0.25">
      <c r="A43" s="84">
        <v>35662</v>
      </c>
      <c r="B43" s="125">
        <v>35661</v>
      </c>
      <c r="C43" s="85" t="s">
        <v>327</v>
      </c>
      <c r="D43" s="82">
        <v>35</v>
      </c>
    </row>
    <row r="44" spans="1:4" ht="18" customHeight="1" x14ac:dyDescent="0.25">
      <c r="A44" s="84">
        <v>35664</v>
      </c>
      <c r="B44" s="125">
        <v>42837</v>
      </c>
      <c r="C44" s="85" t="s">
        <v>328</v>
      </c>
      <c r="D44" s="82">
        <v>35</v>
      </c>
    </row>
    <row r="45" spans="1:4" ht="18" customHeight="1" x14ac:dyDescent="0.25">
      <c r="A45" s="84">
        <v>35666</v>
      </c>
      <c r="B45" s="125">
        <v>35665</v>
      </c>
      <c r="C45" s="85" t="s">
        <v>329</v>
      </c>
      <c r="D45" s="82">
        <v>35</v>
      </c>
    </row>
    <row r="46" spans="1:4" ht="18" customHeight="1" x14ac:dyDescent="0.25">
      <c r="A46" s="84">
        <v>35668</v>
      </c>
      <c r="B46" s="125">
        <v>42816</v>
      </c>
      <c r="C46" s="85" t="s">
        <v>330</v>
      </c>
      <c r="D46" s="82">
        <v>35</v>
      </c>
    </row>
    <row r="47" spans="1:4" ht="18" customHeight="1" x14ac:dyDescent="0.25">
      <c r="A47" s="84">
        <v>35670</v>
      </c>
      <c r="B47" s="125">
        <v>42739</v>
      </c>
      <c r="C47" s="85" t="s">
        <v>331</v>
      </c>
      <c r="D47" s="82">
        <v>35</v>
      </c>
    </row>
    <row r="48" spans="1:4" ht="18" customHeight="1" x14ac:dyDescent="0.25">
      <c r="A48" s="84">
        <v>35674</v>
      </c>
      <c r="B48" s="125">
        <v>42726</v>
      </c>
      <c r="C48" s="85" t="s">
        <v>332</v>
      </c>
      <c r="D48" s="82">
        <v>35</v>
      </c>
    </row>
    <row r="49" spans="1:4" ht="18" customHeight="1" x14ac:dyDescent="0.25">
      <c r="A49" s="84">
        <v>35676</v>
      </c>
      <c r="B49" s="125">
        <v>37772</v>
      </c>
      <c r="C49" s="85" t="s">
        <v>333</v>
      </c>
      <c r="D49" s="82">
        <v>35</v>
      </c>
    </row>
    <row r="50" spans="1:4" ht="18" customHeight="1" x14ac:dyDescent="0.25">
      <c r="A50" s="84">
        <v>37703</v>
      </c>
      <c r="B50" s="125">
        <v>37214</v>
      </c>
      <c r="C50" s="85" t="s">
        <v>334</v>
      </c>
      <c r="D50" s="82">
        <v>35</v>
      </c>
    </row>
    <row r="51" spans="1:4" ht="18" customHeight="1" x14ac:dyDescent="0.25">
      <c r="A51" s="84">
        <v>38525</v>
      </c>
      <c r="B51" s="125">
        <v>38527</v>
      </c>
      <c r="C51" s="85" t="s">
        <v>335</v>
      </c>
      <c r="D51" s="82">
        <v>35</v>
      </c>
    </row>
    <row r="52" spans="1:4" ht="18" customHeight="1" x14ac:dyDescent="0.25">
      <c r="A52" s="84">
        <v>38546</v>
      </c>
      <c r="B52" s="125">
        <v>38550</v>
      </c>
      <c r="C52" s="85" t="s">
        <v>336</v>
      </c>
      <c r="D52" s="82">
        <v>35</v>
      </c>
    </row>
    <row r="53" spans="1:4" ht="18" customHeight="1" x14ac:dyDescent="0.25">
      <c r="A53" s="84">
        <v>38548</v>
      </c>
      <c r="B53" s="125">
        <v>43122</v>
      </c>
      <c r="C53" s="85" t="s">
        <v>337</v>
      </c>
      <c r="D53" s="82">
        <v>35</v>
      </c>
    </row>
    <row r="54" spans="1:4" ht="18" customHeight="1" x14ac:dyDescent="0.25">
      <c r="A54" s="84">
        <v>38569</v>
      </c>
      <c r="B54" s="125">
        <v>38571</v>
      </c>
      <c r="C54" s="85" t="s">
        <v>338</v>
      </c>
      <c r="D54" s="82">
        <v>35</v>
      </c>
    </row>
    <row r="55" spans="1:4" ht="18" customHeight="1" x14ac:dyDescent="0.25">
      <c r="A55" s="84">
        <v>38579</v>
      </c>
      <c r="B55" s="125">
        <v>38587</v>
      </c>
      <c r="C55" s="85" t="s">
        <v>339</v>
      </c>
      <c r="D55" s="82">
        <v>35</v>
      </c>
    </row>
    <row r="56" spans="1:4" ht="18" customHeight="1" x14ac:dyDescent="0.25">
      <c r="A56" s="84">
        <v>38598</v>
      </c>
      <c r="B56" s="125">
        <v>38540</v>
      </c>
      <c r="C56" s="85" t="s">
        <v>340</v>
      </c>
      <c r="D56" s="82">
        <v>35</v>
      </c>
    </row>
    <row r="57" spans="1:4" ht="18" customHeight="1" x14ac:dyDescent="0.25">
      <c r="A57" s="84">
        <v>39923</v>
      </c>
      <c r="B57" s="125">
        <v>38534</v>
      </c>
      <c r="C57" s="85" t="s">
        <v>341</v>
      </c>
      <c r="D57" s="82">
        <v>35</v>
      </c>
    </row>
    <row r="58" spans="1:4" ht="18" customHeight="1" x14ac:dyDescent="0.25">
      <c r="A58" s="84">
        <v>41163</v>
      </c>
      <c r="B58" s="125">
        <v>35679</v>
      </c>
      <c r="C58" s="85" t="s">
        <v>342</v>
      </c>
      <c r="D58" s="82">
        <v>35</v>
      </c>
    </row>
    <row r="59" spans="1:4" ht="18" customHeight="1" x14ac:dyDescent="0.25">
      <c r="A59" s="84">
        <v>41183</v>
      </c>
      <c r="B59" s="125" t="s">
        <v>343</v>
      </c>
      <c r="C59" s="85" t="s">
        <v>344</v>
      </c>
      <c r="D59" s="82">
        <v>35</v>
      </c>
    </row>
    <row r="60" spans="1:4" ht="18" customHeight="1" x14ac:dyDescent="0.25">
      <c r="A60" s="84">
        <v>41185</v>
      </c>
      <c r="B60" s="125" t="s">
        <v>345</v>
      </c>
      <c r="C60" s="85" t="s">
        <v>346</v>
      </c>
      <c r="D60" s="82">
        <v>35</v>
      </c>
    </row>
    <row r="61" spans="1:4" ht="18" customHeight="1" x14ac:dyDescent="0.25">
      <c r="A61" s="84">
        <v>41324</v>
      </c>
      <c r="B61" s="125">
        <v>35681</v>
      </c>
      <c r="C61" s="85" t="s">
        <v>347</v>
      </c>
      <c r="D61" s="82">
        <v>35</v>
      </c>
    </row>
    <row r="62" spans="1:4" ht="18" customHeight="1" x14ac:dyDescent="0.25">
      <c r="A62" s="84">
        <v>41377</v>
      </c>
      <c r="B62" s="125" t="s">
        <v>348</v>
      </c>
      <c r="C62" s="85" t="s">
        <v>349</v>
      </c>
      <c r="D62" s="82">
        <v>35</v>
      </c>
    </row>
    <row r="63" spans="1:4" ht="18" customHeight="1" x14ac:dyDescent="0.25">
      <c r="A63" s="84">
        <v>41378</v>
      </c>
      <c r="B63" s="125" t="s">
        <v>350</v>
      </c>
      <c r="C63" s="85" t="s">
        <v>351</v>
      </c>
      <c r="D63" s="82">
        <v>35</v>
      </c>
    </row>
    <row r="64" spans="1:4" ht="18" customHeight="1" x14ac:dyDescent="0.25">
      <c r="A64" s="84">
        <v>41379</v>
      </c>
      <c r="B64" s="125" t="s">
        <v>352</v>
      </c>
      <c r="C64" s="85" t="s">
        <v>72</v>
      </c>
      <c r="D64" s="82">
        <v>35</v>
      </c>
    </row>
    <row r="65" spans="1:4" ht="18" customHeight="1" x14ac:dyDescent="0.25">
      <c r="A65" s="84">
        <v>41771</v>
      </c>
      <c r="B65" s="125">
        <v>42785</v>
      </c>
      <c r="C65" s="85" t="s">
        <v>353</v>
      </c>
      <c r="D65" s="82">
        <v>35</v>
      </c>
    </row>
    <row r="66" spans="1:4" ht="18" customHeight="1" x14ac:dyDescent="0.25">
      <c r="A66" s="84">
        <v>42379</v>
      </c>
      <c r="B66" s="125">
        <v>40790</v>
      </c>
      <c r="C66" s="85" t="s">
        <v>354</v>
      </c>
      <c r="D66" s="82">
        <v>35</v>
      </c>
    </row>
    <row r="67" spans="1:4" ht="18" customHeight="1" x14ac:dyDescent="0.25">
      <c r="A67" s="84">
        <v>42400</v>
      </c>
      <c r="B67" s="125">
        <v>38552</v>
      </c>
      <c r="C67" s="85" t="s">
        <v>355</v>
      </c>
      <c r="D67" s="82">
        <v>35</v>
      </c>
    </row>
    <row r="68" spans="1:4" ht="18" customHeight="1" x14ac:dyDescent="0.25">
      <c r="A68" s="84">
        <v>42438</v>
      </c>
      <c r="B68" s="125">
        <v>40788</v>
      </c>
      <c r="C68" s="85" t="s">
        <v>356</v>
      </c>
      <c r="D68" s="82">
        <v>35</v>
      </c>
    </row>
    <row r="69" spans="1:4" ht="18" customHeight="1" x14ac:dyDescent="0.25">
      <c r="A69" s="84">
        <v>42843</v>
      </c>
      <c r="B69" s="125">
        <v>41635</v>
      </c>
      <c r="C69" s="85" t="s">
        <v>357</v>
      </c>
      <c r="D69" s="82">
        <v>35</v>
      </c>
    </row>
    <row r="70" spans="1:4" ht="18" customHeight="1" x14ac:dyDescent="0.25">
      <c r="A70" s="84">
        <v>42844</v>
      </c>
      <c r="B70" s="125">
        <v>41636</v>
      </c>
      <c r="C70" s="85" t="s">
        <v>358</v>
      </c>
      <c r="D70" s="82">
        <v>35</v>
      </c>
    </row>
    <row r="71" spans="1:4" ht="18" customHeight="1" x14ac:dyDescent="0.25">
      <c r="A71" s="84">
        <v>42845</v>
      </c>
      <c r="B71" s="125">
        <v>41637</v>
      </c>
      <c r="C71" s="85" t="s">
        <v>359</v>
      </c>
      <c r="D71" s="82">
        <v>35</v>
      </c>
    </row>
    <row r="72" spans="1:4" ht="18" customHeight="1" x14ac:dyDescent="0.25">
      <c r="A72" s="84">
        <v>42846</v>
      </c>
      <c r="B72" s="125">
        <v>41638</v>
      </c>
      <c r="C72" s="85" t="s">
        <v>360</v>
      </c>
      <c r="D72" s="82">
        <v>35</v>
      </c>
    </row>
    <row r="73" spans="1:4" ht="18" customHeight="1" x14ac:dyDescent="0.25">
      <c r="A73" s="84">
        <v>42847</v>
      </c>
      <c r="B73" s="125">
        <v>41639</v>
      </c>
      <c r="C73" s="85" t="s">
        <v>361</v>
      </c>
      <c r="D73" s="82">
        <v>35</v>
      </c>
    </row>
    <row r="74" spans="1:4" ht="18" customHeight="1" x14ac:dyDescent="0.25">
      <c r="A74" s="84">
        <v>42848</v>
      </c>
      <c r="B74" s="125">
        <v>41640</v>
      </c>
      <c r="C74" s="85" t="s">
        <v>362</v>
      </c>
      <c r="D74" s="82">
        <v>35</v>
      </c>
    </row>
    <row r="75" spans="1:4" ht="18" customHeight="1" x14ac:dyDescent="0.25">
      <c r="A75" s="84">
        <v>42849</v>
      </c>
      <c r="B75" s="125">
        <v>41641</v>
      </c>
      <c r="C75" s="85" t="s">
        <v>363</v>
      </c>
      <c r="D75" s="82">
        <v>35</v>
      </c>
    </row>
    <row r="76" spans="1:4" ht="18" customHeight="1" x14ac:dyDescent="0.25">
      <c r="A76" s="84">
        <v>42850</v>
      </c>
      <c r="B76" s="125">
        <v>41642</v>
      </c>
      <c r="C76" s="85" t="s">
        <v>364</v>
      </c>
      <c r="D76" s="82">
        <v>35</v>
      </c>
    </row>
    <row r="77" spans="1:4" ht="18" customHeight="1" x14ac:dyDescent="0.25">
      <c r="A77" s="84">
        <v>42851</v>
      </c>
      <c r="B77" s="125">
        <v>41643</v>
      </c>
      <c r="C77" s="85" t="s">
        <v>365</v>
      </c>
      <c r="D77" s="82">
        <v>35</v>
      </c>
    </row>
    <row r="78" spans="1:4" ht="18" customHeight="1" x14ac:dyDescent="0.25">
      <c r="A78" s="84">
        <v>42852</v>
      </c>
      <c r="B78" s="125">
        <v>41644</v>
      </c>
      <c r="C78" s="85" t="s">
        <v>366</v>
      </c>
      <c r="D78" s="82">
        <v>35</v>
      </c>
    </row>
    <row r="79" spans="1:4" ht="18" customHeight="1" x14ac:dyDescent="0.25">
      <c r="A79" s="84">
        <v>42934</v>
      </c>
      <c r="B79" s="125">
        <v>40793</v>
      </c>
      <c r="C79" s="85" t="s">
        <v>367</v>
      </c>
      <c r="D79" s="82">
        <v>35</v>
      </c>
    </row>
    <row r="80" spans="1:4" ht="18" customHeight="1" x14ac:dyDescent="0.25">
      <c r="A80" s="84">
        <v>42994</v>
      </c>
      <c r="B80" s="125">
        <v>42968</v>
      </c>
      <c r="C80" s="85" t="s">
        <v>368</v>
      </c>
      <c r="D80" s="82">
        <v>35</v>
      </c>
    </row>
    <row r="81" spans="1:4" ht="18" customHeight="1" x14ac:dyDescent="0.25">
      <c r="A81" s="84">
        <v>43137</v>
      </c>
      <c r="B81" s="125">
        <v>38805</v>
      </c>
      <c r="C81" s="85" t="s">
        <v>369</v>
      </c>
      <c r="D81" s="82">
        <v>35</v>
      </c>
    </row>
    <row r="82" spans="1:4" ht="18" customHeight="1" x14ac:dyDescent="0.25">
      <c r="A82" s="84">
        <v>43138</v>
      </c>
      <c r="B82" s="125">
        <v>38806</v>
      </c>
      <c r="C82" s="85" t="s">
        <v>370</v>
      </c>
      <c r="D82" s="82">
        <v>35</v>
      </c>
    </row>
    <row r="83" spans="1:4" ht="18" customHeight="1" x14ac:dyDescent="0.25">
      <c r="A83" s="84">
        <v>43139</v>
      </c>
      <c r="B83" s="125">
        <v>38807</v>
      </c>
      <c r="C83" s="85" t="s">
        <v>371</v>
      </c>
      <c r="D83" s="82">
        <v>35</v>
      </c>
    </row>
    <row r="84" spans="1:4" ht="18" customHeight="1" x14ac:dyDescent="0.25">
      <c r="A84" s="84">
        <v>43145</v>
      </c>
      <c r="B84" s="125">
        <v>38948</v>
      </c>
      <c r="C84" s="85" t="s">
        <v>372</v>
      </c>
      <c r="D84" s="82">
        <v>35</v>
      </c>
    </row>
    <row r="85" spans="1:4" ht="18" customHeight="1" x14ac:dyDescent="0.25">
      <c r="A85" s="84">
        <v>43146</v>
      </c>
      <c r="B85" s="125">
        <v>39800</v>
      </c>
      <c r="C85" s="85" t="s">
        <v>373</v>
      </c>
      <c r="D85" s="82">
        <v>35</v>
      </c>
    </row>
    <row r="86" spans="1:4" ht="18" customHeight="1" x14ac:dyDescent="0.25">
      <c r="A86" s="84">
        <v>43147</v>
      </c>
      <c r="B86" s="125">
        <v>39801</v>
      </c>
      <c r="C86" s="85" t="s">
        <v>374</v>
      </c>
      <c r="D86" s="82">
        <v>35</v>
      </c>
    </row>
    <row r="87" spans="1:4" ht="18" customHeight="1" x14ac:dyDescent="0.25">
      <c r="A87" s="84">
        <v>43148</v>
      </c>
      <c r="B87" s="125">
        <v>39802</v>
      </c>
      <c r="C87" s="85" t="s">
        <v>375</v>
      </c>
      <c r="D87" s="82">
        <v>35</v>
      </c>
    </row>
    <row r="88" spans="1:4" ht="18" customHeight="1" x14ac:dyDescent="0.25">
      <c r="A88" s="84">
        <v>43149</v>
      </c>
      <c r="B88" s="125">
        <v>39803</v>
      </c>
      <c r="C88" s="85" t="s">
        <v>376</v>
      </c>
      <c r="D88" s="82">
        <v>35</v>
      </c>
    </row>
    <row r="89" spans="1:4" ht="18" customHeight="1" x14ac:dyDescent="0.25">
      <c r="A89" s="84">
        <v>43151</v>
      </c>
      <c r="B89" s="125">
        <v>39805</v>
      </c>
      <c r="C89" s="85" t="s">
        <v>377</v>
      </c>
      <c r="D89" s="82">
        <v>35</v>
      </c>
    </row>
    <row r="90" spans="1:4" ht="18" customHeight="1" x14ac:dyDescent="0.25">
      <c r="A90" s="84">
        <v>43152</v>
      </c>
      <c r="B90" s="125">
        <v>39806</v>
      </c>
      <c r="C90" s="85" t="s">
        <v>378</v>
      </c>
      <c r="D90" s="82">
        <v>35</v>
      </c>
    </row>
    <row r="91" spans="1:4" ht="18" customHeight="1" x14ac:dyDescent="0.25">
      <c r="A91" s="84">
        <v>43153</v>
      </c>
      <c r="B91" s="125">
        <v>39807</v>
      </c>
      <c r="C91" s="85" t="s">
        <v>379</v>
      </c>
      <c r="D91" s="82">
        <v>35</v>
      </c>
    </row>
    <row r="92" spans="1:4" ht="18" customHeight="1" x14ac:dyDescent="0.25">
      <c r="A92" s="84">
        <v>43160</v>
      </c>
      <c r="B92" s="125">
        <v>38742</v>
      </c>
      <c r="C92" s="85" t="s">
        <v>380</v>
      </c>
      <c r="D92" s="82">
        <v>35</v>
      </c>
    </row>
    <row r="93" spans="1:4" ht="18" customHeight="1" x14ac:dyDescent="0.25">
      <c r="A93" s="84">
        <v>43168</v>
      </c>
      <c r="B93" s="125">
        <v>38750</v>
      </c>
      <c r="C93" s="85" t="s">
        <v>381</v>
      </c>
      <c r="D93" s="82">
        <v>35</v>
      </c>
    </row>
    <row r="94" spans="1:4" ht="18" customHeight="1" x14ac:dyDescent="0.25">
      <c r="A94" s="84">
        <v>43169</v>
      </c>
      <c r="B94" s="125">
        <v>38751</v>
      </c>
      <c r="C94" s="85" t="s">
        <v>382</v>
      </c>
      <c r="D94" s="82">
        <v>35</v>
      </c>
    </row>
    <row r="95" spans="1:4" ht="18" customHeight="1" x14ac:dyDescent="0.25">
      <c r="A95" s="84">
        <v>43173</v>
      </c>
      <c r="B95" s="125">
        <v>38755</v>
      </c>
      <c r="C95" s="85" t="s">
        <v>383</v>
      </c>
      <c r="D95" s="82">
        <v>35</v>
      </c>
    </row>
    <row r="96" spans="1:4" ht="18" customHeight="1" x14ac:dyDescent="0.25">
      <c r="A96" s="84">
        <v>43175</v>
      </c>
      <c r="B96" s="125">
        <v>38757</v>
      </c>
      <c r="C96" s="85" t="s">
        <v>384</v>
      </c>
      <c r="D96" s="82">
        <v>35</v>
      </c>
    </row>
    <row r="97" spans="1:4" ht="18" customHeight="1" x14ac:dyDescent="0.25">
      <c r="A97" s="84">
        <v>43178</v>
      </c>
      <c r="B97" s="125">
        <v>38760</v>
      </c>
      <c r="C97" s="85" t="s">
        <v>385</v>
      </c>
      <c r="D97" s="82">
        <v>35</v>
      </c>
    </row>
    <row r="98" spans="1:4" ht="18" customHeight="1" x14ac:dyDescent="0.25">
      <c r="A98" s="84">
        <v>43179</v>
      </c>
      <c r="B98" s="125">
        <v>38761</v>
      </c>
      <c r="C98" s="85" t="s">
        <v>386</v>
      </c>
      <c r="D98" s="82">
        <v>35</v>
      </c>
    </row>
    <row r="99" spans="1:4" ht="18" customHeight="1" x14ac:dyDescent="0.25">
      <c r="A99" s="84">
        <v>43180</v>
      </c>
      <c r="B99" s="125">
        <v>38775</v>
      </c>
      <c r="C99" s="85" t="s">
        <v>387</v>
      </c>
      <c r="D99" s="82">
        <v>35</v>
      </c>
    </row>
    <row r="100" spans="1:4" ht="18" customHeight="1" x14ac:dyDescent="0.25">
      <c r="A100" s="84">
        <v>43181</v>
      </c>
      <c r="B100" s="125">
        <v>38776</v>
      </c>
      <c r="C100" s="85" t="s">
        <v>388</v>
      </c>
      <c r="D100" s="82">
        <v>35</v>
      </c>
    </row>
    <row r="101" spans="1:4" ht="18" customHeight="1" x14ac:dyDescent="0.25">
      <c r="A101" s="84">
        <v>43183</v>
      </c>
      <c r="B101" s="125">
        <v>38778</v>
      </c>
      <c r="C101" s="85" t="s">
        <v>389</v>
      </c>
      <c r="D101" s="82">
        <v>35</v>
      </c>
    </row>
    <row r="102" spans="1:4" ht="18" customHeight="1" x14ac:dyDescent="0.25">
      <c r="A102" s="84">
        <v>43268</v>
      </c>
      <c r="B102" s="125">
        <v>40797</v>
      </c>
      <c r="C102" s="85" t="s">
        <v>390</v>
      </c>
      <c r="D102" s="82">
        <v>35</v>
      </c>
    </row>
    <row r="103" spans="1:4" ht="18" customHeight="1" x14ac:dyDescent="0.25">
      <c r="A103" s="84">
        <v>43395</v>
      </c>
      <c r="B103" s="125">
        <v>42324</v>
      </c>
      <c r="C103" s="85" t="s">
        <v>391</v>
      </c>
      <c r="D103" s="82">
        <v>35</v>
      </c>
    </row>
    <row r="104" spans="1:4" ht="18" customHeight="1" x14ac:dyDescent="0.25">
      <c r="A104" s="84">
        <v>43396</v>
      </c>
      <c r="B104" s="125">
        <v>42325</v>
      </c>
      <c r="C104" s="85" t="s">
        <v>392</v>
      </c>
      <c r="D104" s="82">
        <v>35</v>
      </c>
    </row>
    <row r="105" spans="1:4" ht="18" customHeight="1" x14ac:dyDescent="0.25">
      <c r="A105" s="84">
        <v>43397</v>
      </c>
      <c r="B105" s="125">
        <v>42326</v>
      </c>
      <c r="C105" s="85" t="s">
        <v>393</v>
      </c>
      <c r="D105" s="82">
        <v>35</v>
      </c>
    </row>
    <row r="106" spans="1:4" ht="18" customHeight="1" x14ac:dyDescent="0.25">
      <c r="A106" s="84">
        <v>43398</v>
      </c>
      <c r="B106" s="125">
        <v>42327</v>
      </c>
      <c r="C106" s="85" t="s">
        <v>394</v>
      </c>
      <c r="D106" s="82">
        <v>35</v>
      </c>
    </row>
    <row r="107" spans="1:4" ht="18" customHeight="1" x14ac:dyDescent="0.25">
      <c r="A107" s="84">
        <v>43399</v>
      </c>
      <c r="B107" s="125">
        <v>42328</v>
      </c>
      <c r="C107" s="85" t="s">
        <v>395</v>
      </c>
      <c r="D107" s="82">
        <v>35</v>
      </c>
    </row>
    <row r="108" spans="1:4" ht="18" customHeight="1" x14ac:dyDescent="0.25">
      <c r="A108" s="84">
        <v>43400</v>
      </c>
      <c r="B108" s="125">
        <v>42329</v>
      </c>
      <c r="C108" s="85" t="s">
        <v>396</v>
      </c>
      <c r="D108" s="82">
        <v>35</v>
      </c>
    </row>
    <row r="109" spans="1:4" ht="18" customHeight="1" x14ac:dyDescent="0.25">
      <c r="A109" s="84">
        <v>43402</v>
      </c>
      <c r="B109" s="125">
        <v>42331</v>
      </c>
      <c r="C109" s="85" t="s">
        <v>397</v>
      </c>
      <c r="D109" s="82">
        <v>35</v>
      </c>
    </row>
    <row r="110" spans="1:4" ht="18" customHeight="1" x14ac:dyDescent="0.25">
      <c r="A110" s="84">
        <v>43403</v>
      </c>
      <c r="B110" s="125">
        <v>42332</v>
      </c>
      <c r="C110" s="85" t="s">
        <v>398</v>
      </c>
      <c r="D110" s="82">
        <v>35</v>
      </c>
    </row>
    <row r="111" spans="1:4" ht="18" customHeight="1" x14ac:dyDescent="0.25">
      <c r="A111" s="84">
        <v>43888</v>
      </c>
      <c r="B111" s="125" t="s">
        <v>399</v>
      </c>
      <c r="C111" s="85" t="s">
        <v>400</v>
      </c>
      <c r="D111" s="82">
        <v>35</v>
      </c>
    </row>
    <row r="112" spans="1:4" ht="18" customHeight="1" x14ac:dyDescent="0.25">
      <c r="A112" s="84">
        <v>43890</v>
      </c>
      <c r="B112" s="125" t="s">
        <v>401</v>
      </c>
      <c r="C112" s="85" t="s">
        <v>402</v>
      </c>
      <c r="D112" s="82">
        <v>35</v>
      </c>
    </row>
    <row r="113" spans="1:4" ht="18" customHeight="1" x14ac:dyDescent="0.25">
      <c r="A113" s="84">
        <v>43892</v>
      </c>
      <c r="B113" s="125" t="s">
        <v>403</v>
      </c>
      <c r="C113" s="85" t="s">
        <v>404</v>
      </c>
      <c r="D113" s="82">
        <v>35</v>
      </c>
    </row>
    <row r="114" spans="1:4" ht="18" customHeight="1" x14ac:dyDescent="0.25">
      <c r="A114" s="84">
        <v>43893</v>
      </c>
      <c r="B114" s="125" t="s">
        <v>405</v>
      </c>
      <c r="C114" s="85" t="s">
        <v>73</v>
      </c>
      <c r="D114" s="82">
        <v>35</v>
      </c>
    </row>
    <row r="115" spans="1:4" ht="18" customHeight="1" x14ac:dyDescent="0.25">
      <c r="A115" s="84">
        <v>43894</v>
      </c>
      <c r="B115" s="125" t="s">
        <v>406</v>
      </c>
      <c r="C115" s="85" t="s">
        <v>407</v>
      </c>
      <c r="D115" s="82">
        <v>35</v>
      </c>
    </row>
    <row r="116" spans="1:4" ht="18" customHeight="1" x14ac:dyDescent="0.25">
      <c r="A116" s="84">
        <v>43896</v>
      </c>
      <c r="B116" s="125" t="s">
        <v>408</v>
      </c>
      <c r="C116" s="85" t="s">
        <v>74</v>
      </c>
      <c r="D116" s="82">
        <v>35</v>
      </c>
    </row>
    <row r="117" spans="1:4" ht="18" customHeight="1" x14ac:dyDescent="0.25">
      <c r="A117" s="84">
        <v>43897</v>
      </c>
      <c r="B117" s="125" t="s">
        <v>409</v>
      </c>
      <c r="C117" s="85" t="s">
        <v>410</v>
      </c>
      <c r="D117" s="82">
        <v>35</v>
      </c>
    </row>
    <row r="118" spans="1:4" ht="18" customHeight="1" x14ac:dyDescent="0.25">
      <c r="A118" s="84">
        <v>43898</v>
      </c>
      <c r="B118" s="125" t="s">
        <v>411</v>
      </c>
      <c r="C118" s="85" t="s">
        <v>75</v>
      </c>
      <c r="D118" s="82">
        <v>35</v>
      </c>
    </row>
    <row r="119" spans="1:4" ht="18" customHeight="1" x14ac:dyDescent="0.25">
      <c r="A119" s="84">
        <v>43899</v>
      </c>
      <c r="B119" s="125" t="s">
        <v>412</v>
      </c>
      <c r="C119" s="85" t="s">
        <v>76</v>
      </c>
      <c r="D119" s="82">
        <v>35</v>
      </c>
    </row>
    <row r="120" spans="1:4" ht="18" customHeight="1" x14ac:dyDescent="0.25">
      <c r="A120" s="84">
        <v>43901</v>
      </c>
      <c r="B120" s="125" t="s">
        <v>413</v>
      </c>
      <c r="C120" s="85" t="s">
        <v>414</v>
      </c>
      <c r="D120" s="82">
        <v>35</v>
      </c>
    </row>
    <row r="121" spans="1:4" ht="18" customHeight="1" x14ac:dyDescent="0.25">
      <c r="A121" s="84">
        <v>43902</v>
      </c>
      <c r="B121" s="125">
        <v>41032</v>
      </c>
      <c r="C121" s="85" t="s">
        <v>415</v>
      </c>
      <c r="D121" s="82">
        <v>35</v>
      </c>
    </row>
    <row r="122" spans="1:4" ht="18" customHeight="1" x14ac:dyDescent="0.25">
      <c r="A122" s="84">
        <v>43904</v>
      </c>
      <c r="B122" s="125" t="s">
        <v>416</v>
      </c>
      <c r="C122" s="85" t="s">
        <v>417</v>
      </c>
      <c r="D122" s="82">
        <v>35</v>
      </c>
    </row>
    <row r="123" spans="1:4" ht="18" customHeight="1" x14ac:dyDescent="0.25">
      <c r="A123" s="84">
        <v>43905</v>
      </c>
      <c r="B123" s="125" t="s">
        <v>418</v>
      </c>
      <c r="C123" s="85" t="s">
        <v>419</v>
      </c>
      <c r="D123" s="82">
        <v>35</v>
      </c>
    </row>
    <row r="124" spans="1:4" ht="18" customHeight="1" x14ac:dyDescent="0.25">
      <c r="A124" s="84">
        <v>43936</v>
      </c>
      <c r="B124" s="125">
        <v>38533</v>
      </c>
      <c r="C124" s="85" t="s">
        <v>420</v>
      </c>
      <c r="D124" s="82">
        <v>35</v>
      </c>
    </row>
    <row r="125" spans="1:4" ht="18" customHeight="1" x14ac:dyDescent="0.25">
      <c r="A125" s="84">
        <v>43937</v>
      </c>
      <c r="B125" s="125">
        <v>38538</v>
      </c>
      <c r="C125" s="85" t="s">
        <v>421</v>
      </c>
      <c r="D125" s="82">
        <v>35</v>
      </c>
    </row>
    <row r="126" spans="1:4" ht="18" customHeight="1" x14ac:dyDescent="0.25">
      <c r="A126" s="84">
        <v>43938</v>
      </c>
      <c r="B126" s="125">
        <v>38531</v>
      </c>
      <c r="C126" s="85" t="s">
        <v>422</v>
      </c>
      <c r="D126" s="82">
        <v>35</v>
      </c>
    </row>
    <row r="127" spans="1:4" ht="18" customHeight="1" x14ac:dyDescent="0.25">
      <c r="A127" s="84">
        <v>43965</v>
      </c>
      <c r="B127" s="125">
        <v>42125</v>
      </c>
      <c r="C127" s="85" t="s">
        <v>423</v>
      </c>
      <c r="D127" s="82">
        <v>35</v>
      </c>
    </row>
    <row r="128" spans="1:4" ht="18" customHeight="1" x14ac:dyDescent="0.25">
      <c r="A128" s="84">
        <v>43966</v>
      </c>
      <c r="B128" s="125">
        <v>42129</v>
      </c>
      <c r="C128" s="85" t="s">
        <v>424</v>
      </c>
      <c r="D128" s="82">
        <v>35</v>
      </c>
    </row>
    <row r="129" spans="1:4" ht="18" customHeight="1" x14ac:dyDescent="0.25">
      <c r="A129" s="84">
        <v>43967</v>
      </c>
      <c r="B129" s="125">
        <v>42131</v>
      </c>
      <c r="C129" s="85" t="s">
        <v>425</v>
      </c>
      <c r="D129" s="82">
        <v>35</v>
      </c>
    </row>
    <row r="130" spans="1:4" ht="18" customHeight="1" x14ac:dyDescent="0.25">
      <c r="A130" s="84">
        <v>43968</v>
      </c>
      <c r="B130" s="125">
        <v>43118</v>
      </c>
      <c r="C130" s="85" t="s">
        <v>426</v>
      </c>
      <c r="D130" s="82">
        <v>35</v>
      </c>
    </row>
    <row r="131" spans="1:4" ht="18" customHeight="1" x14ac:dyDescent="0.25">
      <c r="A131" s="84">
        <v>44289</v>
      </c>
      <c r="B131" s="125">
        <v>44288</v>
      </c>
      <c r="C131" s="85" t="s">
        <v>427</v>
      </c>
      <c r="D131" s="82">
        <v>35</v>
      </c>
    </row>
    <row r="132" spans="1:4" ht="18" customHeight="1" x14ac:dyDescent="0.25">
      <c r="A132" s="84">
        <v>44306</v>
      </c>
      <c r="B132" s="125">
        <v>44300</v>
      </c>
      <c r="C132" s="85" t="s">
        <v>232</v>
      </c>
      <c r="D132" s="82">
        <v>35</v>
      </c>
    </row>
    <row r="133" spans="1:4" ht="18" customHeight="1" x14ac:dyDescent="0.25">
      <c r="A133" s="84">
        <v>44318</v>
      </c>
      <c r="B133" s="125">
        <v>44317</v>
      </c>
      <c r="C133" s="85" t="s">
        <v>428</v>
      </c>
      <c r="D133" s="82">
        <v>35</v>
      </c>
    </row>
    <row r="134" spans="1:4" ht="18" customHeight="1" x14ac:dyDescent="0.25">
      <c r="A134" s="84">
        <v>44323</v>
      </c>
      <c r="B134" s="125">
        <v>44319</v>
      </c>
      <c r="C134" s="85" t="s">
        <v>429</v>
      </c>
      <c r="D134" s="82">
        <v>35</v>
      </c>
    </row>
    <row r="135" spans="1:4" ht="18" customHeight="1" x14ac:dyDescent="0.25">
      <c r="A135" s="84">
        <v>44647</v>
      </c>
      <c r="B135" s="125">
        <v>43214</v>
      </c>
      <c r="C135" s="85" t="s">
        <v>430</v>
      </c>
      <c r="D135" s="82">
        <v>35</v>
      </c>
    </row>
    <row r="136" spans="1:4" ht="18" customHeight="1" x14ac:dyDescent="0.25">
      <c r="A136" s="84">
        <v>44648</v>
      </c>
      <c r="B136" s="125">
        <v>43215</v>
      </c>
      <c r="C136" s="85" t="s">
        <v>431</v>
      </c>
      <c r="D136" s="82">
        <v>35</v>
      </c>
    </row>
    <row r="137" spans="1:4" ht="18" customHeight="1" x14ac:dyDescent="0.25">
      <c r="A137" s="84">
        <v>44649</v>
      </c>
      <c r="B137" s="125">
        <v>43216</v>
      </c>
      <c r="C137" s="85" t="s">
        <v>432</v>
      </c>
      <c r="D137" s="82">
        <v>35</v>
      </c>
    </row>
    <row r="138" spans="1:4" ht="18" customHeight="1" x14ac:dyDescent="0.25">
      <c r="A138" s="84">
        <v>44650</v>
      </c>
      <c r="B138" s="125">
        <v>43217</v>
      </c>
      <c r="C138" s="85" t="s">
        <v>433</v>
      </c>
      <c r="D138" s="82">
        <v>35</v>
      </c>
    </row>
    <row r="139" spans="1:4" ht="18" customHeight="1" x14ac:dyDescent="0.25">
      <c r="A139" s="84">
        <v>44847</v>
      </c>
      <c r="B139" s="125">
        <v>42101</v>
      </c>
      <c r="C139" s="85" t="s">
        <v>434</v>
      </c>
      <c r="D139" s="82">
        <v>35</v>
      </c>
    </row>
    <row r="140" spans="1:4" ht="18" customHeight="1" x14ac:dyDescent="0.25">
      <c r="A140" s="84">
        <v>44848</v>
      </c>
      <c r="B140" s="125">
        <v>42102</v>
      </c>
      <c r="C140" s="85" t="s">
        <v>435</v>
      </c>
      <c r="D140" s="82">
        <v>35</v>
      </c>
    </row>
    <row r="141" spans="1:4" ht="18" customHeight="1" x14ac:dyDescent="0.25">
      <c r="A141" s="84">
        <v>44849</v>
      </c>
      <c r="B141" s="125">
        <v>42103</v>
      </c>
      <c r="C141" s="85" t="s">
        <v>436</v>
      </c>
      <c r="D141" s="82">
        <v>35</v>
      </c>
    </row>
    <row r="142" spans="1:4" ht="18" customHeight="1" x14ac:dyDescent="0.25">
      <c r="A142" s="84">
        <v>44850</v>
      </c>
      <c r="B142" s="125">
        <v>42104</v>
      </c>
      <c r="C142" s="85" t="s">
        <v>437</v>
      </c>
      <c r="D142" s="82">
        <v>35</v>
      </c>
    </row>
    <row r="143" spans="1:4" ht="18" customHeight="1" x14ac:dyDescent="0.25">
      <c r="A143" s="84">
        <v>44851</v>
      </c>
      <c r="B143" s="125">
        <v>42105</v>
      </c>
      <c r="C143" s="85" t="s">
        <v>438</v>
      </c>
      <c r="D143" s="82">
        <v>35</v>
      </c>
    </row>
    <row r="144" spans="1:4" ht="18" customHeight="1" x14ac:dyDescent="0.25">
      <c r="A144" s="84">
        <v>44852</v>
      </c>
      <c r="B144" s="125">
        <v>42106</v>
      </c>
      <c r="C144" s="85" t="s">
        <v>439</v>
      </c>
      <c r="D144" s="82">
        <v>35</v>
      </c>
    </row>
    <row r="145" spans="1:4" ht="18" customHeight="1" x14ac:dyDescent="0.25">
      <c r="A145" s="84">
        <v>44853</v>
      </c>
      <c r="B145" s="125">
        <v>42107</v>
      </c>
      <c r="C145" s="85" t="s">
        <v>440</v>
      </c>
      <c r="D145" s="82">
        <v>35</v>
      </c>
    </row>
    <row r="146" spans="1:4" ht="18" customHeight="1" x14ac:dyDescent="0.25">
      <c r="A146" s="84">
        <v>44865</v>
      </c>
      <c r="B146" s="125">
        <v>42112</v>
      </c>
      <c r="C146" s="85" t="s">
        <v>441</v>
      </c>
      <c r="D146" s="82">
        <v>35</v>
      </c>
    </row>
    <row r="147" spans="1:4" ht="18" customHeight="1" x14ac:dyDescent="0.25">
      <c r="A147" s="84">
        <v>44866</v>
      </c>
      <c r="B147" s="125">
        <v>42113</v>
      </c>
      <c r="C147" s="85" t="s">
        <v>442</v>
      </c>
      <c r="D147" s="82">
        <v>35</v>
      </c>
    </row>
    <row r="148" spans="1:4" ht="18" customHeight="1" x14ac:dyDescent="0.25">
      <c r="A148" s="84">
        <v>45263</v>
      </c>
      <c r="B148" s="125">
        <v>43460</v>
      </c>
      <c r="C148" s="85" t="s">
        <v>443</v>
      </c>
      <c r="D148" s="82">
        <v>35</v>
      </c>
    </row>
    <row r="149" spans="1:4" ht="18" customHeight="1" x14ac:dyDescent="0.25">
      <c r="A149" s="84">
        <v>45264</v>
      </c>
      <c r="B149" s="125">
        <v>43461</v>
      </c>
      <c r="C149" s="85" t="s">
        <v>444</v>
      </c>
      <c r="D149" s="82">
        <v>35</v>
      </c>
    </row>
    <row r="150" spans="1:4" ht="18" customHeight="1" x14ac:dyDescent="0.25">
      <c r="A150" s="84">
        <v>45265</v>
      </c>
      <c r="B150" s="125">
        <v>43462</v>
      </c>
      <c r="C150" s="85" t="s">
        <v>445</v>
      </c>
      <c r="D150" s="82">
        <v>35</v>
      </c>
    </row>
    <row r="151" spans="1:4" ht="18" customHeight="1" x14ac:dyDescent="0.25">
      <c r="A151" s="84">
        <v>45266</v>
      </c>
      <c r="B151" s="125">
        <v>43463</v>
      </c>
      <c r="C151" s="85" t="s">
        <v>446</v>
      </c>
      <c r="D151" s="82">
        <v>35</v>
      </c>
    </row>
    <row r="152" spans="1:4" ht="18" customHeight="1" x14ac:dyDescent="0.25">
      <c r="A152" s="84">
        <v>45267</v>
      </c>
      <c r="B152" s="125">
        <v>43456</v>
      </c>
      <c r="C152" s="85" t="s">
        <v>447</v>
      </c>
      <c r="D152" s="82">
        <v>35</v>
      </c>
    </row>
    <row r="153" spans="1:4" ht="18" customHeight="1" x14ac:dyDescent="0.25">
      <c r="A153" s="84">
        <v>45268</v>
      </c>
      <c r="B153" s="125">
        <v>43457</v>
      </c>
      <c r="C153" s="85" t="s">
        <v>448</v>
      </c>
      <c r="D153" s="82">
        <v>35</v>
      </c>
    </row>
    <row r="154" spans="1:4" ht="18" customHeight="1" x14ac:dyDescent="0.25">
      <c r="A154" s="84">
        <v>45269</v>
      </c>
      <c r="B154" s="125">
        <v>43458</v>
      </c>
      <c r="C154" s="85" t="s">
        <v>449</v>
      </c>
      <c r="D154" s="82">
        <v>35</v>
      </c>
    </row>
    <row r="155" spans="1:4" ht="18" customHeight="1" x14ac:dyDescent="0.25">
      <c r="A155" s="84">
        <v>45366</v>
      </c>
      <c r="B155" s="125">
        <v>45357</v>
      </c>
      <c r="C155" s="85" t="s">
        <v>450</v>
      </c>
      <c r="D155" s="82">
        <v>35</v>
      </c>
    </row>
    <row r="156" spans="1:4" ht="18" customHeight="1" x14ac:dyDescent="0.25">
      <c r="A156" s="84">
        <v>45380</v>
      </c>
      <c r="B156" s="125">
        <v>42462</v>
      </c>
      <c r="C156" s="85" t="s">
        <v>451</v>
      </c>
      <c r="D156" s="82">
        <v>35</v>
      </c>
    </row>
    <row r="157" spans="1:4" ht="18" customHeight="1" x14ac:dyDescent="0.25">
      <c r="A157" s="84">
        <v>45395</v>
      </c>
      <c r="B157" s="125">
        <v>38497</v>
      </c>
      <c r="C157" s="85" t="s">
        <v>452</v>
      </c>
      <c r="D157" s="82">
        <v>35</v>
      </c>
    </row>
    <row r="158" spans="1:4" ht="18" customHeight="1" x14ac:dyDescent="0.25">
      <c r="A158" s="84">
        <v>45397</v>
      </c>
      <c r="B158" s="125">
        <v>38498</v>
      </c>
      <c r="C158" s="85" t="s">
        <v>453</v>
      </c>
      <c r="D158" s="82">
        <v>35</v>
      </c>
    </row>
    <row r="159" spans="1:4" ht="18" customHeight="1" x14ac:dyDescent="0.25">
      <c r="A159" s="84">
        <v>45635</v>
      </c>
      <c r="B159" s="125">
        <v>43243</v>
      </c>
      <c r="C159" s="85" t="s">
        <v>454</v>
      </c>
      <c r="D159" s="82">
        <v>35</v>
      </c>
    </row>
    <row r="160" spans="1:4" ht="18" customHeight="1" x14ac:dyDescent="0.25">
      <c r="A160" s="84">
        <v>45636</v>
      </c>
      <c r="B160" s="125">
        <v>43244</v>
      </c>
      <c r="C160" s="85" t="s">
        <v>455</v>
      </c>
      <c r="D160" s="82">
        <v>35</v>
      </c>
    </row>
    <row r="161" spans="1:4" ht="18" customHeight="1" x14ac:dyDescent="0.25">
      <c r="A161" s="84">
        <v>45637</v>
      </c>
      <c r="B161" s="125">
        <v>43245</v>
      </c>
      <c r="C161" s="85" t="s">
        <v>456</v>
      </c>
      <c r="D161" s="82">
        <v>35</v>
      </c>
    </row>
    <row r="162" spans="1:4" ht="18" customHeight="1" x14ac:dyDescent="0.25">
      <c r="A162" s="84">
        <v>45638</v>
      </c>
      <c r="B162" s="125">
        <v>43246</v>
      </c>
      <c r="C162" s="85" t="s">
        <v>457</v>
      </c>
      <c r="D162" s="82">
        <v>35</v>
      </c>
    </row>
    <row r="163" spans="1:4" ht="18" customHeight="1" x14ac:dyDescent="0.25">
      <c r="A163" s="84">
        <v>45639</v>
      </c>
      <c r="B163" s="125">
        <v>43247</v>
      </c>
      <c r="C163" s="85" t="s">
        <v>458</v>
      </c>
      <c r="D163" s="82">
        <v>35</v>
      </c>
    </row>
    <row r="164" spans="1:4" ht="18" customHeight="1" x14ac:dyDescent="0.25">
      <c r="A164" s="84">
        <v>45640</v>
      </c>
      <c r="B164" s="125">
        <v>43248</v>
      </c>
      <c r="C164" s="85" t="s">
        <v>459</v>
      </c>
      <c r="D164" s="82">
        <v>35</v>
      </c>
    </row>
    <row r="165" spans="1:4" ht="18" customHeight="1" x14ac:dyDescent="0.25">
      <c r="A165" s="84">
        <v>45641</v>
      </c>
      <c r="B165" s="125">
        <v>43249</v>
      </c>
      <c r="C165" s="85" t="s">
        <v>460</v>
      </c>
      <c r="D165" s="82">
        <v>35</v>
      </c>
    </row>
    <row r="166" spans="1:4" ht="18" customHeight="1" x14ac:dyDescent="0.25">
      <c r="A166" s="84">
        <v>45694</v>
      </c>
      <c r="B166" s="125">
        <v>41372</v>
      </c>
      <c r="C166" s="85" t="s">
        <v>461</v>
      </c>
      <c r="D166" s="82">
        <v>35</v>
      </c>
    </row>
    <row r="167" spans="1:4" ht="18" customHeight="1" x14ac:dyDescent="0.25">
      <c r="A167" s="84">
        <v>45695</v>
      </c>
      <c r="B167" s="125">
        <v>41364</v>
      </c>
      <c r="C167" s="85" t="s">
        <v>462</v>
      </c>
      <c r="D167" s="82">
        <v>35</v>
      </c>
    </row>
    <row r="168" spans="1:4" ht="18" customHeight="1" x14ac:dyDescent="0.25">
      <c r="A168" s="84">
        <v>45696</v>
      </c>
      <c r="B168" s="125">
        <v>41365</v>
      </c>
      <c r="C168" s="85" t="s">
        <v>463</v>
      </c>
      <c r="D168" s="82">
        <v>35</v>
      </c>
    </row>
    <row r="169" spans="1:4" ht="18" customHeight="1" x14ac:dyDescent="0.25">
      <c r="A169" s="84">
        <v>45699</v>
      </c>
      <c r="B169" s="125">
        <v>40670</v>
      </c>
      <c r="C169" s="85" t="s">
        <v>464</v>
      </c>
      <c r="D169" s="82">
        <v>35</v>
      </c>
    </row>
    <row r="170" spans="1:4" ht="18" customHeight="1" x14ac:dyDescent="0.25">
      <c r="A170" s="84">
        <v>45880</v>
      </c>
      <c r="B170" s="125">
        <v>44308</v>
      </c>
      <c r="C170" s="85" t="s">
        <v>242</v>
      </c>
      <c r="D170" s="82">
        <v>35</v>
      </c>
    </row>
    <row r="171" spans="1:4" ht="18" customHeight="1" x14ac:dyDescent="0.25">
      <c r="A171" s="84">
        <v>45881</v>
      </c>
      <c r="B171" s="125">
        <v>44382</v>
      </c>
      <c r="C171" s="85" t="s">
        <v>250</v>
      </c>
      <c r="D171" s="82">
        <v>35</v>
      </c>
    </row>
    <row r="172" spans="1:4" ht="18" customHeight="1" x14ac:dyDescent="0.25">
      <c r="A172" s="84">
        <v>45882</v>
      </c>
      <c r="B172" s="125">
        <v>44307</v>
      </c>
      <c r="C172" s="85" t="s">
        <v>465</v>
      </c>
      <c r="D172" s="82">
        <v>35</v>
      </c>
    </row>
    <row r="173" spans="1:4" ht="18" customHeight="1" x14ac:dyDescent="0.25">
      <c r="A173" s="84">
        <v>45891</v>
      </c>
      <c r="B173" s="125">
        <v>17540</v>
      </c>
      <c r="C173" s="85" t="s">
        <v>466</v>
      </c>
      <c r="D173" s="82">
        <v>35</v>
      </c>
    </row>
    <row r="174" spans="1:4" ht="18" customHeight="1" x14ac:dyDescent="0.25">
      <c r="A174" s="84">
        <v>46061</v>
      </c>
      <c r="B174" s="125">
        <v>46060</v>
      </c>
      <c r="C174" s="85" t="s">
        <v>467</v>
      </c>
      <c r="D174" s="82">
        <v>35</v>
      </c>
    </row>
    <row r="175" spans="1:4" ht="18" customHeight="1" x14ac:dyDescent="0.25">
      <c r="A175" s="84">
        <v>46573</v>
      </c>
      <c r="B175" s="125">
        <v>44955</v>
      </c>
      <c r="C175" s="85" t="s">
        <v>252</v>
      </c>
      <c r="D175" s="82">
        <v>35</v>
      </c>
    </row>
    <row r="176" spans="1:4" ht="18" customHeight="1" x14ac:dyDescent="0.25">
      <c r="A176" s="84">
        <v>46574</v>
      </c>
      <c r="B176" s="125">
        <v>44951</v>
      </c>
      <c r="C176" s="85" t="s">
        <v>468</v>
      </c>
      <c r="D176" s="82">
        <v>35</v>
      </c>
    </row>
    <row r="177" spans="1:4" ht="18" customHeight="1" x14ac:dyDescent="0.25">
      <c r="A177" s="84">
        <v>46576</v>
      </c>
      <c r="B177" s="125">
        <v>44960</v>
      </c>
      <c r="C177" s="85" t="s">
        <v>469</v>
      </c>
      <c r="D177" s="82">
        <v>35</v>
      </c>
    </row>
    <row r="178" spans="1:4" ht="18" customHeight="1" x14ac:dyDescent="0.25">
      <c r="A178" s="126">
        <v>44869</v>
      </c>
      <c r="B178" s="127">
        <v>42238</v>
      </c>
      <c r="C178" s="128" t="s">
        <v>470</v>
      </c>
      <c r="D178" s="129">
        <v>50</v>
      </c>
    </row>
    <row r="179" spans="1:4" ht="18" customHeight="1" x14ac:dyDescent="0.25">
      <c r="A179" s="126">
        <v>44871</v>
      </c>
      <c r="B179" s="127">
        <v>42240</v>
      </c>
      <c r="C179" s="128" t="str">
        <f>VLOOKUP(A179,'02 КАТАЛОГ`24 (1)'!$1:$1048576,6,0)</f>
        <v xml:space="preserve">                                                                                                                                                                     - СЛОНОВАЯ КОСТЬ (НЕЙТРАЛЬНЫЙ)</v>
      </c>
      <c r="D179" s="129">
        <v>50</v>
      </c>
    </row>
    <row r="180" spans="1:4" ht="18" customHeight="1" x14ac:dyDescent="0.25">
      <c r="A180" s="126">
        <v>44872</v>
      </c>
      <c r="B180" s="127">
        <v>42241</v>
      </c>
      <c r="C180" s="128" t="str">
        <f>VLOOKUP(A180,'02 КАТАЛОГ`24 (1)'!$1:$1048576,6,0)</f>
        <v xml:space="preserve">                                                                                                                                                                     - БЕЖЕВЫЙ (ТЁПЛЫЙ)</v>
      </c>
      <c r="D180" s="129">
        <v>50</v>
      </c>
    </row>
    <row r="181" spans="1:4" ht="18" customHeight="1" x14ac:dyDescent="0.25">
      <c r="A181" s="126">
        <v>46392</v>
      </c>
      <c r="B181" s="127">
        <v>46062</v>
      </c>
      <c r="C181" s="130" t="s">
        <v>166</v>
      </c>
      <c r="D181" s="129">
        <v>35</v>
      </c>
    </row>
    <row r="182" spans="1:4" ht="18" customHeight="1" x14ac:dyDescent="0.25">
      <c r="A182" s="126">
        <v>46393</v>
      </c>
      <c r="B182" s="127">
        <v>46063</v>
      </c>
      <c r="C182" s="130" t="s">
        <v>167</v>
      </c>
      <c r="D182" s="129">
        <v>35</v>
      </c>
    </row>
    <row r="183" spans="1:4" ht="18" customHeight="1" x14ac:dyDescent="0.25">
      <c r="A183" s="126">
        <v>46735</v>
      </c>
      <c r="B183" s="127">
        <v>46718</v>
      </c>
      <c r="C183" s="130" t="s">
        <v>471</v>
      </c>
      <c r="D183" s="129">
        <v>35</v>
      </c>
    </row>
    <row r="185" spans="1:4" ht="18" customHeight="1" x14ac:dyDescent="0.25">
      <c r="A185" s="5" t="s">
        <v>472</v>
      </c>
    </row>
    <row r="186" spans="1:4" ht="18" customHeight="1" x14ac:dyDescent="0.25">
      <c r="A186" s="131" t="s">
        <v>473</v>
      </c>
      <c r="B186" s="132"/>
      <c r="C186" s="133"/>
    </row>
    <row r="187" spans="1:4" ht="18" customHeight="1" x14ac:dyDescent="0.25">
      <c r="A187" s="134" t="s">
        <v>474</v>
      </c>
    </row>
    <row r="188" spans="1:4" ht="18" customHeight="1" thickBot="1" x14ac:dyDescent="0.3"/>
    <row r="189" spans="1:4" ht="18" customHeight="1" thickBot="1" x14ac:dyDescent="0.3">
      <c r="B189" s="135" t="s">
        <v>475</v>
      </c>
      <c r="C189" s="136" t="s">
        <v>476</v>
      </c>
      <c r="D189" s="137" t="s">
        <v>477</v>
      </c>
    </row>
    <row r="190" spans="1:4" ht="18" customHeight="1" thickBot="1" x14ac:dyDescent="0.3">
      <c r="B190" s="138">
        <v>507003</v>
      </c>
      <c r="C190" s="139" t="s">
        <v>1381</v>
      </c>
      <c r="D190" s="140">
        <v>65</v>
      </c>
    </row>
    <row r="191" spans="1:4" ht="18" customHeight="1" x14ac:dyDescent="0.25">
      <c r="B191" s="141"/>
      <c r="C191" s="142"/>
      <c r="D191" s="143"/>
    </row>
    <row r="192" spans="1:4" ht="18" customHeight="1" x14ac:dyDescent="0.25">
      <c r="A192" s="134" t="s">
        <v>478</v>
      </c>
      <c r="B192" s="144"/>
      <c r="C192" s="145"/>
    </row>
    <row r="193" spans="1:4" ht="18" customHeight="1" thickBot="1" x14ac:dyDescent="0.3">
      <c r="A193" s="134"/>
      <c r="B193" s="144"/>
      <c r="C193" s="145"/>
    </row>
    <row r="194" spans="1:4" ht="18" customHeight="1" thickBot="1" x14ac:dyDescent="0.3">
      <c r="B194" s="146" t="s">
        <v>475</v>
      </c>
      <c r="C194" s="147" t="s">
        <v>476</v>
      </c>
      <c r="D194" s="148" t="s">
        <v>479</v>
      </c>
    </row>
    <row r="195" spans="1:4" ht="18" customHeight="1" thickBot="1" x14ac:dyDescent="0.3">
      <c r="B195" s="149">
        <v>546430</v>
      </c>
      <c r="C195" s="150" t="s">
        <v>480</v>
      </c>
      <c r="D195" s="140">
        <v>155</v>
      </c>
    </row>
    <row r="196" spans="1:4" ht="18" customHeight="1" thickBot="1" x14ac:dyDescent="0.3">
      <c r="B196" s="149">
        <v>546420</v>
      </c>
      <c r="C196" s="150" t="s">
        <v>481</v>
      </c>
      <c r="D196" s="140">
        <v>360</v>
      </c>
    </row>
    <row r="197" spans="1:4" ht="18" customHeight="1" thickBot="1" x14ac:dyDescent="0.3">
      <c r="B197" s="151">
        <v>546425</v>
      </c>
      <c r="C197" s="152" t="s">
        <v>482</v>
      </c>
      <c r="D197" s="140">
        <v>835</v>
      </c>
    </row>
    <row r="199" spans="1:4" ht="18" customHeight="1" thickBot="1" x14ac:dyDescent="0.3"/>
    <row r="200" spans="1:4" ht="18" customHeight="1" thickBot="1" x14ac:dyDescent="0.3">
      <c r="B200" s="135" t="s">
        <v>475</v>
      </c>
      <c r="C200" s="136" t="s">
        <v>476</v>
      </c>
      <c r="D200" s="153" t="s">
        <v>483</v>
      </c>
    </row>
    <row r="201" spans="1:4" ht="18" customHeight="1" thickBot="1" x14ac:dyDescent="0.3">
      <c r="B201" s="154">
        <v>526447</v>
      </c>
      <c r="C201" s="155" t="s">
        <v>484</v>
      </c>
      <c r="D201" s="156">
        <v>19</v>
      </c>
    </row>
    <row r="202" spans="1:4" ht="18" customHeight="1" thickBot="1" x14ac:dyDescent="0.3">
      <c r="B202" s="157">
        <v>526448</v>
      </c>
      <c r="C202" s="158" t="s">
        <v>485</v>
      </c>
      <c r="D202" s="159">
        <v>16</v>
      </c>
    </row>
  </sheetData>
  <sortState xmlns:xlrd2="http://schemas.microsoft.com/office/spreadsheetml/2017/richdata2" ref="A2:A174">
    <sortCondition ref="A2:A174"/>
  </sortState>
  <phoneticPr fontId="0" type="noConversion"/>
  <pageMargins left="0.75" right="0.74" top="0.25" bottom="0.25" header="0.25" footer="0.19"/>
  <pageSetup paperSize="9" scale="60" fitToWidth="3" fitToHeight="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B413"/>
  <sheetViews>
    <sheetView zoomScale="75" workbookViewId="0">
      <pane ySplit="2" topLeftCell="A3" activePane="bottomLeft" state="frozen"/>
      <selection activeCell="A179" sqref="A179"/>
      <selection pane="bottomLeft" activeCell="A4" sqref="A4:XFD4"/>
    </sheetView>
  </sheetViews>
  <sheetFormatPr defaultColWidth="9.109375" defaultRowHeight="17.25" customHeight="1" x14ac:dyDescent="0.25"/>
  <cols>
    <col min="1" max="1" width="9.44140625" style="14" customWidth="1"/>
    <col min="2" max="2" width="136.88671875" style="3" bestFit="1" customWidth="1"/>
    <col min="3" max="3" width="9.33203125" style="11" customWidth="1"/>
    <col min="4" max="4" width="9.88671875" style="3" customWidth="1"/>
    <col min="5" max="6" width="10.109375" style="35" customWidth="1"/>
    <col min="7" max="8" width="11.6640625" style="35" customWidth="1"/>
    <col min="9" max="9" width="26.33203125" style="3" customWidth="1"/>
    <col min="10" max="16384" width="9.109375" style="3"/>
  </cols>
  <sheetData>
    <row r="1" spans="1:132" ht="17.25" customHeight="1" x14ac:dyDescent="0.25">
      <c r="A1" s="55"/>
      <c r="B1" s="56" t="s">
        <v>0</v>
      </c>
      <c r="C1" s="56"/>
      <c r="D1" s="57"/>
      <c r="E1" s="36"/>
      <c r="F1" s="36"/>
      <c r="G1" s="36"/>
      <c r="H1" s="36"/>
      <c r="I1" s="17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</row>
    <row r="2" spans="1:132" s="10" customFormat="1" ht="26.25" customHeight="1" x14ac:dyDescent="0.25">
      <c r="A2" s="113" t="s">
        <v>4</v>
      </c>
      <c r="B2" s="114" t="s">
        <v>9</v>
      </c>
      <c r="C2" s="114" t="s">
        <v>15</v>
      </c>
      <c r="D2" s="114" t="s">
        <v>5</v>
      </c>
      <c r="E2" s="115" t="s">
        <v>6</v>
      </c>
      <c r="F2" s="115" t="s">
        <v>7</v>
      </c>
      <c r="G2" s="115" t="s">
        <v>1</v>
      </c>
      <c r="H2" s="115" t="s">
        <v>10</v>
      </c>
      <c r="I2" s="116" t="s">
        <v>2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</row>
    <row r="3" spans="1:132" ht="17.25" customHeight="1" x14ac:dyDescent="0.25">
      <c r="A3" s="112">
        <v>12760</v>
      </c>
      <c r="B3" s="117" t="s">
        <v>1320</v>
      </c>
      <c r="C3" s="118"/>
      <c r="D3" s="82">
        <v>4</v>
      </c>
      <c r="E3" s="119">
        <v>247</v>
      </c>
      <c r="F3" s="119">
        <v>296</v>
      </c>
      <c r="G3" s="119">
        <v>370</v>
      </c>
      <c r="H3" s="119">
        <v>74</v>
      </c>
      <c r="I3" s="120">
        <v>45292</v>
      </c>
    </row>
    <row r="4" spans="1:132" ht="17.25" customHeight="1" x14ac:dyDescent="0.25">
      <c r="A4" s="112">
        <v>20574</v>
      </c>
      <c r="B4" s="117" t="s">
        <v>255</v>
      </c>
      <c r="C4" s="118"/>
      <c r="D4" s="82">
        <v>5</v>
      </c>
      <c r="E4" s="119">
        <v>160</v>
      </c>
      <c r="F4" s="119">
        <v>384</v>
      </c>
      <c r="G4" s="119">
        <v>480</v>
      </c>
      <c r="H4" s="119">
        <v>96</v>
      </c>
      <c r="I4" s="120">
        <v>45292</v>
      </c>
    </row>
    <row r="5" spans="1:132" ht="17.25" customHeight="1" x14ac:dyDescent="0.25">
      <c r="A5" s="112">
        <v>22424</v>
      </c>
      <c r="B5" s="117" t="s">
        <v>946</v>
      </c>
      <c r="C5" s="118"/>
      <c r="D5" s="82">
        <v>19</v>
      </c>
      <c r="E5" s="119">
        <v>1233</v>
      </c>
      <c r="F5" s="119">
        <v>1480</v>
      </c>
      <c r="G5" s="119">
        <v>1850</v>
      </c>
      <c r="H5" s="119">
        <v>370</v>
      </c>
      <c r="I5" s="120" t="s">
        <v>1351</v>
      </c>
    </row>
    <row r="6" spans="1:132" ht="17.25" customHeight="1" x14ac:dyDescent="0.25">
      <c r="A6" s="112">
        <v>22814</v>
      </c>
      <c r="B6" s="117" t="s">
        <v>947</v>
      </c>
      <c r="C6" s="118"/>
      <c r="D6" s="82">
        <v>19</v>
      </c>
      <c r="E6" s="119">
        <v>1233</v>
      </c>
      <c r="F6" s="119">
        <v>1480</v>
      </c>
      <c r="G6" s="119">
        <v>1850</v>
      </c>
      <c r="H6" s="119">
        <v>370</v>
      </c>
      <c r="I6" s="120" t="s">
        <v>1351</v>
      </c>
    </row>
    <row r="7" spans="1:132" ht="17.25" customHeight="1" x14ac:dyDescent="0.25">
      <c r="A7" s="112">
        <v>22815</v>
      </c>
      <c r="B7" s="117" t="s">
        <v>1321</v>
      </c>
      <c r="C7" s="118"/>
      <c r="D7" s="82">
        <v>9</v>
      </c>
      <c r="E7" s="119">
        <v>600</v>
      </c>
      <c r="F7" s="119">
        <v>720</v>
      </c>
      <c r="G7" s="119">
        <v>900</v>
      </c>
      <c r="H7" s="119">
        <v>180</v>
      </c>
      <c r="I7" s="120">
        <v>45292</v>
      </c>
    </row>
    <row r="8" spans="1:132" ht="17.25" customHeight="1" x14ac:dyDescent="0.25">
      <c r="A8" s="112">
        <v>24547</v>
      </c>
      <c r="B8" s="117" t="s">
        <v>1322</v>
      </c>
      <c r="C8" s="118"/>
      <c r="D8" s="82">
        <v>31</v>
      </c>
      <c r="E8" s="119">
        <v>2000</v>
      </c>
      <c r="F8" s="119">
        <v>2400</v>
      </c>
      <c r="G8" s="119">
        <v>3000</v>
      </c>
      <c r="H8" s="119">
        <v>600</v>
      </c>
      <c r="I8" s="120" t="s">
        <v>1346</v>
      </c>
    </row>
    <row r="9" spans="1:132" ht="17.25" customHeight="1" x14ac:dyDescent="0.25">
      <c r="A9" s="112">
        <v>27730</v>
      </c>
      <c r="B9" s="117" t="s">
        <v>948</v>
      </c>
      <c r="C9" s="118"/>
      <c r="D9" s="82">
        <v>4</v>
      </c>
      <c r="E9" s="119">
        <v>120</v>
      </c>
      <c r="F9" s="119">
        <v>288</v>
      </c>
      <c r="G9" s="119">
        <v>360</v>
      </c>
      <c r="H9" s="119">
        <v>72</v>
      </c>
      <c r="I9" s="120">
        <v>45292</v>
      </c>
    </row>
    <row r="10" spans="1:132" ht="17.25" customHeight="1" x14ac:dyDescent="0.25">
      <c r="A10" s="112">
        <v>30058</v>
      </c>
      <c r="B10" s="117" t="s">
        <v>1323</v>
      </c>
      <c r="C10" s="118"/>
      <c r="D10" s="82">
        <v>17</v>
      </c>
      <c r="E10" s="119">
        <v>1133</v>
      </c>
      <c r="F10" s="119">
        <v>1360</v>
      </c>
      <c r="G10" s="119">
        <v>1700</v>
      </c>
      <c r="H10" s="119">
        <v>340</v>
      </c>
      <c r="I10" s="120">
        <v>45292</v>
      </c>
    </row>
    <row r="11" spans="1:132" ht="17.25" customHeight="1" x14ac:dyDescent="0.25">
      <c r="A11" s="112">
        <v>31602</v>
      </c>
      <c r="B11" s="117" t="s">
        <v>949</v>
      </c>
      <c r="C11" s="118"/>
      <c r="D11" s="82">
        <v>9</v>
      </c>
      <c r="E11" s="119">
        <v>593</v>
      </c>
      <c r="F11" s="119">
        <v>712</v>
      </c>
      <c r="G11" s="119">
        <v>890</v>
      </c>
      <c r="H11" s="119">
        <v>178</v>
      </c>
      <c r="I11" s="120" t="s">
        <v>1351</v>
      </c>
    </row>
    <row r="12" spans="1:132" ht="17.25" customHeight="1" x14ac:dyDescent="0.25">
      <c r="A12" s="112">
        <v>31698</v>
      </c>
      <c r="B12" s="117" t="s">
        <v>950</v>
      </c>
      <c r="C12" s="118"/>
      <c r="D12" s="82">
        <v>9</v>
      </c>
      <c r="E12" s="119">
        <v>607</v>
      </c>
      <c r="F12" s="119">
        <v>728</v>
      </c>
      <c r="G12" s="119">
        <v>910</v>
      </c>
      <c r="H12" s="119">
        <v>182</v>
      </c>
      <c r="I12" s="120" t="s">
        <v>1351</v>
      </c>
    </row>
    <row r="13" spans="1:132" ht="17.25" customHeight="1" x14ac:dyDescent="0.25">
      <c r="A13" s="112">
        <v>31850</v>
      </c>
      <c r="B13" s="117" t="s">
        <v>951</v>
      </c>
      <c r="C13" s="118"/>
      <c r="D13" s="82">
        <v>12</v>
      </c>
      <c r="E13" s="119">
        <v>800</v>
      </c>
      <c r="F13" s="119">
        <v>960</v>
      </c>
      <c r="G13" s="119">
        <v>1200</v>
      </c>
      <c r="H13" s="119">
        <v>240</v>
      </c>
      <c r="I13" s="120">
        <v>45292</v>
      </c>
    </row>
    <row r="14" spans="1:132" ht="17.25" customHeight="1" x14ac:dyDescent="0.25">
      <c r="A14" s="112">
        <v>31851</v>
      </c>
      <c r="B14" s="117" t="s">
        <v>952</v>
      </c>
      <c r="C14" s="118"/>
      <c r="D14" s="82">
        <v>16</v>
      </c>
      <c r="E14" s="119">
        <v>1033</v>
      </c>
      <c r="F14" s="119">
        <v>1240</v>
      </c>
      <c r="G14" s="119">
        <v>1550</v>
      </c>
      <c r="H14" s="119">
        <v>310</v>
      </c>
      <c r="I14" s="120">
        <v>45292</v>
      </c>
    </row>
    <row r="15" spans="1:132" ht="17.25" customHeight="1" x14ac:dyDescent="0.25">
      <c r="A15" s="112">
        <v>32138</v>
      </c>
      <c r="B15" s="117" t="s">
        <v>953</v>
      </c>
      <c r="C15" s="118"/>
      <c r="D15" s="82">
        <v>9</v>
      </c>
      <c r="E15" s="119">
        <v>593</v>
      </c>
      <c r="F15" s="119">
        <v>712</v>
      </c>
      <c r="G15" s="119">
        <v>890</v>
      </c>
      <c r="H15" s="119">
        <v>178</v>
      </c>
      <c r="I15" s="120">
        <v>45292</v>
      </c>
    </row>
    <row r="16" spans="1:132" ht="17.25" customHeight="1" x14ac:dyDescent="0.25">
      <c r="A16" s="112">
        <v>32368</v>
      </c>
      <c r="B16" s="117" t="s">
        <v>954</v>
      </c>
      <c r="C16" s="118"/>
      <c r="D16" s="82">
        <v>5</v>
      </c>
      <c r="E16" s="119">
        <v>353</v>
      </c>
      <c r="F16" s="119">
        <v>424</v>
      </c>
      <c r="G16" s="119">
        <v>530</v>
      </c>
      <c r="H16" s="119">
        <v>106</v>
      </c>
      <c r="I16" s="120">
        <v>45292</v>
      </c>
    </row>
    <row r="17" spans="1:9" ht="17.25" customHeight="1" x14ac:dyDescent="0.25">
      <c r="A17" s="112">
        <v>32372</v>
      </c>
      <c r="B17" s="117" t="s">
        <v>955</v>
      </c>
      <c r="C17" s="118"/>
      <c r="D17" s="82">
        <v>8</v>
      </c>
      <c r="E17" s="119">
        <v>493</v>
      </c>
      <c r="F17" s="119">
        <v>592</v>
      </c>
      <c r="G17" s="119">
        <v>740</v>
      </c>
      <c r="H17" s="119">
        <v>148</v>
      </c>
      <c r="I17" s="120" t="s">
        <v>1346</v>
      </c>
    </row>
    <row r="18" spans="1:9" ht="17.25" customHeight="1" x14ac:dyDescent="0.25">
      <c r="A18" s="112">
        <v>32496</v>
      </c>
      <c r="B18" s="117" t="s">
        <v>956</v>
      </c>
      <c r="C18" s="118"/>
      <c r="D18" s="82">
        <v>9</v>
      </c>
      <c r="E18" s="119">
        <v>607</v>
      </c>
      <c r="F18" s="119">
        <v>728</v>
      </c>
      <c r="G18" s="119">
        <v>910</v>
      </c>
      <c r="H18" s="119">
        <v>182</v>
      </c>
      <c r="I18" s="120" t="s">
        <v>1349</v>
      </c>
    </row>
    <row r="19" spans="1:9" ht="17.25" customHeight="1" x14ac:dyDescent="0.25">
      <c r="A19" s="112">
        <v>32631</v>
      </c>
      <c r="B19" s="117" t="s">
        <v>957</v>
      </c>
      <c r="C19" s="118"/>
      <c r="D19" s="82">
        <v>50</v>
      </c>
      <c r="E19" s="119">
        <v>3267</v>
      </c>
      <c r="F19" s="119">
        <v>3920</v>
      </c>
      <c r="G19" s="119">
        <v>4900</v>
      </c>
      <c r="H19" s="119">
        <v>980</v>
      </c>
      <c r="I19" s="120">
        <v>45292</v>
      </c>
    </row>
    <row r="20" spans="1:9" ht="17.25" customHeight="1" x14ac:dyDescent="0.25">
      <c r="A20" s="112">
        <v>32644</v>
      </c>
      <c r="B20" s="117" t="s">
        <v>958</v>
      </c>
      <c r="C20" s="118"/>
      <c r="D20" s="82">
        <v>5</v>
      </c>
      <c r="E20" s="119">
        <v>353</v>
      </c>
      <c r="F20" s="119">
        <v>424</v>
      </c>
      <c r="G20" s="119">
        <v>530</v>
      </c>
      <c r="H20" s="119">
        <v>106</v>
      </c>
      <c r="I20" s="120">
        <v>45292</v>
      </c>
    </row>
    <row r="21" spans="1:9" ht="17.25" customHeight="1" x14ac:dyDescent="0.25">
      <c r="A21" s="112">
        <v>32919</v>
      </c>
      <c r="B21" s="117" t="s">
        <v>959</v>
      </c>
      <c r="C21" s="118"/>
      <c r="D21" s="82">
        <v>22</v>
      </c>
      <c r="E21" s="119">
        <v>1400</v>
      </c>
      <c r="F21" s="119">
        <v>1680</v>
      </c>
      <c r="G21" s="119">
        <v>2100</v>
      </c>
      <c r="H21" s="119">
        <v>420</v>
      </c>
      <c r="I21" s="120">
        <v>45292</v>
      </c>
    </row>
    <row r="22" spans="1:9" ht="17.25" customHeight="1" x14ac:dyDescent="0.25">
      <c r="A22" s="112">
        <v>32920</v>
      </c>
      <c r="B22" s="117" t="s">
        <v>960</v>
      </c>
      <c r="C22" s="118"/>
      <c r="D22" s="82">
        <v>22</v>
      </c>
      <c r="E22" s="119">
        <v>1400</v>
      </c>
      <c r="F22" s="119">
        <v>1680</v>
      </c>
      <c r="G22" s="119">
        <v>2100</v>
      </c>
      <c r="H22" s="119">
        <v>420</v>
      </c>
      <c r="I22" s="120">
        <v>45292</v>
      </c>
    </row>
    <row r="23" spans="1:9" ht="17.25" customHeight="1" x14ac:dyDescent="0.25">
      <c r="A23" s="112">
        <v>32921</v>
      </c>
      <c r="B23" s="117" t="s">
        <v>961</v>
      </c>
      <c r="C23" s="118"/>
      <c r="D23" s="82">
        <v>22</v>
      </c>
      <c r="E23" s="119">
        <v>1400</v>
      </c>
      <c r="F23" s="119">
        <v>1680</v>
      </c>
      <c r="G23" s="119">
        <v>2100</v>
      </c>
      <c r="H23" s="119">
        <v>420</v>
      </c>
      <c r="I23" s="120">
        <v>45292</v>
      </c>
    </row>
    <row r="24" spans="1:9" ht="17.25" customHeight="1" x14ac:dyDescent="0.25">
      <c r="A24" s="112">
        <v>32922</v>
      </c>
      <c r="B24" s="117" t="s">
        <v>962</v>
      </c>
      <c r="C24" s="118"/>
      <c r="D24" s="82">
        <v>22</v>
      </c>
      <c r="E24" s="119">
        <v>1400</v>
      </c>
      <c r="F24" s="119">
        <v>1680</v>
      </c>
      <c r="G24" s="119">
        <v>2100</v>
      </c>
      <c r="H24" s="119">
        <v>420</v>
      </c>
      <c r="I24" s="120">
        <v>45292</v>
      </c>
    </row>
    <row r="25" spans="1:9" ht="17.25" customHeight="1" x14ac:dyDescent="0.25">
      <c r="A25" s="112">
        <v>32923</v>
      </c>
      <c r="B25" s="117" t="s">
        <v>963</v>
      </c>
      <c r="C25" s="118"/>
      <c r="D25" s="82">
        <v>22</v>
      </c>
      <c r="E25" s="119">
        <v>1400</v>
      </c>
      <c r="F25" s="119">
        <v>1680</v>
      </c>
      <c r="G25" s="119">
        <v>2100</v>
      </c>
      <c r="H25" s="119">
        <v>420</v>
      </c>
      <c r="I25" s="120">
        <v>45292</v>
      </c>
    </row>
    <row r="26" spans="1:9" ht="17.25" customHeight="1" x14ac:dyDescent="0.25">
      <c r="A26" s="112">
        <v>33027</v>
      </c>
      <c r="B26" s="117" t="s">
        <v>964</v>
      </c>
      <c r="C26" s="118"/>
      <c r="D26" s="82">
        <v>9</v>
      </c>
      <c r="E26" s="119">
        <v>580</v>
      </c>
      <c r="F26" s="119">
        <v>696</v>
      </c>
      <c r="G26" s="119">
        <v>870</v>
      </c>
      <c r="H26" s="119">
        <v>174</v>
      </c>
      <c r="I26" s="120">
        <v>45292</v>
      </c>
    </row>
    <row r="27" spans="1:9" ht="17.25" customHeight="1" x14ac:dyDescent="0.25">
      <c r="A27" s="112">
        <v>33034</v>
      </c>
      <c r="B27" s="117" t="s">
        <v>965</v>
      </c>
      <c r="C27" s="118"/>
      <c r="D27" s="82">
        <v>12</v>
      </c>
      <c r="E27" s="119">
        <v>800</v>
      </c>
      <c r="F27" s="119">
        <v>960</v>
      </c>
      <c r="G27" s="119">
        <v>1200</v>
      </c>
      <c r="H27" s="119">
        <v>240</v>
      </c>
      <c r="I27" s="120" t="s">
        <v>1351</v>
      </c>
    </row>
    <row r="28" spans="1:9" ht="17.25" customHeight="1" x14ac:dyDescent="0.25">
      <c r="A28" s="112">
        <v>33490</v>
      </c>
      <c r="B28" s="117" t="s">
        <v>966</v>
      </c>
      <c r="C28" s="118"/>
      <c r="D28" s="82">
        <v>29</v>
      </c>
      <c r="E28" s="119">
        <v>1867</v>
      </c>
      <c r="F28" s="119">
        <v>2240</v>
      </c>
      <c r="G28" s="119">
        <v>2800</v>
      </c>
      <c r="H28" s="119">
        <v>560</v>
      </c>
      <c r="I28" s="120" t="s">
        <v>1346</v>
      </c>
    </row>
    <row r="29" spans="1:9" ht="17.25" customHeight="1" x14ac:dyDescent="0.25">
      <c r="A29" s="112">
        <v>33958</v>
      </c>
      <c r="B29" s="117" t="s">
        <v>967</v>
      </c>
      <c r="C29" s="118"/>
      <c r="D29" s="82">
        <v>14</v>
      </c>
      <c r="E29" s="119">
        <v>933</v>
      </c>
      <c r="F29" s="119">
        <v>1120</v>
      </c>
      <c r="G29" s="119">
        <v>1400</v>
      </c>
      <c r="H29" s="119">
        <v>280</v>
      </c>
      <c r="I29" s="120" t="s">
        <v>1351</v>
      </c>
    </row>
    <row r="30" spans="1:9" ht="17.25" customHeight="1" x14ac:dyDescent="0.25">
      <c r="A30" s="112">
        <v>34038</v>
      </c>
      <c r="B30" s="117" t="s">
        <v>968</v>
      </c>
      <c r="C30" s="118"/>
      <c r="D30" s="82">
        <v>5</v>
      </c>
      <c r="E30" s="119">
        <v>347</v>
      </c>
      <c r="F30" s="119">
        <v>416</v>
      </c>
      <c r="G30" s="119">
        <v>520</v>
      </c>
      <c r="H30" s="119">
        <v>104</v>
      </c>
      <c r="I30" s="120">
        <v>45292</v>
      </c>
    </row>
    <row r="31" spans="1:9" ht="17.25" customHeight="1" x14ac:dyDescent="0.25">
      <c r="A31" s="112">
        <v>34079</v>
      </c>
      <c r="B31" s="117" t="s">
        <v>969</v>
      </c>
      <c r="C31" s="118"/>
      <c r="D31" s="82">
        <v>6</v>
      </c>
      <c r="E31" s="119">
        <v>407</v>
      </c>
      <c r="F31" s="119">
        <v>488</v>
      </c>
      <c r="G31" s="119">
        <v>610</v>
      </c>
      <c r="H31" s="119">
        <v>122</v>
      </c>
      <c r="I31" s="120">
        <v>45292</v>
      </c>
    </row>
    <row r="32" spans="1:9" ht="17.25" customHeight="1" x14ac:dyDescent="0.25">
      <c r="A32" s="112">
        <v>34499</v>
      </c>
      <c r="B32" s="117" t="s">
        <v>970</v>
      </c>
      <c r="C32" s="118"/>
      <c r="D32" s="82">
        <v>7</v>
      </c>
      <c r="E32" s="119">
        <v>433</v>
      </c>
      <c r="F32" s="119">
        <v>520</v>
      </c>
      <c r="G32" s="119">
        <v>650</v>
      </c>
      <c r="H32" s="119">
        <v>130</v>
      </c>
      <c r="I32" s="120">
        <v>45292</v>
      </c>
    </row>
    <row r="33" spans="1:9" ht="17.25" customHeight="1" x14ac:dyDescent="0.25">
      <c r="A33" s="112">
        <v>34501</v>
      </c>
      <c r="B33" s="117" t="s">
        <v>971</v>
      </c>
      <c r="C33" s="118"/>
      <c r="D33" s="82">
        <v>7</v>
      </c>
      <c r="E33" s="119">
        <v>433</v>
      </c>
      <c r="F33" s="119">
        <v>520</v>
      </c>
      <c r="G33" s="119">
        <v>650</v>
      </c>
      <c r="H33" s="119">
        <v>130</v>
      </c>
      <c r="I33" s="120">
        <v>45292</v>
      </c>
    </row>
    <row r="34" spans="1:9" ht="17.25" customHeight="1" x14ac:dyDescent="0.25">
      <c r="A34" s="112">
        <v>34504</v>
      </c>
      <c r="B34" s="117" t="s">
        <v>972</v>
      </c>
      <c r="C34" s="118"/>
      <c r="D34" s="82">
        <v>7</v>
      </c>
      <c r="E34" s="119">
        <v>433</v>
      </c>
      <c r="F34" s="119">
        <v>520</v>
      </c>
      <c r="G34" s="119">
        <v>650</v>
      </c>
      <c r="H34" s="119">
        <v>130</v>
      </c>
      <c r="I34" s="120">
        <v>45292</v>
      </c>
    </row>
    <row r="35" spans="1:9" ht="17.25" customHeight="1" x14ac:dyDescent="0.25">
      <c r="A35" s="112">
        <v>34637</v>
      </c>
      <c r="B35" s="117" t="s">
        <v>973</v>
      </c>
      <c r="C35" s="118"/>
      <c r="D35" s="82">
        <v>22</v>
      </c>
      <c r="E35" s="119">
        <v>1400</v>
      </c>
      <c r="F35" s="119">
        <v>1680</v>
      </c>
      <c r="G35" s="119">
        <v>2100</v>
      </c>
      <c r="H35" s="119">
        <v>420</v>
      </c>
      <c r="I35" s="120">
        <v>45292</v>
      </c>
    </row>
    <row r="36" spans="1:9" ht="17.25" customHeight="1" x14ac:dyDescent="0.25">
      <c r="A36" s="112">
        <v>34638</v>
      </c>
      <c r="B36" s="117" t="s">
        <v>974</v>
      </c>
      <c r="C36" s="118"/>
      <c r="D36" s="82">
        <v>22</v>
      </c>
      <c r="E36" s="119">
        <v>1400</v>
      </c>
      <c r="F36" s="119">
        <v>1680</v>
      </c>
      <c r="G36" s="119">
        <v>2100</v>
      </c>
      <c r="H36" s="119">
        <v>420</v>
      </c>
      <c r="I36" s="120">
        <v>45292</v>
      </c>
    </row>
    <row r="37" spans="1:9" ht="17.25" customHeight="1" x14ac:dyDescent="0.25">
      <c r="A37" s="112">
        <v>34750</v>
      </c>
      <c r="B37" s="117" t="s">
        <v>975</v>
      </c>
      <c r="C37" s="118"/>
      <c r="D37" s="82">
        <v>6</v>
      </c>
      <c r="E37" s="119">
        <v>380</v>
      </c>
      <c r="F37" s="119">
        <v>456</v>
      </c>
      <c r="G37" s="119">
        <v>570</v>
      </c>
      <c r="H37" s="119">
        <v>114</v>
      </c>
      <c r="I37" s="120">
        <v>45292</v>
      </c>
    </row>
    <row r="38" spans="1:9" ht="17.25" customHeight="1" x14ac:dyDescent="0.25">
      <c r="A38" s="112">
        <v>34821</v>
      </c>
      <c r="B38" s="117" t="s">
        <v>976</v>
      </c>
      <c r="C38" s="118"/>
      <c r="D38" s="82">
        <v>6</v>
      </c>
      <c r="E38" s="119">
        <v>393</v>
      </c>
      <c r="F38" s="119">
        <v>472</v>
      </c>
      <c r="G38" s="119">
        <v>590</v>
      </c>
      <c r="H38" s="119">
        <v>118</v>
      </c>
      <c r="I38" s="120">
        <v>45292</v>
      </c>
    </row>
    <row r="39" spans="1:9" ht="17.25" customHeight="1" x14ac:dyDescent="0.25">
      <c r="A39" s="112">
        <v>34841</v>
      </c>
      <c r="B39" s="117" t="s">
        <v>977</v>
      </c>
      <c r="C39" s="118"/>
      <c r="D39" s="82">
        <v>6</v>
      </c>
      <c r="E39" s="119">
        <v>393</v>
      </c>
      <c r="F39" s="119">
        <v>472</v>
      </c>
      <c r="G39" s="119">
        <v>590</v>
      </c>
      <c r="H39" s="119">
        <v>118</v>
      </c>
      <c r="I39" s="120" t="s">
        <v>1351</v>
      </c>
    </row>
    <row r="40" spans="1:9" ht="17.25" customHeight="1" x14ac:dyDescent="0.25">
      <c r="A40" s="112">
        <v>34855</v>
      </c>
      <c r="B40" s="117" t="s">
        <v>1324</v>
      </c>
      <c r="C40" s="118"/>
      <c r="D40" s="82">
        <v>7</v>
      </c>
      <c r="E40" s="119">
        <v>427</v>
      </c>
      <c r="F40" s="119">
        <v>512</v>
      </c>
      <c r="G40" s="119">
        <v>640</v>
      </c>
      <c r="H40" s="119">
        <v>128</v>
      </c>
      <c r="I40" s="120" t="s">
        <v>1346</v>
      </c>
    </row>
    <row r="41" spans="1:9" ht="17.25" customHeight="1" x14ac:dyDescent="0.25">
      <c r="A41" s="112">
        <v>34862</v>
      </c>
      <c r="B41" s="117" t="s">
        <v>978</v>
      </c>
      <c r="C41" s="118"/>
      <c r="D41" s="82">
        <v>6</v>
      </c>
      <c r="E41" s="119">
        <v>393</v>
      </c>
      <c r="F41" s="119">
        <v>472</v>
      </c>
      <c r="G41" s="119">
        <v>590</v>
      </c>
      <c r="H41" s="119">
        <v>118</v>
      </c>
      <c r="I41" s="120">
        <v>45292</v>
      </c>
    </row>
    <row r="42" spans="1:9" ht="17.25" customHeight="1" x14ac:dyDescent="0.25">
      <c r="A42" s="112">
        <v>34920</v>
      </c>
      <c r="B42" s="117" t="s">
        <v>979</v>
      </c>
      <c r="C42" s="118"/>
      <c r="D42" s="82">
        <v>7</v>
      </c>
      <c r="E42" s="119">
        <v>447</v>
      </c>
      <c r="F42" s="119">
        <v>536</v>
      </c>
      <c r="G42" s="119">
        <v>670</v>
      </c>
      <c r="H42" s="119">
        <v>134</v>
      </c>
      <c r="I42" s="120">
        <v>45261</v>
      </c>
    </row>
    <row r="43" spans="1:9" ht="17.25" customHeight="1" x14ac:dyDescent="0.25">
      <c r="A43" s="112">
        <v>35149</v>
      </c>
      <c r="B43" s="117" t="s">
        <v>980</v>
      </c>
      <c r="C43" s="118"/>
      <c r="D43" s="82">
        <v>7</v>
      </c>
      <c r="E43" s="119">
        <v>427</v>
      </c>
      <c r="F43" s="119">
        <v>512</v>
      </c>
      <c r="G43" s="119">
        <v>640</v>
      </c>
      <c r="H43" s="119">
        <v>128</v>
      </c>
      <c r="I43" s="120" t="s">
        <v>1346</v>
      </c>
    </row>
    <row r="44" spans="1:9" ht="17.25" customHeight="1" x14ac:dyDescent="0.25">
      <c r="A44" s="112">
        <v>35639</v>
      </c>
      <c r="B44" s="117" t="s">
        <v>981</v>
      </c>
      <c r="C44" s="118"/>
      <c r="D44" s="82">
        <v>7</v>
      </c>
      <c r="E44" s="119">
        <v>427</v>
      </c>
      <c r="F44" s="119">
        <v>512</v>
      </c>
      <c r="G44" s="119">
        <v>640</v>
      </c>
      <c r="H44" s="119">
        <v>128</v>
      </c>
      <c r="I44" s="120" t="s">
        <v>1351</v>
      </c>
    </row>
    <row r="45" spans="1:9" ht="17.25" customHeight="1" x14ac:dyDescent="0.25">
      <c r="A45" s="112">
        <v>35640</v>
      </c>
      <c r="B45" s="117" t="s">
        <v>982</v>
      </c>
      <c r="C45" s="118"/>
      <c r="D45" s="82">
        <v>7</v>
      </c>
      <c r="E45" s="119">
        <v>427</v>
      </c>
      <c r="F45" s="119">
        <v>512</v>
      </c>
      <c r="G45" s="119">
        <v>640</v>
      </c>
      <c r="H45" s="119">
        <v>128</v>
      </c>
      <c r="I45" s="120" t="s">
        <v>1351</v>
      </c>
    </row>
    <row r="46" spans="1:9" ht="17.25" customHeight="1" x14ac:dyDescent="0.25">
      <c r="A46" s="112">
        <v>35641</v>
      </c>
      <c r="B46" s="117" t="s">
        <v>983</v>
      </c>
      <c r="C46" s="118"/>
      <c r="D46" s="82">
        <v>7</v>
      </c>
      <c r="E46" s="119">
        <v>427</v>
      </c>
      <c r="F46" s="119">
        <v>512</v>
      </c>
      <c r="G46" s="119">
        <v>640</v>
      </c>
      <c r="H46" s="119">
        <v>128</v>
      </c>
      <c r="I46" s="120" t="s">
        <v>1351</v>
      </c>
    </row>
    <row r="47" spans="1:9" ht="17.25" customHeight="1" x14ac:dyDescent="0.25">
      <c r="A47" s="112">
        <v>35681</v>
      </c>
      <c r="B47" s="117" t="s">
        <v>347</v>
      </c>
      <c r="C47" s="118"/>
      <c r="D47" s="82">
        <v>39</v>
      </c>
      <c r="E47" s="119">
        <v>2533</v>
      </c>
      <c r="F47" s="119">
        <v>3040</v>
      </c>
      <c r="G47" s="119">
        <v>3800</v>
      </c>
      <c r="H47" s="119">
        <v>760</v>
      </c>
      <c r="I47" s="120" t="s">
        <v>1351</v>
      </c>
    </row>
    <row r="48" spans="1:9" ht="17.25" customHeight="1" x14ac:dyDescent="0.25">
      <c r="A48" s="112">
        <v>35835</v>
      </c>
      <c r="B48" s="117" t="s">
        <v>984</v>
      </c>
      <c r="C48" s="118"/>
      <c r="D48" s="82">
        <v>9</v>
      </c>
      <c r="E48" s="119">
        <v>580</v>
      </c>
      <c r="F48" s="119">
        <v>696</v>
      </c>
      <c r="G48" s="119">
        <v>870</v>
      </c>
      <c r="H48" s="119">
        <v>174</v>
      </c>
      <c r="I48" s="120">
        <v>45292</v>
      </c>
    </row>
    <row r="49" spans="1:9" ht="17.25" customHeight="1" x14ac:dyDescent="0.25">
      <c r="A49" s="112">
        <v>35861</v>
      </c>
      <c r="B49" s="117" t="s">
        <v>985</v>
      </c>
      <c r="C49" s="118"/>
      <c r="D49" s="82">
        <v>5</v>
      </c>
      <c r="E49" s="119">
        <v>320</v>
      </c>
      <c r="F49" s="119">
        <v>384</v>
      </c>
      <c r="G49" s="119">
        <v>480</v>
      </c>
      <c r="H49" s="119">
        <v>96</v>
      </c>
      <c r="I49" s="120" t="s">
        <v>1346</v>
      </c>
    </row>
    <row r="50" spans="1:9" ht="17.25" customHeight="1" x14ac:dyDescent="0.25">
      <c r="A50" s="112">
        <v>35870</v>
      </c>
      <c r="B50" s="117" t="s">
        <v>986</v>
      </c>
      <c r="C50" s="118"/>
      <c r="D50" s="82">
        <v>8</v>
      </c>
      <c r="E50" s="119">
        <v>520</v>
      </c>
      <c r="F50" s="119">
        <v>624</v>
      </c>
      <c r="G50" s="119">
        <v>780</v>
      </c>
      <c r="H50" s="119">
        <v>156</v>
      </c>
      <c r="I50" s="120">
        <v>45292</v>
      </c>
    </row>
    <row r="51" spans="1:9" ht="17.25" customHeight="1" x14ac:dyDescent="0.25">
      <c r="A51" s="112">
        <v>35890</v>
      </c>
      <c r="B51" s="117" t="s">
        <v>987</v>
      </c>
      <c r="C51" s="118"/>
      <c r="D51" s="82">
        <v>10</v>
      </c>
      <c r="E51" s="119">
        <v>660</v>
      </c>
      <c r="F51" s="119">
        <v>792</v>
      </c>
      <c r="G51" s="119">
        <v>990</v>
      </c>
      <c r="H51" s="119">
        <v>198</v>
      </c>
      <c r="I51" s="120" t="s">
        <v>1351</v>
      </c>
    </row>
    <row r="52" spans="1:9" ht="17.25" customHeight="1" x14ac:dyDescent="0.25">
      <c r="A52" s="112">
        <v>35891</v>
      </c>
      <c r="B52" s="117" t="s">
        <v>988</v>
      </c>
      <c r="C52" s="118"/>
      <c r="D52" s="82">
        <v>10</v>
      </c>
      <c r="E52" s="119">
        <v>660</v>
      </c>
      <c r="F52" s="119">
        <v>792</v>
      </c>
      <c r="G52" s="119">
        <v>990</v>
      </c>
      <c r="H52" s="119">
        <v>198</v>
      </c>
      <c r="I52" s="120" t="s">
        <v>1351</v>
      </c>
    </row>
    <row r="53" spans="1:9" ht="17.25" customHeight="1" x14ac:dyDescent="0.25">
      <c r="A53" s="112">
        <v>36139</v>
      </c>
      <c r="B53" s="117" t="s">
        <v>989</v>
      </c>
      <c r="C53" s="118"/>
      <c r="D53" s="82">
        <v>15</v>
      </c>
      <c r="E53" s="119">
        <v>1000</v>
      </c>
      <c r="F53" s="119">
        <v>1200</v>
      </c>
      <c r="G53" s="119">
        <v>1500</v>
      </c>
      <c r="H53" s="119">
        <v>300</v>
      </c>
      <c r="I53" s="120" t="s">
        <v>1351</v>
      </c>
    </row>
    <row r="54" spans="1:9" ht="17.25" customHeight="1" x14ac:dyDescent="0.25">
      <c r="A54" s="112">
        <v>36140</v>
      </c>
      <c r="B54" s="117" t="s">
        <v>990</v>
      </c>
      <c r="C54" s="118"/>
      <c r="D54" s="82">
        <v>15</v>
      </c>
      <c r="E54" s="119">
        <v>1000</v>
      </c>
      <c r="F54" s="119">
        <v>1200</v>
      </c>
      <c r="G54" s="119">
        <v>1500</v>
      </c>
      <c r="H54" s="119">
        <v>300</v>
      </c>
      <c r="I54" s="120" t="s">
        <v>1351</v>
      </c>
    </row>
    <row r="55" spans="1:9" ht="17.25" customHeight="1" x14ac:dyDescent="0.25">
      <c r="A55" s="112">
        <v>36141</v>
      </c>
      <c r="B55" s="117" t="s">
        <v>991</v>
      </c>
      <c r="C55" s="118"/>
      <c r="D55" s="82">
        <v>15</v>
      </c>
      <c r="E55" s="119">
        <v>1000</v>
      </c>
      <c r="F55" s="119">
        <v>1200</v>
      </c>
      <c r="G55" s="119">
        <v>1500</v>
      </c>
      <c r="H55" s="119">
        <v>300</v>
      </c>
      <c r="I55" s="120" t="s">
        <v>1351</v>
      </c>
    </row>
    <row r="56" spans="1:9" ht="17.25" customHeight="1" x14ac:dyDescent="0.25">
      <c r="A56" s="112">
        <v>36153</v>
      </c>
      <c r="B56" s="117" t="s">
        <v>992</v>
      </c>
      <c r="C56" s="118"/>
      <c r="D56" s="82">
        <v>4</v>
      </c>
      <c r="E56" s="119">
        <v>247</v>
      </c>
      <c r="F56" s="119">
        <v>296</v>
      </c>
      <c r="G56" s="119">
        <v>370</v>
      </c>
      <c r="H56" s="119">
        <v>74</v>
      </c>
      <c r="I56" s="120">
        <v>45292</v>
      </c>
    </row>
    <row r="57" spans="1:9" ht="17.25" customHeight="1" x14ac:dyDescent="0.25">
      <c r="A57" s="112">
        <v>37214</v>
      </c>
      <c r="B57" s="117" t="s">
        <v>1325</v>
      </c>
      <c r="C57" s="118"/>
      <c r="D57" s="82">
        <v>14</v>
      </c>
      <c r="E57" s="119">
        <v>933</v>
      </c>
      <c r="F57" s="119">
        <v>1120</v>
      </c>
      <c r="G57" s="119">
        <v>1400</v>
      </c>
      <c r="H57" s="119">
        <v>280</v>
      </c>
      <c r="I57" s="120" t="s">
        <v>1346</v>
      </c>
    </row>
    <row r="58" spans="1:9" ht="17.25" customHeight="1" x14ac:dyDescent="0.25">
      <c r="A58" s="112">
        <v>37457</v>
      </c>
      <c r="B58" s="117" t="s">
        <v>865</v>
      </c>
      <c r="C58" s="118"/>
      <c r="D58" s="82">
        <v>7</v>
      </c>
      <c r="E58" s="119">
        <v>217</v>
      </c>
      <c r="F58" s="119">
        <v>520</v>
      </c>
      <c r="G58" s="119">
        <v>650</v>
      </c>
      <c r="H58" s="119">
        <v>130</v>
      </c>
      <c r="I58" s="120" t="s">
        <v>1351</v>
      </c>
    </row>
    <row r="59" spans="1:9" ht="17.25" customHeight="1" x14ac:dyDescent="0.25">
      <c r="A59" s="112">
        <v>37525</v>
      </c>
      <c r="B59" s="117" t="s">
        <v>993</v>
      </c>
      <c r="C59" s="118"/>
      <c r="D59" s="82">
        <v>5</v>
      </c>
      <c r="E59" s="119">
        <v>160</v>
      </c>
      <c r="F59" s="119">
        <v>384</v>
      </c>
      <c r="G59" s="119">
        <v>480</v>
      </c>
      <c r="H59" s="119">
        <v>96</v>
      </c>
      <c r="I59" s="120" t="s">
        <v>1351</v>
      </c>
    </row>
    <row r="60" spans="1:9" ht="17.25" customHeight="1" x14ac:dyDescent="0.25">
      <c r="A60" s="112">
        <v>37552</v>
      </c>
      <c r="B60" s="117" t="s">
        <v>994</v>
      </c>
      <c r="C60" s="118"/>
      <c r="D60" s="82">
        <v>10</v>
      </c>
      <c r="E60" s="119">
        <v>314</v>
      </c>
      <c r="F60" s="119">
        <v>752</v>
      </c>
      <c r="G60" s="119">
        <v>940</v>
      </c>
      <c r="H60" s="119">
        <v>188</v>
      </c>
      <c r="I60" s="120" t="s">
        <v>1351</v>
      </c>
    </row>
    <row r="61" spans="1:9" ht="17.25" customHeight="1" x14ac:dyDescent="0.25">
      <c r="A61" s="112">
        <v>37558</v>
      </c>
      <c r="B61" s="117" t="s">
        <v>995</v>
      </c>
      <c r="C61" s="118"/>
      <c r="D61" s="82">
        <v>4</v>
      </c>
      <c r="E61" s="119">
        <v>130</v>
      </c>
      <c r="F61" s="119">
        <v>312</v>
      </c>
      <c r="G61" s="119">
        <v>390</v>
      </c>
      <c r="H61" s="119">
        <v>78</v>
      </c>
      <c r="I61" s="120">
        <v>45292</v>
      </c>
    </row>
    <row r="62" spans="1:9" ht="17.25" customHeight="1" x14ac:dyDescent="0.25">
      <c r="A62" s="112">
        <v>37559</v>
      </c>
      <c r="B62" s="117" t="s">
        <v>996</v>
      </c>
      <c r="C62" s="118"/>
      <c r="D62" s="82">
        <v>4</v>
      </c>
      <c r="E62" s="119">
        <v>130</v>
      </c>
      <c r="F62" s="119">
        <v>312</v>
      </c>
      <c r="G62" s="119">
        <v>390</v>
      </c>
      <c r="H62" s="119">
        <v>78</v>
      </c>
      <c r="I62" s="120">
        <v>45292</v>
      </c>
    </row>
    <row r="63" spans="1:9" ht="17.25" customHeight="1" x14ac:dyDescent="0.25">
      <c r="A63" s="112">
        <v>37607</v>
      </c>
      <c r="B63" s="117" t="s">
        <v>997</v>
      </c>
      <c r="C63" s="118"/>
      <c r="D63" s="82">
        <v>9</v>
      </c>
      <c r="E63" s="119">
        <v>300</v>
      </c>
      <c r="F63" s="119">
        <v>720</v>
      </c>
      <c r="G63" s="119">
        <v>900</v>
      </c>
      <c r="H63" s="119">
        <v>180</v>
      </c>
      <c r="I63" s="120">
        <v>45292</v>
      </c>
    </row>
    <row r="64" spans="1:9" ht="17.25" customHeight="1" x14ac:dyDescent="0.25">
      <c r="A64" s="112">
        <v>37728</v>
      </c>
      <c r="B64" s="117" t="s">
        <v>998</v>
      </c>
      <c r="C64" s="118"/>
      <c r="D64" s="82">
        <v>5</v>
      </c>
      <c r="E64" s="119">
        <v>320</v>
      </c>
      <c r="F64" s="119">
        <v>384</v>
      </c>
      <c r="G64" s="119">
        <v>480</v>
      </c>
      <c r="H64" s="119">
        <v>96</v>
      </c>
      <c r="I64" s="120">
        <v>45292</v>
      </c>
    </row>
    <row r="65" spans="1:9" ht="17.25" customHeight="1" x14ac:dyDescent="0.25">
      <c r="A65" s="112">
        <v>37729</v>
      </c>
      <c r="B65" s="117" t="s">
        <v>999</v>
      </c>
      <c r="C65" s="118"/>
      <c r="D65" s="82">
        <v>5</v>
      </c>
      <c r="E65" s="119">
        <v>320</v>
      </c>
      <c r="F65" s="119">
        <v>384</v>
      </c>
      <c r="G65" s="119">
        <v>480</v>
      </c>
      <c r="H65" s="119">
        <v>96</v>
      </c>
      <c r="I65" s="120">
        <v>45292</v>
      </c>
    </row>
    <row r="66" spans="1:9" ht="17.25" customHeight="1" x14ac:dyDescent="0.25">
      <c r="A66" s="112">
        <v>37730</v>
      </c>
      <c r="B66" s="117" t="s">
        <v>1000</v>
      </c>
      <c r="C66" s="118"/>
      <c r="D66" s="82">
        <v>5</v>
      </c>
      <c r="E66" s="119">
        <v>320</v>
      </c>
      <c r="F66" s="119">
        <v>384</v>
      </c>
      <c r="G66" s="119">
        <v>480</v>
      </c>
      <c r="H66" s="119">
        <v>96</v>
      </c>
      <c r="I66" s="120">
        <v>45292</v>
      </c>
    </row>
    <row r="67" spans="1:9" ht="17.25" customHeight="1" x14ac:dyDescent="0.25">
      <c r="A67" s="112">
        <v>37731</v>
      </c>
      <c r="B67" s="117" t="s">
        <v>1001</v>
      </c>
      <c r="C67" s="118"/>
      <c r="D67" s="82">
        <v>5</v>
      </c>
      <c r="E67" s="119">
        <v>320</v>
      </c>
      <c r="F67" s="119">
        <v>384</v>
      </c>
      <c r="G67" s="119">
        <v>480</v>
      </c>
      <c r="H67" s="119">
        <v>96</v>
      </c>
      <c r="I67" s="120">
        <v>45292</v>
      </c>
    </row>
    <row r="68" spans="1:9" ht="17.25" customHeight="1" x14ac:dyDescent="0.25">
      <c r="A68" s="112">
        <v>37734</v>
      </c>
      <c r="B68" s="117" t="s">
        <v>1002</v>
      </c>
      <c r="C68" s="118"/>
      <c r="D68" s="82">
        <v>5</v>
      </c>
      <c r="E68" s="119">
        <v>320</v>
      </c>
      <c r="F68" s="119">
        <v>384</v>
      </c>
      <c r="G68" s="119">
        <v>480</v>
      </c>
      <c r="H68" s="119">
        <v>96</v>
      </c>
      <c r="I68" s="120">
        <v>45292</v>
      </c>
    </row>
    <row r="69" spans="1:9" ht="17.25" customHeight="1" x14ac:dyDescent="0.25">
      <c r="A69" s="112">
        <v>37735</v>
      </c>
      <c r="B69" s="117" t="s">
        <v>1003</v>
      </c>
      <c r="C69" s="118"/>
      <c r="D69" s="82">
        <v>5</v>
      </c>
      <c r="E69" s="119">
        <v>320</v>
      </c>
      <c r="F69" s="119">
        <v>384</v>
      </c>
      <c r="G69" s="119">
        <v>480</v>
      </c>
      <c r="H69" s="119">
        <v>96</v>
      </c>
      <c r="I69" s="120">
        <v>45292</v>
      </c>
    </row>
    <row r="70" spans="1:9" ht="17.25" customHeight="1" x14ac:dyDescent="0.25">
      <c r="A70" s="112">
        <v>37736</v>
      </c>
      <c r="B70" s="117" t="s">
        <v>1004</v>
      </c>
      <c r="C70" s="118"/>
      <c r="D70" s="82">
        <v>5</v>
      </c>
      <c r="E70" s="119">
        <v>320</v>
      </c>
      <c r="F70" s="119">
        <v>384</v>
      </c>
      <c r="G70" s="119">
        <v>480</v>
      </c>
      <c r="H70" s="119">
        <v>96</v>
      </c>
      <c r="I70" s="120">
        <v>45292</v>
      </c>
    </row>
    <row r="71" spans="1:9" ht="17.25" customHeight="1" x14ac:dyDescent="0.25">
      <c r="A71" s="112">
        <v>37737</v>
      </c>
      <c r="B71" s="117" t="s">
        <v>1005</v>
      </c>
      <c r="C71" s="118"/>
      <c r="D71" s="82">
        <v>5</v>
      </c>
      <c r="E71" s="119">
        <v>320</v>
      </c>
      <c r="F71" s="119">
        <v>384</v>
      </c>
      <c r="G71" s="119">
        <v>480</v>
      </c>
      <c r="H71" s="119">
        <v>96</v>
      </c>
      <c r="I71" s="120">
        <v>45292</v>
      </c>
    </row>
    <row r="72" spans="1:9" ht="17.25" customHeight="1" x14ac:dyDescent="0.25">
      <c r="A72" s="112">
        <v>38526</v>
      </c>
      <c r="B72" s="117" t="s">
        <v>1006</v>
      </c>
      <c r="C72" s="118"/>
      <c r="D72" s="82">
        <v>14</v>
      </c>
      <c r="E72" s="119">
        <v>933</v>
      </c>
      <c r="F72" s="119">
        <v>1120</v>
      </c>
      <c r="G72" s="119">
        <v>1400</v>
      </c>
      <c r="H72" s="119">
        <v>280</v>
      </c>
      <c r="I72" s="120">
        <v>45292</v>
      </c>
    </row>
    <row r="73" spans="1:9" ht="17.25" customHeight="1" x14ac:dyDescent="0.25">
      <c r="A73" s="112">
        <v>38527</v>
      </c>
      <c r="B73" s="117" t="s">
        <v>335</v>
      </c>
      <c r="C73" s="118"/>
      <c r="D73" s="82">
        <v>39</v>
      </c>
      <c r="E73" s="119">
        <v>2533</v>
      </c>
      <c r="F73" s="119">
        <v>3040</v>
      </c>
      <c r="G73" s="119">
        <v>3800</v>
      </c>
      <c r="H73" s="119">
        <v>760</v>
      </c>
      <c r="I73" s="120" t="s">
        <v>1351</v>
      </c>
    </row>
    <row r="74" spans="1:9" ht="17.25" customHeight="1" x14ac:dyDescent="0.25">
      <c r="A74" s="112">
        <v>38742</v>
      </c>
      <c r="B74" s="117" t="s">
        <v>380</v>
      </c>
      <c r="C74" s="118"/>
      <c r="D74" s="82">
        <v>5</v>
      </c>
      <c r="E74" s="119">
        <v>320</v>
      </c>
      <c r="F74" s="119">
        <v>384</v>
      </c>
      <c r="G74" s="119">
        <v>480</v>
      </c>
      <c r="H74" s="119">
        <v>96</v>
      </c>
      <c r="I74" s="120">
        <v>45292</v>
      </c>
    </row>
    <row r="75" spans="1:9" ht="17.25" customHeight="1" x14ac:dyDescent="0.25">
      <c r="A75" s="112">
        <v>38743</v>
      </c>
      <c r="B75" s="117" t="s">
        <v>1007</v>
      </c>
      <c r="C75" s="118"/>
      <c r="D75" s="82">
        <v>5</v>
      </c>
      <c r="E75" s="119">
        <v>320</v>
      </c>
      <c r="F75" s="119">
        <v>384</v>
      </c>
      <c r="G75" s="119">
        <v>480</v>
      </c>
      <c r="H75" s="119">
        <v>96</v>
      </c>
      <c r="I75" s="120">
        <v>45292</v>
      </c>
    </row>
    <row r="76" spans="1:9" ht="16.95" customHeight="1" x14ac:dyDescent="0.25">
      <c r="A76" s="112">
        <v>38744</v>
      </c>
      <c r="B76" s="117" t="s">
        <v>1008</v>
      </c>
      <c r="C76" s="118"/>
      <c r="D76" s="82">
        <v>5</v>
      </c>
      <c r="E76" s="119">
        <v>320</v>
      </c>
      <c r="F76" s="119">
        <v>384</v>
      </c>
      <c r="G76" s="119">
        <v>480</v>
      </c>
      <c r="H76" s="119">
        <v>96</v>
      </c>
      <c r="I76" s="120">
        <v>45292</v>
      </c>
    </row>
    <row r="77" spans="1:9" ht="17.25" customHeight="1" x14ac:dyDescent="0.25">
      <c r="A77" s="112">
        <v>38745</v>
      </c>
      <c r="B77" s="117" t="s">
        <v>1009</v>
      </c>
      <c r="C77" s="118"/>
      <c r="D77" s="82">
        <v>5</v>
      </c>
      <c r="E77" s="119">
        <v>320</v>
      </c>
      <c r="F77" s="119">
        <v>384</v>
      </c>
      <c r="G77" s="119">
        <v>480</v>
      </c>
      <c r="H77" s="119">
        <v>96</v>
      </c>
      <c r="I77" s="120">
        <v>45292</v>
      </c>
    </row>
    <row r="78" spans="1:9" ht="17.25" customHeight="1" x14ac:dyDescent="0.25">
      <c r="A78" s="112">
        <v>38749</v>
      </c>
      <c r="B78" s="117" t="s">
        <v>1010</v>
      </c>
      <c r="C78" s="118"/>
      <c r="D78" s="82">
        <v>5</v>
      </c>
      <c r="E78" s="119">
        <v>320</v>
      </c>
      <c r="F78" s="119">
        <v>384</v>
      </c>
      <c r="G78" s="119">
        <v>480</v>
      </c>
      <c r="H78" s="119">
        <v>96</v>
      </c>
      <c r="I78" s="120">
        <v>45292</v>
      </c>
    </row>
    <row r="79" spans="1:9" ht="17.25" customHeight="1" x14ac:dyDescent="0.25">
      <c r="A79" s="112">
        <v>38750</v>
      </c>
      <c r="B79" s="117" t="s">
        <v>1011</v>
      </c>
      <c r="C79" s="118"/>
      <c r="D79" s="82">
        <v>5</v>
      </c>
      <c r="E79" s="119">
        <v>320</v>
      </c>
      <c r="F79" s="119">
        <v>384</v>
      </c>
      <c r="G79" s="119">
        <v>480</v>
      </c>
      <c r="H79" s="119">
        <v>96</v>
      </c>
      <c r="I79" s="120">
        <v>45292</v>
      </c>
    </row>
    <row r="80" spans="1:9" ht="17.25" customHeight="1" x14ac:dyDescent="0.25">
      <c r="A80" s="112">
        <v>38751</v>
      </c>
      <c r="B80" s="117" t="s">
        <v>1012</v>
      </c>
      <c r="C80" s="118"/>
      <c r="D80" s="82">
        <v>5</v>
      </c>
      <c r="E80" s="119">
        <v>320</v>
      </c>
      <c r="F80" s="119">
        <v>384</v>
      </c>
      <c r="G80" s="119">
        <v>480</v>
      </c>
      <c r="H80" s="119">
        <v>96</v>
      </c>
      <c r="I80" s="120">
        <v>45292</v>
      </c>
    </row>
    <row r="81" spans="1:9" ht="17.25" customHeight="1" x14ac:dyDescent="0.25">
      <c r="A81" s="112">
        <v>38755</v>
      </c>
      <c r="B81" s="117" t="s">
        <v>1013</v>
      </c>
      <c r="C81" s="118"/>
      <c r="D81" s="82">
        <v>5</v>
      </c>
      <c r="E81" s="119">
        <v>320</v>
      </c>
      <c r="F81" s="119">
        <v>384</v>
      </c>
      <c r="G81" s="119">
        <v>480</v>
      </c>
      <c r="H81" s="119">
        <v>96</v>
      </c>
      <c r="I81" s="120">
        <v>45292</v>
      </c>
    </row>
    <row r="82" spans="1:9" ht="17.25" customHeight="1" x14ac:dyDescent="0.25">
      <c r="A82" s="112">
        <v>38756</v>
      </c>
      <c r="B82" s="117" t="s">
        <v>1014</v>
      </c>
      <c r="C82" s="118"/>
      <c r="D82" s="82">
        <v>5</v>
      </c>
      <c r="E82" s="119">
        <v>320</v>
      </c>
      <c r="F82" s="119">
        <v>384</v>
      </c>
      <c r="G82" s="119">
        <v>480</v>
      </c>
      <c r="H82" s="119">
        <v>96</v>
      </c>
      <c r="I82" s="120">
        <v>45292</v>
      </c>
    </row>
    <row r="83" spans="1:9" ht="17.25" customHeight="1" x14ac:dyDescent="0.25">
      <c r="A83" s="112">
        <v>38757</v>
      </c>
      <c r="B83" s="117" t="s">
        <v>1015</v>
      </c>
      <c r="C83" s="118"/>
      <c r="D83" s="82">
        <v>5</v>
      </c>
      <c r="E83" s="119">
        <v>320</v>
      </c>
      <c r="F83" s="119">
        <v>384</v>
      </c>
      <c r="G83" s="119">
        <v>480</v>
      </c>
      <c r="H83" s="119">
        <v>96</v>
      </c>
      <c r="I83" s="120">
        <v>45292</v>
      </c>
    </row>
    <row r="84" spans="1:9" ht="17.25" customHeight="1" x14ac:dyDescent="0.25">
      <c r="A84" s="112">
        <v>38760</v>
      </c>
      <c r="B84" s="117" t="s">
        <v>1016</v>
      </c>
      <c r="C84" s="118"/>
      <c r="D84" s="82">
        <v>5</v>
      </c>
      <c r="E84" s="119">
        <v>320</v>
      </c>
      <c r="F84" s="119">
        <v>384</v>
      </c>
      <c r="G84" s="119">
        <v>480</v>
      </c>
      <c r="H84" s="119">
        <v>96</v>
      </c>
      <c r="I84" s="120">
        <v>45292</v>
      </c>
    </row>
    <row r="85" spans="1:9" ht="17.25" customHeight="1" x14ac:dyDescent="0.25">
      <c r="A85" s="112">
        <v>38761</v>
      </c>
      <c r="B85" s="117" t="s">
        <v>1017</v>
      </c>
      <c r="C85" s="118"/>
      <c r="D85" s="82">
        <v>5</v>
      </c>
      <c r="E85" s="119">
        <v>320</v>
      </c>
      <c r="F85" s="119">
        <v>384</v>
      </c>
      <c r="G85" s="119">
        <v>480</v>
      </c>
      <c r="H85" s="119">
        <v>96</v>
      </c>
      <c r="I85" s="120">
        <v>45292</v>
      </c>
    </row>
    <row r="86" spans="1:9" ht="17.25" customHeight="1" x14ac:dyDescent="0.25">
      <c r="A86" s="112">
        <v>38775</v>
      </c>
      <c r="B86" s="117" t="s">
        <v>1018</v>
      </c>
      <c r="C86" s="118"/>
      <c r="D86" s="82">
        <v>5</v>
      </c>
      <c r="E86" s="119">
        <v>320</v>
      </c>
      <c r="F86" s="119">
        <v>384</v>
      </c>
      <c r="G86" s="119">
        <v>480</v>
      </c>
      <c r="H86" s="119">
        <v>96</v>
      </c>
      <c r="I86" s="120">
        <v>45292</v>
      </c>
    </row>
    <row r="87" spans="1:9" ht="17.25" customHeight="1" x14ac:dyDescent="0.25">
      <c r="A87" s="112">
        <v>38776</v>
      </c>
      <c r="B87" s="117" t="s">
        <v>1019</v>
      </c>
      <c r="C87" s="118"/>
      <c r="D87" s="82">
        <v>5</v>
      </c>
      <c r="E87" s="119">
        <v>320</v>
      </c>
      <c r="F87" s="119">
        <v>384</v>
      </c>
      <c r="G87" s="119">
        <v>480</v>
      </c>
      <c r="H87" s="119">
        <v>96</v>
      </c>
      <c r="I87" s="120">
        <v>45292</v>
      </c>
    </row>
    <row r="88" spans="1:9" ht="17.25" customHeight="1" x14ac:dyDescent="0.25">
      <c r="A88" s="112">
        <v>38778</v>
      </c>
      <c r="B88" s="117" t="s">
        <v>1020</v>
      </c>
      <c r="C88" s="118"/>
      <c r="D88" s="82">
        <v>5</v>
      </c>
      <c r="E88" s="119">
        <v>320</v>
      </c>
      <c r="F88" s="119">
        <v>384</v>
      </c>
      <c r="G88" s="119">
        <v>480</v>
      </c>
      <c r="H88" s="119">
        <v>96</v>
      </c>
      <c r="I88" s="120">
        <v>45292</v>
      </c>
    </row>
    <row r="89" spans="1:9" ht="17.25" customHeight="1" x14ac:dyDescent="0.25">
      <c r="A89" s="112">
        <v>38805</v>
      </c>
      <c r="B89" s="117" t="s">
        <v>1021</v>
      </c>
      <c r="C89" s="118"/>
      <c r="D89" s="82">
        <v>6</v>
      </c>
      <c r="E89" s="119">
        <v>380</v>
      </c>
      <c r="F89" s="119">
        <v>456</v>
      </c>
      <c r="G89" s="119">
        <v>570</v>
      </c>
      <c r="H89" s="119">
        <v>114</v>
      </c>
      <c r="I89" s="120">
        <v>45292</v>
      </c>
    </row>
    <row r="90" spans="1:9" ht="17.25" customHeight="1" x14ac:dyDescent="0.25">
      <c r="A90" s="112">
        <v>38806</v>
      </c>
      <c r="B90" s="117" t="s">
        <v>1022</v>
      </c>
      <c r="C90" s="118"/>
      <c r="D90" s="82">
        <v>6</v>
      </c>
      <c r="E90" s="119">
        <v>380</v>
      </c>
      <c r="F90" s="119">
        <v>456</v>
      </c>
      <c r="G90" s="119">
        <v>570</v>
      </c>
      <c r="H90" s="119">
        <v>114</v>
      </c>
      <c r="I90" s="120">
        <v>45292</v>
      </c>
    </row>
    <row r="91" spans="1:9" ht="17.25" customHeight="1" x14ac:dyDescent="0.25">
      <c r="A91" s="112">
        <v>38807</v>
      </c>
      <c r="B91" s="117" t="s">
        <v>1023</v>
      </c>
      <c r="C91" s="118"/>
      <c r="D91" s="82">
        <v>6</v>
      </c>
      <c r="E91" s="119">
        <v>380</v>
      </c>
      <c r="F91" s="119">
        <v>456</v>
      </c>
      <c r="G91" s="119">
        <v>570</v>
      </c>
      <c r="H91" s="119">
        <v>114</v>
      </c>
      <c r="I91" s="120">
        <v>45292</v>
      </c>
    </row>
    <row r="92" spans="1:9" ht="17.25" customHeight="1" x14ac:dyDescent="0.25">
      <c r="A92" s="112">
        <v>38929</v>
      </c>
      <c r="B92" s="117" t="s">
        <v>1024</v>
      </c>
      <c r="C92" s="118"/>
      <c r="D92" s="82">
        <v>6</v>
      </c>
      <c r="E92" s="119">
        <v>380</v>
      </c>
      <c r="F92" s="119">
        <v>456</v>
      </c>
      <c r="G92" s="119">
        <v>570</v>
      </c>
      <c r="H92" s="119">
        <v>114</v>
      </c>
      <c r="I92" s="120" t="s">
        <v>1351</v>
      </c>
    </row>
    <row r="93" spans="1:9" ht="17.25" customHeight="1" x14ac:dyDescent="0.25">
      <c r="A93" s="112">
        <v>38975</v>
      </c>
      <c r="B93" s="117" t="s">
        <v>1326</v>
      </c>
      <c r="C93" s="118"/>
      <c r="D93" s="82">
        <v>4</v>
      </c>
      <c r="E93" s="119">
        <v>273</v>
      </c>
      <c r="F93" s="119">
        <v>328</v>
      </c>
      <c r="G93" s="119">
        <v>410</v>
      </c>
      <c r="H93" s="119">
        <v>82</v>
      </c>
      <c r="I93" s="120">
        <v>45292</v>
      </c>
    </row>
    <row r="94" spans="1:9" ht="17.25" customHeight="1" x14ac:dyDescent="0.25">
      <c r="A94" s="112">
        <v>38976</v>
      </c>
      <c r="B94" s="117" t="s">
        <v>1025</v>
      </c>
      <c r="C94" s="118"/>
      <c r="D94" s="82">
        <v>4</v>
      </c>
      <c r="E94" s="119">
        <v>273</v>
      </c>
      <c r="F94" s="119">
        <v>328</v>
      </c>
      <c r="G94" s="119">
        <v>410</v>
      </c>
      <c r="H94" s="119">
        <v>82</v>
      </c>
      <c r="I94" s="120">
        <v>45292</v>
      </c>
    </row>
    <row r="95" spans="1:9" ht="17.25" customHeight="1" x14ac:dyDescent="0.25">
      <c r="A95" s="112">
        <v>38977</v>
      </c>
      <c r="B95" s="117" t="s">
        <v>1026</v>
      </c>
      <c r="C95" s="118"/>
      <c r="D95" s="82">
        <v>4</v>
      </c>
      <c r="E95" s="119">
        <v>273</v>
      </c>
      <c r="F95" s="119">
        <v>328</v>
      </c>
      <c r="G95" s="119">
        <v>410</v>
      </c>
      <c r="H95" s="119">
        <v>82</v>
      </c>
      <c r="I95" s="120">
        <v>45292</v>
      </c>
    </row>
    <row r="96" spans="1:9" ht="17.25" customHeight="1" x14ac:dyDescent="0.25">
      <c r="A96" s="112">
        <v>38978</v>
      </c>
      <c r="B96" s="117" t="s">
        <v>1027</v>
      </c>
      <c r="C96" s="118"/>
      <c r="D96" s="82">
        <v>4</v>
      </c>
      <c r="E96" s="119">
        <v>273</v>
      </c>
      <c r="F96" s="119">
        <v>328</v>
      </c>
      <c r="G96" s="119">
        <v>410</v>
      </c>
      <c r="H96" s="119">
        <v>82</v>
      </c>
      <c r="I96" s="120">
        <v>45292</v>
      </c>
    </row>
    <row r="97" spans="1:9" ht="17.25" customHeight="1" x14ac:dyDescent="0.25">
      <c r="A97" s="112">
        <v>38980</v>
      </c>
      <c r="B97" s="117" t="s">
        <v>1028</v>
      </c>
      <c r="C97" s="118"/>
      <c r="D97" s="82">
        <v>4</v>
      </c>
      <c r="E97" s="119">
        <v>273</v>
      </c>
      <c r="F97" s="119">
        <v>328</v>
      </c>
      <c r="G97" s="119">
        <v>410</v>
      </c>
      <c r="H97" s="119">
        <v>82</v>
      </c>
      <c r="I97" s="120">
        <v>45292</v>
      </c>
    </row>
    <row r="98" spans="1:9" ht="17.25" customHeight="1" x14ac:dyDescent="0.25">
      <c r="A98" s="112">
        <v>38982</v>
      </c>
      <c r="B98" s="117" t="s">
        <v>1029</v>
      </c>
      <c r="C98" s="118"/>
      <c r="D98" s="82">
        <v>4</v>
      </c>
      <c r="E98" s="119">
        <v>273</v>
      </c>
      <c r="F98" s="119">
        <v>328</v>
      </c>
      <c r="G98" s="119">
        <v>410</v>
      </c>
      <c r="H98" s="119">
        <v>82</v>
      </c>
      <c r="I98" s="120">
        <v>45292</v>
      </c>
    </row>
    <row r="99" spans="1:9" ht="17.25" customHeight="1" x14ac:dyDescent="0.25">
      <c r="A99" s="112">
        <v>38983</v>
      </c>
      <c r="B99" s="117" t="s">
        <v>1030</v>
      </c>
      <c r="C99" s="118"/>
      <c r="D99" s="82">
        <v>4</v>
      </c>
      <c r="E99" s="119">
        <v>273</v>
      </c>
      <c r="F99" s="119">
        <v>328</v>
      </c>
      <c r="G99" s="119">
        <v>410</v>
      </c>
      <c r="H99" s="119">
        <v>82</v>
      </c>
      <c r="I99" s="120">
        <v>45292</v>
      </c>
    </row>
    <row r="100" spans="1:9" ht="17.25" customHeight="1" x14ac:dyDescent="0.25">
      <c r="A100" s="112">
        <v>38986</v>
      </c>
      <c r="B100" s="117" t="s">
        <v>1031</v>
      </c>
      <c r="C100" s="118"/>
      <c r="D100" s="82">
        <v>4</v>
      </c>
      <c r="E100" s="119">
        <v>273</v>
      </c>
      <c r="F100" s="119">
        <v>328</v>
      </c>
      <c r="G100" s="119">
        <v>410</v>
      </c>
      <c r="H100" s="119">
        <v>82</v>
      </c>
      <c r="I100" s="120">
        <v>45292</v>
      </c>
    </row>
    <row r="101" spans="1:9" ht="17.25" customHeight="1" x14ac:dyDescent="0.25">
      <c r="A101" s="112">
        <v>38991</v>
      </c>
      <c r="B101" s="117" t="s">
        <v>1032</v>
      </c>
      <c r="C101" s="118"/>
      <c r="D101" s="82">
        <v>4</v>
      </c>
      <c r="E101" s="119">
        <v>273</v>
      </c>
      <c r="F101" s="119">
        <v>328</v>
      </c>
      <c r="G101" s="119">
        <v>410</v>
      </c>
      <c r="H101" s="119">
        <v>82</v>
      </c>
      <c r="I101" s="120">
        <v>45292</v>
      </c>
    </row>
    <row r="102" spans="1:9" ht="17.25" customHeight="1" x14ac:dyDescent="0.25">
      <c r="A102" s="112">
        <v>38997</v>
      </c>
      <c r="B102" s="117" t="s">
        <v>1033</v>
      </c>
      <c r="C102" s="118"/>
      <c r="D102" s="82">
        <v>4</v>
      </c>
      <c r="E102" s="119">
        <v>273</v>
      </c>
      <c r="F102" s="119">
        <v>328</v>
      </c>
      <c r="G102" s="119">
        <v>410</v>
      </c>
      <c r="H102" s="119">
        <v>82</v>
      </c>
      <c r="I102" s="120">
        <v>45292</v>
      </c>
    </row>
    <row r="103" spans="1:9" ht="17.25" customHeight="1" x14ac:dyDescent="0.25">
      <c r="A103" s="112">
        <v>38998</v>
      </c>
      <c r="B103" s="117" t="s">
        <v>1034</v>
      </c>
      <c r="C103" s="118"/>
      <c r="D103" s="82">
        <v>4</v>
      </c>
      <c r="E103" s="119">
        <v>273</v>
      </c>
      <c r="F103" s="119">
        <v>328</v>
      </c>
      <c r="G103" s="119">
        <v>410</v>
      </c>
      <c r="H103" s="119">
        <v>82</v>
      </c>
      <c r="I103" s="120">
        <v>45292</v>
      </c>
    </row>
    <row r="104" spans="1:9" ht="17.25" customHeight="1" x14ac:dyDescent="0.25">
      <c r="A104" s="112">
        <v>39292</v>
      </c>
      <c r="B104" s="117" t="s">
        <v>1035</v>
      </c>
      <c r="C104" s="118"/>
      <c r="D104" s="82">
        <v>6</v>
      </c>
      <c r="E104" s="119">
        <v>380</v>
      </c>
      <c r="F104" s="119">
        <v>456</v>
      </c>
      <c r="G104" s="119">
        <v>570</v>
      </c>
      <c r="H104" s="119">
        <v>114</v>
      </c>
      <c r="I104" s="120">
        <v>45292</v>
      </c>
    </row>
    <row r="105" spans="1:9" ht="17.25" customHeight="1" x14ac:dyDescent="0.25">
      <c r="A105" s="112">
        <v>39377</v>
      </c>
      <c r="B105" s="117" t="s">
        <v>1036</v>
      </c>
      <c r="C105" s="118"/>
      <c r="D105" s="82">
        <v>4</v>
      </c>
      <c r="E105" s="119">
        <v>267</v>
      </c>
      <c r="F105" s="119">
        <v>320</v>
      </c>
      <c r="G105" s="119">
        <v>400</v>
      </c>
      <c r="H105" s="119">
        <v>80</v>
      </c>
      <c r="I105" s="120">
        <v>45292</v>
      </c>
    </row>
    <row r="106" spans="1:9" ht="17.25" customHeight="1" x14ac:dyDescent="0.25">
      <c r="A106" s="112">
        <v>39389</v>
      </c>
      <c r="B106" s="117" t="s">
        <v>1037</v>
      </c>
      <c r="C106" s="118"/>
      <c r="D106" s="82">
        <v>4</v>
      </c>
      <c r="E106" s="119">
        <v>267</v>
      </c>
      <c r="F106" s="119">
        <v>320</v>
      </c>
      <c r="G106" s="119">
        <v>400</v>
      </c>
      <c r="H106" s="119">
        <v>80</v>
      </c>
      <c r="I106" s="120">
        <v>45292</v>
      </c>
    </row>
    <row r="107" spans="1:9" ht="17.25" customHeight="1" x14ac:dyDescent="0.25">
      <c r="A107" s="112">
        <v>39393</v>
      </c>
      <c r="B107" s="117" t="s">
        <v>1038</v>
      </c>
      <c r="C107" s="118"/>
      <c r="D107" s="82">
        <v>4</v>
      </c>
      <c r="E107" s="119">
        <v>267</v>
      </c>
      <c r="F107" s="119">
        <v>320</v>
      </c>
      <c r="G107" s="119">
        <v>400</v>
      </c>
      <c r="H107" s="119">
        <v>80</v>
      </c>
      <c r="I107" s="120">
        <v>45292</v>
      </c>
    </row>
    <row r="108" spans="1:9" ht="17.25" customHeight="1" x14ac:dyDescent="0.25">
      <c r="A108" s="112">
        <v>40670</v>
      </c>
      <c r="B108" s="117" t="s">
        <v>1039</v>
      </c>
      <c r="C108" s="118"/>
      <c r="D108" s="82">
        <v>17</v>
      </c>
      <c r="E108" s="119">
        <v>1133</v>
      </c>
      <c r="F108" s="119">
        <v>1360</v>
      </c>
      <c r="G108" s="119">
        <v>1700</v>
      </c>
      <c r="H108" s="119">
        <v>340</v>
      </c>
      <c r="I108" s="120">
        <v>45292</v>
      </c>
    </row>
    <row r="109" spans="1:9" ht="17.25" customHeight="1" x14ac:dyDescent="0.25">
      <c r="A109" s="112">
        <v>40672</v>
      </c>
      <c r="B109" s="117" t="s">
        <v>1040</v>
      </c>
      <c r="C109" s="118"/>
      <c r="D109" s="82">
        <v>8</v>
      </c>
      <c r="E109" s="119">
        <v>533</v>
      </c>
      <c r="F109" s="119">
        <v>640</v>
      </c>
      <c r="G109" s="119">
        <v>800</v>
      </c>
      <c r="H109" s="119">
        <v>160</v>
      </c>
      <c r="I109" s="120">
        <v>45292</v>
      </c>
    </row>
    <row r="110" spans="1:9" ht="17.25" customHeight="1" x14ac:dyDescent="0.25">
      <c r="A110" s="112">
        <v>40697</v>
      </c>
      <c r="B110" s="117" t="s">
        <v>1041</v>
      </c>
      <c r="C110" s="118"/>
      <c r="D110" s="82">
        <v>8</v>
      </c>
      <c r="E110" s="119">
        <v>533</v>
      </c>
      <c r="F110" s="119">
        <v>640</v>
      </c>
      <c r="G110" s="119">
        <v>800</v>
      </c>
      <c r="H110" s="119">
        <v>160</v>
      </c>
      <c r="I110" s="120">
        <v>45292</v>
      </c>
    </row>
    <row r="111" spans="1:9" ht="17.25" customHeight="1" x14ac:dyDescent="0.25">
      <c r="A111" s="112">
        <v>40775</v>
      </c>
      <c r="B111" s="117" t="s">
        <v>1042</v>
      </c>
      <c r="C111" s="118"/>
      <c r="D111" s="82">
        <v>5</v>
      </c>
      <c r="E111" s="119">
        <v>320</v>
      </c>
      <c r="F111" s="119">
        <v>384</v>
      </c>
      <c r="G111" s="119">
        <v>480</v>
      </c>
      <c r="H111" s="119">
        <v>96</v>
      </c>
      <c r="I111" s="120" t="s">
        <v>1346</v>
      </c>
    </row>
    <row r="112" spans="1:9" ht="17.25" customHeight="1" x14ac:dyDescent="0.25">
      <c r="A112" s="112">
        <v>40778</v>
      </c>
      <c r="B112" s="117" t="s">
        <v>1043</v>
      </c>
      <c r="C112" s="118"/>
      <c r="D112" s="82">
        <v>5</v>
      </c>
      <c r="E112" s="119">
        <v>177</v>
      </c>
      <c r="F112" s="119">
        <v>424</v>
      </c>
      <c r="G112" s="119">
        <v>530</v>
      </c>
      <c r="H112" s="119">
        <v>106</v>
      </c>
      <c r="I112" s="120" t="s">
        <v>1351</v>
      </c>
    </row>
    <row r="113" spans="1:9" ht="17.25" customHeight="1" x14ac:dyDescent="0.25">
      <c r="A113" s="112">
        <v>40827</v>
      </c>
      <c r="B113" s="117" t="s">
        <v>1044</v>
      </c>
      <c r="C113" s="118"/>
      <c r="D113" s="82">
        <v>13</v>
      </c>
      <c r="E113" s="119">
        <v>867</v>
      </c>
      <c r="F113" s="119">
        <v>1040</v>
      </c>
      <c r="G113" s="119">
        <v>1300</v>
      </c>
      <c r="H113" s="119">
        <v>260</v>
      </c>
      <c r="I113" s="120">
        <v>45292</v>
      </c>
    </row>
    <row r="114" spans="1:9" ht="17.25" customHeight="1" x14ac:dyDescent="0.25">
      <c r="A114" s="112">
        <v>40828</v>
      </c>
      <c r="B114" s="117" t="s">
        <v>1045</v>
      </c>
      <c r="C114" s="118"/>
      <c r="D114" s="82">
        <v>13</v>
      </c>
      <c r="E114" s="119">
        <v>867</v>
      </c>
      <c r="F114" s="119">
        <v>1040</v>
      </c>
      <c r="G114" s="119">
        <v>1300</v>
      </c>
      <c r="H114" s="119">
        <v>260</v>
      </c>
      <c r="I114" s="120">
        <v>45292</v>
      </c>
    </row>
    <row r="115" spans="1:9" ht="17.25" customHeight="1" x14ac:dyDescent="0.25">
      <c r="A115" s="112">
        <v>40829</v>
      </c>
      <c r="B115" s="117" t="s">
        <v>1046</v>
      </c>
      <c r="C115" s="118"/>
      <c r="D115" s="82">
        <v>13</v>
      </c>
      <c r="E115" s="119">
        <v>867</v>
      </c>
      <c r="F115" s="119">
        <v>1040</v>
      </c>
      <c r="G115" s="119">
        <v>1300</v>
      </c>
      <c r="H115" s="119">
        <v>260</v>
      </c>
      <c r="I115" s="120">
        <v>45292</v>
      </c>
    </row>
    <row r="116" spans="1:9" ht="17.25" customHeight="1" x14ac:dyDescent="0.25">
      <c r="A116" s="112">
        <v>40830</v>
      </c>
      <c r="B116" s="117" t="s">
        <v>1047</v>
      </c>
      <c r="C116" s="118"/>
      <c r="D116" s="82">
        <v>13</v>
      </c>
      <c r="E116" s="119">
        <v>867</v>
      </c>
      <c r="F116" s="119">
        <v>1040</v>
      </c>
      <c r="G116" s="119">
        <v>1300</v>
      </c>
      <c r="H116" s="119">
        <v>260</v>
      </c>
      <c r="I116" s="120">
        <v>45292</v>
      </c>
    </row>
    <row r="117" spans="1:9" ht="17.25" customHeight="1" x14ac:dyDescent="0.25">
      <c r="A117" s="112">
        <v>40831</v>
      </c>
      <c r="B117" s="117" t="s">
        <v>1048</v>
      </c>
      <c r="C117" s="118"/>
      <c r="D117" s="82">
        <v>13</v>
      </c>
      <c r="E117" s="119">
        <v>867</v>
      </c>
      <c r="F117" s="119">
        <v>1040</v>
      </c>
      <c r="G117" s="119">
        <v>1300</v>
      </c>
      <c r="H117" s="119">
        <v>260</v>
      </c>
      <c r="I117" s="120">
        <v>45292</v>
      </c>
    </row>
    <row r="118" spans="1:9" ht="17.25" customHeight="1" x14ac:dyDescent="0.25">
      <c r="A118" s="112">
        <v>40832</v>
      </c>
      <c r="B118" s="117" t="s">
        <v>1049</v>
      </c>
      <c r="C118" s="118"/>
      <c r="D118" s="82">
        <v>13</v>
      </c>
      <c r="E118" s="119">
        <v>867</v>
      </c>
      <c r="F118" s="119">
        <v>1040</v>
      </c>
      <c r="G118" s="119">
        <v>1300</v>
      </c>
      <c r="H118" s="119">
        <v>260</v>
      </c>
      <c r="I118" s="120">
        <v>45292</v>
      </c>
    </row>
    <row r="119" spans="1:9" ht="17.25" customHeight="1" x14ac:dyDescent="0.25">
      <c r="A119" s="112">
        <v>40877</v>
      </c>
      <c r="B119" s="117" t="s">
        <v>1050</v>
      </c>
      <c r="C119" s="118"/>
      <c r="D119" s="82">
        <v>3</v>
      </c>
      <c r="E119" s="119">
        <v>104</v>
      </c>
      <c r="F119" s="119">
        <v>248</v>
      </c>
      <c r="G119" s="119">
        <v>310</v>
      </c>
      <c r="H119" s="119">
        <v>62</v>
      </c>
      <c r="I119" s="120">
        <v>45292</v>
      </c>
    </row>
    <row r="120" spans="1:9" ht="17.25" customHeight="1" x14ac:dyDescent="0.25">
      <c r="A120" s="112">
        <v>40898</v>
      </c>
      <c r="B120" s="117" t="s">
        <v>1051</v>
      </c>
      <c r="C120" s="118"/>
      <c r="D120" s="82">
        <v>14</v>
      </c>
      <c r="E120" s="119">
        <v>933</v>
      </c>
      <c r="F120" s="119">
        <v>1120</v>
      </c>
      <c r="G120" s="119">
        <v>1400</v>
      </c>
      <c r="H120" s="119">
        <v>280</v>
      </c>
      <c r="I120" s="120">
        <v>45292</v>
      </c>
    </row>
    <row r="121" spans="1:9" ht="17.25" customHeight="1" x14ac:dyDescent="0.25">
      <c r="A121" s="112">
        <v>40911</v>
      </c>
      <c r="B121" s="117" t="s">
        <v>1052</v>
      </c>
      <c r="C121" s="118"/>
      <c r="D121" s="82">
        <v>5</v>
      </c>
      <c r="E121" s="119">
        <v>320</v>
      </c>
      <c r="F121" s="119">
        <v>384</v>
      </c>
      <c r="G121" s="119">
        <v>480</v>
      </c>
      <c r="H121" s="119">
        <v>96</v>
      </c>
      <c r="I121" s="120">
        <v>45292</v>
      </c>
    </row>
    <row r="122" spans="1:9" ht="17.25" customHeight="1" x14ac:dyDescent="0.25">
      <c r="A122" s="112">
        <v>40912</v>
      </c>
      <c r="B122" s="117" t="s">
        <v>1053</v>
      </c>
      <c r="C122" s="118"/>
      <c r="D122" s="82">
        <v>5</v>
      </c>
      <c r="E122" s="119">
        <v>320</v>
      </c>
      <c r="F122" s="119">
        <v>384</v>
      </c>
      <c r="G122" s="119">
        <v>480</v>
      </c>
      <c r="H122" s="119">
        <v>96</v>
      </c>
      <c r="I122" s="120">
        <v>45292</v>
      </c>
    </row>
    <row r="123" spans="1:9" ht="17.25" customHeight="1" x14ac:dyDescent="0.25">
      <c r="A123" s="112">
        <v>40913</v>
      </c>
      <c r="B123" s="117" t="s">
        <v>1054</v>
      </c>
      <c r="C123" s="118"/>
      <c r="D123" s="82">
        <v>5</v>
      </c>
      <c r="E123" s="119">
        <v>320</v>
      </c>
      <c r="F123" s="119">
        <v>384</v>
      </c>
      <c r="G123" s="119">
        <v>480</v>
      </c>
      <c r="H123" s="119">
        <v>96</v>
      </c>
      <c r="I123" s="120">
        <v>45292</v>
      </c>
    </row>
    <row r="124" spans="1:9" ht="17.25" customHeight="1" x14ac:dyDescent="0.25">
      <c r="A124" s="112">
        <v>40914</v>
      </c>
      <c r="B124" s="117" t="s">
        <v>1055</v>
      </c>
      <c r="C124" s="118"/>
      <c r="D124" s="82">
        <v>5</v>
      </c>
      <c r="E124" s="119">
        <v>320</v>
      </c>
      <c r="F124" s="119">
        <v>384</v>
      </c>
      <c r="G124" s="119">
        <v>480</v>
      </c>
      <c r="H124" s="119">
        <v>96</v>
      </c>
      <c r="I124" s="120">
        <v>45292</v>
      </c>
    </row>
    <row r="125" spans="1:9" ht="17.25" customHeight="1" x14ac:dyDescent="0.25">
      <c r="A125" s="112">
        <v>40947</v>
      </c>
      <c r="B125" s="117" t="s">
        <v>1056</v>
      </c>
      <c r="C125" s="118"/>
      <c r="D125" s="82">
        <v>4</v>
      </c>
      <c r="E125" s="119">
        <v>273</v>
      </c>
      <c r="F125" s="119">
        <v>328</v>
      </c>
      <c r="G125" s="119">
        <v>410</v>
      </c>
      <c r="H125" s="119">
        <v>82</v>
      </c>
      <c r="I125" s="120">
        <v>45292</v>
      </c>
    </row>
    <row r="126" spans="1:9" ht="17.25" customHeight="1" x14ac:dyDescent="0.25">
      <c r="A126" s="112">
        <v>40948</v>
      </c>
      <c r="B126" s="117" t="s">
        <v>1057</v>
      </c>
      <c r="C126" s="118"/>
      <c r="D126" s="82">
        <v>4</v>
      </c>
      <c r="E126" s="119">
        <v>273</v>
      </c>
      <c r="F126" s="119">
        <v>328</v>
      </c>
      <c r="G126" s="119">
        <v>410</v>
      </c>
      <c r="H126" s="119">
        <v>82</v>
      </c>
      <c r="I126" s="120">
        <v>45292</v>
      </c>
    </row>
    <row r="127" spans="1:9" ht="17.25" customHeight="1" x14ac:dyDescent="0.25">
      <c r="A127" s="112">
        <v>40949</v>
      </c>
      <c r="B127" s="117" t="s">
        <v>1058</v>
      </c>
      <c r="C127" s="118"/>
      <c r="D127" s="82">
        <v>4</v>
      </c>
      <c r="E127" s="119">
        <v>273</v>
      </c>
      <c r="F127" s="119">
        <v>328</v>
      </c>
      <c r="G127" s="119">
        <v>410</v>
      </c>
      <c r="H127" s="119">
        <v>82</v>
      </c>
      <c r="I127" s="120">
        <v>45292</v>
      </c>
    </row>
    <row r="128" spans="1:9" ht="17.25" customHeight="1" x14ac:dyDescent="0.25">
      <c r="A128" s="112">
        <v>40951</v>
      </c>
      <c r="B128" s="117" t="s">
        <v>1059</v>
      </c>
      <c r="C128" s="118"/>
      <c r="D128" s="82">
        <v>22</v>
      </c>
      <c r="E128" s="119">
        <v>1400</v>
      </c>
      <c r="F128" s="119">
        <v>1680</v>
      </c>
      <c r="G128" s="119">
        <v>2100</v>
      </c>
      <c r="H128" s="119">
        <v>420</v>
      </c>
      <c r="I128" s="120">
        <v>45292</v>
      </c>
    </row>
    <row r="129" spans="1:9" ht="17.25" customHeight="1" x14ac:dyDescent="0.25">
      <c r="A129" s="112">
        <v>40971</v>
      </c>
      <c r="B129" s="117" t="s">
        <v>1060</v>
      </c>
      <c r="C129" s="118"/>
      <c r="D129" s="82">
        <v>14</v>
      </c>
      <c r="E129" s="119">
        <v>933</v>
      </c>
      <c r="F129" s="119">
        <v>1120</v>
      </c>
      <c r="G129" s="119">
        <v>1400</v>
      </c>
      <c r="H129" s="119">
        <v>280</v>
      </c>
      <c r="I129" s="120">
        <v>45292</v>
      </c>
    </row>
    <row r="130" spans="1:9" ht="17.25" customHeight="1" x14ac:dyDescent="0.25">
      <c r="A130" s="112">
        <v>41107</v>
      </c>
      <c r="B130" s="117" t="s">
        <v>1061</v>
      </c>
      <c r="C130" s="118"/>
      <c r="D130" s="82">
        <v>16</v>
      </c>
      <c r="E130" s="119">
        <v>1067</v>
      </c>
      <c r="F130" s="119">
        <v>1280</v>
      </c>
      <c r="G130" s="119">
        <v>1600</v>
      </c>
      <c r="H130" s="119">
        <v>320</v>
      </c>
      <c r="I130" s="120">
        <v>45292</v>
      </c>
    </row>
    <row r="131" spans="1:9" ht="17.25" customHeight="1" x14ac:dyDescent="0.25">
      <c r="A131" s="112">
        <v>41108</v>
      </c>
      <c r="B131" s="117" t="s">
        <v>1062</v>
      </c>
      <c r="C131" s="118"/>
      <c r="D131" s="82">
        <v>16</v>
      </c>
      <c r="E131" s="119">
        <v>1067</v>
      </c>
      <c r="F131" s="119">
        <v>1280</v>
      </c>
      <c r="G131" s="119">
        <v>1600</v>
      </c>
      <c r="H131" s="119">
        <v>320</v>
      </c>
      <c r="I131" s="120">
        <v>45292</v>
      </c>
    </row>
    <row r="132" spans="1:9" ht="17.25" customHeight="1" x14ac:dyDescent="0.25">
      <c r="A132" s="112">
        <v>41244</v>
      </c>
      <c r="B132" s="117" t="s">
        <v>1063</v>
      </c>
      <c r="C132" s="118"/>
      <c r="D132" s="82">
        <v>5</v>
      </c>
      <c r="E132" s="119">
        <v>160</v>
      </c>
      <c r="F132" s="119">
        <v>384</v>
      </c>
      <c r="G132" s="119">
        <v>480</v>
      </c>
      <c r="H132" s="119">
        <v>96</v>
      </c>
      <c r="I132" s="120">
        <v>45292</v>
      </c>
    </row>
    <row r="133" spans="1:9" ht="17.25" customHeight="1" x14ac:dyDescent="0.25">
      <c r="A133" s="112">
        <v>41247</v>
      </c>
      <c r="B133" s="117" t="s">
        <v>1064</v>
      </c>
      <c r="C133" s="118"/>
      <c r="D133" s="82">
        <v>5</v>
      </c>
      <c r="E133" s="119">
        <v>160</v>
      </c>
      <c r="F133" s="119">
        <v>384</v>
      </c>
      <c r="G133" s="119">
        <v>480</v>
      </c>
      <c r="H133" s="119">
        <v>96</v>
      </c>
      <c r="I133" s="120">
        <v>45292</v>
      </c>
    </row>
    <row r="134" spans="1:9" ht="17.25" customHeight="1" x14ac:dyDescent="0.25">
      <c r="A134" s="112">
        <v>41249</v>
      </c>
      <c r="B134" s="117" t="s">
        <v>1065</v>
      </c>
      <c r="C134" s="118"/>
      <c r="D134" s="82">
        <v>5</v>
      </c>
      <c r="E134" s="119">
        <v>160</v>
      </c>
      <c r="F134" s="119">
        <v>384</v>
      </c>
      <c r="G134" s="119">
        <v>480</v>
      </c>
      <c r="H134" s="119">
        <v>96</v>
      </c>
      <c r="I134" s="120" t="s">
        <v>1348</v>
      </c>
    </row>
    <row r="135" spans="1:9" ht="17.25" customHeight="1" x14ac:dyDescent="0.25">
      <c r="A135" s="112">
        <v>41260</v>
      </c>
      <c r="B135" s="117" t="s">
        <v>1066</v>
      </c>
      <c r="C135" s="118"/>
      <c r="D135" s="82">
        <v>2</v>
      </c>
      <c r="E135" s="119">
        <v>133</v>
      </c>
      <c r="F135" s="119">
        <v>160</v>
      </c>
      <c r="G135" s="119">
        <v>200</v>
      </c>
      <c r="H135" s="119">
        <v>40</v>
      </c>
      <c r="I135" s="120">
        <v>45292</v>
      </c>
    </row>
    <row r="136" spans="1:9" ht="17.25" customHeight="1" x14ac:dyDescent="0.25">
      <c r="A136" s="112">
        <v>41264</v>
      </c>
      <c r="B136" s="117" t="s">
        <v>1067</v>
      </c>
      <c r="C136" s="118"/>
      <c r="D136" s="82">
        <v>4</v>
      </c>
      <c r="E136" s="119">
        <v>287</v>
      </c>
      <c r="F136" s="119">
        <v>344</v>
      </c>
      <c r="G136" s="119">
        <v>430</v>
      </c>
      <c r="H136" s="119">
        <v>86</v>
      </c>
      <c r="I136" s="120">
        <v>45292</v>
      </c>
    </row>
    <row r="137" spans="1:9" ht="17.25" customHeight="1" x14ac:dyDescent="0.25">
      <c r="A137" s="112">
        <v>41265</v>
      </c>
      <c r="B137" s="117" t="s">
        <v>1068</v>
      </c>
      <c r="C137" s="118"/>
      <c r="D137" s="82">
        <v>7</v>
      </c>
      <c r="E137" s="119">
        <v>467</v>
      </c>
      <c r="F137" s="119">
        <v>560</v>
      </c>
      <c r="G137" s="119">
        <v>700</v>
      </c>
      <c r="H137" s="119">
        <v>140</v>
      </c>
      <c r="I137" s="120" t="s">
        <v>1346</v>
      </c>
    </row>
    <row r="138" spans="1:9" ht="17.25" customHeight="1" x14ac:dyDescent="0.25">
      <c r="A138" s="112">
        <v>41280</v>
      </c>
      <c r="B138" s="117" t="s">
        <v>1069</v>
      </c>
      <c r="C138" s="118"/>
      <c r="D138" s="82">
        <v>4</v>
      </c>
      <c r="E138" s="119">
        <v>287</v>
      </c>
      <c r="F138" s="119">
        <v>344</v>
      </c>
      <c r="G138" s="119">
        <v>430</v>
      </c>
      <c r="H138" s="119">
        <v>86</v>
      </c>
      <c r="I138" s="120">
        <v>45292</v>
      </c>
    </row>
    <row r="139" spans="1:9" ht="17.25" customHeight="1" x14ac:dyDescent="0.25">
      <c r="A139" s="112">
        <v>41298</v>
      </c>
      <c r="B139" s="117" t="s">
        <v>1070</v>
      </c>
      <c r="C139" s="118"/>
      <c r="D139" s="82">
        <v>11</v>
      </c>
      <c r="E139" s="119">
        <v>733</v>
      </c>
      <c r="F139" s="119">
        <v>880</v>
      </c>
      <c r="G139" s="119">
        <v>1100</v>
      </c>
      <c r="H139" s="119">
        <v>220</v>
      </c>
      <c r="I139" s="120">
        <v>45292</v>
      </c>
    </row>
    <row r="140" spans="1:9" ht="17.25" customHeight="1" x14ac:dyDescent="0.25">
      <c r="A140" s="112">
        <v>41303</v>
      </c>
      <c r="B140" s="117" t="s">
        <v>1071</v>
      </c>
      <c r="C140" s="118"/>
      <c r="D140" s="82">
        <v>5</v>
      </c>
      <c r="E140" s="119">
        <v>320</v>
      </c>
      <c r="F140" s="119">
        <v>384</v>
      </c>
      <c r="G140" s="119">
        <v>480</v>
      </c>
      <c r="H140" s="119">
        <v>96</v>
      </c>
      <c r="I140" s="120">
        <v>45292</v>
      </c>
    </row>
    <row r="141" spans="1:9" ht="17.25" customHeight="1" x14ac:dyDescent="0.25">
      <c r="A141" s="112">
        <v>41311</v>
      </c>
      <c r="B141" s="117" t="s">
        <v>1072</v>
      </c>
      <c r="C141" s="118"/>
      <c r="D141" s="82">
        <v>6</v>
      </c>
      <c r="E141" s="119">
        <v>407</v>
      </c>
      <c r="F141" s="119">
        <v>488</v>
      </c>
      <c r="G141" s="119">
        <v>610</v>
      </c>
      <c r="H141" s="119">
        <v>122</v>
      </c>
      <c r="I141" s="120">
        <v>45292</v>
      </c>
    </row>
    <row r="142" spans="1:9" ht="17.25" customHeight="1" x14ac:dyDescent="0.25">
      <c r="A142" s="112">
        <v>41312</v>
      </c>
      <c r="B142" s="117" t="s">
        <v>1073</v>
      </c>
      <c r="C142" s="118"/>
      <c r="D142" s="82">
        <v>3</v>
      </c>
      <c r="E142" s="119">
        <v>187</v>
      </c>
      <c r="F142" s="119">
        <v>224</v>
      </c>
      <c r="G142" s="119">
        <v>280</v>
      </c>
      <c r="H142" s="119">
        <v>56</v>
      </c>
      <c r="I142" s="120" t="s">
        <v>1351</v>
      </c>
    </row>
    <row r="143" spans="1:9" ht="17.25" customHeight="1" x14ac:dyDescent="0.25">
      <c r="A143" s="112">
        <v>41334</v>
      </c>
      <c r="B143" s="117" t="s">
        <v>1074</v>
      </c>
      <c r="C143" s="118"/>
      <c r="D143" s="82">
        <v>12</v>
      </c>
      <c r="E143" s="119">
        <v>800</v>
      </c>
      <c r="F143" s="119">
        <v>960</v>
      </c>
      <c r="G143" s="119">
        <v>1200</v>
      </c>
      <c r="H143" s="119">
        <v>240</v>
      </c>
      <c r="I143" s="120">
        <v>45292</v>
      </c>
    </row>
    <row r="144" spans="1:9" ht="17.25" customHeight="1" x14ac:dyDescent="0.25">
      <c r="A144" s="112">
        <v>41335</v>
      </c>
      <c r="B144" s="117" t="s">
        <v>1327</v>
      </c>
      <c r="C144" s="118"/>
      <c r="D144" s="82">
        <v>4</v>
      </c>
      <c r="E144" s="119">
        <v>260</v>
      </c>
      <c r="F144" s="119">
        <v>312</v>
      </c>
      <c r="G144" s="119">
        <v>390</v>
      </c>
      <c r="H144" s="119">
        <v>78</v>
      </c>
      <c r="I144" s="120" t="s">
        <v>1346</v>
      </c>
    </row>
    <row r="145" spans="1:9" ht="17.25" customHeight="1" x14ac:dyDescent="0.25">
      <c r="A145" s="112">
        <v>41338</v>
      </c>
      <c r="B145" s="117" t="s">
        <v>1075</v>
      </c>
      <c r="C145" s="118"/>
      <c r="D145" s="82">
        <v>4</v>
      </c>
      <c r="E145" s="119">
        <v>260</v>
      </c>
      <c r="F145" s="119">
        <v>312</v>
      </c>
      <c r="G145" s="119">
        <v>390</v>
      </c>
      <c r="H145" s="119">
        <v>78</v>
      </c>
      <c r="I145" s="120">
        <v>45292</v>
      </c>
    </row>
    <row r="146" spans="1:9" ht="17.25" customHeight="1" x14ac:dyDescent="0.25">
      <c r="A146" s="112">
        <v>41341</v>
      </c>
      <c r="B146" s="117" t="s">
        <v>1076</v>
      </c>
      <c r="C146" s="118"/>
      <c r="D146" s="82">
        <v>4</v>
      </c>
      <c r="E146" s="119">
        <v>260</v>
      </c>
      <c r="F146" s="119">
        <v>312</v>
      </c>
      <c r="G146" s="119">
        <v>390</v>
      </c>
      <c r="H146" s="119">
        <v>78</v>
      </c>
      <c r="I146" s="120">
        <v>45292</v>
      </c>
    </row>
    <row r="147" spans="1:9" ht="17.25" customHeight="1" x14ac:dyDescent="0.25">
      <c r="A147" s="112">
        <v>41353</v>
      </c>
      <c r="B147" s="117" t="s">
        <v>1077</v>
      </c>
      <c r="C147" s="118"/>
      <c r="D147" s="82">
        <v>17</v>
      </c>
      <c r="E147" s="119">
        <v>1133</v>
      </c>
      <c r="F147" s="119">
        <v>1360</v>
      </c>
      <c r="G147" s="119">
        <v>1700</v>
      </c>
      <c r="H147" s="119">
        <v>340</v>
      </c>
      <c r="I147" s="120" t="s">
        <v>1351</v>
      </c>
    </row>
    <row r="148" spans="1:9" ht="17.25" customHeight="1" x14ac:dyDescent="0.25">
      <c r="A148" s="112">
        <v>41354</v>
      </c>
      <c r="B148" s="117" t="s">
        <v>1078</v>
      </c>
      <c r="C148" s="118"/>
      <c r="D148" s="82">
        <v>8</v>
      </c>
      <c r="E148" s="119">
        <v>520</v>
      </c>
      <c r="F148" s="119">
        <v>624</v>
      </c>
      <c r="G148" s="119">
        <v>780</v>
      </c>
      <c r="H148" s="119">
        <v>156</v>
      </c>
      <c r="I148" s="120">
        <v>45292</v>
      </c>
    </row>
    <row r="149" spans="1:9" ht="17.25" customHeight="1" x14ac:dyDescent="0.25">
      <c r="A149" s="112">
        <v>41355</v>
      </c>
      <c r="B149" s="117" t="s">
        <v>1079</v>
      </c>
      <c r="C149" s="118"/>
      <c r="D149" s="82">
        <v>20</v>
      </c>
      <c r="E149" s="119">
        <v>1267</v>
      </c>
      <c r="F149" s="119">
        <v>1520</v>
      </c>
      <c r="G149" s="119">
        <v>1900</v>
      </c>
      <c r="H149" s="119">
        <v>380</v>
      </c>
      <c r="I149" s="120">
        <v>45292</v>
      </c>
    </row>
    <row r="150" spans="1:9" ht="17.25" customHeight="1" x14ac:dyDescent="0.25">
      <c r="A150" s="112">
        <v>41362</v>
      </c>
      <c r="B150" s="117" t="s">
        <v>1080</v>
      </c>
      <c r="C150" s="118"/>
      <c r="D150" s="82">
        <v>11</v>
      </c>
      <c r="E150" s="119">
        <v>733</v>
      </c>
      <c r="F150" s="119">
        <v>880</v>
      </c>
      <c r="G150" s="119">
        <v>1100</v>
      </c>
      <c r="H150" s="119">
        <v>220</v>
      </c>
      <c r="I150" s="120">
        <v>45292</v>
      </c>
    </row>
    <row r="151" spans="1:9" ht="17.25" customHeight="1" x14ac:dyDescent="0.25">
      <c r="A151" s="112">
        <v>41364</v>
      </c>
      <c r="B151" s="117" t="s">
        <v>1081</v>
      </c>
      <c r="C151" s="118"/>
      <c r="D151" s="82">
        <v>17</v>
      </c>
      <c r="E151" s="119">
        <v>1133</v>
      </c>
      <c r="F151" s="119">
        <v>1360</v>
      </c>
      <c r="G151" s="119">
        <v>1700</v>
      </c>
      <c r="H151" s="119">
        <v>340</v>
      </c>
      <c r="I151" s="120" t="s">
        <v>1351</v>
      </c>
    </row>
    <row r="152" spans="1:9" ht="17.25" customHeight="1" x14ac:dyDescent="0.25">
      <c r="A152" s="112">
        <v>41367</v>
      </c>
      <c r="B152" s="117" t="s">
        <v>1082</v>
      </c>
      <c r="C152" s="118"/>
      <c r="D152" s="82">
        <v>5</v>
      </c>
      <c r="E152" s="119">
        <v>340</v>
      </c>
      <c r="F152" s="119">
        <v>408</v>
      </c>
      <c r="G152" s="119">
        <v>510</v>
      </c>
      <c r="H152" s="119">
        <v>102</v>
      </c>
      <c r="I152" s="120">
        <v>45292</v>
      </c>
    </row>
    <row r="153" spans="1:9" ht="17.25" customHeight="1" x14ac:dyDescent="0.25">
      <c r="A153" s="112">
        <v>41368</v>
      </c>
      <c r="B153" s="117" t="s">
        <v>1083</v>
      </c>
      <c r="C153" s="118"/>
      <c r="D153" s="82">
        <v>5</v>
      </c>
      <c r="E153" s="119">
        <v>340</v>
      </c>
      <c r="F153" s="119">
        <v>408</v>
      </c>
      <c r="G153" s="119">
        <v>510</v>
      </c>
      <c r="H153" s="119">
        <v>102</v>
      </c>
      <c r="I153" s="120">
        <v>45292</v>
      </c>
    </row>
    <row r="154" spans="1:9" ht="17.25" customHeight="1" x14ac:dyDescent="0.25">
      <c r="A154" s="112">
        <v>41369</v>
      </c>
      <c r="B154" s="117" t="s">
        <v>1084</v>
      </c>
      <c r="C154" s="118"/>
      <c r="D154" s="82">
        <v>5</v>
      </c>
      <c r="E154" s="119">
        <v>340</v>
      </c>
      <c r="F154" s="119">
        <v>408</v>
      </c>
      <c r="G154" s="119">
        <v>510</v>
      </c>
      <c r="H154" s="119">
        <v>102</v>
      </c>
      <c r="I154" s="120">
        <v>45292</v>
      </c>
    </row>
    <row r="155" spans="1:9" ht="17.25" customHeight="1" x14ac:dyDescent="0.25">
      <c r="A155" s="112">
        <v>41370</v>
      </c>
      <c r="B155" s="117" t="s">
        <v>1085</v>
      </c>
      <c r="C155" s="118"/>
      <c r="D155" s="82">
        <v>5</v>
      </c>
      <c r="E155" s="119">
        <v>340</v>
      </c>
      <c r="F155" s="119">
        <v>408</v>
      </c>
      <c r="G155" s="119">
        <v>510</v>
      </c>
      <c r="H155" s="119">
        <v>102</v>
      </c>
      <c r="I155" s="120">
        <v>45292</v>
      </c>
    </row>
    <row r="156" spans="1:9" ht="17.25" customHeight="1" x14ac:dyDescent="0.25">
      <c r="A156" s="112">
        <v>41371</v>
      </c>
      <c r="B156" s="117" t="s">
        <v>1086</v>
      </c>
      <c r="C156" s="118"/>
      <c r="D156" s="82">
        <v>5</v>
      </c>
      <c r="E156" s="119">
        <v>340</v>
      </c>
      <c r="F156" s="119">
        <v>408</v>
      </c>
      <c r="G156" s="119">
        <v>510</v>
      </c>
      <c r="H156" s="119">
        <v>102</v>
      </c>
      <c r="I156" s="120">
        <v>45292</v>
      </c>
    </row>
    <row r="157" spans="1:9" ht="17.25" customHeight="1" x14ac:dyDescent="0.25">
      <c r="A157" s="112">
        <v>41372</v>
      </c>
      <c r="B157" s="117" t="s">
        <v>1087</v>
      </c>
      <c r="C157" s="118"/>
      <c r="D157" s="82">
        <v>17</v>
      </c>
      <c r="E157" s="119">
        <v>1133</v>
      </c>
      <c r="F157" s="119">
        <v>1360</v>
      </c>
      <c r="G157" s="119">
        <v>1700</v>
      </c>
      <c r="H157" s="119">
        <v>340</v>
      </c>
      <c r="I157" s="120">
        <v>45292</v>
      </c>
    </row>
    <row r="158" spans="1:9" ht="17.25" customHeight="1" x14ac:dyDescent="0.25">
      <c r="A158" s="112">
        <v>41375</v>
      </c>
      <c r="B158" s="117" t="s">
        <v>1088</v>
      </c>
      <c r="C158" s="118"/>
      <c r="D158" s="82">
        <v>14</v>
      </c>
      <c r="E158" s="119">
        <v>933</v>
      </c>
      <c r="F158" s="119">
        <v>1120</v>
      </c>
      <c r="G158" s="119">
        <v>1400</v>
      </c>
      <c r="H158" s="119">
        <v>280</v>
      </c>
      <c r="I158" s="120">
        <v>45292</v>
      </c>
    </row>
    <row r="159" spans="1:9" ht="17.25" customHeight="1" x14ac:dyDescent="0.25">
      <c r="A159" s="112">
        <v>41382</v>
      </c>
      <c r="B159" s="117" t="s">
        <v>1089</v>
      </c>
      <c r="C159" s="118"/>
      <c r="D159" s="82">
        <v>17</v>
      </c>
      <c r="E159" s="119">
        <v>1133</v>
      </c>
      <c r="F159" s="119">
        <v>1360</v>
      </c>
      <c r="G159" s="119">
        <v>1700</v>
      </c>
      <c r="H159" s="119">
        <v>340</v>
      </c>
      <c r="I159" s="120">
        <v>45292</v>
      </c>
    </row>
    <row r="160" spans="1:9" ht="17.25" customHeight="1" x14ac:dyDescent="0.25">
      <c r="A160" s="112">
        <v>41414</v>
      </c>
      <c r="B160" s="117" t="s">
        <v>1090</v>
      </c>
      <c r="C160" s="118"/>
      <c r="D160" s="82">
        <v>13</v>
      </c>
      <c r="E160" s="119">
        <v>867</v>
      </c>
      <c r="F160" s="119">
        <v>1040</v>
      </c>
      <c r="G160" s="119">
        <v>1300</v>
      </c>
      <c r="H160" s="119">
        <v>260</v>
      </c>
      <c r="I160" s="120">
        <v>45292</v>
      </c>
    </row>
    <row r="161" spans="1:9" ht="17.25" customHeight="1" x14ac:dyDescent="0.25">
      <c r="A161" s="112">
        <v>41415</v>
      </c>
      <c r="B161" s="117" t="s">
        <v>1091</v>
      </c>
      <c r="C161" s="118"/>
      <c r="D161" s="82">
        <v>13</v>
      </c>
      <c r="E161" s="119">
        <v>867</v>
      </c>
      <c r="F161" s="119">
        <v>1040</v>
      </c>
      <c r="G161" s="119">
        <v>1300</v>
      </c>
      <c r="H161" s="119">
        <v>260</v>
      </c>
      <c r="I161" s="120">
        <v>45292</v>
      </c>
    </row>
    <row r="162" spans="1:9" ht="17.25" customHeight="1" x14ac:dyDescent="0.25">
      <c r="A162" s="112">
        <v>41488</v>
      </c>
      <c r="B162" s="117" t="s">
        <v>1092</v>
      </c>
      <c r="C162" s="118"/>
      <c r="D162" s="82">
        <v>4</v>
      </c>
      <c r="E162" s="119">
        <v>287</v>
      </c>
      <c r="F162" s="119">
        <v>344</v>
      </c>
      <c r="G162" s="119">
        <v>430</v>
      </c>
      <c r="H162" s="119">
        <v>86</v>
      </c>
      <c r="I162" s="120">
        <v>45292</v>
      </c>
    </row>
    <row r="163" spans="1:9" ht="17.25" customHeight="1" x14ac:dyDescent="0.25">
      <c r="A163" s="112">
        <v>41489</v>
      </c>
      <c r="B163" s="117" t="s">
        <v>1093</v>
      </c>
      <c r="C163" s="118"/>
      <c r="D163" s="82">
        <v>2</v>
      </c>
      <c r="E163" s="119">
        <v>133</v>
      </c>
      <c r="F163" s="119">
        <v>160</v>
      </c>
      <c r="G163" s="119">
        <v>200</v>
      </c>
      <c r="H163" s="119">
        <v>40</v>
      </c>
      <c r="I163" s="120">
        <v>45292</v>
      </c>
    </row>
    <row r="164" spans="1:9" ht="17.25" customHeight="1" x14ac:dyDescent="0.25">
      <c r="A164" s="112">
        <v>41490</v>
      </c>
      <c r="B164" s="117" t="s">
        <v>1094</v>
      </c>
      <c r="C164" s="118"/>
      <c r="D164" s="82">
        <v>19</v>
      </c>
      <c r="E164" s="119">
        <v>1200</v>
      </c>
      <c r="F164" s="119">
        <v>1440</v>
      </c>
      <c r="G164" s="119">
        <v>1800</v>
      </c>
      <c r="H164" s="119">
        <v>360</v>
      </c>
      <c r="I164" s="120" t="s">
        <v>1349</v>
      </c>
    </row>
    <row r="165" spans="1:9" ht="17.25" customHeight="1" x14ac:dyDescent="0.25">
      <c r="A165" s="112">
        <v>41493</v>
      </c>
      <c r="B165" s="117" t="s">
        <v>1095</v>
      </c>
      <c r="C165" s="118"/>
      <c r="D165" s="82">
        <v>5</v>
      </c>
      <c r="E165" s="119">
        <v>320</v>
      </c>
      <c r="F165" s="119">
        <v>384</v>
      </c>
      <c r="G165" s="119">
        <v>480</v>
      </c>
      <c r="H165" s="119">
        <v>96</v>
      </c>
      <c r="I165" s="120">
        <v>45292</v>
      </c>
    </row>
    <row r="166" spans="1:9" ht="17.25" customHeight="1" x14ac:dyDescent="0.25">
      <c r="A166" s="112">
        <v>41545</v>
      </c>
      <c r="B166" s="117" t="s">
        <v>1096</v>
      </c>
      <c r="C166" s="118"/>
      <c r="D166" s="82">
        <v>11</v>
      </c>
      <c r="E166" s="119">
        <v>733</v>
      </c>
      <c r="F166" s="119">
        <v>880</v>
      </c>
      <c r="G166" s="119">
        <v>1100</v>
      </c>
      <c r="H166" s="119">
        <v>220</v>
      </c>
      <c r="I166" s="120" t="s">
        <v>1351</v>
      </c>
    </row>
    <row r="167" spans="1:9" ht="17.25" customHeight="1" x14ac:dyDescent="0.25">
      <c r="A167" s="112">
        <v>41563</v>
      </c>
      <c r="B167" s="117" t="s">
        <v>1097</v>
      </c>
      <c r="C167" s="118"/>
      <c r="D167" s="82">
        <v>13</v>
      </c>
      <c r="E167" s="119">
        <v>867</v>
      </c>
      <c r="F167" s="119">
        <v>1040</v>
      </c>
      <c r="G167" s="119">
        <v>1300</v>
      </c>
      <c r="H167" s="119">
        <v>260</v>
      </c>
      <c r="I167" s="120">
        <v>45292</v>
      </c>
    </row>
    <row r="168" spans="1:9" ht="17.25" customHeight="1" x14ac:dyDescent="0.25">
      <c r="A168" s="112">
        <v>41593</v>
      </c>
      <c r="B168" s="117" t="s">
        <v>1098</v>
      </c>
      <c r="C168" s="118"/>
      <c r="D168" s="82">
        <v>4</v>
      </c>
      <c r="E168" s="119">
        <v>120</v>
      </c>
      <c r="F168" s="119">
        <v>288</v>
      </c>
      <c r="G168" s="119">
        <v>360</v>
      </c>
      <c r="H168" s="119">
        <v>72</v>
      </c>
      <c r="I168" s="120">
        <v>45292</v>
      </c>
    </row>
    <row r="169" spans="1:9" ht="17.25" customHeight="1" x14ac:dyDescent="0.25">
      <c r="A169" s="112">
        <v>41635</v>
      </c>
      <c r="B169" s="117" t="s">
        <v>1099</v>
      </c>
      <c r="C169" s="118"/>
      <c r="D169" s="82">
        <v>9</v>
      </c>
      <c r="E169" s="119">
        <v>580</v>
      </c>
      <c r="F169" s="119">
        <v>696</v>
      </c>
      <c r="G169" s="119">
        <v>870</v>
      </c>
      <c r="H169" s="119">
        <v>174</v>
      </c>
      <c r="I169" s="120">
        <v>45292</v>
      </c>
    </row>
    <row r="170" spans="1:9" ht="17.25" customHeight="1" x14ac:dyDescent="0.25">
      <c r="A170" s="112">
        <v>41636</v>
      </c>
      <c r="B170" s="117" t="s">
        <v>1100</v>
      </c>
      <c r="C170" s="118"/>
      <c r="D170" s="82">
        <v>9</v>
      </c>
      <c r="E170" s="119">
        <v>580</v>
      </c>
      <c r="F170" s="119">
        <v>696</v>
      </c>
      <c r="G170" s="119">
        <v>870</v>
      </c>
      <c r="H170" s="119">
        <v>174</v>
      </c>
      <c r="I170" s="120">
        <v>45292</v>
      </c>
    </row>
    <row r="171" spans="1:9" ht="17.25" customHeight="1" x14ac:dyDescent="0.25">
      <c r="A171" s="112">
        <v>41637</v>
      </c>
      <c r="B171" s="117" t="s">
        <v>1101</v>
      </c>
      <c r="C171" s="118"/>
      <c r="D171" s="82">
        <v>9</v>
      </c>
      <c r="E171" s="119">
        <v>580</v>
      </c>
      <c r="F171" s="119">
        <v>696</v>
      </c>
      <c r="G171" s="119">
        <v>870</v>
      </c>
      <c r="H171" s="119">
        <v>174</v>
      </c>
      <c r="I171" s="120">
        <v>45292</v>
      </c>
    </row>
    <row r="172" spans="1:9" ht="17.25" customHeight="1" x14ac:dyDescent="0.25">
      <c r="A172" s="112">
        <v>41638</v>
      </c>
      <c r="B172" s="117" t="s">
        <v>1102</v>
      </c>
      <c r="C172" s="118"/>
      <c r="D172" s="82">
        <v>9</v>
      </c>
      <c r="E172" s="119">
        <v>580</v>
      </c>
      <c r="F172" s="119">
        <v>696</v>
      </c>
      <c r="G172" s="119">
        <v>870</v>
      </c>
      <c r="H172" s="119">
        <v>174</v>
      </c>
      <c r="I172" s="120">
        <v>45292</v>
      </c>
    </row>
    <row r="173" spans="1:9" ht="17.25" customHeight="1" x14ac:dyDescent="0.25">
      <c r="A173" s="112">
        <v>41639</v>
      </c>
      <c r="B173" s="117" t="s">
        <v>1103</v>
      </c>
      <c r="C173" s="118"/>
      <c r="D173" s="82">
        <v>9</v>
      </c>
      <c r="E173" s="119">
        <v>580</v>
      </c>
      <c r="F173" s="119">
        <v>696</v>
      </c>
      <c r="G173" s="119">
        <v>870</v>
      </c>
      <c r="H173" s="119">
        <v>174</v>
      </c>
      <c r="I173" s="120">
        <v>45292</v>
      </c>
    </row>
    <row r="174" spans="1:9" ht="17.25" customHeight="1" x14ac:dyDescent="0.25">
      <c r="A174" s="112">
        <v>41640</v>
      </c>
      <c r="B174" s="117" t="s">
        <v>1104</v>
      </c>
      <c r="C174" s="118"/>
      <c r="D174" s="82">
        <v>9</v>
      </c>
      <c r="E174" s="119">
        <v>580</v>
      </c>
      <c r="F174" s="119">
        <v>696</v>
      </c>
      <c r="G174" s="119">
        <v>870</v>
      </c>
      <c r="H174" s="119">
        <v>174</v>
      </c>
      <c r="I174" s="120">
        <v>45292</v>
      </c>
    </row>
    <row r="175" spans="1:9" ht="17.25" customHeight="1" x14ac:dyDescent="0.25">
      <c r="A175" s="112">
        <v>41641</v>
      </c>
      <c r="B175" s="117" t="s">
        <v>1105</v>
      </c>
      <c r="C175" s="118"/>
      <c r="D175" s="82">
        <v>9</v>
      </c>
      <c r="E175" s="119">
        <v>580</v>
      </c>
      <c r="F175" s="119">
        <v>696</v>
      </c>
      <c r="G175" s="119">
        <v>870</v>
      </c>
      <c r="H175" s="119">
        <v>174</v>
      </c>
      <c r="I175" s="120">
        <v>45292</v>
      </c>
    </row>
    <row r="176" spans="1:9" ht="17.25" customHeight="1" x14ac:dyDescent="0.25">
      <c r="A176" s="112">
        <v>41642</v>
      </c>
      <c r="B176" s="117" t="s">
        <v>1106</v>
      </c>
      <c r="C176" s="118"/>
      <c r="D176" s="82">
        <v>9</v>
      </c>
      <c r="E176" s="119">
        <v>580</v>
      </c>
      <c r="F176" s="119">
        <v>696</v>
      </c>
      <c r="G176" s="119">
        <v>870</v>
      </c>
      <c r="H176" s="119">
        <v>174</v>
      </c>
      <c r="I176" s="120">
        <v>45292</v>
      </c>
    </row>
    <row r="177" spans="1:9" ht="17.25" customHeight="1" x14ac:dyDescent="0.25">
      <c r="A177" s="112">
        <v>41643</v>
      </c>
      <c r="B177" s="117" t="s">
        <v>1107</v>
      </c>
      <c r="C177" s="118"/>
      <c r="D177" s="82">
        <v>9</v>
      </c>
      <c r="E177" s="119">
        <v>580</v>
      </c>
      <c r="F177" s="119">
        <v>696</v>
      </c>
      <c r="G177" s="119">
        <v>870</v>
      </c>
      <c r="H177" s="119">
        <v>174</v>
      </c>
      <c r="I177" s="120">
        <v>45292</v>
      </c>
    </row>
    <row r="178" spans="1:9" ht="17.25" customHeight="1" x14ac:dyDescent="0.25">
      <c r="A178" s="112">
        <v>41644</v>
      </c>
      <c r="B178" s="117" t="s">
        <v>1108</v>
      </c>
      <c r="C178" s="118"/>
      <c r="D178" s="82">
        <v>9</v>
      </c>
      <c r="E178" s="119">
        <v>580</v>
      </c>
      <c r="F178" s="119">
        <v>696</v>
      </c>
      <c r="G178" s="119">
        <v>870</v>
      </c>
      <c r="H178" s="119">
        <v>174</v>
      </c>
      <c r="I178" s="120">
        <v>45292</v>
      </c>
    </row>
    <row r="179" spans="1:9" ht="17.25" customHeight="1" x14ac:dyDescent="0.25">
      <c r="A179" s="112">
        <v>41671</v>
      </c>
      <c r="B179" s="117" t="s">
        <v>1109</v>
      </c>
      <c r="C179" s="118"/>
      <c r="D179" s="82">
        <v>8</v>
      </c>
      <c r="E179" s="119">
        <v>547</v>
      </c>
      <c r="F179" s="119">
        <v>656</v>
      </c>
      <c r="G179" s="119">
        <v>820</v>
      </c>
      <c r="H179" s="119">
        <v>164</v>
      </c>
      <c r="I179" s="120">
        <v>45292</v>
      </c>
    </row>
    <row r="180" spans="1:9" ht="17.25" customHeight="1" x14ac:dyDescent="0.25">
      <c r="A180" s="112">
        <v>41673</v>
      </c>
      <c r="B180" s="117" t="s">
        <v>1110</v>
      </c>
      <c r="C180" s="118"/>
      <c r="D180" s="82">
        <v>7</v>
      </c>
      <c r="E180" s="119">
        <v>427</v>
      </c>
      <c r="F180" s="119">
        <v>512</v>
      </c>
      <c r="G180" s="119">
        <v>640</v>
      </c>
      <c r="H180" s="119">
        <v>128</v>
      </c>
      <c r="I180" s="120">
        <v>45292</v>
      </c>
    </row>
    <row r="181" spans="1:9" ht="17.25" customHeight="1" x14ac:dyDescent="0.25">
      <c r="A181" s="112">
        <v>41674</v>
      </c>
      <c r="B181" s="117" t="s">
        <v>1111</v>
      </c>
      <c r="C181" s="118"/>
      <c r="D181" s="82">
        <v>7</v>
      </c>
      <c r="E181" s="119">
        <v>427</v>
      </c>
      <c r="F181" s="119">
        <v>512</v>
      </c>
      <c r="G181" s="119">
        <v>640</v>
      </c>
      <c r="H181" s="119">
        <v>128</v>
      </c>
      <c r="I181" s="120">
        <v>45292</v>
      </c>
    </row>
    <row r="182" spans="1:9" ht="17.25" customHeight="1" x14ac:dyDescent="0.25">
      <c r="A182" s="112">
        <v>41758</v>
      </c>
      <c r="B182" s="117" t="s">
        <v>1112</v>
      </c>
      <c r="C182" s="118"/>
      <c r="D182" s="82">
        <v>6</v>
      </c>
      <c r="E182" s="119">
        <v>360</v>
      </c>
      <c r="F182" s="119">
        <v>432</v>
      </c>
      <c r="G182" s="119">
        <v>540</v>
      </c>
      <c r="H182" s="119">
        <v>108</v>
      </c>
      <c r="I182" s="120">
        <v>45292</v>
      </c>
    </row>
    <row r="183" spans="1:9" ht="17.25" customHeight="1" x14ac:dyDescent="0.25">
      <c r="A183" s="112">
        <v>41759</v>
      </c>
      <c r="B183" s="117" t="s">
        <v>1113</v>
      </c>
      <c r="C183" s="118"/>
      <c r="D183" s="82">
        <v>6</v>
      </c>
      <c r="E183" s="119">
        <v>360</v>
      </c>
      <c r="F183" s="119">
        <v>432</v>
      </c>
      <c r="G183" s="119">
        <v>540</v>
      </c>
      <c r="H183" s="119">
        <v>108</v>
      </c>
      <c r="I183" s="120">
        <v>45292</v>
      </c>
    </row>
    <row r="184" spans="1:9" ht="17.25" customHeight="1" x14ac:dyDescent="0.25">
      <c r="A184" s="112">
        <v>41760</v>
      </c>
      <c r="B184" s="117" t="s">
        <v>1114</v>
      </c>
      <c r="C184" s="118"/>
      <c r="D184" s="82">
        <v>6</v>
      </c>
      <c r="E184" s="119">
        <v>360</v>
      </c>
      <c r="F184" s="119">
        <v>432</v>
      </c>
      <c r="G184" s="119">
        <v>540</v>
      </c>
      <c r="H184" s="119">
        <v>108</v>
      </c>
      <c r="I184" s="120">
        <v>45292</v>
      </c>
    </row>
    <row r="185" spans="1:9" ht="17.25" customHeight="1" x14ac:dyDescent="0.25">
      <c r="A185" s="112">
        <v>41780</v>
      </c>
      <c r="B185" s="117" t="s">
        <v>1115</v>
      </c>
      <c r="C185" s="118"/>
      <c r="D185" s="82">
        <v>6</v>
      </c>
      <c r="E185" s="119">
        <v>360</v>
      </c>
      <c r="F185" s="119">
        <v>432</v>
      </c>
      <c r="G185" s="119">
        <v>540</v>
      </c>
      <c r="H185" s="119">
        <v>108</v>
      </c>
      <c r="I185" s="120">
        <v>45292</v>
      </c>
    </row>
    <row r="186" spans="1:9" ht="17.25" customHeight="1" x14ac:dyDescent="0.25">
      <c r="A186" s="112">
        <v>41781</v>
      </c>
      <c r="B186" s="117" t="s">
        <v>1116</v>
      </c>
      <c r="C186" s="118"/>
      <c r="D186" s="82">
        <v>6</v>
      </c>
      <c r="E186" s="119">
        <v>360</v>
      </c>
      <c r="F186" s="119">
        <v>432</v>
      </c>
      <c r="G186" s="119">
        <v>540</v>
      </c>
      <c r="H186" s="119">
        <v>108</v>
      </c>
      <c r="I186" s="120">
        <v>45292</v>
      </c>
    </row>
    <row r="187" spans="1:9" ht="17.25" customHeight="1" x14ac:dyDescent="0.25">
      <c r="A187" s="112">
        <v>41782</v>
      </c>
      <c r="B187" s="117" t="s">
        <v>1117</v>
      </c>
      <c r="C187" s="118"/>
      <c r="D187" s="82">
        <v>6</v>
      </c>
      <c r="E187" s="119">
        <v>360</v>
      </c>
      <c r="F187" s="119">
        <v>432</v>
      </c>
      <c r="G187" s="119">
        <v>540</v>
      </c>
      <c r="H187" s="119">
        <v>108</v>
      </c>
      <c r="I187" s="120">
        <v>45292</v>
      </c>
    </row>
    <row r="188" spans="1:9" ht="17.25" customHeight="1" x14ac:dyDescent="0.25">
      <c r="A188" s="112">
        <v>41796</v>
      </c>
      <c r="B188" s="117" t="s">
        <v>1118</v>
      </c>
      <c r="C188" s="118"/>
      <c r="D188" s="82">
        <v>11</v>
      </c>
      <c r="E188" s="119">
        <v>733</v>
      </c>
      <c r="F188" s="119">
        <v>880</v>
      </c>
      <c r="G188" s="119">
        <v>1100</v>
      </c>
      <c r="H188" s="119">
        <v>220</v>
      </c>
      <c r="I188" s="120" t="s">
        <v>1349</v>
      </c>
    </row>
    <row r="189" spans="1:9" ht="17.25" customHeight="1" x14ac:dyDescent="0.25">
      <c r="A189" s="112">
        <v>41797</v>
      </c>
      <c r="B189" s="117" t="s">
        <v>1119</v>
      </c>
      <c r="C189" s="118"/>
      <c r="D189" s="82">
        <v>11</v>
      </c>
      <c r="E189" s="119">
        <v>733</v>
      </c>
      <c r="F189" s="119">
        <v>880</v>
      </c>
      <c r="G189" s="119">
        <v>1100</v>
      </c>
      <c r="H189" s="119">
        <v>220</v>
      </c>
      <c r="I189" s="120" t="s">
        <v>1350</v>
      </c>
    </row>
    <row r="190" spans="1:9" ht="17.25" customHeight="1" x14ac:dyDescent="0.25">
      <c r="A190" s="112">
        <v>41798</v>
      </c>
      <c r="B190" s="117" t="s">
        <v>1120</v>
      </c>
      <c r="C190" s="118"/>
      <c r="D190" s="82">
        <v>11</v>
      </c>
      <c r="E190" s="119">
        <v>733</v>
      </c>
      <c r="F190" s="119">
        <v>880</v>
      </c>
      <c r="G190" s="119">
        <v>1100</v>
      </c>
      <c r="H190" s="119">
        <v>220</v>
      </c>
      <c r="I190" s="120" t="s">
        <v>1348</v>
      </c>
    </row>
    <row r="191" spans="1:9" ht="17.25" customHeight="1" x14ac:dyDescent="0.25">
      <c r="A191" s="112">
        <v>41799</v>
      </c>
      <c r="B191" s="117" t="s">
        <v>1121</v>
      </c>
      <c r="C191" s="118"/>
      <c r="D191" s="82">
        <v>11</v>
      </c>
      <c r="E191" s="119">
        <v>733</v>
      </c>
      <c r="F191" s="119">
        <v>880</v>
      </c>
      <c r="G191" s="119">
        <v>1100</v>
      </c>
      <c r="H191" s="119">
        <v>220</v>
      </c>
      <c r="I191" s="120" t="s">
        <v>1348</v>
      </c>
    </row>
    <row r="192" spans="1:9" ht="17.25" customHeight="1" x14ac:dyDescent="0.25">
      <c r="A192" s="112">
        <v>41800</v>
      </c>
      <c r="B192" s="117" t="s">
        <v>1122</v>
      </c>
      <c r="C192" s="118"/>
      <c r="D192" s="82">
        <v>11</v>
      </c>
      <c r="E192" s="119">
        <v>733</v>
      </c>
      <c r="F192" s="119">
        <v>880</v>
      </c>
      <c r="G192" s="119">
        <v>1100</v>
      </c>
      <c r="H192" s="119">
        <v>220</v>
      </c>
      <c r="I192" s="120" t="s">
        <v>1348</v>
      </c>
    </row>
    <row r="193" spans="1:9" ht="17.25" customHeight="1" x14ac:dyDescent="0.25">
      <c r="A193" s="112">
        <v>41801</v>
      </c>
      <c r="B193" s="117" t="s">
        <v>1123</v>
      </c>
      <c r="C193" s="118"/>
      <c r="D193" s="82">
        <v>11</v>
      </c>
      <c r="E193" s="119">
        <v>733</v>
      </c>
      <c r="F193" s="119">
        <v>880</v>
      </c>
      <c r="G193" s="119">
        <v>1100</v>
      </c>
      <c r="H193" s="119">
        <v>220</v>
      </c>
      <c r="I193" s="120" t="s">
        <v>1349</v>
      </c>
    </row>
    <row r="194" spans="1:9" ht="17.25" customHeight="1" x14ac:dyDescent="0.25">
      <c r="A194" s="112">
        <v>41802</v>
      </c>
      <c r="B194" s="117" t="s">
        <v>1124</v>
      </c>
      <c r="C194" s="118"/>
      <c r="D194" s="82">
        <v>11</v>
      </c>
      <c r="E194" s="119">
        <v>733</v>
      </c>
      <c r="F194" s="119">
        <v>880</v>
      </c>
      <c r="G194" s="119">
        <v>1100</v>
      </c>
      <c r="H194" s="119">
        <v>220</v>
      </c>
      <c r="I194" s="120" t="s">
        <v>1348</v>
      </c>
    </row>
    <row r="195" spans="1:9" ht="17.25" customHeight="1" x14ac:dyDescent="0.25">
      <c r="A195" s="112">
        <v>41803</v>
      </c>
      <c r="B195" s="117" t="s">
        <v>1125</v>
      </c>
      <c r="C195" s="118"/>
      <c r="D195" s="82">
        <v>11</v>
      </c>
      <c r="E195" s="119">
        <v>733</v>
      </c>
      <c r="F195" s="119">
        <v>880</v>
      </c>
      <c r="G195" s="119">
        <v>1100</v>
      </c>
      <c r="H195" s="119">
        <v>220</v>
      </c>
      <c r="I195" s="120" t="s">
        <v>1348</v>
      </c>
    </row>
    <row r="196" spans="1:9" ht="17.25" customHeight="1" x14ac:dyDescent="0.25">
      <c r="A196" s="112">
        <v>41804</v>
      </c>
      <c r="B196" s="117" t="s">
        <v>1126</v>
      </c>
      <c r="C196" s="118"/>
      <c r="D196" s="82">
        <v>11</v>
      </c>
      <c r="E196" s="119">
        <v>733</v>
      </c>
      <c r="F196" s="119">
        <v>880</v>
      </c>
      <c r="G196" s="119">
        <v>1100</v>
      </c>
      <c r="H196" s="119">
        <v>220</v>
      </c>
      <c r="I196" s="120" t="s">
        <v>1349</v>
      </c>
    </row>
    <row r="197" spans="1:9" ht="17.25" customHeight="1" x14ac:dyDescent="0.25">
      <c r="A197" s="112">
        <v>41805</v>
      </c>
      <c r="B197" s="117" t="s">
        <v>1127</v>
      </c>
      <c r="C197" s="118"/>
      <c r="D197" s="82">
        <v>11</v>
      </c>
      <c r="E197" s="119">
        <v>733</v>
      </c>
      <c r="F197" s="119">
        <v>880</v>
      </c>
      <c r="G197" s="119">
        <v>1100</v>
      </c>
      <c r="H197" s="119">
        <v>220</v>
      </c>
      <c r="I197" s="120" t="s">
        <v>1349</v>
      </c>
    </row>
    <row r="198" spans="1:9" ht="17.25" customHeight="1" x14ac:dyDescent="0.25">
      <c r="A198" s="112">
        <v>41806</v>
      </c>
      <c r="B198" s="117" t="s">
        <v>1128</v>
      </c>
      <c r="C198" s="118"/>
      <c r="D198" s="82">
        <v>11</v>
      </c>
      <c r="E198" s="119">
        <v>733</v>
      </c>
      <c r="F198" s="119">
        <v>880</v>
      </c>
      <c r="G198" s="119">
        <v>1100</v>
      </c>
      <c r="H198" s="119">
        <v>220</v>
      </c>
      <c r="I198" s="120" t="s">
        <v>1348</v>
      </c>
    </row>
    <row r="199" spans="1:9" ht="17.25" customHeight="1" x14ac:dyDescent="0.25">
      <c r="A199" s="112">
        <v>41807</v>
      </c>
      <c r="B199" s="117" t="s">
        <v>1129</v>
      </c>
      <c r="C199" s="118"/>
      <c r="D199" s="82">
        <v>11</v>
      </c>
      <c r="E199" s="119">
        <v>733</v>
      </c>
      <c r="F199" s="119">
        <v>880</v>
      </c>
      <c r="G199" s="119">
        <v>1100</v>
      </c>
      <c r="H199" s="119">
        <v>220</v>
      </c>
      <c r="I199" s="120" t="s">
        <v>1350</v>
      </c>
    </row>
    <row r="200" spans="1:9" ht="17.25" customHeight="1" x14ac:dyDescent="0.25">
      <c r="A200" s="112">
        <v>41808</v>
      </c>
      <c r="B200" s="117" t="s">
        <v>1130</v>
      </c>
      <c r="C200" s="118"/>
      <c r="D200" s="82">
        <v>11</v>
      </c>
      <c r="E200" s="119">
        <v>733</v>
      </c>
      <c r="F200" s="119">
        <v>880</v>
      </c>
      <c r="G200" s="119">
        <v>1100</v>
      </c>
      <c r="H200" s="119">
        <v>220</v>
      </c>
      <c r="I200" s="120" t="s">
        <v>1348</v>
      </c>
    </row>
    <row r="201" spans="1:9" ht="17.25" customHeight="1" x14ac:dyDescent="0.25">
      <c r="A201" s="112">
        <v>41809</v>
      </c>
      <c r="B201" s="117" t="s">
        <v>1131</v>
      </c>
      <c r="C201" s="118"/>
      <c r="D201" s="82">
        <v>11</v>
      </c>
      <c r="E201" s="119">
        <v>733</v>
      </c>
      <c r="F201" s="119">
        <v>880</v>
      </c>
      <c r="G201" s="119">
        <v>1100</v>
      </c>
      <c r="H201" s="119">
        <v>220</v>
      </c>
      <c r="I201" s="120" t="s">
        <v>1348</v>
      </c>
    </row>
    <row r="202" spans="1:9" ht="17.25" customHeight="1" x14ac:dyDescent="0.25">
      <c r="A202" s="112">
        <v>42118</v>
      </c>
      <c r="B202" s="117" t="s">
        <v>1132</v>
      </c>
      <c r="C202" s="118"/>
      <c r="D202" s="82">
        <v>19</v>
      </c>
      <c r="E202" s="119">
        <v>1200</v>
      </c>
      <c r="F202" s="119">
        <v>1440</v>
      </c>
      <c r="G202" s="119">
        <v>1800</v>
      </c>
      <c r="H202" s="119">
        <v>360</v>
      </c>
      <c r="I202" s="120">
        <v>45292</v>
      </c>
    </row>
    <row r="203" spans="1:9" ht="17.25" customHeight="1" x14ac:dyDescent="0.25">
      <c r="A203" s="112">
        <v>42156</v>
      </c>
      <c r="B203" s="117" t="s">
        <v>1133</v>
      </c>
      <c r="C203" s="118"/>
      <c r="D203" s="82">
        <v>9</v>
      </c>
      <c r="E203" s="119">
        <v>580</v>
      </c>
      <c r="F203" s="119">
        <v>696</v>
      </c>
      <c r="G203" s="119">
        <v>870</v>
      </c>
      <c r="H203" s="119">
        <v>174</v>
      </c>
      <c r="I203" s="120">
        <v>45292</v>
      </c>
    </row>
    <row r="204" spans="1:9" ht="17.25" customHeight="1" x14ac:dyDescent="0.25">
      <c r="A204" s="112">
        <v>42157</v>
      </c>
      <c r="B204" s="117" t="s">
        <v>1134</v>
      </c>
      <c r="C204" s="118"/>
      <c r="D204" s="82">
        <v>9</v>
      </c>
      <c r="E204" s="119">
        <v>580</v>
      </c>
      <c r="F204" s="119">
        <v>696</v>
      </c>
      <c r="G204" s="119">
        <v>870</v>
      </c>
      <c r="H204" s="119">
        <v>174</v>
      </c>
      <c r="I204" s="120">
        <v>45292</v>
      </c>
    </row>
    <row r="205" spans="1:9" ht="17.25" customHeight="1" x14ac:dyDescent="0.25">
      <c r="A205" s="112">
        <v>42158</v>
      </c>
      <c r="B205" s="117" t="s">
        <v>1135</v>
      </c>
      <c r="C205" s="118"/>
      <c r="D205" s="82">
        <v>9</v>
      </c>
      <c r="E205" s="119">
        <v>580</v>
      </c>
      <c r="F205" s="119">
        <v>696</v>
      </c>
      <c r="G205" s="119">
        <v>870</v>
      </c>
      <c r="H205" s="119">
        <v>174</v>
      </c>
      <c r="I205" s="120">
        <v>45292</v>
      </c>
    </row>
    <row r="206" spans="1:9" ht="17.25" customHeight="1" x14ac:dyDescent="0.25">
      <c r="A206" s="112">
        <v>42159</v>
      </c>
      <c r="B206" s="117" t="s">
        <v>1136</v>
      </c>
      <c r="C206" s="118"/>
      <c r="D206" s="82">
        <v>9</v>
      </c>
      <c r="E206" s="119">
        <v>580</v>
      </c>
      <c r="F206" s="119">
        <v>696</v>
      </c>
      <c r="G206" s="119">
        <v>870</v>
      </c>
      <c r="H206" s="119">
        <v>174</v>
      </c>
      <c r="I206" s="120">
        <v>45292</v>
      </c>
    </row>
    <row r="207" spans="1:9" ht="17.25" customHeight="1" x14ac:dyDescent="0.25">
      <c r="A207" s="112">
        <v>42160</v>
      </c>
      <c r="B207" s="117" t="s">
        <v>1137</v>
      </c>
      <c r="C207" s="118"/>
      <c r="D207" s="82">
        <v>9</v>
      </c>
      <c r="E207" s="119">
        <v>580</v>
      </c>
      <c r="F207" s="119">
        <v>696</v>
      </c>
      <c r="G207" s="119">
        <v>870</v>
      </c>
      <c r="H207" s="119">
        <v>174</v>
      </c>
      <c r="I207" s="120">
        <v>45292</v>
      </c>
    </row>
    <row r="208" spans="1:9" ht="17.25" customHeight="1" x14ac:dyDescent="0.25">
      <c r="A208" s="112">
        <v>42161</v>
      </c>
      <c r="B208" s="117" t="s">
        <v>1138</v>
      </c>
      <c r="C208" s="118"/>
      <c r="D208" s="82">
        <v>9</v>
      </c>
      <c r="E208" s="119">
        <v>580</v>
      </c>
      <c r="F208" s="119">
        <v>696</v>
      </c>
      <c r="G208" s="119">
        <v>870</v>
      </c>
      <c r="H208" s="119">
        <v>174</v>
      </c>
      <c r="I208" s="120">
        <v>45292</v>
      </c>
    </row>
    <row r="209" spans="1:9" ht="17.25" customHeight="1" x14ac:dyDescent="0.25">
      <c r="A209" s="112">
        <v>42162</v>
      </c>
      <c r="B209" s="117" t="s">
        <v>1139</v>
      </c>
      <c r="C209" s="118"/>
      <c r="D209" s="82">
        <v>9</v>
      </c>
      <c r="E209" s="119">
        <v>580</v>
      </c>
      <c r="F209" s="119">
        <v>696</v>
      </c>
      <c r="G209" s="119">
        <v>870</v>
      </c>
      <c r="H209" s="119">
        <v>174</v>
      </c>
      <c r="I209" s="120">
        <v>45292</v>
      </c>
    </row>
    <row r="210" spans="1:9" ht="17.25" customHeight="1" x14ac:dyDescent="0.25">
      <c r="A210" s="112">
        <v>42163</v>
      </c>
      <c r="B210" s="117" t="s">
        <v>1140</v>
      </c>
      <c r="C210" s="118"/>
      <c r="D210" s="82">
        <v>9</v>
      </c>
      <c r="E210" s="119">
        <v>580</v>
      </c>
      <c r="F210" s="119">
        <v>696</v>
      </c>
      <c r="G210" s="119">
        <v>870</v>
      </c>
      <c r="H210" s="119">
        <v>174</v>
      </c>
      <c r="I210" s="120">
        <v>45292</v>
      </c>
    </row>
    <row r="211" spans="1:9" ht="17.25" customHeight="1" x14ac:dyDescent="0.25">
      <c r="A211" s="112">
        <v>42204</v>
      </c>
      <c r="B211" s="117" t="s">
        <v>1141</v>
      </c>
      <c r="C211" s="118"/>
      <c r="D211" s="82">
        <v>6</v>
      </c>
      <c r="E211" s="119">
        <v>407</v>
      </c>
      <c r="F211" s="119">
        <v>488</v>
      </c>
      <c r="G211" s="119">
        <v>610</v>
      </c>
      <c r="H211" s="119">
        <v>122</v>
      </c>
      <c r="I211" s="120" t="s">
        <v>1351</v>
      </c>
    </row>
    <row r="212" spans="1:9" ht="17.25" customHeight="1" x14ac:dyDescent="0.25">
      <c r="A212" s="112">
        <v>42215</v>
      </c>
      <c r="B212" s="117" t="s">
        <v>1142</v>
      </c>
      <c r="C212" s="118"/>
      <c r="D212" s="82">
        <v>15</v>
      </c>
      <c r="E212" s="119">
        <v>1000</v>
      </c>
      <c r="F212" s="119">
        <v>1200</v>
      </c>
      <c r="G212" s="119">
        <v>1500</v>
      </c>
      <c r="H212" s="119">
        <v>300</v>
      </c>
      <c r="I212" s="120" t="s">
        <v>1351</v>
      </c>
    </row>
    <row r="213" spans="1:9" ht="17.25" customHeight="1" x14ac:dyDescent="0.25">
      <c r="A213" s="112">
        <v>42216</v>
      </c>
      <c r="B213" s="117" t="s">
        <v>1143</v>
      </c>
      <c r="C213" s="118"/>
      <c r="D213" s="82">
        <v>15</v>
      </c>
      <c r="E213" s="119">
        <v>1000</v>
      </c>
      <c r="F213" s="119">
        <v>1200</v>
      </c>
      <c r="G213" s="119">
        <v>1500</v>
      </c>
      <c r="H213" s="119">
        <v>300</v>
      </c>
      <c r="I213" s="120" t="s">
        <v>1351</v>
      </c>
    </row>
    <row r="214" spans="1:9" ht="17.25" customHeight="1" x14ac:dyDescent="0.25">
      <c r="A214" s="112">
        <v>42217</v>
      </c>
      <c r="B214" s="117" t="s">
        <v>1144</v>
      </c>
      <c r="C214" s="118"/>
      <c r="D214" s="82">
        <v>15</v>
      </c>
      <c r="E214" s="119">
        <v>1000</v>
      </c>
      <c r="F214" s="119">
        <v>1200</v>
      </c>
      <c r="G214" s="119">
        <v>1500</v>
      </c>
      <c r="H214" s="119">
        <v>300</v>
      </c>
      <c r="I214" s="120" t="s">
        <v>1351</v>
      </c>
    </row>
    <row r="215" spans="1:9" ht="17.25" customHeight="1" x14ac:dyDescent="0.25">
      <c r="A215" s="112">
        <v>42273</v>
      </c>
      <c r="B215" s="117" t="s">
        <v>1145</v>
      </c>
      <c r="C215" s="118"/>
      <c r="D215" s="82">
        <v>6</v>
      </c>
      <c r="E215" s="119">
        <v>380</v>
      </c>
      <c r="F215" s="119">
        <v>456</v>
      </c>
      <c r="G215" s="119">
        <v>570</v>
      </c>
      <c r="H215" s="119">
        <v>114</v>
      </c>
      <c r="I215" s="120">
        <v>45292</v>
      </c>
    </row>
    <row r="216" spans="1:9" ht="17.25" customHeight="1" x14ac:dyDescent="0.25">
      <c r="A216" s="112">
        <v>42287</v>
      </c>
      <c r="B216" s="117" t="s">
        <v>1146</v>
      </c>
      <c r="C216" s="118"/>
      <c r="D216" s="82">
        <v>8</v>
      </c>
      <c r="E216" s="119">
        <v>260</v>
      </c>
      <c r="F216" s="119">
        <v>624</v>
      </c>
      <c r="G216" s="119">
        <v>780</v>
      </c>
      <c r="H216" s="119">
        <v>156</v>
      </c>
      <c r="I216" s="120" t="s">
        <v>1346</v>
      </c>
    </row>
    <row r="217" spans="1:9" ht="17.25" customHeight="1" x14ac:dyDescent="0.25">
      <c r="A217" s="112">
        <v>42288</v>
      </c>
      <c r="B217" s="117" t="s">
        <v>1147</v>
      </c>
      <c r="C217" s="118"/>
      <c r="D217" s="82">
        <v>3</v>
      </c>
      <c r="E217" s="119">
        <v>87</v>
      </c>
      <c r="F217" s="119">
        <v>208</v>
      </c>
      <c r="G217" s="119">
        <v>260</v>
      </c>
      <c r="H217" s="119">
        <v>52</v>
      </c>
      <c r="I217" s="120">
        <v>45292</v>
      </c>
    </row>
    <row r="218" spans="1:9" ht="17.25" customHeight="1" x14ac:dyDescent="0.25">
      <c r="A218" s="112">
        <v>42289</v>
      </c>
      <c r="B218" s="117" t="s">
        <v>1148</v>
      </c>
      <c r="C218" s="118"/>
      <c r="D218" s="82">
        <v>3</v>
      </c>
      <c r="E218" s="119">
        <v>100</v>
      </c>
      <c r="F218" s="119">
        <v>240</v>
      </c>
      <c r="G218" s="119">
        <v>300</v>
      </c>
      <c r="H218" s="119">
        <v>60</v>
      </c>
      <c r="I218" s="120" t="s">
        <v>1351</v>
      </c>
    </row>
    <row r="219" spans="1:9" ht="17.25" customHeight="1" x14ac:dyDescent="0.25">
      <c r="A219" s="112">
        <v>42343</v>
      </c>
      <c r="B219" s="117" t="s">
        <v>1149</v>
      </c>
      <c r="C219" s="118"/>
      <c r="D219" s="82">
        <v>10</v>
      </c>
      <c r="E219" s="119">
        <v>667</v>
      </c>
      <c r="F219" s="119">
        <v>800</v>
      </c>
      <c r="G219" s="119">
        <v>1000</v>
      </c>
      <c r="H219" s="119">
        <v>200</v>
      </c>
      <c r="I219" s="120">
        <v>45292</v>
      </c>
    </row>
    <row r="220" spans="1:9" ht="17.25" customHeight="1" x14ac:dyDescent="0.25">
      <c r="A220" s="112">
        <v>42417</v>
      </c>
      <c r="B220" s="117" t="s">
        <v>1150</v>
      </c>
      <c r="C220" s="118"/>
      <c r="D220" s="82">
        <v>5</v>
      </c>
      <c r="E220" s="119">
        <v>320</v>
      </c>
      <c r="F220" s="119">
        <v>384</v>
      </c>
      <c r="G220" s="119">
        <v>480</v>
      </c>
      <c r="H220" s="119">
        <v>96</v>
      </c>
      <c r="I220" s="120">
        <v>45292</v>
      </c>
    </row>
    <row r="221" spans="1:9" ht="17.25" customHeight="1" x14ac:dyDescent="0.25">
      <c r="A221" s="112">
        <v>42418</v>
      </c>
      <c r="B221" s="117" t="s">
        <v>1151</v>
      </c>
      <c r="C221" s="118"/>
      <c r="D221" s="82">
        <v>5</v>
      </c>
      <c r="E221" s="119">
        <v>320</v>
      </c>
      <c r="F221" s="119">
        <v>384</v>
      </c>
      <c r="G221" s="119">
        <v>480</v>
      </c>
      <c r="H221" s="119">
        <v>96</v>
      </c>
      <c r="I221" s="120">
        <v>45292</v>
      </c>
    </row>
    <row r="222" spans="1:9" ht="17.25" customHeight="1" x14ac:dyDescent="0.25">
      <c r="A222" s="112">
        <v>42453</v>
      </c>
      <c r="B222" s="117" t="s">
        <v>1152</v>
      </c>
      <c r="C222" s="118"/>
      <c r="D222" s="82">
        <v>3</v>
      </c>
      <c r="E222" s="119">
        <v>104</v>
      </c>
      <c r="F222" s="119">
        <v>248</v>
      </c>
      <c r="G222" s="119">
        <v>310</v>
      </c>
      <c r="H222" s="119">
        <v>62</v>
      </c>
      <c r="I222" s="120">
        <v>45292</v>
      </c>
    </row>
    <row r="223" spans="1:9" ht="17.25" customHeight="1" x14ac:dyDescent="0.25">
      <c r="A223" s="112">
        <v>42464</v>
      </c>
      <c r="B223" s="117" t="s">
        <v>1153</v>
      </c>
      <c r="C223" s="118"/>
      <c r="D223" s="82">
        <v>5</v>
      </c>
      <c r="E223" s="119">
        <v>177</v>
      </c>
      <c r="F223" s="119">
        <v>424</v>
      </c>
      <c r="G223" s="119">
        <v>530</v>
      </c>
      <c r="H223" s="119">
        <v>106</v>
      </c>
      <c r="I223" s="120">
        <v>45292</v>
      </c>
    </row>
    <row r="224" spans="1:9" ht="17.25" customHeight="1" x14ac:dyDescent="0.25">
      <c r="A224" s="112">
        <v>42474</v>
      </c>
      <c r="B224" s="117" t="s">
        <v>1154</v>
      </c>
      <c r="C224" s="118"/>
      <c r="D224" s="82">
        <v>8</v>
      </c>
      <c r="E224" s="119">
        <v>260</v>
      </c>
      <c r="F224" s="119">
        <v>624</v>
      </c>
      <c r="G224" s="119">
        <v>780</v>
      </c>
      <c r="H224" s="119">
        <v>156</v>
      </c>
      <c r="I224" s="120">
        <v>45292</v>
      </c>
    </row>
    <row r="225" spans="1:9" ht="17.25" customHeight="1" x14ac:dyDescent="0.25">
      <c r="A225" s="112">
        <v>42479</v>
      </c>
      <c r="B225" s="117" t="s">
        <v>1155</v>
      </c>
      <c r="C225" s="118"/>
      <c r="D225" s="82">
        <v>7</v>
      </c>
      <c r="E225" s="119">
        <v>240</v>
      </c>
      <c r="F225" s="119">
        <v>576</v>
      </c>
      <c r="G225" s="119">
        <v>720</v>
      </c>
      <c r="H225" s="119">
        <v>144</v>
      </c>
      <c r="I225" s="120" t="s">
        <v>1346</v>
      </c>
    </row>
    <row r="226" spans="1:9" ht="17.25" customHeight="1" x14ac:dyDescent="0.25">
      <c r="A226" s="112">
        <v>42480</v>
      </c>
      <c r="B226" s="117" t="s">
        <v>1154</v>
      </c>
      <c r="C226" s="118"/>
      <c r="D226" s="82">
        <v>8</v>
      </c>
      <c r="E226" s="119">
        <v>260</v>
      </c>
      <c r="F226" s="119">
        <v>624</v>
      </c>
      <c r="G226" s="119">
        <v>780</v>
      </c>
      <c r="H226" s="119">
        <v>156</v>
      </c>
      <c r="I226" s="120">
        <v>45292</v>
      </c>
    </row>
    <row r="227" spans="1:9" ht="17.25" customHeight="1" x14ac:dyDescent="0.25">
      <c r="A227" s="112">
        <v>42482</v>
      </c>
      <c r="B227" s="117" t="s">
        <v>1156</v>
      </c>
      <c r="C227" s="118"/>
      <c r="D227" s="82">
        <v>7</v>
      </c>
      <c r="E227" s="119">
        <v>240</v>
      </c>
      <c r="F227" s="119">
        <v>576</v>
      </c>
      <c r="G227" s="119">
        <v>720</v>
      </c>
      <c r="H227" s="119">
        <v>144</v>
      </c>
      <c r="I227" s="120" t="s">
        <v>1346</v>
      </c>
    </row>
    <row r="228" spans="1:9" ht="17.25" customHeight="1" x14ac:dyDescent="0.25">
      <c r="A228" s="112">
        <v>42483</v>
      </c>
      <c r="B228" s="117" t="s">
        <v>1157</v>
      </c>
      <c r="C228" s="118"/>
      <c r="D228" s="82">
        <v>5</v>
      </c>
      <c r="E228" s="119">
        <v>154</v>
      </c>
      <c r="F228" s="119">
        <v>368</v>
      </c>
      <c r="G228" s="119">
        <v>460</v>
      </c>
      <c r="H228" s="119">
        <v>92</v>
      </c>
      <c r="I228" s="120" t="s">
        <v>1351</v>
      </c>
    </row>
    <row r="229" spans="1:9" ht="17.25" customHeight="1" x14ac:dyDescent="0.25">
      <c r="A229" s="112">
        <v>42484</v>
      </c>
      <c r="B229" s="117" t="s">
        <v>1158</v>
      </c>
      <c r="C229" s="118"/>
      <c r="D229" s="82">
        <v>5</v>
      </c>
      <c r="E229" s="119">
        <v>154</v>
      </c>
      <c r="F229" s="119">
        <v>368</v>
      </c>
      <c r="G229" s="119">
        <v>460</v>
      </c>
      <c r="H229" s="119">
        <v>92</v>
      </c>
      <c r="I229" s="120">
        <v>45292</v>
      </c>
    </row>
    <row r="230" spans="1:9" ht="17.25" customHeight="1" x14ac:dyDescent="0.25">
      <c r="A230" s="112">
        <v>42485</v>
      </c>
      <c r="B230" s="117" t="s">
        <v>1159</v>
      </c>
      <c r="C230" s="118"/>
      <c r="D230" s="82">
        <v>5</v>
      </c>
      <c r="E230" s="119">
        <v>154</v>
      </c>
      <c r="F230" s="119">
        <v>368</v>
      </c>
      <c r="G230" s="119">
        <v>460</v>
      </c>
      <c r="H230" s="119">
        <v>92</v>
      </c>
      <c r="I230" s="120">
        <v>45292</v>
      </c>
    </row>
    <row r="231" spans="1:9" ht="17.25" customHeight="1" x14ac:dyDescent="0.25">
      <c r="A231" s="112">
        <v>42487</v>
      </c>
      <c r="B231" s="117" t="s">
        <v>1160</v>
      </c>
      <c r="C231" s="118"/>
      <c r="D231" s="82">
        <v>5</v>
      </c>
      <c r="E231" s="119">
        <v>154</v>
      </c>
      <c r="F231" s="119">
        <v>368</v>
      </c>
      <c r="G231" s="119">
        <v>460</v>
      </c>
      <c r="H231" s="119">
        <v>92</v>
      </c>
      <c r="I231" s="120" t="s">
        <v>1346</v>
      </c>
    </row>
    <row r="232" spans="1:9" ht="17.25" customHeight="1" x14ac:dyDescent="0.25">
      <c r="A232" s="112">
        <v>42490</v>
      </c>
      <c r="B232" s="117" t="s">
        <v>1161</v>
      </c>
      <c r="C232" s="118"/>
      <c r="D232" s="82">
        <v>28</v>
      </c>
      <c r="E232" s="119">
        <v>1800</v>
      </c>
      <c r="F232" s="119">
        <v>2160</v>
      </c>
      <c r="G232" s="119">
        <v>2700</v>
      </c>
      <c r="H232" s="119">
        <v>540</v>
      </c>
      <c r="I232" s="120" t="s">
        <v>1351</v>
      </c>
    </row>
    <row r="233" spans="1:9" ht="17.25" customHeight="1" x14ac:dyDescent="0.25">
      <c r="A233" s="112">
        <v>42502</v>
      </c>
      <c r="B233" s="117" t="s">
        <v>1328</v>
      </c>
      <c r="C233" s="118"/>
      <c r="D233" s="82">
        <v>23</v>
      </c>
      <c r="E233" s="119">
        <v>1467</v>
      </c>
      <c r="F233" s="119">
        <v>1760</v>
      </c>
      <c r="G233" s="119">
        <v>2200</v>
      </c>
      <c r="H233" s="119">
        <v>440</v>
      </c>
      <c r="I233" s="120" t="s">
        <v>1346</v>
      </c>
    </row>
    <row r="234" spans="1:9" ht="17.25" customHeight="1" x14ac:dyDescent="0.25">
      <c r="A234" s="112">
        <v>42509</v>
      </c>
      <c r="B234" s="117" t="s">
        <v>1329</v>
      </c>
      <c r="C234" s="118"/>
      <c r="D234" s="82">
        <v>11</v>
      </c>
      <c r="E234" s="119">
        <v>733</v>
      </c>
      <c r="F234" s="119">
        <v>880</v>
      </c>
      <c r="G234" s="119">
        <v>1100</v>
      </c>
      <c r="H234" s="119">
        <v>220</v>
      </c>
      <c r="I234" s="120" t="s">
        <v>1346</v>
      </c>
    </row>
    <row r="235" spans="1:9" ht="17.25" customHeight="1" x14ac:dyDescent="0.25">
      <c r="A235" s="112">
        <v>42518</v>
      </c>
      <c r="B235" s="117" t="s">
        <v>1162</v>
      </c>
      <c r="C235" s="118"/>
      <c r="D235" s="82">
        <v>17</v>
      </c>
      <c r="E235" s="119">
        <v>1133</v>
      </c>
      <c r="F235" s="119">
        <v>1360</v>
      </c>
      <c r="G235" s="119">
        <v>1700</v>
      </c>
      <c r="H235" s="119">
        <v>340</v>
      </c>
      <c r="I235" s="120" t="s">
        <v>1351</v>
      </c>
    </row>
    <row r="236" spans="1:9" ht="17.25" customHeight="1" x14ac:dyDescent="0.25">
      <c r="A236" s="112">
        <v>42542</v>
      </c>
      <c r="B236" s="117" t="s">
        <v>1163</v>
      </c>
      <c r="C236" s="118"/>
      <c r="D236" s="82">
        <v>6</v>
      </c>
      <c r="E236" s="119">
        <v>407</v>
      </c>
      <c r="F236" s="119">
        <v>488</v>
      </c>
      <c r="G236" s="119">
        <v>610</v>
      </c>
      <c r="H236" s="119">
        <v>122</v>
      </c>
      <c r="I236" s="120">
        <v>45292</v>
      </c>
    </row>
    <row r="237" spans="1:9" ht="17.25" customHeight="1" x14ac:dyDescent="0.25">
      <c r="A237" s="112">
        <v>42566</v>
      </c>
      <c r="B237" s="117" t="s">
        <v>1164</v>
      </c>
      <c r="C237" s="118"/>
      <c r="D237" s="82">
        <v>10</v>
      </c>
      <c r="E237" s="119">
        <v>667</v>
      </c>
      <c r="F237" s="119">
        <v>800</v>
      </c>
      <c r="G237" s="119">
        <v>1000</v>
      </c>
      <c r="H237" s="119">
        <v>200</v>
      </c>
      <c r="I237" s="120">
        <v>45292</v>
      </c>
    </row>
    <row r="238" spans="1:9" ht="17.25" customHeight="1" x14ac:dyDescent="0.25">
      <c r="A238" s="112">
        <v>42567</v>
      </c>
      <c r="B238" s="117" t="s">
        <v>1165</v>
      </c>
      <c r="C238" s="118"/>
      <c r="D238" s="82">
        <v>10</v>
      </c>
      <c r="E238" s="119">
        <v>667</v>
      </c>
      <c r="F238" s="119">
        <v>800</v>
      </c>
      <c r="G238" s="119">
        <v>1000</v>
      </c>
      <c r="H238" s="119">
        <v>200</v>
      </c>
      <c r="I238" s="120">
        <v>45292</v>
      </c>
    </row>
    <row r="239" spans="1:9" ht="17.25" customHeight="1" x14ac:dyDescent="0.25">
      <c r="A239" s="112">
        <v>42568</v>
      </c>
      <c r="B239" s="117" t="s">
        <v>1166</v>
      </c>
      <c r="C239" s="118"/>
      <c r="D239" s="82">
        <v>6</v>
      </c>
      <c r="E239" s="119">
        <v>360</v>
      </c>
      <c r="F239" s="119">
        <v>432</v>
      </c>
      <c r="G239" s="119">
        <v>540</v>
      </c>
      <c r="H239" s="119">
        <v>108</v>
      </c>
      <c r="I239" s="120">
        <v>45292</v>
      </c>
    </row>
    <row r="240" spans="1:9" ht="17.25" customHeight="1" x14ac:dyDescent="0.25">
      <c r="A240" s="112">
        <v>42580</v>
      </c>
      <c r="B240" s="117" t="s">
        <v>1167</v>
      </c>
      <c r="C240" s="118"/>
      <c r="D240" s="82">
        <v>10</v>
      </c>
      <c r="E240" s="119">
        <v>667</v>
      </c>
      <c r="F240" s="119">
        <v>800</v>
      </c>
      <c r="G240" s="119">
        <v>1000</v>
      </c>
      <c r="H240" s="119">
        <v>200</v>
      </c>
      <c r="I240" s="120">
        <v>45292</v>
      </c>
    </row>
    <row r="241" spans="1:9" ht="17.25" customHeight="1" x14ac:dyDescent="0.25">
      <c r="A241" s="112">
        <v>42587</v>
      </c>
      <c r="B241" s="117" t="s">
        <v>1168</v>
      </c>
      <c r="C241" s="118"/>
      <c r="D241" s="82">
        <v>10</v>
      </c>
      <c r="E241" s="119">
        <v>667</v>
      </c>
      <c r="F241" s="119">
        <v>800</v>
      </c>
      <c r="G241" s="119">
        <v>1000</v>
      </c>
      <c r="H241" s="119">
        <v>200</v>
      </c>
      <c r="I241" s="120">
        <v>45292</v>
      </c>
    </row>
    <row r="242" spans="1:9" ht="17.25" customHeight="1" x14ac:dyDescent="0.25">
      <c r="A242" s="112">
        <v>42610</v>
      </c>
      <c r="B242" s="117" t="s">
        <v>1169</v>
      </c>
      <c r="C242" s="118"/>
      <c r="D242" s="82">
        <v>8</v>
      </c>
      <c r="E242" s="119">
        <v>547</v>
      </c>
      <c r="F242" s="119">
        <v>656</v>
      </c>
      <c r="G242" s="119">
        <v>820</v>
      </c>
      <c r="H242" s="119">
        <v>164</v>
      </c>
      <c r="I242" s="120">
        <v>45292</v>
      </c>
    </row>
    <row r="243" spans="1:9" ht="17.25" customHeight="1" x14ac:dyDescent="0.25">
      <c r="A243" s="112">
        <v>42614</v>
      </c>
      <c r="B243" s="117" t="s">
        <v>1170</v>
      </c>
      <c r="C243" s="118"/>
      <c r="D243" s="82">
        <v>8</v>
      </c>
      <c r="E243" s="119">
        <v>547</v>
      </c>
      <c r="F243" s="119">
        <v>656</v>
      </c>
      <c r="G243" s="119">
        <v>820</v>
      </c>
      <c r="H243" s="119">
        <v>164</v>
      </c>
      <c r="I243" s="120">
        <v>45292</v>
      </c>
    </row>
    <row r="244" spans="1:9" ht="17.25" customHeight="1" x14ac:dyDescent="0.25">
      <c r="A244" s="112">
        <v>42615</v>
      </c>
      <c r="B244" s="117" t="s">
        <v>1171</v>
      </c>
      <c r="C244" s="118"/>
      <c r="D244" s="82">
        <v>9</v>
      </c>
      <c r="E244" s="119">
        <v>593</v>
      </c>
      <c r="F244" s="119">
        <v>712</v>
      </c>
      <c r="G244" s="119">
        <v>890</v>
      </c>
      <c r="H244" s="119">
        <v>178</v>
      </c>
      <c r="I244" s="120" t="s">
        <v>1346</v>
      </c>
    </row>
    <row r="245" spans="1:9" ht="17.25" customHeight="1" x14ac:dyDescent="0.25">
      <c r="A245" s="112">
        <v>42671</v>
      </c>
      <c r="B245" s="117" t="s">
        <v>1172</v>
      </c>
      <c r="C245" s="118"/>
      <c r="D245" s="82">
        <v>13</v>
      </c>
      <c r="E245" s="119">
        <v>833</v>
      </c>
      <c r="F245" s="119">
        <v>1000</v>
      </c>
      <c r="G245" s="119">
        <v>1250</v>
      </c>
      <c r="H245" s="119">
        <v>250</v>
      </c>
      <c r="I245" s="120">
        <v>45292</v>
      </c>
    </row>
    <row r="246" spans="1:9" ht="17.25" customHeight="1" x14ac:dyDescent="0.25">
      <c r="A246" s="112">
        <v>42741</v>
      </c>
      <c r="B246" s="117" t="s">
        <v>1330</v>
      </c>
      <c r="C246" s="118"/>
      <c r="D246" s="82">
        <v>44</v>
      </c>
      <c r="E246" s="119">
        <v>2867</v>
      </c>
      <c r="F246" s="119">
        <v>3440</v>
      </c>
      <c r="G246" s="119">
        <v>4300</v>
      </c>
      <c r="H246" s="119">
        <v>860</v>
      </c>
      <c r="I246" s="120" t="s">
        <v>1346</v>
      </c>
    </row>
    <row r="247" spans="1:9" ht="17.25" customHeight="1" x14ac:dyDescent="0.25">
      <c r="A247" s="112">
        <v>42751</v>
      </c>
      <c r="B247" s="117" t="s">
        <v>1331</v>
      </c>
      <c r="C247" s="118"/>
      <c r="D247" s="82">
        <v>34</v>
      </c>
      <c r="E247" s="119">
        <v>2200</v>
      </c>
      <c r="F247" s="119">
        <v>2640</v>
      </c>
      <c r="G247" s="119">
        <v>3300</v>
      </c>
      <c r="H247" s="119">
        <v>660</v>
      </c>
      <c r="I247" s="120" t="s">
        <v>1346</v>
      </c>
    </row>
    <row r="248" spans="1:9" ht="17.25" customHeight="1" x14ac:dyDescent="0.25">
      <c r="A248" s="112">
        <v>42753</v>
      </c>
      <c r="B248" s="117" t="s">
        <v>1173</v>
      </c>
      <c r="C248" s="118"/>
      <c r="D248" s="82">
        <v>10</v>
      </c>
      <c r="E248" s="119">
        <v>667</v>
      </c>
      <c r="F248" s="119">
        <v>800</v>
      </c>
      <c r="G248" s="119">
        <v>1000</v>
      </c>
      <c r="H248" s="119">
        <v>200</v>
      </c>
      <c r="I248" s="120">
        <v>45292</v>
      </c>
    </row>
    <row r="249" spans="1:9" ht="17.25" customHeight="1" x14ac:dyDescent="0.25">
      <c r="A249" s="112">
        <v>42769</v>
      </c>
      <c r="B249" s="117" t="s">
        <v>1174</v>
      </c>
      <c r="C249" s="118"/>
      <c r="D249" s="82">
        <v>9</v>
      </c>
      <c r="E249" s="119">
        <v>560</v>
      </c>
      <c r="F249" s="119">
        <v>672</v>
      </c>
      <c r="G249" s="119">
        <v>840</v>
      </c>
      <c r="H249" s="119">
        <v>168</v>
      </c>
      <c r="I249" s="120">
        <v>45292</v>
      </c>
    </row>
    <row r="250" spans="1:9" ht="17.25" customHeight="1" x14ac:dyDescent="0.25">
      <c r="A250" s="112">
        <v>42780</v>
      </c>
      <c r="B250" s="117" t="s">
        <v>1175</v>
      </c>
      <c r="C250" s="118"/>
      <c r="D250" s="82">
        <v>10</v>
      </c>
      <c r="E250" s="119">
        <v>667</v>
      </c>
      <c r="F250" s="119">
        <v>800</v>
      </c>
      <c r="G250" s="119">
        <v>1000</v>
      </c>
      <c r="H250" s="119">
        <v>200</v>
      </c>
      <c r="I250" s="120" t="s">
        <v>1351</v>
      </c>
    </row>
    <row r="251" spans="1:9" ht="17.25" customHeight="1" x14ac:dyDescent="0.25">
      <c r="A251" s="112">
        <v>42789</v>
      </c>
      <c r="B251" s="117" t="s">
        <v>304</v>
      </c>
      <c r="C251" s="118"/>
      <c r="D251" s="82">
        <v>23</v>
      </c>
      <c r="E251" s="119">
        <v>1467</v>
      </c>
      <c r="F251" s="119">
        <v>1760</v>
      </c>
      <c r="G251" s="119">
        <v>2200</v>
      </c>
      <c r="H251" s="119">
        <v>440</v>
      </c>
      <c r="I251" s="120">
        <v>45292</v>
      </c>
    </row>
    <row r="252" spans="1:9" ht="17.25" customHeight="1" x14ac:dyDescent="0.25">
      <c r="A252" s="112">
        <v>42823</v>
      </c>
      <c r="B252" s="117" t="s">
        <v>1176</v>
      </c>
      <c r="C252" s="118"/>
      <c r="D252" s="82">
        <v>10</v>
      </c>
      <c r="E252" s="119">
        <v>667</v>
      </c>
      <c r="F252" s="119">
        <v>800</v>
      </c>
      <c r="G252" s="119">
        <v>1000</v>
      </c>
      <c r="H252" s="119">
        <v>200</v>
      </c>
      <c r="I252" s="120" t="s">
        <v>1351</v>
      </c>
    </row>
    <row r="253" spans="1:9" ht="17.25" customHeight="1" x14ac:dyDescent="0.25">
      <c r="A253" s="112">
        <v>42831</v>
      </c>
      <c r="B253" s="117" t="s">
        <v>1177</v>
      </c>
      <c r="C253" s="118"/>
      <c r="D253" s="82">
        <v>11</v>
      </c>
      <c r="E253" s="119">
        <v>733</v>
      </c>
      <c r="F253" s="119">
        <v>880</v>
      </c>
      <c r="G253" s="119">
        <v>1100</v>
      </c>
      <c r="H253" s="119">
        <v>220</v>
      </c>
      <c r="I253" s="120" t="s">
        <v>1351</v>
      </c>
    </row>
    <row r="254" spans="1:9" ht="17.25" customHeight="1" x14ac:dyDescent="0.25">
      <c r="A254" s="112">
        <v>42885</v>
      </c>
      <c r="B254" s="117" t="s">
        <v>1178</v>
      </c>
      <c r="C254" s="118"/>
      <c r="D254" s="82">
        <v>11</v>
      </c>
      <c r="E254" s="119">
        <v>733</v>
      </c>
      <c r="F254" s="119">
        <v>880</v>
      </c>
      <c r="G254" s="119">
        <v>1100</v>
      </c>
      <c r="H254" s="119">
        <v>220</v>
      </c>
      <c r="I254" s="120" t="s">
        <v>1351</v>
      </c>
    </row>
    <row r="255" spans="1:9" ht="17.25" customHeight="1" x14ac:dyDescent="0.25">
      <c r="A255" s="112">
        <v>42968</v>
      </c>
      <c r="B255" s="117" t="s">
        <v>1332</v>
      </c>
      <c r="C255" s="118"/>
      <c r="D255" s="82">
        <v>44</v>
      </c>
      <c r="E255" s="119">
        <v>2867</v>
      </c>
      <c r="F255" s="119">
        <v>3440</v>
      </c>
      <c r="G255" s="119">
        <v>4300</v>
      </c>
      <c r="H255" s="119">
        <v>860</v>
      </c>
      <c r="I255" s="120" t="s">
        <v>1346</v>
      </c>
    </row>
    <row r="256" spans="1:9" ht="17.25" customHeight="1" x14ac:dyDescent="0.25">
      <c r="A256" s="112">
        <v>42991</v>
      </c>
      <c r="B256" s="117" t="s">
        <v>1179</v>
      </c>
      <c r="C256" s="118"/>
      <c r="D256" s="82">
        <v>9</v>
      </c>
      <c r="E256" s="119">
        <v>593</v>
      </c>
      <c r="F256" s="119">
        <v>712</v>
      </c>
      <c r="G256" s="119">
        <v>890</v>
      </c>
      <c r="H256" s="119">
        <v>178</v>
      </c>
      <c r="I256" s="120">
        <v>45292</v>
      </c>
    </row>
    <row r="257" spans="1:9" ht="17.25" customHeight="1" x14ac:dyDescent="0.25">
      <c r="A257" s="112">
        <v>43111</v>
      </c>
      <c r="B257" s="117" t="s">
        <v>1180</v>
      </c>
      <c r="C257" s="118"/>
      <c r="D257" s="82">
        <v>7</v>
      </c>
      <c r="E257" s="119">
        <v>453</v>
      </c>
      <c r="F257" s="119">
        <v>544</v>
      </c>
      <c r="G257" s="119">
        <v>680</v>
      </c>
      <c r="H257" s="119">
        <v>136</v>
      </c>
      <c r="I257" s="120">
        <v>45292</v>
      </c>
    </row>
    <row r="258" spans="1:9" ht="17.25" customHeight="1" x14ac:dyDescent="0.25">
      <c r="A258" s="112">
        <v>43129</v>
      </c>
      <c r="B258" s="117" t="s">
        <v>1181</v>
      </c>
      <c r="C258" s="118"/>
      <c r="D258" s="82">
        <v>10</v>
      </c>
      <c r="E258" s="119">
        <v>667</v>
      </c>
      <c r="F258" s="119">
        <v>800</v>
      </c>
      <c r="G258" s="119">
        <v>1000</v>
      </c>
      <c r="H258" s="119">
        <v>200</v>
      </c>
      <c r="I258" s="120" t="s">
        <v>1351</v>
      </c>
    </row>
    <row r="259" spans="1:9" ht="17.25" customHeight="1" x14ac:dyDescent="0.25">
      <c r="A259" s="112">
        <v>43135</v>
      </c>
      <c r="B259" s="117" t="s">
        <v>1182</v>
      </c>
      <c r="C259" s="118"/>
      <c r="D259" s="82">
        <v>8</v>
      </c>
      <c r="E259" s="119">
        <v>520</v>
      </c>
      <c r="F259" s="119">
        <v>624</v>
      </c>
      <c r="G259" s="119">
        <v>780</v>
      </c>
      <c r="H259" s="119">
        <v>156</v>
      </c>
      <c r="I259" s="120">
        <v>45292</v>
      </c>
    </row>
    <row r="260" spans="1:9" ht="17.25" customHeight="1" x14ac:dyDescent="0.25">
      <c r="A260" s="112">
        <v>43143</v>
      </c>
      <c r="B260" s="117" t="s">
        <v>1183</v>
      </c>
      <c r="C260" s="118"/>
      <c r="D260" s="82">
        <v>8</v>
      </c>
      <c r="E260" s="119">
        <v>520</v>
      </c>
      <c r="F260" s="119">
        <v>624</v>
      </c>
      <c r="G260" s="119">
        <v>780</v>
      </c>
      <c r="H260" s="119">
        <v>156</v>
      </c>
      <c r="I260" s="120">
        <v>45292</v>
      </c>
    </row>
    <row r="261" spans="1:9" ht="17.25" customHeight="1" x14ac:dyDescent="0.25">
      <c r="A261" s="112">
        <v>43214</v>
      </c>
      <c r="B261" s="117" t="s">
        <v>1184</v>
      </c>
      <c r="C261" s="118"/>
      <c r="D261" s="82">
        <v>23</v>
      </c>
      <c r="E261" s="119">
        <v>1467</v>
      </c>
      <c r="F261" s="119">
        <v>1760</v>
      </c>
      <c r="G261" s="119">
        <v>2200</v>
      </c>
      <c r="H261" s="119">
        <v>440</v>
      </c>
      <c r="I261" s="120">
        <v>45292</v>
      </c>
    </row>
    <row r="262" spans="1:9" ht="17.25" customHeight="1" x14ac:dyDescent="0.25">
      <c r="A262" s="112">
        <v>43215</v>
      </c>
      <c r="B262" s="117" t="s">
        <v>1185</v>
      </c>
      <c r="C262" s="118"/>
      <c r="D262" s="82">
        <v>23</v>
      </c>
      <c r="E262" s="119">
        <v>1467</v>
      </c>
      <c r="F262" s="119">
        <v>1760</v>
      </c>
      <c r="G262" s="119">
        <v>2200</v>
      </c>
      <c r="H262" s="119">
        <v>440</v>
      </c>
      <c r="I262" s="120">
        <v>45292</v>
      </c>
    </row>
    <row r="263" spans="1:9" ht="17.25" customHeight="1" x14ac:dyDescent="0.25">
      <c r="A263" s="112">
        <v>43216</v>
      </c>
      <c r="B263" s="117" t="s">
        <v>1186</v>
      </c>
      <c r="C263" s="118"/>
      <c r="D263" s="82">
        <v>23</v>
      </c>
      <c r="E263" s="119">
        <v>1467</v>
      </c>
      <c r="F263" s="119">
        <v>1760</v>
      </c>
      <c r="G263" s="119">
        <v>2200</v>
      </c>
      <c r="H263" s="119">
        <v>440</v>
      </c>
      <c r="I263" s="120">
        <v>45292</v>
      </c>
    </row>
    <row r="264" spans="1:9" ht="17.25" customHeight="1" x14ac:dyDescent="0.25">
      <c r="A264" s="112">
        <v>43217</v>
      </c>
      <c r="B264" s="117" t="s">
        <v>1187</v>
      </c>
      <c r="C264" s="118"/>
      <c r="D264" s="82">
        <v>23</v>
      </c>
      <c r="E264" s="119">
        <v>1467</v>
      </c>
      <c r="F264" s="119">
        <v>1760</v>
      </c>
      <c r="G264" s="119">
        <v>2200</v>
      </c>
      <c r="H264" s="119">
        <v>440</v>
      </c>
      <c r="I264" s="120">
        <v>45292</v>
      </c>
    </row>
    <row r="265" spans="1:9" ht="17.25" customHeight="1" x14ac:dyDescent="0.25">
      <c r="A265" s="112">
        <v>43234</v>
      </c>
      <c r="B265" s="117" t="s">
        <v>1188</v>
      </c>
      <c r="C265" s="118"/>
      <c r="D265" s="82">
        <v>8</v>
      </c>
      <c r="E265" s="119">
        <v>533</v>
      </c>
      <c r="F265" s="119">
        <v>640</v>
      </c>
      <c r="G265" s="119">
        <v>800</v>
      </c>
      <c r="H265" s="119">
        <v>160</v>
      </c>
      <c r="I265" s="120" t="s">
        <v>1351</v>
      </c>
    </row>
    <row r="266" spans="1:9" ht="17.25" customHeight="1" x14ac:dyDescent="0.25">
      <c r="A266" s="112">
        <v>43253</v>
      </c>
      <c r="B266" s="117" t="s">
        <v>1189</v>
      </c>
      <c r="C266" s="118"/>
      <c r="D266" s="82">
        <v>3</v>
      </c>
      <c r="E266" s="119">
        <v>187</v>
      </c>
      <c r="F266" s="119">
        <v>224</v>
      </c>
      <c r="G266" s="119">
        <v>280</v>
      </c>
      <c r="H266" s="119">
        <v>56</v>
      </c>
      <c r="I266" s="120">
        <v>45292</v>
      </c>
    </row>
    <row r="267" spans="1:9" ht="17.25" customHeight="1" x14ac:dyDescent="0.25">
      <c r="A267" s="112">
        <v>43295</v>
      </c>
      <c r="B267" s="117" t="s">
        <v>1336</v>
      </c>
      <c r="C267" s="118"/>
      <c r="D267" s="82">
        <v>10</v>
      </c>
      <c r="E267" s="119">
        <v>627</v>
      </c>
      <c r="F267" s="119">
        <v>752</v>
      </c>
      <c r="G267" s="119">
        <v>940</v>
      </c>
      <c r="H267" s="119">
        <v>188</v>
      </c>
      <c r="I267" s="120" t="s">
        <v>1346</v>
      </c>
    </row>
    <row r="268" spans="1:9" ht="17.25" customHeight="1" x14ac:dyDescent="0.25">
      <c r="A268" s="112">
        <v>43296</v>
      </c>
      <c r="B268" s="117" t="s">
        <v>1337</v>
      </c>
      <c r="C268" s="118"/>
      <c r="D268" s="82">
        <v>10</v>
      </c>
      <c r="E268" s="119">
        <v>627</v>
      </c>
      <c r="F268" s="119">
        <v>752</v>
      </c>
      <c r="G268" s="119">
        <v>940</v>
      </c>
      <c r="H268" s="119">
        <v>188</v>
      </c>
      <c r="I268" s="120" t="s">
        <v>1346</v>
      </c>
    </row>
    <row r="269" spans="1:9" ht="17.25" customHeight="1" x14ac:dyDescent="0.25">
      <c r="A269" s="112">
        <v>43297</v>
      </c>
      <c r="B269" s="117" t="s">
        <v>1338</v>
      </c>
      <c r="C269" s="118"/>
      <c r="D269" s="82">
        <v>10</v>
      </c>
      <c r="E269" s="119">
        <v>627</v>
      </c>
      <c r="F269" s="119">
        <v>752</v>
      </c>
      <c r="G269" s="119">
        <v>940</v>
      </c>
      <c r="H269" s="119">
        <v>188</v>
      </c>
      <c r="I269" s="120" t="s">
        <v>1346</v>
      </c>
    </row>
    <row r="270" spans="1:9" ht="17.25" customHeight="1" x14ac:dyDescent="0.25">
      <c r="A270" s="112">
        <v>43298</v>
      </c>
      <c r="B270" s="117" t="s">
        <v>1339</v>
      </c>
      <c r="C270" s="118"/>
      <c r="D270" s="82">
        <v>10</v>
      </c>
      <c r="E270" s="119">
        <v>627</v>
      </c>
      <c r="F270" s="119">
        <v>752</v>
      </c>
      <c r="G270" s="119">
        <v>940</v>
      </c>
      <c r="H270" s="119">
        <v>188</v>
      </c>
      <c r="I270" s="120" t="s">
        <v>1346</v>
      </c>
    </row>
    <row r="271" spans="1:9" ht="17.25" customHeight="1" x14ac:dyDescent="0.25">
      <c r="A271" s="112">
        <v>43299</v>
      </c>
      <c r="B271" s="117" t="s">
        <v>1340</v>
      </c>
      <c r="C271" s="118"/>
      <c r="D271" s="82">
        <v>10</v>
      </c>
      <c r="E271" s="119">
        <v>627</v>
      </c>
      <c r="F271" s="119">
        <v>752</v>
      </c>
      <c r="G271" s="119">
        <v>940</v>
      </c>
      <c r="H271" s="119">
        <v>188</v>
      </c>
      <c r="I271" s="120" t="s">
        <v>1346</v>
      </c>
    </row>
    <row r="272" spans="1:9" ht="17.25" customHeight="1" x14ac:dyDescent="0.25">
      <c r="A272" s="112">
        <v>43300</v>
      </c>
      <c r="B272" s="117" t="s">
        <v>1341</v>
      </c>
      <c r="C272" s="118"/>
      <c r="D272" s="82">
        <v>10</v>
      </c>
      <c r="E272" s="119">
        <v>627</v>
      </c>
      <c r="F272" s="119">
        <v>752</v>
      </c>
      <c r="G272" s="119">
        <v>940</v>
      </c>
      <c r="H272" s="119">
        <v>188</v>
      </c>
      <c r="I272" s="120" t="s">
        <v>1346</v>
      </c>
    </row>
    <row r="273" spans="1:9" ht="17.25" customHeight="1" x14ac:dyDescent="0.25">
      <c r="A273" s="112">
        <v>43301</v>
      </c>
      <c r="B273" s="117" t="s">
        <v>1342</v>
      </c>
      <c r="C273" s="118"/>
      <c r="D273" s="82">
        <v>10</v>
      </c>
      <c r="E273" s="119">
        <v>627</v>
      </c>
      <c r="F273" s="119">
        <v>752</v>
      </c>
      <c r="G273" s="119">
        <v>940</v>
      </c>
      <c r="H273" s="119">
        <v>188</v>
      </c>
      <c r="I273" s="120" t="s">
        <v>1346</v>
      </c>
    </row>
    <row r="274" spans="1:9" ht="17.25" customHeight="1" x14ac:dyDescent="0.25">
      <c r="A274" s="112">
        <v>43302</v>
      </c>
      <c r="B274" s="117" t="s">
        <v>1343</v>
      </c>
      <c r="C274" s="118"/>
      <c r="D274" s="82">
        <v>10</v>
      </c>
      <c r="E274" s="119">
        <v>627</v>
      </c>
      <c r="F274" s="119">
        <v>752</v>
      </c>
      <c r="G274" s="119">
        <v>940</v>
      </c>
      <c r="H274" s="119">
        <v>188</v>
      </c>
      <c r="I274" s="120" t="s">
        <v>1346</v>
      </c>
    </row>
    <row r="275" spans="1:9" ht="17.25" customHeight="1" x14ac:dyDescent="0.25">
      <c r="A275" s="112">
        <v>43303</v>
      </c>
      <c r="B275" s="117" t="s">
        <v>1344</v>
      </c>
      <c r="C275" s="118"/>
      <c r="D275" s="82">
        <v>10</v>
      </c>
      <c r="E275" s="119">
        <v>627</v>
      </c>
      <c r="F275" s="119">
        <v>752</v>
      </c>
      <c r="G275" s="119">
        <v>940</v>
      </c>
      <c r="H275" s="119">
        <v>188</v>
      </c>
      <c r="I275" s="120" t="s">
        <v>1346</v>
      </c>
    </row>
    <row r="276" spans="1:9" ht="17.25" customHeight="1" x14ac:dyDescent="0.25">
      <c r="A276" s="112">
        <v>43304</v>
      </c>
      <c r="B276" s="117" t="s">
        <v>1345</v>
      </c>
      <c r="C276" s="118"/>
      <c r="D276" s="82">
        <v>10</v>
      </c>
      <c r="E276" s="119">
        <v>627</v>
      </c>
      <c r="F276" s="119">
        <v>752</v>
      </c>
      <c r="G276" s="119">
        <v>940</v>
      </c>
      <c r="H276" s="119">
        <v>188</v>
      </c>
      <c r="I276" s="120" t="s">
        <v>1346</v>
      </c>
    </row>
    <row r="277" spans="1:9" ht="17.25" customHeight="1" x14ac:dyDescent="0.25">
      <c r="A277" s="112">
        <v>43346</v>
      </c>
      <c r="B277" s="117" t="s">
        <v>1190</v>
      </c>
      <c r="C277" s="118"/>
      <c r="D277" s="82">
        <v>14</v>
      </c>
      <c r="E277" s="119">
        <v>933</v>
      </c>
      <c r="F277" s="119">
        <v>1120</v>
      </c>
      <c r="G277" s="119">
        <v>1400</v>
      </c>
      <c r="H277" s="119">
        <v>280</v>
      </c>
      <c r="I277" s="120" t="s">
        <v>1346</v>
      </c>
    </row>
    <row r="278" spans="1:9" ht="17.25" customHeight="1" x14ac:dyDescent="0.25">
      <c r="A278" s="112">
        <v>43347</v>
      </c>
      <c r="B278" s="117" t="s">
        <v>1191</v>
      </c>
      <c r="C278" s="118"/>
      <c r="D278" s="82">
        <v>14</v>
      </c>
      <c r="E278" s="119">
        <v>933</v>
      </c>
      <c r="F278" s="119">
        <v>1120</v>
      </c>
      <c r="G278" s="119">
        <v>1400</v>
      </c>
      <c r="H278" s="119">
        <v>280</v>
      </c>
      <c r="I278" s="120" t="s">
        <v>1350</v>
      </c>
    </row>
    <row r="279" spans="1:9" ht="17.25" customHeight="1" x14ac:dyDescent="0.25">
      <c r="A279" s="112">
        <v>43348</v>
      </c>
      <c r="B279" s="117" t="s">
        <v>1192</v>
      </c>
      <c r="C279" s="118"/>
      <c r="D279" s="82">
        <v>14</v>
      </c>
      <c r="E279" s="119">
        <v>933</v>
      </c>
      <c r="F279" s="119">
        <v>1120</v>
      </c>
      <c r="G279" s="119">
        <v>1400</v>
      </c>
      <c r="H279" s="119">
        <v>280</v>
      </c>
      <c r="I279" s="120" t="s">
        <v>1350</v>
      </c>
    </row>
    <row r="280" spans="1:9" ht="17.25" customHeight="1" x14ac:dyDescent="0.25">
      <c r="A280" s="112">
        <v>43349</v>
      </c>
      <c r="B280" s="117" t="s">
        <v>1193</v>
      </c>
      <c r="C280" s="118"/>
      <c r="D280" s="82">
        <v>14</v>
      </c>
      <c r="E280" s="119">
        <v>933</v>
      </c>
      <c r="F280" s="119">
        <v>1120</v>
      </c>
      <c r="G280" s="119">
        <v>1400</v>
      </c>
      <c r="H280" s="119">
        <v>280</v>
      </c>
      <c r="I280" s="120" t="s">
        <v>1346</v>
      </c>
    </row>
    <row r="281" spans="1:9" ht="17.25" customHeight="1" x14ac:dyDescent="0.25">
      <c r="A281" s="112">
        <v>43350</v>
      </c>
      <c r="B281" s="117" t="s">
        <v>1194</v>
      </c>
      <c r="C281" s="118"/>
      <c r="D281" s="82">
        <v>14</v>
      </c>
      <c r="E281" s="119">
        <v>933</v>
      </c>
      <c r="F281" s="119">
        <v>1120</v>
      </c>
      <c r="G281" s="119">
        <v>1400</v>
      </c>
      <c r="H281" s="119">
        <v>280</v>
      </c>
      <c r="I281" s="120" t="s">
        <v>1350</v>
      </c>
    </row>
    <row r="282" spans="1:9" ht="17.25" customHeight="1" x14ac:dyDescent="0.25">
      <c r="A282" s="112">
        <v>43368</v>
      </c>
      <c r="B282" s="117" t="s">
        <v>1195</v>
      </c>
      <c r="C282" s="118"/>
      <c r="D282" s="82">
        <v>19</v>
      </c>
      <c r="E282" s="119">
        <v>1200</v>
      </c>
      <c r="F282" s="119">
        <v>1440</v>
      </c>
      <c r="G282" s="119">
        <v>1800</v>
      </c>
      <c r="H282" s="119">
        <v>360</v>
      </c>
      <c r="I282" s="120" t="s">
        <v>1351</v>
      </c>
    </row>
    <row r="283" spans="1:9" ht="17.25" customHeight="1" x14ac:dyDescent="0.25">
      <c r="A283" s="112">
        <v>43369</v>
      </c>
      <c r="B283" s="117" t="s">
        <v>1196</v>
      </c>
      <c r="C283" s="118"/>
      <c r="D283" s="82">
        <v>19</v>
      </c>
      <c r="E283" s="119">
        <v>1200</v>
      </c>
      <c r="F283" s="119">
        <v>1440</v>
      </c>
      <c r="G283" s="119">
        <v>1800</v>
      </c>
      <c r="H283" s="119">
        <v>360</v>
      </c>
      <c r="I283" s="120" t="s">
        <v>1351</v>
      </c>
    </row>
    <row r="284" spans="1:9" ht="17.25" customHeight="1" x14ac:dyDescent="0.25">
      <c r="A284" s="112">
        <v>43370</v>
      </c>
      <c r="B284" s="117" t="s">
        <v>1197</v>
      </c>
      <c r="C284" s="118"/>
      <c r="D284" s="82">
        <v>19</v>
      </c>
      <c r="E284" s="119">
        <v>1200</v>
      </c>
      <c r="F284" s="119">
        <v>1440</v>
      </c>
      <c r="G284" s="119">
        <v>1800</v>
      </c>
      <c r="H284" s="119">
        <v>360</v>
      </c>
      <c r="I284" s="120" t="s">
        <v>1351</v>
      </c>
    </row>
    <row r="285" spans="1:9" ht="17.25" customHeight="1" x14ac:dyDescent="0.25">
      <c r="A285" s="112">
        <v>43371</v>
      </c>
      <c r="B285" s="117" t="s">
        <v>1198</v>
      </c>
      <c r="C285" s="118"/>
      <c r="D285" s="82">
        <v>19</v>
      </c>
      <c r="E285" s="119">
        <v>1200</v>
      </c>
      <c r="F285" s="119">
        <v>1440</v>
      </c>
      <c r="G285" s="119">
        <v>1800</v>
      </c>
      <c r="H285" s="119">
        <v>360</v>
      </c>
      <c r="I285" s="120" t="s">
        <v>1351</v>
      </c>
    </row>
    <row r="286" spans="1:9" ht="17.25" customHeight="1" x14ac:dyDescent="0.25">
      <c r="A286" s="112">
        <v>43372</v>
      </c>
      <c r="B286" s="117" t="s">
        <v>1199</v>
      </c>
      <c r="C286" s="118"/>
      <c r="D286" s="82">
        <v>19</v>
      </c>
      <c r="E286" s="119">
        <v>1200</v>
      </c>
      <c r="F286" s="119">
        <v>1440</v>
      </c>
      <c r="G286" s="119">
        <v>1800</v>
      </c>
      <c r="H286" s="119">
        <v>360</v>
      </c>
      <c r="I286" s="120" t="s">
        <v>1351</v>
      </c>
    </row>
    <row r="287" spans="1:9" ht="17.25" customHeight="1" x14ac:dyDescent="0.25">
      <c r="A287" s="112">
        <v>43373</v>
      </c>
      <c r="B287" s="117" t="s">
        <v>1200</v>
      </c>
      <c r="C287" s="118"/>
      <c r="D287" s="82">
        <v>19</v>
      </c>
      <c r="E287" s="119">
        <v>1200</v>
      </c>
      <c r="F287" s="119">
        <v>1440</v>
      </c>
      <c r="G287" s="119">
        <v>1800</v>
      </c>
      <c r="H287" s="119">
        <v>360</v>
      </c>
      <c r="I287" s="120" t="s">
        <v>1351</v>
      </c>
    </row>
    <row r="288" spans="1:9" ht="17.25" customHeight="1" x14ac:dyDescent="0.25">
      <c r="A288" s="112">
        <v>43456</v>
      </c>
      <c r="B288" s="117" t="s">
        <v>1201</v>
      </c>
      <c r="C288" s="118"/>
      <c r="D288" s="82">
        <v>12</v>
      </c>
      <c r="E288" s="119">
        <v>800</v>
      </c>
      <c r="F288" s="119">
        <v>960</v>
      </c>
      <c r="G288" s="119">
        <v>1200</v>
      </c>
      <c r="H288" s="119">
        <v>240</v>
      </c>
      <c r="I288" s="120" t="s">
        <v>1351</v>
      </c>
    </row>
    <row r="289" spans="1:9" ht="17.25" customHeight="1" x14ac:dyDescent="0.25">
      <c r="A289" s="112">
        <v>43457</v>
      </c>
      <c r="B289" s="117" t="s">
        <v>1202</v>
      </c>
      <c r="C289" s="118"/>
      <c r="D289" s="82">
        <v>12</v>
      </c>
      <c r="E289" s="119">
        <v>800</v>
      </c>
      <c r="F289" s="119">
        <v>960</v>
      </c>
      <c r="G289" s="119">
        <v>1200</v>
      </c>
      <c r="H289" s="119">
        <v>240</v>
      </c>
      <c r="I289" s="120" t="s">
        <v>1351</v>
      </c>
    </row>
    <row r="290" spans="1:9" ht="17.25" customHeight="1" x14ac:dyDescent="0.25">
      <c r="A290" s="112">
        <v>43458</v>
      </c>
      <c r="B290" s="117" t="s">
        <v>1203</v>
      </c>
      <c r="C290" s="118"/>
      <c r="D290" s="82">
        <v>12</v>
      </c>
      <c r="E290" s="119">
        <v>800</v>
      </c>
      <c r="F290" s="119">
        <v>960</v>
      </c>
      <c r="G290" s="119">
        <v>1200</v>
      </c>
      <c r="H290" s="119">
        <v>240</v>
      </c>
      <c r="I290" s="120" t="s">
        <v>1351</v>
      </c>
    </row>
    <row r="291" spans="1:9" ht="17.25" customHeight="1" x14ac:dyDescent="0.25">
      <c r="A291" s="112">
        <v>43460</v>
      </c>
      <c r="B291" s="117" t="s">
        <v>1204</v>
      </c>
      <c r="C291" s="118"/>
      <c r="D291" s="82">
        <v>12</v>
      </c>
      <c r="E291" s="119">
        <v>800</v>
      </c>
      <c r="F291" s="119">
        <v>960</v>
      </c>
      <c r="G291" s="119">
        <v>1200</v>
      </c>
      <c r="H291" s="119">
        <v>240</v>
      </c>
      <c r="I291" s="120">
        <v>45292</v>
      </c>
    </row>
    <row r="292" spans="1:9" ht="17.25" customHeight="1" x14ac:dyDescent="0.25">
      <c r="A292" s="112">
        <v>43461</v>
      </c>
      <c r="B292" s="117" t="s">
        <v>1205</v>
      </c>
      <c r="C292" s="118"/>
      <c r="D292" s="82">
        <v>12</v>
      </c>
      <c r="E292" s="119">
        <v>800</v>
      </c>
      <c r="F292" s="119">
        <v>960</v>
      </c>
      <c r="G292" s="119">
        <v>1200</v>
      </c>
      <c r="H292" s="119">
        <v>240</v>
      </c>
      <c r="I292" s="120">
        <v>45292</v>
      </c>
    </row>
    <row r="293" spans="1:9" ht="17.25" customHeight="1" x14ac:dyDescent="0.25">
      <c r="A293" s="112">
        <v>43462</v>
      </c>
      <c r="B293" s="117" t="s">
        <v>1206</v>
      </c>
      <c r="C293" s="118"/>
      <c r="D293" s="82">
        <v>12</v>
      </c>
      <c r="E293" s="119">
        <v>800</v>
      </c>
      <c r="F293" s="119">
        <v>960</v>
      </c>
      <c r="G293" s="119">
        <v>1200</v>
      </c>
      <c r="H293" s="119">
        <v>240</v>
      </c>
      <c r="I293" s="120">
        <v>45292</v>
      </c>
    </row>
    <row r="294" spans="1:9" ht="17.25" customHeight="1" x14ac:dyDescent="0.25">
      <c r="A294" s="112">
        <v>43506</v>
      </c>
      <c r="B294" s="117" t="s">
        <v>1207</v>
      </c>
      <c r="C294" s="118"/>
      <c r="D294" s="82">
        <v>9</v>
      </c>
      <c r="E294" s="119">
        <v>560</v>
      </c>
      <c r="F294" s="119">
        <v>672</v>
      </c>
      <c r="G294" s="119">
        <v>840</v>
      </c>
      <c r="H294" s="119">
        <v>168</v>
      </c>
      <c r="I294" s="120">
        <v>45292</v>
      </c>
    </row>
    <row r="295" spans="1:9" ht="17.25" customHeight="1" x14ac:dyDescent="0.25">
      <c r="A295" s="112">
        <v>43507</v>
      </c>
      <c r="B295" s="117" t="s">
        <v>1208</v>
      </c>
      <c r="C295" s="118"/>
      <c r="D295" s="82">
        <v>9</v>
      </c>
      <c r="E295" s="119">
        <v>560</v>
      </c>
      <c r="F295" s="119">
        <v>672</v>
      </c>
      <c r="G295" s="119">
        <v>840</v>
      </c>
      <c r="H295" s="119">
        <v>168</v>
      </c>
      <c r="I295" s="120">
        <v>45292</v>
      </c>
    </row>
    <row r="296" spans="1:9" ht="17.25" customHeight="1" x14ac:dyDescent="0.25">
      <c r="A296" s="112">
        <v>43508</v>
      </c>
      <c r="B296" s="117" t="s">
        <v>1209</v>
      </c>
      <c r="C296" s="118"/>
      <c r="D296" s="82">
        <v>9</v>
      </c>
      <c r="E296" s="119">
        <v>560</v>
      </c>
      <c r="F296" s="119">
        <v>672</v>
      </c>
      <c r="G296" s="119">
        <v>840</v>
      </c>
      <c r="H296" s="119">
        <v>168</v>
      </c>
      <c r="I296" s="120">
        <v>45292</v>
      </c>
    </row>
    <row r="297" spans="1:9" ht="17.25" customHeight="1" x14ac:dyDescent="0.25">
      <c r="A297" s="112">
        <v>43509</v>
      </c>
      <c r="B297" s="117" t="s">
        <v>1210</v>
      </c>
      <c r="C297" s="118"/>
      <c r="D297" s="82">
        <v>7</v>
      </c>
      <c r="E297" s="119">
        <v>453</v>
      </c>
      <c r="F297" s="119">
        <v>544</v>
      </c>
      <c r="G297" s="119">
        <v>680</v>
      </c>
      <c r="H297" s="119">
        <v>136</v>
      </c>
      <c r="I297" s="120">
        <v>45292</v>
      </c>
    </row>
    <row r="298" spans="1:9" ht="17.25" customHeight="1" x14ac:dyDescent="0.25">
      <c r="A298" s="112">
        <v>43510</v>
      </c>
      <c r="B298" s="117" t="s">
        <v>1211</v>
      </c>
      <c r="C298" s="118"/>
      <c r="D298" s="82">
        <v>12</v>
      </c>
      <c r="E298" s="119">
        <v>800</v>
      </c>
      <c r="F298" s="119">
        <v>960</v>
      </c>
      <c r="G298" s="119">
        <v>1200</v>
      </c>
      <c r="H298" s="119">
        <v>240</v>
      </c>
      <c r="I298" s="120">
        <v>45292</v>
      </c>
    </row>
    <row r="299" spans="1:9" ht="17.25" customHeight="1" x14ac:dyDescent="0.25">
      <c r="A299" s="112">
        <v>43511</v>
      </c>
      <c r="B299" s="117" t="s">
        <v>1212</v>
      </c>
      <c r="C299" s="118"/>
      <c r="D299" s="82">
        <v>12</v>
      </c>
      <c r="E299" s="119">
        <v>800</v>
      </c>
      <c r="F299" s="119">
        <v>960</v>
      </c>
      <c r="G299" s="119">
        <v>1200</v>
      </c>
      <c r="H299" s="119">
        <v>240</v>
      </c>
      <c r="I299" s="120">
        <v>45292</v>
      </c>
    </row>
    <row r="300" spans="1:9" ht="17.25" customHeight="1" x14ac:dyDescent="0.25">
      <c r="A300" s="112">
        <v>43512</v>
      </c>
      <c r="B300" s="117" t="s">
        <v>1213</v>
      </c>
      <c r="C300" s="118"/>
      <c r="D300" s="82">
        <v>12</v>
      </c>
      <c r="E300" s="119">
        <v>800</v>
      </c>
      <c r="F300" s="119">
        <v>960</v>
      </c>
      <c r="G300" s="119">
        <v>1200</v>
      </c>
      <c r="H300" s="119">
        <v>240</v>
      </c>
      <c r="I300" s="120">
        <v>45292</v>
      </c>
    </row>
    <row r="301" spans="1:9" ht="17.25" customHeight="1" x14ac:dyDescent="0.25">
      <c r="A301" s="112">
        <v>43624</v>
      </c>
      <c r="B301" s="117" t="s">
        <v>1214</v>
      </c>
      <c r="C301" s="118"/>
      <c r="D301" s="82">
        <v>8</v>
      </c>
      <c r="E301" s="119">
        <v>520</v>
      </c>
      <c r="F301" s="119">
        <v>624</v>
      </c>
      <c r="G301" s="119">
        <v>780</v>
      </c>
      <c r="H301" s="119">
        <v>156</v>
      </c>
      <c r="I301" s="120">
        <v>45292</v>
      </c>
    </row>
    <row r="302" spans="1:9" ht="17.25" customHeight="1" x14ac:dyDescent="0.25">
      <c r="A302" s="112">
        <v>43661</v>
      </c>
      <c r="B302" s="117" t="s">
        <v>1215</v>
      </c>
      <c r="C302" s="118"/>
      <c r="D302" s="82">
        <v>3</v>
      </c>
      <c r="E302" s="119">
        <v>187</v>
      </c>
      <c r="F302" s="119">
        <v>224</v>
      </c>
      <c r="G302" s="119">
        <v>280</v>
      </c>
      <c r="H302" s="119">
        <v>56</v>
      </c>
      <c r="I302" s="120" t="s">
        <v>1351</v>
      </c>
    </row>
    <row r="303" spans="1:9" ht="17.25" customHeight="1" x14ac:dyDescent="0.25">
      <c r="A303" s="112">
        <v>43665</v>
      </c>
      <c r="B303" s="117" t="s">
        <v>1216</v>
      </c>
      <c r="C303" s="118"/>
      <c r="D303" s="82">
        <v>6</v>
      </c>
      <c r="E303" s="119">
        <v>407</v>
      </c>
      <c r="F303" s="119">
        <v>488</v>
      </c>
      <c r="G303" s="119">
        <v>610</v>
      </c>
      <c r="H303" s="119">
        <v>122</v>
      </c>
      <c r="I303" s="120" t="s">
        <v>1346</v>
      </c>
    </row>
    <row r="304" spans="1:9" ht="17.25" customHeight="1" x14ac:dyDescent="0.25">
      <c r="A304" s="112">
        <v>43906</v>
      </c>
      <c r="B304" s="117" t="s">
        <v>1335</v>
      </c>
      <c r="C304" s="118"/>
      <c r="D304" s="82">
        <v>5</v>
      </c>
      <c r="E304" s="119">
        <v>320</v>
      </c>
      <c r="F304" s="119">
        <v>384</v>
      </c>
      <c r="G304" s="119">
        <v>480</v>
      </c>
      <c r="H304" s="119">
        <v>96</v>
      </c>
      <c r="I304" s="120" t="s">
        <v>1346</v>
      </c>
    </row>
    <row r="305" spans="1:9" ht="17.25" customHeight="1" x14ac:dyDescent="0.25">
      <c r="A305" s="112">
        <v>43928</v>
      </c>
      <c r="B305" s="117" t="s">
        <v>1217</v>
      </c>
      <c r="C305" s="118"/>
      <c r="D305" s="82">
        <v>7</v>
      </c>
      <c r="E305" s="119">
        <v>433</v>
      </c>
      <c r="F305" s="119">
        <v>520</v>
      </c>
      <c r="G305" s="119">
        <v>650</v>
      </c>
      <c r="H305" s="119">
        <v>130</v>
      </c>
      <c r="I305" s="120" t="s">
        <v>1346</v>
      </c>
    </row>
    <row r="306" spans="1:9" ht="17.25" customHeight="1" x14ac:dyDescent="0.25">
      <c r="A306" s="112">
        <v>43929</v>
      </c>
      <c r="B306" s="117" t="s">
        <v>1218</v>
      </c>
      <c r="C306" s="118"/>
      <c r="D306" s="82">
        <v>3</v>
      </c>
      <c r="E306" s="119">
        <v>187</v>
      </c>
      <c r="F306" s="119">
        <v>224</v>
      </c>
      <c r="G306" s="119">
        <v>280</v>
      </c>
      <c r="H306" s="119">
        <v>56</v>
      </c>
      <c r="I306" s="120" t="s">
        <v>1351</v>
      </c>
    </row>
    <row r="307" spans="1:9" ht="17.25" customHeight="1" x14ac:dyDescent="0.25">
      <c r="A307" s="112">
        <v>43985</v>
      </c>
      <c r="B307" s="117" t="s">
        <v>1219</v>
      </c>
      <c r="C307" s="118"/>
      <c r="D307" s="82">
        <v>11</v>
      </c>
      <c r="E307" s="119">
        <v>733</v>
      </c>
      <c r="F307" s="119">
        <v>880</v>
      </c>
      <c r="G307" s="119">
        <v>1100</v>
      </c>
      <c r="H307" s="119">
        <v>220</v>
      </c>
      <c r="I307" s="120">
        <v>45292</v>
      </c>
    </row>
    <row r="308" spans="1:9" ht="17.25" customHeight="1" x14ac:dyDescent="0.25">
      <c r="A308" s="112">
        <v>43986</v>
      </c>
      <c r="B308" s="117" t="s">
        <v>1220</v>
      </c>
      <c r="C308" s="118"/>
      <c r="D308" s="82">
        <v>11</v>
      </c>
      <c r="E308" s="119">
        <v>733</v>
      </c>
      <c r="F308" s="119">
        <v>880</v>
      </c>
      <c r="G308" s="119">
        <v>1100</v>
      </c>
      <c r="H308" s="119">
        <v>220</v>
      </c>
      <c r="I308" s="120">
        <v>45292</v>
      </c>
    </row>
    <row r="309" spans="1:9" ht="17.25" customHeight="1" x14ac:dyDescent="0.25">
      <c r="A309" s="112">
        <v>43987</v>
      </c>
      <c r="B309" s="117" t="s">
        <v>1221</v>
      </c>
      <c r="C309" s="118"/>
      <c r="D309" s="82">
        <v>11</v>
      </c>
      <c r="E309" s="119">
        <v>733</v>
      </c>
      <c r="F309" s="119">
        <v>880</v>
      </c>
      <c r="G309" s="119">
        <v>1100</v>
      </c>
      <c r="H309" s="119">
        <v>220</v>
      </c>
      <c r="I309" s="120">
        <v>45292</v>
      </c>
    </row>
    <row r="310" spans="1:9" ht="17.25" customHeight="1" x14ac:dyDescent="0.25">
      <c r="A310" s="112">
        <v>44001</v>
      </c>
      <c r="B310" s="117" t="s">
        <v>624</v>
      </c>
      <c r="C310" s="118"/>
      <c r="D310" s="82">
        <v>5</v>
      </c>
      <c r="E310" s="119">
        <v>154</v>
      </c>
      <c r="F310" s="119">
        <v>368</v>
      </c>
      <c r="G310" s="119">
        <v>460</v>
      </c>
      <c r="H310" s="119">
        <v>92</v>
      </c>
      <c r="I310" s="120">
        <v>45292</v>
      </c>
    </row>
    <row r="311" spans="1:9" ht="17.25" customHeight="1" x14ac:dyDescent="0.25">
      <c r="A311" s="112">
        <v>44005</v>
      </c>
      <c r="B311" s="117" t="s">
        <v>1222</v>
      </c>
      <c r="C311" s="118"/>
      <c r="D311" s="82">
        <v>3</v>
      </c>
      <c r="E311" s="119">
        <v>100</v>
      </c>
      <c r="F311" s="119">
        <v>240</v>
      </c>
      <c r="G311" s="119">
        <v>300</v>
      </c>
      <c r="H311" s="119">
        <v>60</v>
      </c>
      <c r="I311" s="120" t="s">
        <v>1346</v>
      </c>
    </row>
    <row r="312" spans="1:9" ht="17.25" customHeight="1" x14ac:dyDescent="0.25">
      <c r="A312" s="112">
        <v>44138</v>
      </c>
      <c r="B312" s="117" t="s">
        <v>1223</v>
      </c>
      <c r="C312" s="118"/>
      <c r="D312" s="82">
        <v>3</v>
      </c>
      <c r="E312" s="119">
        <v>220</v>
      </c>
      <c r="F312" s="119">
        <v>264</v>
      </c>
      <c r="G312" s="119">
        <v>330</v>
      </c>
      <c r="H312" s="119">
        <v>66</v>
      </c>
      <c r="I312" s="120">
        <v>45292</v>
      </c>
    </row>
    <row r="313" spans="1:9" ht="17.25" customHeight="1" x14ac:dyDescent="0.25">
      <c r="A313" s="112">
        <v>44259</v>
      </c>
      <c r="B313" s="117" t="s">
        <v>1224</v>
      </c>
      <c r="C313" s="118"/>
      <c r="D313" s="82">
        <v>16</v>
      </c>
      <c r="E313" s="119">
        <v>1033</v>
      </c>
      <c r="F313" s="119">
        <v>1240</v>
      </c>
      <c r="G313" s="119">
        <v>1550</v>
      </c>
      <c r="H313" s="119">
        <v>310</v>
      </c>
      <c r="I313" s="120" t="s">
        <v>1351</v>
      </c>
    </row>
    <row r="314" spans="1:9" ht="17.25" customHeight="1" x14ac:dyDescent="0.25">
      <c r="A314" s="112">
        <v>44260</v>
      </c>
      <c r="B314" s="117" t="s">
        <v>1225</v>
      </c>
      <c r="C314" s="118"/>
      <c r="D314" s="82">
        <v>16</v>
      </c>
      <c r="E314" s="119">
        <v>1033</v>
      </c>
      <c r="F314" s="119">
        <v>1240</v>
      </c>
      <c r="G314" s="119">
        <v>1550</v>
      </c>
      <c r="H314" s="119">
        <v>310</v>
      </c>
      <c r="I314" s="120" t="s">
        <v>1351</v>
      </c>
    </row>
    <row r="315" spans="1:9" ht="17.25" customHeight="1" x14ac:dyDescent="0.25">
      <c r="A315" s="112">
        <v>44288</v>
      </c>
      <c r="B315" s="117" t="s">
        <v>427</v>
      </c>
      <c r="C315" s="118"/>
      <c r="D315" s="82">
        <v>17</v>
      </c>
      <c r="E315" s="119">
        <v>1133</v>
      </c>
      <c r="F315" s="119">
        <v>1360</v>
      </c>
      <c r="G315" s="119">
        <v>1700</v>
      </c>
      <c r="H315" s="119">
        <v>340</v>
      </c>
      <c r="I315" s="120" t="s">
        <v>1346</v>
      </c>
    </row>
    <row r="316" spans="1:9" ht="17.25" customHeight="1" x14ac:dyDescent="0.25">
      <c r="A316" s="112">
        <v>44312</v>
      </c>
      <c r="B316" s="117" t="s">
        <v>1226</v>
      </c>
      <c r="C316" s="118"/>
      <c r="D316" s="82">
        <v>31</v>
      </c>
      <c r="E316" s="119">
        <v>1999</v>
      </c>
      <c r="F316" s="119">
        <v>2399</v>
      </c>
      <c r="G316" s="119">
        <v>2999</v>
      </c>
      <c r="H316" s="119">
        <v>600</v>
      </c>
      <c r="I316" s="120" t="s">
        <v>1351</v>
      </c>
    </row>
    <row r="317" spans="1:9" ht="17.25" customHeight="1" x14ac:dyDescent="0.25">
      <c r="A317" s="112">
        <v>44351</v>
      </c>
      <c r="B317" s="117" t="s">
        <v>1227</v>
      </c>
      <c r="C317" s="118"/>
      <c r="D317" s="82">
        <v>5</v>
      </c>
      <c r="E317" s="119">
        <v>353</v>
      </c>
      <c r="F317" s="119">
        <v>424</v>
      </c>
      <c r="G317" s="119">
        <v>530</v>
      </c>
      <c r="H317" s="119">
        <v>106</v>
      </c>
      <c r="I317" s="120">
        <v>45231</v>
      </c>
    </row>
    <row r="318" spans="1:9" ht="17.25" customHeight="1" x14ac:dyDescent="0.25">
      <c r="A318" s="112">
        <v>44352</v>
      </c>
      <c r="B318" s="117" t="s">
        <v>1228</v>
      </c>
      <c r="C318" s="118"/>
      <c r="D318" s="82">
        <v>8</v>
      </c>
      <c r="E318" s="119">
        <v>493</v>
      </c>
      <c r="F318" s="119">
        <v>592</v>
      </c>
      <c r="G318" s="119">
        <v>740</v>
      </c>
      <c r="H318" s="119">
        <v>148</v>
      </c>
      <c r="I318" s="120" t="s">
        <v>1347</v>
      </c>
    </row>
    <row r="319" spans="1:9" ht="17.25" customHeight="1" x14ac:dyDescent="0.25">
      <c r="A319" s="112">
        <v>44353</v>
      </c>
      <c r="B319" s="117" t="s">
        <v>1229</v>
      </c>
      <c r="C319" s="118"/>
      <c r="D319" s="82">
        <v>2</v>
      </c>
      <c r="E319" s="119">
        <v>153</v>
      </c>
      <c r="F319" s="119">
        <v>184</v>
      </c>
      <c r="G319" s="119">
        <v>230</v>
      </c>
      <c r="H319" s="119">
        <v>46</v>
      </c>
      <c r="I319" s="120" t="s">
        <v>1347</v>
      </c>
    </row>
    <row r="320" spans="1:9" ht="17.25" customHeight="1" x14ac:dyDescent="0.25">
      <c r="A320" s="112">
        <v>44371</v>
      </c>
      <c r="B320" s="117" t="s">
        <v>1230</v>
      </c>
      <c r="C320" s="118"/>
      <c r="D320" s="82">
        <v>4</v>
      </c>
      <c r="E320" s="119">
        <v>267</v>
      </c>
      <c r="F320" s="119">
        <v>320</v>
      </c>
      <c r="G320" s="119">
        <v>400</v>
      </c>
      <c r="H320" s="119">
        <v>80</v>
      </c>
      <c r="I320" s="120">
        <v>45292</v>
      </c>
    </row>
    <row r="321" spans="1:9" ht="17.25" customHeight="1" x14ac:dyDescent="0.25">
      <c r="A321" s="112">
        <v>44372</v>
      </c>
      <c r="B321" s="117" t="s">
        <v>1231</v>
      </c>
      <c r="C321" s="118"/>
      <c r="D321" s="82">
        <v>4</v>
      </c>
      <c r="E321" s="119">
        <v>267</v>
      </c>
      <c r="F321" s="119">
        <v>320</v>
      </c>
      <c r="G321" s="119">
        <v>400</v>
      </c>
      <c r="H321" s="119">
        <v>80</v>
      </c>
      <c r="I321" s="120">
        <v>45292</v>
      </c>
    </row>
    <row r="322" spans="1:9" ht="17.25" customHeight="1" x14ac:dyDescent="0.25">
      <c r="A322" s="112">
        <v>44376</v>
      </c>
      <c r="B322" s="117" t="s">
        <v>1232</v>
      </c>
      <c r="C322" s="118"/>
      <c r="D322" s="82">
        <v>8</v>
      </c>
      <c r="E322" s="119">
        <v>520</v>
      </c>
      <c r="F322" s="119">
        <v>624</v>
      </c>
      <c r="G322" s="119">
        <v>780</v>
      </c>
      <c r="H322" s="119">
        <v>156</v>
      </c>
      <c r="I322" s="120">
        <v>45292</v>
      </c>
    </row>
    <row r="323" spans="1:9" ht="17.25" customHeight="1" x14ac:dyDescent="0.25">
      <c r="A323" s="112">
        <v>44377</v>
      </c>
      <c r="B323" s="117" t="s">
        <v>1233</v>
      </c>
      <c r="C323" s="118"/>
      <c r="D323" s="82">
        <v>5</v>
      </c>
      <c r="E323" s="119">
        <v>320</v>
      </c>
      <c r="F323" s="119">
        <v>384</v>
      </c>
      <c r="G323" s="119">
        <v>480</v>
      </c>
      <c r="H323" s="119">
        <v>96</v>
      </c>
      <c r="I323" s="120">
        <v>45292</v>
      </c>
    </row>
    <row r="324" spans="1:9" ht="17.25" customHeight="1" x14ac:dyDescent="0.25">
      <c r="A324" s="112">
        <v>44378</v>
      </c>
      <c r="B324" s="117" t="s">
        <v>1234</v>
      </c>
      <c r="C324" s="118"/>
      <c r="D324" s="82">
        <v>8</v>
      </c>
      <c r="E324" s="119">
        <v>520</v>
      </c>
      <c r="F324" s="119">
        <v>624</v>
      </c>
      <c r="G324" s="119">
        <v>780</v>
      </c>
      <c r="H324" s="119">
        <v>156</v>
      </c>
      <c r="I324" s="120">
        <v>45292</v>
      </c>
    </row>
    <row r="325" spans="1:9" ht="17.25" customHeight="1" x14ac:dyDescent="0.25">
      <c r="A325" s="112">
        <v>44387</v>
      </c>
      <c r="B325" s="117" t="s">
        <v>1235</v>
      </c>
      <c r="C325" s="118"/>
      <c r="D325" s="82">
        <v>10</v>
      </c>
      <c r="E325" s="119">
        <v>667</v>
      </c>
      <c r="F325" s="119">
        <v>800</v>
      </c>
      <c r="G325" s="119">
        <v>1000</v>
      </c>
      <c r="H325" s="119">
        <v>200</v>
      </c>
      <c r="I325" s="120">
        <v>45292</v>
      </c>
    </row>
    <row r="326" spans="1:9" ht="17.25" customHeight="1" x14ac:dyDescent="0.25">
      <c r="A326" s="112">
        <v>44397</v>
      </c>
      <c r="B326" s="117" t="s">
        <v>1236</v>
      </c>
      <c r="C326" s="118"/>
      <c r="D326" s="82">
        <v>4</v>
      </c>
      <c r="E326" s="119">
        <v>247</v>
      </c>
      <c r="F326" s="119">
        <v>296</v>
      </c>
      <c r="G326" s="119">
        <v>370</v>
      </c>
      <c r="H326" s="119">
        <v>74</v>
      </c>
      <c r="I326" s="120" t="s">
        <v>1349</v>
      </c>
    </row>
    <row r="327" spans="1:9" ht="17.25" customHeight="1" x14ac:dyDescent="0.25">
      <c r="A327" s="112">
        <v>44547</v>
      </c>
      <c r="B327" s="117" t="s">
        <v>1237</v>
      </c>
      <c r="C327" s="118"/>
      <c r="D327" s="82">
        <v>12</v>
      </c>
      <c r="E327" s="119">
        <v>800</v>
      </c>
      <c r="F327" s="119">
        <v>960</v>
      </c>
      <c r="G327" s="119">
        <v>1200</v>
      </c>
      <c r="H327" s="119">
        <v>240</v>
      </c>
      <c r="I327" s="120" t="s">
        <v>1351</v>
      </c>
    </row>
    <row r="328" spans="1:9" ht="17.25" customHeight="1" x14ac:dyDescent="0.25">
      <c r="A328" s="112">
        <v>44551</v>
      </c>
      <c r="B328" s="117" t="s">
        <v>1238</v>
      </c>
      <c r="C328" s="118"/>
      <c r="D328" s="82">
        <v>10</v>
      </c>
      <c r="E328" s="119">
        <v>627</v>
      </c>
      <c r="F328" s="119">
        <v>752</v>
      </c>
      <c r="G328" s="119">
        <v>940</v>
      </c>
      <c r="H328" s="119">
        <v>188</v>
      </c>
      <c r="I328" s="120">
        <v>45292</v>
      </c>
    </row>
    <row r="329" spans="1:9" ht="17.25" customHeight="1" x14ac:dyDescent="0.25">
      <c r="A329" s="112">
        <v>44552</v>
      </c>
      <c r="B329" s="117" t="s">
        <v>1239</v>
      </c>
      <c r="C329" s="118"/>
      <c r="D329" s="82">
        <v>10</v>
      </c>
      <c r="E329" s="119">
        <v>627</v>
      </c>
      <c r="F329" s="119">
        <v>752</v>
      </c>
      <c r="G329" s="119">
        <v>940</v>
      </c>
      <c r="H329" s="119">
        <v>188</v>
      </c>
      <c r="I329" s="120">
        <v>45292</v>
      </c>
    </row>
    <row r="330" spans="1:9" ht="17.25" customHeight="1" x14ac:dyDescent="0.25">
      <c r="A330" s="112">
        <v>44553</v>
      </c>
      <c r="B330" s="117" t="s">
        <v>1240</v>
      </c>
      <c r="C330" s="118"/>
      <c r="D330" s="82">
        <v>10</v>
      </c>
      <c r="E330" s="119">
        <v>627</v>
      </c>
      <c r="F330" s="119">
        <v>752</v>
      </c>
      <c r="G330" s="119">
        <v>940</v>
      </c>
      <c r="H330" s="119">
        <v>188</v>
      </c>
      <c r="I330" s="120">
        <v>45292</v>
      </c>
    </row>
    <row r="331" spans="1:9" ht="17.25" customHeight="1" x14ac:dyDescent="0.25">
      <c r="A331" s="112">
        <v>44715</v>
      </c>
      <c r="B331" s="117" t="s">
        <v>1241</v>
      </c>
      <c r="C331" s="118"/>
      <c r="D331" s="82">
        <v>11</v>
      </c>
      <c r="E331" s="119">
        <v>733</v>
      </c>
      <c r="F331" s="119">
        <v>880</v>
      </c>
      <c r="G331" s="119">
        <v>1100</v>
      </c>
      <c r="H331" s="119">
        <v>220</v>
      </c>
      <c r="I331" s="120">
        <v>45292</v>
      </c>
    </row>
    <row r="332" spans="1:9" ht="17.25" customHeight="1" x14ac:dyDescent="0.25">
      <c r="A332" s="112">
        <v>44716</v>
      </c>
      <c r="B332" s="117" t="s">
        <v>1242</v>
      </c>
      <c r="C332" s="118"/>
      <c r="D332" s="82">
        <v>11</v>
      </c>
      <c r="E332" s="119">
        <v>733</v>
      </c>
      <c r="F332" s="119">
        <v>880</v>
      </c>
      <c r="G332" s="119">
        <v>1100</v>
      </c>
      <c r="H332" s="119">
        <v>220</v>
      </c>
      <c r="I332" s="120">
        <v>45292</v>
      </c>
    </row>
    <row r="333" spans="1:9" ht="17.25" customHeight="1" x14ac:dyDescent="0.25">
      <c r="A333" s="112">
        <v>44717</v>
      </c>
      <c r="B333" s="117" t="s">
        <v>1243</v>
      </c>
      <c r="C333" s="118"/>
      <c r="D333" s="82">
        <v>11</v>
      </c>
      <c r="E333" s="119">
        <v>733</v>
      </c>
      <c r="F333" s="119">
        <v>880</v>
      </c>
      <c r="G333" s="119">
        <v>1100</v>
      </c>
      <c r="H333" s="119">
        <v>220</v>
      </c>
      <c r="I333" s="120">
        <v>45292</v>
      </c>
    </row>
    <row r="334" spans="1:9" ht="17.25" customHeight="1" x14ac:dyDescent="0.25">
      <c r="A334" s="112">
        <v>44718</v>
      </c>
      <c r="B334" s="117" t="s">
        <v>1244</v>
      </c>
      <c r="C334" s="118"/>
      <c r="D334" s="82">
        <v>11</v>
      </c>
      <c r="E334" s="119">
        <v>733</v>
      </c>
      <c r="F334" s="119">
        <v>880</v>
      </c>
      <c r="G334" s="119">
        <v>1100</v>
      </c>
      <c r="H334" s="119">
        <v>220</v>
      </c>
      <c r="I334" s="120">
        <v>45292</v>
      </c>
    </row>
    <row r="335" spans="1:9" ht="17.25" customHeight="1" x14ac:dyDescent="0.25">
      <c r="A335" s="112">
        <v>44719</v>
      </c>
      <c r="B335" s="117" t="s">
        <v>1245</v>
      </c>
      <c r="C335" s="118"/>
      <c r="D335" s="82">
        <v>11</v>
      </c>
      <c r="E335" s="119">
        <v>733</v>
      </c>
      <c r="F335" s="119">
        <v>880</v>
      </c>
      <c r="G335" s="119">
        <v>1100</v>
      </c>
      <c r="H335" s="119">
        <v>220</v>
      </c>
      <c r="I335" s="120">
        <v>45292</v>
      </c>
    </row>
    <row r="336" spans="1:9" ht="17.25" customHeight="1" x14ac:dyDescent="0.25">
      <c r="A336" s="112">
        <v>44720</v>
      </c>
      <c r="B336" s="117" t="s">
        <v>1246</v>
      </c>
      <c r="C336" s="118"/>
      <c r="D336" s="82">
        <v>11</v>
      </c>
      <c r="E336" s="119">
        <v>733</v>
      </c>
      <c r="F336" s="119">
        <v>880</v>
      </c>
      <c r="G336" s="119">
        <v>1100</v>
      </c>
      <c r="H336" s="119">
        <v>220</v>
      </c>
      <c r="I336" s="120">
        <v>45292</v>
      </c>
    </row>
    <row r="337" spans="1:9" ht="17.25" customHeight="1" x14ac:dyDescent="0.25">
      <c r="A337" s="112">
        <v>44721</v>
      </c>
      <c r="B337" s="117" t="s">
        <v>1247</v>
      </c>
      <c r="C337" s="118"/>
      <c r="D337" s="82">
        <v>11</v>
      </c>
      <c r="E337" s="119">
        <v>733</v>
      </c>
      <c r="F337" s="119">
        <v>880</v>
      </c>
      <c r="G337" s="119">
        <v>1100</v>
      </c>
      <c r="H337" s="119">
        <v>220</v>
      </c>
      <c r="I337" s="120">
        <v>45292</v>
      </c>
    </row>
    <row r="338" spans="1:9" ht="17.25" customHeight="1" x14ac:dyDescent="0.25">
      <c r="A338" s="112">
        <v>44722</v>
      </c>
      <c r="B338" s="117" t="s">
        <v>1248</v>
      </c>
      <c r="C338" s="118"/>
      <c r="D338" s="82">
        <v>11</v>
      </c>
      <c r="E338" s="119">
        <v>733</v>
      </c>
      <c r="F338" s="119">
        <v>880</v>
      </c>
      <c r="G338" s="119">
        <v>1100</v>
      </c>
      <c r="H338" s="119">
        <v>220</v>
      </c>
      <c r="I338" s="120">
        <v>45292</v>
      </c>
    </row>
    <row r="339" spans="1:9" ht="17.25" customHeight="1" x14ac:dyDescent="0.25">
      <c r="A339" s="112">
        <v>44723</v>
      </c>
      <c r="B339" s="117" t="s">
        <v>1249</v>
      </c>
      <c r="C339" s="118"/>
      <c r="D339" s="82">
        <v>11</v>
      </c>
      <c r="E339" s="119">
        <v>733</v>
      </c>
      <c r="F339" s="119">
        <v>880</v>
      </c>
      <c r="G339" s="119">
        <v>1100</v>
      </c>
      <c r="H339" s="119">
        <v>220</v>
      </c>
      <c r="I339" s="120">
        <v>45292</v>
      </c>
    </row>
    <row r="340" spans="1:9" ht="17.25" customHeight="1" x14ac:dyDescent="0.25">
      <c r="A340" s="112">
        <v>44724</v>
      </c>
      <c r="B340" s="117" t="s">
        <v>1250</v>
      </c>
      <c r="C340" s="118"/>
      <c r="D340" s="82">
        <v>11</v>
      </c>
      <c r="E340" s="119">
        <v>733</v>
      </c>
      <c r="F340" s="119">
        <v>880</v>
      </c>
      <c r="G340" s="119">
        <v>1100</v>
      </c>
      <c r="H340" s="119">
        <v>220</v>
      </c>
      <c r="I340" s="120">
        <v>45292</v>
      </c>
    </row>
    <row r="341" spans="1:9" ht="17.25" customHeight="1" x14ac:dyDescent="0.25">
      <c r="A341" s="112">
        <v>44846</v>
      </c>
      <c r="B341" s="117" t="s">
        <v>1251</v>
      </c>
      <c r="C341" s="118"/>
      <c r="D341" s="82">
        <v>22</v>
      </c>
      <c r="E341" s="119">
        <v>1400</v>
      </c>
      <c r="F341" s="119">
        <v>1680</v>
      </c>
      <c r="G341" s="119">
        <v>2100</v>
      </c>
      <c r="H341" s="119">
        <v>420</v>
      </c>
      <c r="I341" s="120" t="s">
        <v>1351</v>
      </c>
    </row>
    <row r="342" spans="1:9" ht="17.25" customHeight="1" x14ac:dyDescent="0.25">
      <c r="A342" s="112">
        <v>44924</v>
      </c>
      <c r="B342" s="117" t="s">
        <v>1252</v>
      </c>
      <c r="C342" s="118"/>
      <c r="D342" s="82">
        <v>8</v>
      </c>
      <c r="E342" s="119">
        <v>500</v>
      </c>
      <c r="F342" s="119">
        <v>600</v>
      </c>
      <c r="G342" s="119">
        <v>750</v>
      </c>
      <c r="H342" s="119">
        <v>150</v>
      </c>
      <c r="I342" s="120">
        <v>45292</v>
      </c>
    </row>
    <row r="343" spans="1:9" ht="17.25" customHeight="1" x14ac:dyDescent="0.25">
      <c r="A343" s="112">
        <v>44925</v>
      </c>
      <c r="B343" s="117" t="s">
        <v>1253</v>
      </c>
      <c r="C343" s="118"/>
      <c r="D343" s="82">
        <v>8</v>
      </c>
      <c r="E343" s="119">
        <v>500</v>
      </c>
      <c r="F343" s="119">
        <v>600</v>
      </c>
      <c r="G343" s="119">
        <v>750</v>
      </c>
      <c r="H343" s="119">
        <v>150</v>
      </c>
      <c r="I343" s="120">
        <v>45292</v>
      </c>
    </row>
    <row r="344" spans="1:9" ht="17.25" customHeight="1" x14ac:dyDescent="0.25">
      <c r="A344" s="112">
        <v>44926</v>
      </c>
      <c r="B344" s="117" t="s">
        <v>1254</v>
      </c>
      <c r="C344" s="118"/>
      <c r="D344" s="82">
        <v>8</v>
      </c>
      <c r="E344" s="119">
        <v>500</v>
      </c>
      <c r="F344" s="119">
        <v>600</v>
      </c>
      <c r="G344" s="119">
        <v>750</v>
      </c>
      <c r="H344" s="119">
        <v>150</v>
      </c>
      <c r="I344" s="120">
        <v>45292</v>
      </c>
    </row>
    <row r="345" spans="1:9" ht="17.25" customHeight="1" x14ac:dyDescent="0.25">
      <c r="A345" s="112">
        <v>44927</v>
      </c>
      <c r="B345" s="117" t="s">
        <v>1255</v>
      </c>
      <c r="C345" s="118"/>
      <c r="D345" s="82">
        <v>8</v>
      </c>
      <c r="E345" s="119">
        <v>500</v>
      </c>
      <c r="F345" s="119">
        <v>600</v>
      </c>
      <c r="G345" s="119">
        <v>750</v>
      </c>
      <c r="H345" s="119">
        <v>150</v>
      </c>
      <c r="I345" s="120">
        <v>45292</v>
      </c>
    </row>
    <row r="346" spans="1:9" ht="17.25" customHeight="1" x14ac:dyDescent="0.25">
      <c r="A346" s="112">
        <v>44928</v>
      </c>
      <c r="B346" s="117" t="s">
        <v>1256</v>
      </c>
      <c r="C346" s="118"/>
      <c r="D346" s="82">
        <v>8</v>
      </c>
      <c r="E346" s="119">
        <v>500</v>
      </c>
      <c r="F346" s="119">
        <v>600</v>
      </c>
      <c r="G346" s="119">
        <v>750</v>
      </c>
      <c r="H346" s="119">
        <v>150</v>
      </c>
      <c r="I346" s="120">
        <v>45292</v>
      </c>
    </row>
    <row r="347" spans="1:9" ht="17.25" customHeight="1" x14ac:dyDescent="0.25">
      <c r="A347" s="112">
        <v>44954</v>
      </c>
      <c r="B347" s="117" t="s">
        <v>1257</v>
      </c>
      <c r="C347" s="118"/>
      <c r="D347" s="82">
        <v>4</v>
      </c>
      <c r="E347" s="119">
        <v>267</v>
      </c>
      <c r="F347" s="119">
        <v>320</v>
      </c>
      <c r="G347" s="119">
        <v>400</v>
      </c>
      <c r="H347" s="119">
        <v>80</v>
      </c>
      <c r="I347" s="120">
        <v>45292</v>
      </c>
    </row>
    <row r="348" spans="1:9" ht="17.25" customHeight="1" x14ac:dyDescent="0.25">
      <c r="A348" s="112">
        <v>44991</v>
      </c>
      <c r="B348" s="117" t="s">
        <v>1258</v>
      </c>
      <c r="C348" s="118"/>
      <c r="D348" s="82">
        <v>6</v>
      </c>
      <c r="E348" s="119">
        <v>407</v>
      </c>
      <c r="F348" s="119">
        <v>488</v>
      </c>
      <c r="G348" s="119">
        <v>610</v>
      </c>
      <c r="H348" s="119">
        <v>122</v>
      </c>
      <c r="I348" s="120" t="s">
        <v>1351</v>
      </c>
    </row>
    <row r="349" spans="1:9" ht="17.25" customHeight="1" x14ac:dyDescent="0.25">
      <c r="A349" s="112">
        <v>44992</v>
      </c>
      <c r="B349" s="117" t="s">
        <v>1259</v>
      </c>
      <c r="C349" s="118"/>
      <c r="D349" s="82">
        <v>6</v>
      </c>
      <c r="E349" s="119">
        <v>407</v>
      </c>
      <c r="F349" s="119">
        <v>488</v>
      </c>
      <c r="G349" s="119">
        <v>610</v>
      </c>
      <c r="H349" s="119">
        <v>122</v>
      </c>
      <c r="I349" s="120">
        <v>45292</v>
      </c>
    </row>
    <row r="350" spans="1:9" ht="17.25" customHeight="1" x14ac:dyDescent="0.25">
      <c r="A350" s="112">
        <v>45275</v>
      </c>
      <c r="B350" s="117" t="s">
        <v>1333</v>
      </c>
      <c r="C350" s="118"/>
      <c r="D350" s="82">
        <v>8</v>
      </c>
      <c r="E350" s="119">
        <v>260</v>
      </c>
      <c r="F350" s="119">
        <v>624</v>
      </c>
      <c r="G350" s="119">
        <v>780</v>
      </c>
      <c r="H350" s="119">
        <v>156</v>
      </c>
      <c r="I350" s="120" t="s">
        <v>1346</v>
      </c>
    </row>
    <row r="351" spans="1:9" ht="17.25" customHeight="1" x14ac:dyDescent="0.25">
      <c r="A351" s="112">
        <v>45279</v>
      </c>
      <c r="B351" s="117" t="s">
        <v>1260</v>
      </c>
      <c r="C351" s="118"/>
      <c r="D351" s="82">
        <v>7</v>
      </c>
      <c r="E351" s="119">
        <v>240</v>
      </c>
      <c r="F351" s="119">
        <v>576</v>
      </c>
      <c r="G351" s="119">
        <v>720</v>
      </c>
      <c r="H351" s="119">
        <v>144</v>
      </c>
      <c r="I351" s="120">
        <v>45292</v>
      </c>
    </row>
    <row r="352" spans="1:9" ht="17.25" customHeight="1" x14ac:dyDescent="0.25">
      <c r="A352" s="112">
        <v>45387</v>
      </c>
      <c r="B352" s="117" t="s">
        <v>1334</v>
      </c>
      <c r="C352" s="118"/>
      <c r="D352" s="82">
        <v>5</v>
      </c>
      <c r="E352" s="119">
        <v>320</v>
      </c>
      <c r="F352" s="119">
        <v>384</v>
      </c>
      <c r="G352" s="119">
        <v>480</v>
      </c>
      <c r="H352" s="119">
        <v>96</v>
      </c>
      <c r="I352" s="120" t="s">
        <v>1346</v>
      </c>
    </row>
    <row r="353" spans="1:9" ht="17.25" customHeight="1" x14ac:dyDescent="0.25">
      <c r="A353" s="112">
        <v>45425</v>
      </c>
      <c r="B353" s="117" t="s">
        <v>1261</v>
      </c>
      <c r="C353" s="118"/>
      <c r="D353" s="82">
        <v>7</v>
      </c>
      <c r="E353" s="119">
        <v>467</v>
      </c>
      <c r="F353" s="119">
        <v>560</v>
      </c>
      <c r="G353" s="119">
        <v>700</v>
      </c>
      <c r="H353" s="119">
        <v>140</v>
      </c>
      <c r="I353" s="120" t="s">
        <v>1351</v>
      </c>
    </row>
    <row r="354" spans="1:9" ht="17.25" customHeight="1" x14ac:dyDescent="0.25">
      <c r="A354" s="112">
        <v>45426</v>
      </c>
      <c r="B354" s="117" t="s">
        <v>1262</v>
      </c>
      <c r="C354" s="118"/>
      <c r="D354" s="82">
        <v>7</v>
      </c>
      <c r="E354" s="119">
        <v>467</v>
      </c>
      <c r="F354" s="119">
        <v>560</v>
      </c>
      <c r="G354" s="119">
        <v>700</v>
      </c>
      <c r="H354" s="119">
        <v>140</v>
      </c>
      <c r="I354" s="120" t="s">
        <v>1351</v>
      </c>
    </row>
    <row r="355" spans="1:9" ht="17.25" customHeight="1" x14ac:dyDescent="0.25">
      <c r="A355" s="112">
        <v>45439</v>
      </c>
      <c r="B355" s="117" t="s">
        <v>1263</v>
      </c>
      <c r="C355" s="118"/>
      <c r="D355" s="82">
        <v>6</v>
      </c>
      <c r="E355" s="119">
        <v>360</v>
      </c>
      <c r="F355" s="119">
        <v>432</v>
      </c>
      <c r="G355" s="119">
        <v>540</v>
      </c>
      <c r="H355" s="119">
        <v>108</v>
      </c>
      <c r="I355" s="120" t="s">
        <v>1346</v>
      </c>
    </row>
    <row r="356" spans="1:9" ht="17.25" customHeight="1" x14ac:dyDescent="0.25">
      <c r="A356" s="112">
        <v>45440</v>
      </c>
      <c r="B356" s="117" t="s">
        <v>1264</v>
      </c>
      <c r="C356" s="118"/>
      <c r="D356" s="82">
        <v>6</v>
      </c>
      <c r="E356" s="119">
        <v>360</v>
      </c>
      <c r="F356" s="119">
        <v>432</v>
      </c>
      <c r="G356" s="119">
        <v>540</v>
      </c>
      <c r="H356" s="119">
        <v>108</v>
      </c>
      <c r="I356" s="120" t="s">
        <v>1346</v>
      </c>
    </row>
    <row r="357" spans="1:9" ht="17.25" customHeight="1" x14ac:dyDescent="0.25">
      <c r="A357" s="112">
        <v>45441</v>
      </c>
      <c r="B357" s="117" t="s">
        <v>1265</v>
      </c>
      <c r="C357" s="118"/>
      <c r="D357" s="82">
        <v>6</v>
      </c>
      <c r="E357" s="119">
        <v>360</v>
      </c>
      <c r="F357" s="119">
        <v>432</v>
      </c>
      <c r="G357" s="119">
        <v>540</v>
      </c>
      <c r="H357" s="119">
        <v>108</v>
      </c>
      <c r="I357" s="120" t="s">
        <v>1346</v>
      </c>
    </row>
    <row r="358" spans="1:9" ht="17.25" customHeight="1" x14ac:dyDescent="0.25">
      <c r="A358" s="112">
        <v>45551</v>
      </c>
      <c r="B358" s="117" t="s">
        <v>1266</v>
      </c>
      <c r="C358" s="118"/>
      <c r="D358" s="82">
        <v>15</v>
      </c>
      <c r="E358" s="119">
        <v>1000</v>
      </c>
      <c r="F358" s="119">
        <v>1200</v>
      </c>
      <c r="G358" s="119">
        <v>1500</v>
      </c>
      <c r="H358" s="119">
        <v>300</v>
      </c>
      <c r="I358" s="120" t="s">
        <v>1346</v>
      </c>
    </row>
    <row r="359" spans="1:9" ht="17.25" customHeight="1" x14ac:dyDescent="0.25">
      <c r="A359" s="112">
        <v>45552</v>
      </c>
      <c r="B359" s="117" t="s">
        <v>1267</v>
      </c>
      <c r="C359" s="118"/>
      <c r="D359" s="82">
        <v>15</v>
      </c>
      <c r="E359" s="119">
        <v>1000</v>
      </c>
      <c r="F359" s="119">
        <v>1200</v>
      </c>
      <c r="G359" s="119">
        <v>1500</v>
      </c>
      <c r="H359" s="119">
        <v>300</v>
      </c>
      <c r="I359" s="120" t="s">
        <v>1346</v>
      </c>
    </row>
    <row r="360" spans="1:9" ht="17.25" customHeight="1" x14ac:dyDescent="0.25">
      <c r="A360" s="112">
        <v>45556</v>
      </c>
      <c r="B360" s="117" t="s">
        <v>1268</v>
      </c>
      <c r="C360" s="118"/>
      <c r="D360" s="82">
        <v>13</v>
      </c>
      <c r="E360" s="119">
        <v>867</v>
      </c>
      <c r="F360" s="119">
        <v>1040</v>
      </c>
      <c r="G360" s="119">
        <v>1300</v>
      </c>
      <c r="H360" s="119">
        <v>260</v>
      </c>
      <c r="I360" s="120">
        <v>45292</v>
      </c>
    </row>
    <row r="361" spans="1:9" ht="17.25" customHeight="1" x14ac:dyDescent="0.25">
      <c r="A361" s="112">
        <v>45557</v>
      </c>
      <c r="B361" s="117" t="s">
        <v>1269</v>
      </c>
      <c r="C361" s="118"/>
      <c r="D361" s="82">
        <v>13</v>
      </c>
      <c r="E361" s="119">
        <v>867</v>
      </c>
      <c r="F361" s="119">
        <v>1040</v>
      </c>
      <c r="G361" s="119">
        <v>1300</v>
      </c>
      <c r="H361" s="119">
        <v>260</v>
      </c>
      <c r="I361" s="120">
        <v>45292</v>
      </c>
    </row>
    <row r="362" spans="1:9" ht="17.25" customHeight="1" x14ac:dyDescent="0.25">
      <c r="A362" s="112">
        <v>45558</v>
      </c>
      <c r="B362" s="117" t="s">
        <v>1270</v>
      </c>
      <c r="C362" s="118"/>
      <c r="D362" s="82">
        <v>13</v>
      </c>
      <c r="E362" s="119">
        <v>867</v>
      </c>
      <c r="F362" s="119">
        <v>1040</v>
      </c>
      <c r="G362" s="119">
        <v>1300</v>
      </c>
      <c r="H362" s="119">
        <v>260</v>
      </c>
      <c r="I362" s="120">
        <v>45292</v>
      </c>
    </row>
    <row r="363" spans="1:9" ht="17.25" customHeight="1" x14ac:dyDescent="0.25">
      <c r="A363" s="112">
        <v>45559</v>
      </c>
      <c r="B363" s="117" t="s">
        <v>1271</v>
      </c>
      <c r="C363" s="118"/>
      <c r="D363" s="82">
        <v>13</v>
      </c>
      <c r="E363" s="119">
        <v>867</v>
      </c>
      <c r="F363" s="119">
        <v>1040</v>
      </c>
      <c r="G363" s="119">
        <v>1300</v>
      </c>
      <c r="H363" s="119">
        <v>260</v>
      </c>
      <c r="I363" s="120">
        <v>45292</v>
      </c>
    </row>
    <row r="364" spans="1:9" ht="17.25" customHeight="1" x14ac:dyDescent="0.25">
      <c r="A364" s="112">
        <v>45560</v>
      </c>
      <c r="B364" s="117" t="s">
        <v>1272</v>
      </c>
      <c r="C364" s="118"/>
      <c r="D364" s="82">
        <v>13</v>
      </c>
      <c r="E364" s="119">
        <v>867</v>
      </c>
      <c r="F364" s="119">
        <v>1040</v>
      </c>
      <c r="G364" s="119">
        <v>1300</v>
      </c>
      <c r="H364" s="119">
        <v>260</v>
      </c>
      <c r="I364" s="120">
        <v>45292</v>
      </c>
    </row>
    <row r="365" spans="1:9" ht="17.25" customHeight="1" x14ac:dyDescent="0.25">
      <c r="A365" s="112">
        <v>45561</v>
      </c>
      <c r="B365" s="117" t="s">
        <v>1273</v>
      </c>
      <c r="C365" s="118"/>
      <c r="D365" s="82">
        <v>13</v>
      </c>
      <c r="E365" s="119">
        <v>867</v>
      </c>
      <c r="F365" s="119">
        <v>1040</v>
      </c>
      <c r="G365" s="119">
        <v>1300</v>
      </c>
      <c r="H365" s="119">
        <v>260</v>
      </c>
      <c r="I365" s="120">
        <v>45292</v>
      </c>
    </row>
    <row r="366" spans="1:9" ht="17.25" customHeight="1" x14ac:dyDescent="0.25">
      <c r="A366" s="112">
        <v>45562</v>
      </c>
      <c r="B366" s="117" t="s">
        <v>1274</v>
      </c>
      <c r="C366" s="118"/>
      <c r="D366" s="82">
        <v>13</v>
      </c>
      <c r="E366" s="119">
        <v>867</v>
      </c>
      <c r="F366" s="119">
        <v>1040</v>
      </c>
      <c r="G366" s="119">
        <v>1300</v>
      </c>
      <c r="H366" s="119">
        <v>260</v>
      </c>
      <c r="I366" s="120">
        <v>45292</v>
      </c>
    </row>
    <row r="367" spans="1:9" ht="17.25" customHeight="1" x14ac:dyDescent="0.25">
      <c r="A367" s="112">
        <v>45563</v>
      </c>
      <c r="B367" s="117" t="s">
        <v>1275</v>
      </c>
      <c r="C367" s="118"/>
      <c r="D367" s="82">
        <v>13</v>
      </c>
      <c r="E367" s="119">
        <v>867</v>
      </c>
      <c r="F367" s="119">
        <v>1040</v>
      </c>
      <c r="G367" s="119">
        <v>1300</v>
      </c>
      <c r="H367" s="119">
        <v>260</v>
      </c>
      <c r="I367" s="120">
        <v>45292</v>
      </c>
    </row>
    <row r="368" spans="1:9" ht="17.25" customHeight="1" x14ac:dyDescent="0.25">
      <c r="A368" s="112">
        <v>45564</v>
      </c>
      <c r="B368" s="117" t="s">
        <v>1276</v>
      </c>
      <c r="C368" s="118"/>
      <c r="D368" s="82">
        <v>13</v>
      </c>
      <c r="E368" s="119">
        <v>867</v>
      </c>
      <c r="F368" s="119">
        <v>1040</v>
      </c>
      <c r="G368" s="119">
        <v>1300</v>
      </c>
      <c r="H368" s="119">
        <v>260</v>
      </c>
      <c r="I368" s="120">
        <v>45292</v>
      </c>
    </row>
    <row r="369" spans="1:9" ht="17.25" customHeight="1" x14ac:dyDescent="0.25">
      <c r="A369" s="112">
        <v>45565</v>
      </c>
      <c r="B369" s="117" t="s">
        <v>1277</v>
      </c>
      <c r="C369" s="118"/>
      <c r="D369" s="82">
        <v>13</v>
      </c>
      <c r="E369" s="119">
        <v>867</v>
      </c>
      <c r="F369" s="119">
        <v>1040</v>
      </c>
      <c r="G369" s="119">
        <v>1300</v>
      </c>
      <c r="H369" s="119">
        <v>260</v>
      </c>
      <c r="I369" s="120">
        <v>45292</v>
      </c>
    </row>
    <row r="370" spans="1:9" ht="17.25" customHeight="1" x14ac:dyDescent="0.25">
      <c r="A370" s="112">
        <v>45736</v>
      </c>
      <c r="B370" s="117" t="s">
        <v>1278</v>
      </c>
      <c r="C370" s="118"/>
      <c r="D370" s="82">
        <v>7</v>
      </c>
      <c r="E370" s="119">
        <v>240</v>
      </c>
      <c r="F370" s="119">
        <v>576</v>
      </c>
      <c r="G370" s="119">
        <v>720</v>
      </c>
      <c r="H370" s="119">
        <v>144</v>
      </c>
      <c r="I370" s="120" t="s">
        <v>1346</v>
      </c>
    </row>
    <row r="371" spans="1:9" ht="17.25" customHeight="1" x14ac:dyDescent="0.25">
      <c r="A371" s="112">
        <v>45798</v>
      </c>
      <c r="B371" s="117" t="s">
        <v>1279</v>
      </c>
      <c r="C371" s="118"/>
      <c r="D371" s="82">
        <v>7</v>
      </c>
      <c r="E371" s="119">
        <v>453</v>
      </c>
      <c r="F371" s="119">
        <v>544</v>
      </c>
      <c r="G371" s="119">
        <v>680</v>
      </c>
      <c r="H371" s="119">
        <v>136</v>
      </c>
      <c r="I371" s="120" t="s">
        <v>1346</v>
      </c>
    </row>
    <row r="372" spans="1:9" ht="17.25" customHeight="1" x14ac:dyDescent="0.25">
      <c r="A372" s="112">
        <v>45822</v>
      </c>
      <c r="B372" s="117" t="s">
        <v>1280</v>
      </c>
      <c r="C372" s="118"/>
      <c r="D372" s="82">
        <v>10</v>
      </c>
      <c r="E372" s="119">
        <v>627</v>
      </c>
      <c r="F372" s="119">
        <v>752</v>
      </c>
      <c r="G372" s="119">
        <v>940</v>
      </c>
      <c r="H372" s="119">
        <v>188</v>
      </c>
      <c r="I372" s="120">
        <v>45292</v>
      </c>
    </row>
    <row r="373" spans="1:9" ht="17.25" customHeight="1" x14ac:dyDescent="0.25">
      <c r="A373" s="112">
        <v>45823</v>
      </c>
      <c r="B373" s="117" t="s">
        <v>1281</v>
      </c>
      <c r="C373" s="118"/>
      <c r="D373" s="82">
        <v>10</v>
      </c>
      <c r="E373" s="119">
        <v>627</v>
      </c>
      <c r="F373" s="119">
        <v>752</v>
      </c>
      <c r="G373" s="119">
        <v>940</v>
      </c>
      <c r="H373" s="119">
        <v>188</v>
      </c>
      <c r="I373" s="120">
        <v>45292</v>
      </c>
    </row>
    <row r="374" spans="1:9" ht="17.25" customHeight="1" x14ac:dyDescent="0.25">
      <c r="A374" s="112">
        <v>45824</v>
      </c>
      <c r="B374" s="117" t="s">
        <v>1282</v>
      </c>
      <c r="C374" s="118"/>
      <c r="D374" s="82">
        <v>10</v>
      </c>
      <c r="E374" s="119">
        <v>627</v>
      </c>
      <c r="F374" s="119">
        <v>752</v>
      </c>
      <c r="G374" s="119">
        <v>940</v>
      </c>
      <c r="H374" s="119">
        <v>188</v>
      </c>
      <c r="I374" s="120">
        <v>45292</v>
      </c>
    </row>
    <row r="375" spans="1:9" ht="17.25" customHeight="1" x14ac:dyDescent="0.25">
      <c r="A375" s="112">
        <v>45848</v>
      </c>
      <c r="B375" s="117" t="s">
        <v>1283</v>
      </c>
      <c r="C375" s="118"/>
      <c r="D375" s="82">
        <v>5</v>
      </c>
      <c r="E375" s="119">
        <v>320</v>
      </c>
      <c r="F375" s="119">
        <v>384</v>
      </c>
      <c r="G375" s="119">
        <v>480</v>
      </c>
      <c r="H375" s="119">
        <v>96</v>
      </c>
      <c r="I375" s="120" t="s">
        <v>1346</v>
      </c>
    </row>
    <row r="376" spans="1:9" ht="17.25" customHeight="1" x14ac:dyDescent="0.25">
      <c r="A376" s="112">
        <v>45849</v>
      </c>
      <c r="B376" s="117" t="s">
        <v>1284</v>
      </c>
      <c r="C376" s="118"/>
      <c r="D376" s="82">
        <v>2</v>
      </c>
      <c r="E376" s="119">
        <v>153</v>
      </c>
      <c r="F376" s="119">
        <v>184</v>
      </c>
      <c r="G376" s="119">
        <v>230</v>
      </c>
      <c r="H376" s="119">
        <v>46</v>
      </c>
      <c r="I376" s="120" t="s">
        <v>1346</v>
      </c>
    </row>
    <row r="377" spans="1:9" ht="17.25" customHeight="1" x14ac:dyDescent="0.25">
      <c r="A377" s="112">
        <v>45853</v>
      </c>
      <c r="B377" s="117" t="s">
        <v>1285</v>
      </c>
      <c r="C377" s="118"/>
      <c r="D377" s="82">
        <v>4</v>
      </c>
      <c r="E377" s="119">
        <v>287</v>
      </c>
      <c r="F377" s="119">
        <v>344</v>
      </c>
      <c r="G377" s="119">
        <v>430</v>
      </c>
      <c r="H377" s="119">
        <v>86</v>
      </c>
      <c r="I377" s="120">
        <v>45292</v>
      </c>
    </row>
    <row r="378" spans="1:9" ht="17.25" customHeight="1" x14ac:dyDescent="0.25">
      <c r="A378" s="112">
        <v>45854</v>
      </c>
      <c r="B378" s="117" t="s">
        <v>1286</v>
      </c>
      <c r="C378" s="118"/>
      <c r="D378" s="82">
        <v>2</v>
      </c>
      <c r="E378" s="119">
        <v>133</v>
      </c>
      <c r="F378" s="119">
        <v>160</v>
      </c>
      <c r="G378" s="119">
        <v>200</v>
      </c>
      <c r="H378" s="119">
        <v>40</v>
      </c>
      <c r="I378" s="120">
        <v>45292</v>
      </c>
    </row>
    <row r="379" spans="1:9" ht="17.25" customHeight="1" x14ac:dyDescent="0.25">
      <c r="A379" s="112">
        <v>45855</v>
      </c>
      <c r="B379" s="117" t="s">
        <v>1287</v>
      </c>
      <c r="C379" s="118"/>
      <c r="D379" s="82">
        <v>8</v>
      </c>
      <c r="E379" s="119">
        <v>487</v>
      </c>
      <c r="F379" s="119">
        <v>584</v>
      </c>
      <c r="G379" s="119">
        <v>730</v>
      </c>
      <c r="H379" s="119">
        <v>146</v>
      </c>
      <c r="I379" s="120">
        <v>45292</v>
      </c>
    </row>
    <row r="380" spans="1:9" ht="17.25" customHeight="1" x14ac:dyDescent="0.25">
      <c r="A380" s="112">
        <v>45868</v>
      </c>
      <c r="B380" s="117" t="s">
        <v>1288</v>
      </c>
      <c r="C380" s="118"/>
      <c r="D380" s="82">
        <v>6</v>
      </c>
      <c r="E380" s="119">
        <v>387</v>
      </c>
      <c r="F380" s="119">
        <v>464</v>
      </c>
      <c r="G380" s="119">
        <v>580</v>
      </c>
      <c r="H380" s="119">
        <v>116</v>
      </c>
      <c r="I380" s="120" t="s">
        <v>1351</v>
      </c>
    </row>
    <row r="381" spans="1:9" ht="17.25" customHeight="1" x14ac:dyDescent="0.25">
      <c r="A381" s="112">
        <v>45878</v>
      </c>
      <c r="B381" s="117" t="s">
        <v>1289</v>
      </c>
      <c r="C381" s="118"/>
      <c r="D381" s="82">
        <v>2</v>
      </c>
      <c r="E381" s="119">
        <v>153</v>
      </c>
      <c r="F381" s="119">
        <v>184</v>
      </c>
      <c r="G381" s="119">
        <v>230</v>
      </c>
      <c r="H381" s="119">
        <v>46</v>
      </c>
      <c r="I381" s="120" t="s">
        <v>1351</v>
      </c>
    </row>
    <row r="382" spans="1:9" ht="17.25" customHeight="1" x14ac:dyDescent="0.25">
      <c r="A382" s="112">
        <v>45879</v>
      </c>
      <c r="B382" s="117" t="s">
        <v>1290</v>
      </c>
      <c r="C382" s="118"/>
      <c r="D382" s="82">
        <v>3</v>
      </c>
      <c r="E382" s="119">
        <v>207</v>
      </c>
      <c r="F382" s="119">
        <v>248</v>
      </c>
      <c r="G382" s="119">
        <v>310</v>
      </c>
      <c r="H382" s="119">
        <v>62</v>
      </c>
      <c r="I382" s="120" t="s">
        <v>1351</v>
      </c>
    </row>
    <row r="383" spans="1:9" ht="17.25" customHeight="1" x14ac:dyDescent="0.25">
      <c r="A383" s="112">
        <v>45941</v>
      </c>
      <c r="B383" s="117" t="s">
        <v>1291</v>
      </c>
      <c r="C383" s="118"/>
      <c r="D383" s="82">
        <v>4</v>
      </c>
      <c r="E383" s="119">
        <v>273</v>
      </c>
      <c r="F383" s="119">
        <v>328</v>
      </c>
      <c r="G383" s="119">
        <v>410</v>
      </c>
      <c r="H383" s="119">
        <v>82</v>
      </c>
      <c r="I383" s="120">
        <v>45292</v>
      </c>
    </row>
    <row r="384" spans="1:9" ht="17.25" customHeight="1" x14ac:dyDescent="0.25">
      <c r="A384" s="112">
        <v>45942</v>
      </c>
      <c r="B384" s="117" t="s">
        <v>1292</v>
      </c>
      <c r="C384" s="118"/>
      <c r="D384" s="82">
        <v>4</v>
      </c>
      <c r="E384" s="119">
        <v>273</v>
      </c>
      <c r="F384" s="119">
        <v>328</v>
      </c>
      <c r="G384" s="119">
        <v>410</v>
      </c>
      <c r="H384" s="119">
        <v>82</v>
      </c>
      <c r="I384" s="120">
        <v>45292</v>
      </c>
    </row>
    <row r="385" spans="1:9" ht="17.25" customHeight="1" x14ac:dyDescent="0.25">
      <c r="A385" s="112">
        <v>45943</v>
      </c>
      <c r="B385" s="117" t="s">
        <v>1293</v>
      </c>
      <c r="C385" s="118"/>
      <c r="D385" s="82">
        <v>4</v>
      </c>
      <c r="E385" s="119">
        <v>273</v>
      </c>
      <c r="F385" s="119">
        <v>328</v>
      </c>
      <c r="G385" s="119">
        <v>410</v>
      </c>
      <c r="H385" s="119">
        <v>82</v>
      </c>
      <c r="I385" s="120">
        <v>45292</v>
      </c>
    </row>
    <row r="386" spans="1:9" ht="17.25" customHeight="1" x14ac:dyDescent="0.25">
      <c r="A386" s="112">
        <v>45944</v>
      </c>
      <c r="B386" s="117" t="s">
        <v>1294</v>
      </c>
      <c r="C386" s="118"/>
      <c r="D386" s="82">
        <v>4</v>
      </c>
      <c r="E386" s="119">
        <v>273</v>
      </c>
      <c r="F386" s="119">
        <v>328</v>
      </c>
      <c r="G386" s="119">
        <v>410</v>
      </c>
      <c r="H386" s="119">
        <v>82</v>
      </c>
      <c r="I386" s="120">
        <v>45292</v>
      </c>
    </row>
    <row r="387" spans="1:9" ht="17.25" customHeight="1" x14ac:dyDescent="0.25">
      <c r="A387" s="112">
        <v>46015</v>
      </c>
      <c r="B387" s="117" t="s">
        <v>1295</v>
      </c>
      <c r="C387" s="118"/>
      <c r="D387" s="82">
        <v>7</v>
      </c>
      <c r="E387" s="119">
        <v>233</v>
      </c>
      <c r="F387" s="119">
        <v>559</v>
      </c>
      <c r="G387" s="119">
        <v>699</v>
      </c>
      <c r="H387" s="119">
        <v>140</v>
      </c>
      <c r="I387" s="120">
        <v>45292</v>
      </c>
    </row>
    <row r="388" spans="1:9" ht="17.25" customHeight="1" x14ac:dyDescent="0.25">
      <c r="A388" s="112">
        <v>46019</v>
      </c>
      <c r="B388" s="117" t="s">
        <v>1296</v>
      </c>
      <c r="C388" s="118"/>
      <c r="D388" s="82">
        <v>6</v>
      </c>
      <c r="E388" s="119">
        <v>393</v>
      </c>
      <c r="F388" s="119">
        <v>472</v>
      </c>
      <c r="G388" s="119">
        <v>590</v>
      </c>
      <c r="H388" s="119">
        <v>118</v>
      </c>
      <c r="I388" s="120">
        <v>45292</v>
      </c>
    </row>
    <row r="389" spans="1:9" ht="17.25" customHeight="1" x14ac:dyDescent="0.25">
      <c r="A389" s="112">
        <v>46020</v>
      </c>
      <c r="B389" s="117" t="s">
        <v>1297</v>
      </c>
      <c r="C389" s="118"/>
      <c r="D389" s="82">
        <v>6</v>
      </c>
      <c r="E389" s="119">
        <v>393</v>
      </c>
      <c r="F389" s="119">
        <v>472</v>
      </c>
      <c r="G389" s="119">
        <v>590</v>
      </c>
      <c r="H389" s="119">
        <v>118</v>
      </c>
      <c r="I389" s="120">
        <v>45292</v>
      </c>
    </row>
    <row r="390" spans="1:9" ht="17.25" customHeight="1" x14ac:dyDescent="0.25">
      <c r="A390" s="112">
        <v>46028</v>
      </c>
      <c r="B390" s="117" t="s">
        <v>1298</v>
      </c>
      <c r="C390" s="118"/>
      <c r="D390" s="82">
        <v>23</v>
      </c>
      <c r="E390" s="119">
        <v>733</v>
      </c>
      <c r="F390" s="119">
        <v>1759</v>
      </c>
      <c r="G390" s="119">
        <v>2199</v>
      </c>
      <c r="H390" s="119">
        <v>440</v>
      </c>
      <c r="I390" s="120" t="s">
        <v>1351</v>
      </c>
    </row>
    <row r="391" spans="1:9" ht="17.25" customHeight="1" x14ac:dyDescent="0.25">
      <c r="A391" s="112">
        <v>46219</v>
      </c>
      <c r="B391" s="117" t="s">
        <v>1299</v>
      </c>
      <c r="C391" s="118"/>
      <c r="D391" s="82">
        <v>2</v>
      </c>
      <c r="E391" s="119">
        <v>133</v>
      </c>
      <c r="F391" s="119">
        <v>160</v>
      </c>
      <c r="G391" s="119">
        <v>200</v>
      </c>
      <c r="H391" s="119">
        <v>40</v>
      </c>
      <c r="I391" s="120">
        <v>45292</v>
      </c>
    </row>
    <row r="392" spans="1:9" ht="17.25" customHeight="1" x14ac:dyDescent="0.25">
      <c r="A392" s="112">
        <v>46292</v>
      </c>
      <c r="B392" s="117" t="s">
        <v>1300</v>
      </c>
      <c r="C392" s="118"/>
      <c r="D392" s="82">
        <v>5</v>
      </c>
      <c r="E392" s="119">
        <v>320</v>
      </c>
      <c r="F392" s="119">
        <v>384</v>
      </c>
      <c r="G392" s="119">
        <v>480</v>
      </c>
      <c r="H392" s="119">
        <v>96</v>
      </c>
      <c r="I392" s="120" t="s">
        <v>1346</v>
      </c>
    </row>
    <row r="393" spans="1:9" ht="17.25" customHeight="1" x14ac:dyDescent="0.25">
      <c r="A393" s="112">
        <v>46412</v>
      </c>
      <c r="B393" s="117" t="s">
        <v>1301</v>
      </c>
      <c r="C393" s="118"/>
      <c r="D393" s="82">
        <v>9</v>
      </c>
      <c r="E393" s="119">
        <v>287</v>
      </c>
      <c r="F393" s="119">
        <v>688</v>
      </c>
      <c r="G393" s="119">
        <v>860</v>
      </c>
      <c r="H393" s="119">
        <v>172</v>
      </c>
      <c r="I393" s="120">
        <v>45292</v>
      </c>
    </row>
    <row r="394" spans="1:9" ht="17.25" customHeight="1" x14ac:dyDescent="0.25">
      <c r="A394" s="112">
        <v>46413</v>
      </c>
      <c r="B394" s="117" t="s">
        <v>1302</v>
      </c>
      <c r="C394" s="118"/>
      <c r="D394" s="82">
        <v>8</v>
      </c>
      <c r="E394" s="119">
        <v>260</v>
      </c>
      <c r="F394" s="119">
        <v>624</v>
      </c>
      <c r="G394" s="119">
        <v>780</v>
      </c>
      <c r="H394" s="119">
        <v>156</v>
      </c>
      <c r="I394" s="120">
        <v>45292</v>
      </c>
    </row>
    <row r="395" spans="1:9" ht="17.25" customHeight="1" x14ac:dyDescent="0.25">
      <c r="A395" s="112">
        <v>46465</v>
      </c>
      <c r="B395" s="117" t="s">
        <v>1303</v>
      </c>
      <c r="C395" s="118"/>
      <c r="D395" s="82">
        <v>5</v>
      </c>
      <c r="E395" s="119">
        <v>340</v>
      </c>
      <c r="F395" s="119">
        <v>408</v>
      </c>
      <c r="G395" s="119">
        <v>510</v>
      </c>
      <c r="H395" s="119">
        <v>102</v>
      </c>
      <c r="I395" s="120">
        <v>45292</v>
      </c>
    </row>
    <row r="396" spans="1:9" ht="17.25" customHeight="1" x14ac:dyDescent="0.25">
      <c r="A396" s="112">
        <v>46466</v>
      </c>
      <c r="B396" s="117" t="s">
        <v>1304</v>
      </c>
      <c r="C396" s="118"/>
      <c r="D396" s="82">
        <v>5</v>
      </c>
      <c r="E396" s="119">
        <v>340</v>
      </c>
      <c r="F396" s="119">
        <v>408</v>
      </c>
      <c r="G396" s="119">
        <v>510</v>
      </c>
      <c r="H396" s="119">
        <v>102</v>
      </c>
      <c r="I396" s="120">
        <v>45292</v>
      </c>
    </row>
    <row r="397" spans="1:9" ht="17.25" customHeight="1" x14ac:dyDescent="0.25">
      <c r="A397" s="112">
        <v>46497</v>
      </c>
      <c r="B397" s="117" t="s">
        <v>1305</v>
      </c>
      <c r="C397" s="118"/>
      <c r="D397" s="82">
        <v>3</v>
      </c>
      <c r="E397" s="119">
        <v>187</v>
      </c>
      <c r="F397" s="119">
        <v>224</v>
      </c>
      <c r="G397" s="119">
        <v>280</v>
      </c>
      <c r="H397" s="119">
        <v>56</v>
      </c>
      <c r="I397" s="120" t="s">
        <v>1349</v>
      </c>
    </row>
    <row r="398" spans="1:9" ht="17.25" customHeight="1" x14ac:dyDescent="0.25">
      <c r="A398" s="112">
        <v>46498</v>
      </c>
      <c r="B398" s="117" t="s">
        <v>1306</v>
      </c>
      <c r="C398" s="118"/>
      <c r="D398" s="82">
        <v>4</v>
      </c>
      <c r="E398" s="119">
        <v>287</v>
      </c>
      <c r="F398" s="119">
        <v>344</v>
      </c>
      <c r="G398" s="119">
        <v>430</v>
      </c>
      <c r="H398" s="119">
        <v>86</v>
      </c>
      <c r="I398" s="120" t="s">
        <v>1348</v>
      </c>
    </row>
    <row r="399" spans="1:9" ht="17.25" customHeight="1" x14ac:dyDescent="0.25">
      <c r="A399" s="112">
        <v>46564</v>
      </c>
      <c r="B399" s="117" t="s">
        <v>1307</v>
      </c>
      <c r="C399" s="118"/>
      <c r="D399" s="82">
        <v>14</v>
      </c>
      <c r="E399" s="119">
        <v>467</v>
      </c>
      <c r="F399" s="119">
        <v>1119</v>
      </c>
      <c r="G399" s="119">
        <v>1399</v>
      </c>
      <c r="H399" s="119">
        <v>280</v>
      </c>
      <c r="I399" s="120" t="s">
        <v>1351</v>
      </c>
    </row>
    <row r="400" spans="1:9" ht="17.25" customHeight="1" x14ac:dyDescent="0.25">
      <c r="A400" s="112">
        <v>46596</v>
      </c>
      <c r="B400" s="117" t="s">
        <v>1308</v>
      </c>
      <c r="C400" s="118"/>
      <c r="D400" s="82">
        <v>6</v>
      </c>
      <c r="E400" s="119">
        <v>360</v>
      </c>
      <c r="F400" s="119">
        <v>432</v>
      </c>
      <c r="G400" s="119">
        <v>540</v>
      </c>
      <c r="H400" s="119">
        <v>108</v>
      </c>
      <c r="I400" s="120" t="s">
        <v>1346</v>
      </c>
    </row>
    <row r="401" spans="1:9" ht="17.25" customHeight="1" x14ac:dyDescent="0.25">
      <c r="A401" s="112">
        <v>46657</v>
      </c>
      <c r="B401" s="117" t="s">
        <v>1309</v>
      </c>
      <c r="C401" s="118"/>
      <c r="D401" s="82">
        <v>8</v>
      </c>
      <c r="E401" s="119">
        <v>260</v>
      </c>
      <c r="F401" s="119">
        <v>624</v>
      </c>
      <c r="G401" s="119">
        <v>780</v>
      </c>
      <c r="H401" s="119">
        <v>156</v>
      </c>
      <c r="I401" s="120" t="s">
        <v>1351</v>
      </c>
    </row>
    <row r="402" spans="1:9" ht="17.25" customHeight="1" x14ac:dyDescent="0.25">
      <c r="A402" s="112">
        <v>46659</v>
      </c>
      <c r="B402" s="117" t="s">
        <v>1310</v>
      </c>
      <c r="C402" s="118"/>
      <c r="D402" s="82">
        <v>3</v>
      </c>
      <c r="E402" s="119">
        <v>100</v>
      </c>
      <c r="F402" s="119">
        <v>239</v>
      </c>
      <c r="G402" s="119">
        <v>299</v>
      </c>
      <c r="H402" s="119">
        <v>60</v>
      </c>
      <c r="I402" s="120" t="s">
        <v>1351</v>
      </c>
    </row>
    <row r="403" spans="1:9" ht="17.25" customHeight="1" x14ac:dyDescent="0.25">
      <c r="A403" s="112">
        <v>46660</v>
      </c>
      <c r="B403" s="117" t="s">
        <v>1311</v>
      </c>
      <c r="C403" s="118"/>
      <c r="D403" s="82">
        <v>14</v>
      </c>
      <c r="E403" s="119">
        <v>467</v>
      </c>
      <c r="F403" s="119">
        <v>1120</v>
      </c>
      <c r="G403" s="119">
        <v>1400</v>
      </c>
      <c r="H403" s="119">
        <v>280</v>
      </c>
      <c r="I403" s="120">
        <v>45292</v>
      </c>
    </row>
    <row r="404" spans="1:9" ht="17.25" customHeight="1" x14ac:dyDescent="0.25">
      <c r="A404" s="112">
        <v>46680</v>
      </c>
      <c r="B404" s="117" t="s">
        <v>1312</v>
      </c>
      <c r="C404" s="118"/>
      <c r="D404" s="82">
        <v>19</v>
      </c>
      <c r="E404" s="119">
        <v>600</v>
      </c>
      <c r="F404" s="119">
        <v>1439</v>
      </c>
      <c r="G404" s="119">
        <v>1799</v>
      </c>
      <c r="H404" s="119">
        <v>360</v>
      </c>
      <c r="I404" s="120" t="s">
        <v>1346</v>
      </c>
    </row>
    <row r="405" spans="1:9" ht="17.25" customHeight="1" x14ac:dyDescent="0.25">
      <c r="A405" s="112">
        <v>46682</v>
      </c>
      <c r="B405" s="117" t="s">
        <v>1313</v>
      </c>
      <c r="C405" s="118"/>
      <c r="D405" s="82">
        <v>4</v>
      </c>
      <c r="E405" s="119">
        <v>133</v>
      </c>
      <c r="F405" s="119">
        <v>319</v>
      </c>
      <c r="G405" s="119">
        <v>399</v>
      </c>
      <c r="H405" s="119">
        <v>80</v>
      </c>
      <c r="I405" s="120" t="s">
        <v>1351</v>
      </c>
    </row>
    <row r="406" spans="1:9" ht="17.25" customHeight="1" x14ac:dyDescent="0.25">
      <c r="A406" s="112">
        <v>46714</v>
      </c>
      <c r="B406" s="117" t="s">
        <v>1314</v>
      </c>
      <c r="C406" s="118"/>
      <c r="D406" s="82">
        <v>15</v>
      </c>
      <c r="E406" s="119">
        <v>500</v>
      </c>
      <c r="F406" s="119">
        <v>1199</v>
      </c>
      <c r="G406" s="119">
        <v>1499</v>
      </c>
      <c r="H406" s="119">
        <v>300</v>
      </c>
      <c r="I406" s="120">
        <v>45292</v>
      </c>
    </row>
    <row r="407" spans="1:9" ht="17.25" customHeight="1" x14ac:dyDescent="0.25">
      <c r="A407" s="112">
        <v>46724</v>
      </c>
      <c r="B407" s="117" t="s">
        <v>1315</v>
      </c>
      <c r="C407" s="118"/>
      <c r="D407" s="82">
        <v>9</v>
      </c>
      <c r="E407" s="119">
        <v>300</v>
      </c>
      <c r="F407" s="119">
        <v>719</v>
      </c>
      <c r="G407" s="119">
        <v>899</v>
      </c>
      <c r="H407" s="119">
        <v>180</v>
      </c>
      <c r="I407" s="120" t="s">
        <v>1351</v>
      </c>
    </row>
    <row r="408" spans="1:9" ht="17.25" customHeight="1" x14ac:dyDescent="0.25">
      <c r="A408" s="112">
        <v>46725</v>
      </c>
      <c r="B408" s="117" t="s">
        <v>1316</v>
      </c>
      <c r="C408" s="118"/>
      <c r="D408" s="82">
        <v>5</v>
      </c>
      <c r="E408" s="119">
        <v>154</v>
      </c>
      <c r="F408" s="119">
        <v>368</v>
      </c>
      <c r="G408" s="119">
        <v>460</v>
      </c>
      <c r="H408" s="119">
        <v>92</v>
      </c>
      <c r="I408" s="120" t="s">
        <v>1351</v>
      </c>
    </row>
    <row r="409" spans="1:9" ht="17.25" customHeight="1" x14ac:dyDescent="0.25">
      <c r="A409" s="112">
        <v>46736</v>
      </c>
      <c r="B409" s="117" t="s">
        <v>1069</v>
      </c>
      <c r="C409" s="118"/>
      <c r="D409" s="82">
        <v>4</v>
      </c>
      <c r="E409" s="119">
        <v>287</v>
      </c>
      <c r="F409" s="119">
        <v>344</v>
      </c>
      <c r="G409" s="119">
        <v>430</v>
      </c>
      <c r="H409" s="119">
        <v>86</v>
      </c>
      <c r="I409" s="120" t="s">
        <v>1351</v>
      </c>
    </row>
    <row r="410" spans="1:9" ht="17.25" customHeight="1" x14ac:dyDescent="0.25">
      <c r="A410" s="112">
        <v>46737</v>
      </c>
      <c r="B410" s="117" t="s">
        <v>1067</v>
      </c>
      <c r="C410" s="118"/>
      <c r="D410" s="82">
        <v>4</v>
      </c>
      <c r="E410" s="119">
        <v>287</v>
      </c>
      <c r="F410" s="119">
        <v>344</v>
      </c>
      <c r="G410" s="119">
        <v>430</v>
      </c>
      <c r="H410" s="119">
        <v>86</v>
      </c>
      <c r="I410" s="120" t="s">
        <v>1351</v>
      </c>
    </row>
    <row r="411" spans="1:9" ht="17.25" customHeight="1" x14ac:dyDescent="0.25">
      <c r="A411" s="112">
        <v>46738</v>
      </c>
      <c r="B411" s="117" t="s">
        <v>1317</v>
      </c>
      <c r="C411" s="118"/>
      <c r="D411" s="82">
        <v>4</v>
      </c>
      <c r="E411" s="119">
        <v>287</v>
      </c>
      <c r="F411" s="119">
        <v>344</v>
      </c>
      <c r="G411" s="119">
        <v>430</v>
      </c>
      <c r="H411" s="119">
        <v>86</v>
      </c>
      <c r="I411" s="120" t="s">
        <v>1351</v>
      </c>
    </row>
    <row r="412" spans="1:9" ht="17.25" customHeight="1" x14ac:dyDescent="0.25">
      <c r="A412" s="112">
        <v>147151</v>
      </c>
      <c r="B412" s="117" t="s">
        <v>1318</v>
      </c>
      <c r="C412" s="118"/>
      <c r="D412" s="82">
        <v>21</v>
      </c>
      <c r="E412" s="119">
        <v>1333</v>
      </c>
      <c r="F412" s="119">
        <v>1599</v>
      </c>
      <c r="G412" s="119">
        <v>1999</v>
      </c>
      <c r="H412" s="119">
        <v>400</v>
      </c>
      <c r="I412" s="120" t="s">
        <v>1351</v>
      </c>
    </row>
    <row r="413" spans="1:9" ht="17.25" customHeight="1" x14ac:dyDescent="0.25">
      <c r="A413" s="112">
        <v>147154</v>
      </c>
      <c r="B413" s="117" t="s">
        <v>1319</v>
      </c>
      <c r="C413" s="118"/>
      <c r="D413" s="82">
        <v>26</v>
      </c>
      <c r="E413" s="119">
        <v>1666</v>
      </c>
      <c r="F413" s="119">
        <v>1999</v>
      </c>
      <c r="G413" s="119">
        <v>2499</v>
      </c>
      <c r="H413" s="119">
        <v>500</v>
      </c>
      <c r="I413" s="120" t="s">
        <v>1351</v>
      </c>
    </row>
  </sheetData>
  <sortState xmlns:xlrd2="http://schemas.microsoft.com/office/spreadsheetml/2017/richdata2" ref="A3:A413">
    <sortCondition ref="A3:A413"/>
  </sortState>
  <phoneticPr fontId="0" type="noConversion"/>
  <pageMargins left="0.71" right="0.27" top="0.3" bottom="0.34" header="0.25" footer="0.19"/>
  <pageSetup paperSize="9" scale="50" fitToWidth="3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2"/>
  <sheetViews>
    <sheetView topLeftCell="A106" zoomScaleNormal="100" workbookViewId="0">
      <selection activeCell="C116" sqref="C116"/>
    </sheetView>
  </sheetViews>
  <sheetFormatPr defaultRowHeight="13.5" customHeight="1" x14ac:dyDescent="0.25"/>
  <cols>
    <col min="1" max="1" width="7" customWidth="1"/>
    <col min="2" max="2" width="7.44140625" customWidth="1"/>
    <col min="3" max="3" width="127.6640625" customWidth="1"/>
    <col min="4" max="4" width="7.33203125" customWidth="1"/>
    <col min="5" max="5" width="9" style="33" customWidth="1"/>
    <col min="6" max="6" width="9.109375" style="33" customWidth="1"/>
    <col min="7" max="7" width="9.33203125" style="33" customWidth="1"/>
    <col min="8" max="8" width="8" style="33" customWidth="1"/>
  </cols>
  <sheetData>
    <row r="1" spans="1:8" ht="13.5" customHeight="1" x14ac:dyDescent="0.25">
      <c r="A1" s="20" t="s">
        <v>4</v>
      </c>
      <c r="B1" s="34" t="s">
        <v>13</v>
      </c>
      <c r="C1" s="23" t="s">
        <v>3</v>
      </c>
      <c r="D1" s="21" t="s">
        <v>5</v>
      </c>
      <c r="E1" s="30" t="s">
        <v>6</v>
      </c>
      <c r="F1" s="30" t="s">
        <v>7</v>
      </c>
      <c r="G1" s="31" t="s">
        <v>8</v>
      </c>
      <c r="H1" s="32" t="s">
        <v>10</v>
      </c>
    </row>
    <row r="2" spans="1:8" ht="13.5" customHeight="1" x14ac:dyDescent="0.25">
      <c r="A2" s="20"/>
      <c r="B2" s="34"/>
      <c r="C2" s="22" t="s">
        <v>1379</v>
      </c>
      <c r="D2" s="172"/>
      <c r="E2" s="173"/>
      <c r="F2" s="173"/>
      <c r="G2" s="31"/>
      <c r="H2" s="174"/>
    </row>
    <row r="3" spans="1:8" ht="13.5" customHeight="1" x14ac:dyDescent="0.25">
      <c r="A3" s="175">
        <v>46664</v>
      </c>
      <c r="B3" s="34" t="s">
        <v>1380</v>
      </c>
      <c r="C3" s="87" t="s">
        <v>36</v>
      </c>
      <c r="D3" s="176">
        <v>14</v>
      </c>
      <c r="E3" s="177">
        <v>467</v>
      </c>
      <c r="F3" s="177">
        <v>1119</v>
      </c>
      <c r="G3" s="178">
        <v>1399</v>
      </c>
      <c r="H3" s="179">
        <v>280</v>
      </c>
    </row>
    <row r="4" spans="1:8" ht="13.5" customHeight="1" x14ac:dyDescent="0.25">
      <c r="A4" s="20"/>
      <c r="B4" s="34"/>
      <c r="C4" s="49" t="s">
        <v>1382</v>
      </c>
      <c r="D4" s="180">
        <v>10</v>
      </c>
      <c r="E4" s="181">
        <v>333</v>
      </c>
      <c r="F4" s="181">
        <v>799</v>
      </c>
      <c r="G4" s="182">
        <v>999</v>
      </c>
      <c r="H4" s="183">
        <v>200</v>
      </c>
    </row>
    <row r="5" spans="1:8" ht="13.5" customHeight="1" x14ac:dyDescent="0.25">
      <c r="A5" s="65"/>
      <c r="B5" s="65"/>
      <c r="C5" s="22" t="s">
        <v>1352</v>
      </c>
      <c r="D5" s="176"/>
      <c r="E5" s="177"/>
      <c r="F5" s="177"/>
      <c r="G5" s="178"/>
      <c r="H5" s="179"/>
    </row>
    <row r="6" spans="1:8" ht="13.5" customHeight="1" x14ac:dyDescent="0.25">
      <c r="A6" s="110">
        <v>42119</v>
      </c>
      <c r="B6" s="34" t="s">
        <v>1380</v>
      </c>
      <c r="C6" s="87" t="s">
        <v>773</v>
      </c>
      <c r="D6" s="176">
        <v>4</v>
      </c>
      <c r="E6" s="177">
        <v>266</v>
      </c>
      <c r="F6" s="177">
        <v>319</v>
      </c>
      <c r="G6" s="178">
        <v>399</v>
      </c>
      <c r="H6" s="179">
        <v>80</v>
      </c>
    </row>
    <row r="7" spans="1:8" ht="13.5" customHeight="1" x14ac:dyDescent="0.25">
      <c r="A7" s="45">
        <v>42120</v>
      </c>
      <c r="B7" s="34" t="s">
        <v>1380</v>
      </c>
      <c r="C7" s="87" t="s">
        <v>774</v>
      </c>
      <c r="D7" s="176">
        <v>4</v>
      </c>
      <c r="E7" s="177">
        <v>266</v>
      </c>
      <c r="F7" s="177">
        <v>319</v>
      </c>
      <c r="G7" s="178">
        <v>399</v>
      </c>
      <c r="H7" s="179">
        <v>80</v>
      </c>
    </row>
    <row r="8" spans="1:8" ht="13.5" customHeight="1" x14ac:dyDescent="0.25">
      <c r="A8" s="92"/>
      <c r="B8" s="93"/>
      <c r="C8" s="49" t="s">
        <v>1353</v>
      </c>
      <c r="D8" s="180">
        <v>3</v>
      </c>
      <c r="E8" s="181">
        <v>173</v>
      </c>
      <c r="F8" s="181">
        <v>207</v>
      </c>
      <c r="G8" s="182">
        <v>259</v>
      </c>
      <c r="H8" s="183">
        <v>52</v>
      </c>
    </row>
    <row r="9" spans="1:8" ht="13.5" customHeight="1" x14ac:dyDescent="0.25">
      <c r="A9" s="92"/>
      <c r="B9" s="65"/>
      <c r="C9" s="22" t="s">
        <v>1354</v>
      </c>
      <c r="D9" s="176"/>
      <c r="E9" s="177"/>
      <c r="F9" s="177"/>
      <c r="G9" s="178"/>
      <c r="H9" s="179"/>
    </row>
    <row r="10" spans="1:8" ht="13.5" customHeight="1" x14ac:dyDescent="0.25">
      <c r="A10" s="92">
        <v>47410</v>
      </c>
      <c r="B10" s="34" t="s">
        <v>1380</v>
      </c>
      <c r="C10" s="87" t="s">
        <v>180</v>
      </c>
      <c r="D10" s="176">
        <v>2</v>
      </c>
      <c r="E10" s="177">
        <v>57</v>
      </c>
      <c r="F10" s="177">
        <v>135</v>
      </c>
      <c r="G10" s="178">
        <v>169</v>
      </c>
      <c r="H10" s="179">
        <v>34</v>
      </c>
    </row>
    <row r="11" spans="1:8" ht="13.5" customHeight="1" x14ac:dyDescent="0.25">
      <c r="A11" s="92">
        <v>47409</v>
      </c>
      <c r="B11" s="34" t="s">
        <v>1380</v>
      </c>
      <c r="C11" s="87" t="s">
        <v>179</v>
      </c>
      <c r="D11" s="176">
        <v>2</v>
      </c>
      <c r="E11" s="177">
        <v>57</v>
      </c>
      <c r="F11" s="177">
        <v>135</v>
      </c>
      <c r="G11" s="178">
        <v>169</v>
      </c>
      <c r="H11" s="179">
        <v>34</v>
      </c>
    </row>
    <row r="12" spans="1:8" ht="13.5" customHeight="1" x14ac:dyDescent="0.25">
      <c r="A12" s="45"/>
      <c r="B12" s="65"/>
      <c r="C12" s="49" t="s">
        <v>1383</v>
      </c>
      <c r="D12" s="180">
        <v>1</v>
      </c>
      <c r="E12" s="181">
        <v>40</v>
      </c>
      <c r="F12" s="181">
        <v>95</v>
      </c>
      <c r="G12" s="182">
        <v>119</v>
      </c>
      <c r="H12" s="183">
        <v>24</v>
      </c>
    </row>
    <row r="13" spans="1:8" ht="13.5" customHeight="1" x14ac:dyDescent="0.25">
      <c r="A13" s="45"/>
      <c r="B13" s="111"/>
      <c r="C13" s="22" t="s">
        <v>1355</v>
      </c>
      <c r="D13" s="176"/>
      <c r="E13" s="177"/>
      <c r="F13" s="177"/>
      <c r="G13" s="178"/>
      <c r="H13" s="179"/>
    </row>
    <row r="14" spans="1:8" ht="13.5" customHeight="1" x14ac:dyDescent="0.25">
      <c r="A14" s="45">
        <v>46062</v>
      </c>
      <c r="B14" s="34" t="s">
        <v>1380</v>
      </c>
      <c r="C14" s="87" t="s">
        <v>166</v>
      </c>
      <c r="D14" s="176">
        <v>15</v>
      </c>
      <c r="E14" s="177">
        <v>999</v>
      </c>
      <c r="F14" s="177">
        <v>1199</v>
      </c>
      <c r="G14" s="178">
        <v>1499</v>
      </c>
      <c r="H14" s="179">
        <v>300</v>
      </c>
    </row>
    <row r="15" spans="1:8" ht="13.5" customHeight="1" x14ac:dyDescent="0.25">
      <c r="A15" s="45">
        <v>46063</v>
      </c>
      <c r="B15" s="34" t="s">
        <v>1380</v>
      </c>
      <c r="C15" s="87" t="s">
        <v>167</v>
      </c>
      <c r="D15" s="176">
        <v>15</v>
      </c>
      <c r="E15" s="177">
        <v>999</v>
      </c>
      <c r="F15" s="177">
        <v>1199</v>
      </c>
      <c r="G15" s="178">
        <v>1499</v>
      </c>
      <c r="H15" s="179">
        <v>300</v>
      </c>
    </row>
    <row r="16" spans="1:8" ht="13.5" customHeight="1" x14ac:dyDescent="0.25">
      <c r="A16" s="45"/>
      <c r="B16" s="65"/>
      <c r="C16" s="49" t="s">
        <v>1356</v>
      </c>
      <c r="D16" s="180">
        <v>11</v>
      </c>
      <c r="E16" s="181">
        <v>733</v>
      </c>
      <c r="F16" s="181">
        <v>879</v>
      </c>
      <c r="G16" s="182">
        <v>1099</v>
      </c>
      <c r="H16" s="183">
        <v>220</v>
      </c>
    </row>
    <row r="17" spans="1:8" ht="13.5" customHeight="1" x14ac:dyDescent="0.25">
      <c r="A17" s="45"/>
      <c r="B17" s="65"/>
      <c r="C17" s="22" t="s">
        <v>1357</v>
      </c>
      <c r="D17" s="176"/>
      <c r="E17" s="177"/>
      <c r="F17" s="177"/>
      <c r="G17" s="178"/>
      <c r="H17" s="179"/>
    </row>
    <row r="18" spans="1:8" ht="13.5" customHeight="1" x14ac:dyDescent="0.25">
      <c r="A18" s="45">
        <v>42507</v>
      </c>
      <c r="B18" s="48"/>
      <c r="C18" s="87" t="s">
        <v>295</v>
      </c>
      <c r="D18" s="176">
        <v>20</v>
      </c>
      <c r="E18" s="177">
        <v>1266</v>
      </c>
      <c r="F18" s="177">
        <v>1519</v>
      </c>
      <c r="G18" s="178">
        <v>1899</v>
      </c>
      <c r="H18" s="179">
        <v>380</v>
      </c>
    </row>
    <row r="19" spans="1:8" ht="13.5" customHeight="1" x14ac:dyDescent="0.25">
      <c r="A19" s="45">
        <v>42884</v>
      </c>
      <c r="B19" s="40"/>
      <c r="C19" s="87" t="s">
        <v>836</v>
      </c>
      <c r="D19" s="176">
        <v>7</v>
      </c>
      <c r="E19" s="177">
        <v>439</v>
      </c>
      <c r="F19" s="177">
        <v>527</v>
      </c>
      <c r="G19" s="178">
        <v>659</v>
      </c>
      <c r="H19" s="179">
        <v>132</v>
      </c>
    </row>
    <row r="20" spans="1:8" ht="13.5" customHeight="1" x14ac:dyDescent="0.25">
      <c r="A20" s="48">
        <v>148798</v>
      </c>
      <c r="B20" s="65"/>
      <c r="C20" s="121" t="s">
        <v>256</v>
      </c>
      <c r="D20" s="180">
        <v>21</v>
      </c>
      <c r="E20" s="181">
        <v>1333</v>
      </c>
      <c r="F20" s="181">
        <v>1599</v>
      </c>
      <c r="G20" s="182">
        <v>1999</v>
      </c>
      <c r="H20" s="183">
        <v>400</v>
      </c>
    </row>
    <row r="21" spans="1:8" ht="13.5" customHeight="1" x14ac:dyDescent="0.25">
      <c r="A21" s="45"/>
      <c r="B21" s="40"/>
      <c r="C21" s="22" t="s">
        <v>1358</v>
      </c>
      <c r="D21" s="176"/>
      <c r="E21" s="177"/>
      <c r="F21" s="177"/>
      <c r="G21" s="178"/>
      <c r="H21" s="179"/>
    </row>
    <row r="22" spans="1:8" ht="13.5" customHeight="1" x14ac:dyDescent="0.25">
      <c r="A22" s="45">
        <v>43979</v>
      </c>
      <c r="B22" s="34" t="s">
        <v>1380</v>
      </c>
      <c r="C22" s="87" t="s">
        <v>864</v>
      </c>
      <c r="D22" s="176">
        <v>3</v>
      </c>
      <c r="E22" s="177">
        <v>100</v>
      </c>
      <c r="F22" s="177">
        <v>239</v>
      </c>
      <c r="G22" s="178">
        <v>299</v>
      </c>
      <c r="H22" s="179">
        <v>60</v>
      </c>
    </row>
    <row r="23" spans="1:8" ht="13.5" customHeight="1" x14ac:dyDescent="0.25">
      <c r="A23" s="45"/>
      <c r="B23" s="48"/>
      <c r="C23" s="49" t="s">
        <v>1359</v>
      </c>
      <c r="D23" s="176" t="s">
        <v>17</v>
      </c>
      <c r="E23" s="177" t="s">
        <v>17</v>
      </c>
      <c r="F23" s="181">
        <v>1</v>
      </c>
      <c r="G23" s="178" t="s">
        <v>17</v>
      </c>
      <c r="H23" s="179" t="s">
        <v>17</v>
      </c>
    </row>
    <row r="24" spans="1:8" ht="13.5" customHeight="1" x14ac:dyDescent="0.25">
      <c r="A24" s="45"/>
      <c r="B24" s="48"/>
      <c r="C24" s="22" t="s">
        <v>1360</v>
      </c>
      <c r="D24" s="176"/>
      <c r="E24" s="177"/>
      <c r="F24" s="177"/>
      <c r="G24" s="178"/>
      <c r="H24" s="179"/>
    </row>
    <row r="25" spans="1:8" ht="13.5" customHeight="1" x14ac:dyDescent="0.25">
      <c r="A25" s="45">
        <v>30468</v>
      </c>
      <c r="B25" s="48"/>
      <c r="C25" s="87" t="s">
        <v>532</v>
      </c>
      <c r="D25" s="176">
        <v>13</v>
      </c>
      <c r="E25" s="177">
        <v>866</v>
      </c>
      <c r="F25" s="177">
        <v>1039</v>
      </c>
      <c r="G25" s="178">
        <v>1299</v>
      </c>
      <c r="H25" s="179">
        <v>260</v>
      </c>
    </row>
    <row r="26" spans="1:8" ht="13.5" customHeight="1" x14ac:dyDescent="0.25">
      <c r="A26" s="45">
        <v>34076</v>
      </c>
      <c r="B26" s="48"/>
      <c r="C26" s="87" t="s">
        <v>564</v>
      </c>
      <c r="D26" s="176">
        <v>3</v>
      </c>
      <c r="E26" s="177">
        <v>199</v>
      </c>
      <c r="F26" s="177">
        <v>239</v>
      </c>
      <c r="G26" s="178">
        <v>299</v>
      </c>
      <c r="H26" s="179">
        <v>60</v>
      </c>
    </row>
    <row r="27" spans="1:8" ht="13.5" customHeight="1" x14ac:dyDescent="0.25">
      <c r="A27" s="48">
        <v>148799</v>
      </c>
      <c r="B27" s="48"/>
      <c r="C27" s="121" t="s">
        <v>257</v>
      </c>
      <c r="D27" s="180">
        <v>14</v>
      </c>
      <c r="E27" s="181">
        <v>933</v>
      </c>
      <c r="F27" s="181">
        <v>1119</v>
      </c>
      <c r="G27" s="182">
        <v>1399</v>
      </c>
      <c r="H27" s="183">
        <v>280</v>
      </c>
    </row>
    <row r="28" spans="1:8" ht="13.5" customHeight="1" x14ac:dyDescent="0.25">
      <c r="A28" s="45"/>
      <c r="B28" s="65"/>
      <c r="C28" s="22" t="s">
        <v>1362</v>
      </c>
      <c r="D28" s="176"/>
      <c r="E28" s="177"/>
      <c r="F28" s="177"/>
      <c r="G28" s="178"/>
      <c r="H28" s="179"/>
    </row>
    <row r="29" spans="1:8" ht="13.5" customHeight="1" x14ac:dyDescent="0.25">
      <c r="A29" s="45">
        <v>33198</v>
      </c>
      <c r="B29" s="9"/>
      <c r="C29" s="46" t="s">
        <v>316</v>
      </c>
      <c r="D29" s="176">
        <v>11</v>
      </c>
      <c r="E29" s="177">
        <v>733</v>
      </c>
      <c r="F29" s="177">
        <v>879</v>
      </c>
      <c r="G29" s="178">
        <v>1099</v>
      </c>
      <c r="H29" s="179">
        <v>220</v>
      </c>
    </row>
    <row r="30" spans="1:8" ht="13.5" customHeight="1" x14ac:dyDescent="0.25">
      <c r="A30" s="45">
        <v>33199</v>
      </c>
      <c r="B30" s="47"/>
      <c r="C30" s="46" t="s">
        <v>71</v>
      </c>
      <c r="D30" s="176">
        <v>17</v>
      </c>
      <c r="E30" s="177">
        <v>1133</v>
      </c>
      <c r="F30" s="177">
        <v>1359</v>
      </c>
      <c r="G30" s="178">
        <v>1699</v>
      </c>
      <c r="H30" s="179">
        <v>340</v>
      </c>
    </row>
    <row r="31" spans="1:8" ht="13.5" customHeight="1" x14ac:dyDescent="0.25">
      <c r="A31" s="45">
        <v>33200</v>
      </c>
      <c r="B31" s="47"/>
      <c r="C31" s="46" t="s">
        <v>18</v>
      </c>
      <c r="D31" s="176">
        <v>37</v>
      </c>
      <c r="E31" s="177">
        <v>2400</v>
      </c>
      <c r="F31" s="177">
        <v>2880</v>
      </c>
      <c r="G31" s="178">
        <v>3600</v>
      </c>
      <c r="H31" s="179">
        <v>720</v>
      </c>
    </row>
    <row r="32" spans="1:8" ht="13.5" customHeight="1" x14ac:dyDescent="0.25">
      <c r="A32" s="45">
        <v>33201</v>
      </c>
      <c r="B32" s="47"/>
      <c r="C32" s="46" t="s">
        <v>19</v>
      </c>
      <c r="D32" s="176">
        <v>27</v>
      </c>
      <c r="E32" s="177">
        <v>1733</v>
      </c>
      <c r="F32" s="177">
        <v>2080</v>
      </c>
      <c r="G32" s="178">
        <v>2600</v>
      </c>
      <c r="H32" s="179">
        <v>520</v>
      </c>
    </row>
    <row r="33" spans="1:9" ht="13.5" customHeight="1" x14ac:dyDescent="0.25">
      <c r="A33" s="48">
        <v>29446</v>
      </c>
      <c r="B33" s="47"/>
      <c r="C33" s="49" t="s">
        <v>77</v>
      </c>
      <c r="D33" s="180">
        <v>85</v>
      </c>
      <c r="E33" s="181">
        <v>4599</v>
      </c>
      <c r="F33" s="181">
        <v>5519</v>
      </c>
      <c r="G33" s="182">
        <v>6899</v>
      </c>
      <c r="H33" s="183">
        <v>1380</v>
      </c>
    </row>
    <row r="34" spans="1:9" ht="13.5" customHeight="1" x14ac:dyDescent="0.25">
      <c r="A34" s="45"/>
      <c r="B34" s="40"/>
      <c r="C34" s="22" t="s">
        <v>1363</v>
      </c>
      <c r="D34" s="176"/>
      <c r="E34" s="177"/>
      <c r="F34" s="177"/>
      <c r="G34" s="178"/>
      <c r="H34" s="179"/>
    </row>
    <row r="35" spans="1:9" ht="13.5" customHeight="1" x14ac:dyDescent="0.25">
      <c r="A35" s="45">
        <v>148228</v>
      </c>
      <c r="B35" s="34" t="s">
        <v>1380</v>
      </c>
      <c r="C35" s="87" t="s">
        <v>944</v>
      </c>
      <c r="D35" s="176">
        <v>1</v>
      </c>
      <c r="E35" s="177">
        <v>12</v>
      </c>
      <c r="F35" s="177">
        <v>28</v>
      </c>
      <c r="G35" s="178">
        <v>35</v>
      </c>
      <c r="H35" s="179">
        <v>7</v>
      </c>
    </row>
    <row r="36" spans="1:9" ht="13.5" customHeight="1" x14ac:dyDescent="0.25">
      <c r="A36" s="48"/>
      <c r="B36" s="48"/>
      <c r="C36" s="49" t="s">
        <v>1364</v>
      </c>
      <c r="D36" s="176" t="s">
        <v>17</v>
      </c>
      <c r="E36" s="177" t="s">
        <v>17</v>
      </c>
      <c r="F36" s="181">
        <v>1</v>
      </c>
      <c r="G36" s="178" t="s">
        <v>17</v>
      </c>
      <c r="H36" s="179" t="s">
        <v>17</v>
      </c>
    </row>
    <row r="37" spans="1:9" ht="13.5" customHeight="1" x14ac:dyDescent="0.25">
      <c r="A37" s="45"/>
      <c r="B37" s="48"/>
      <c r="C37" s="22" t="s">
        <v>1365</v>
      </c>
      <c r="D37" s="176"/>
      <c r="E37" s="177"/>
      <c r="F37" s="177"/>
      <c r="G37" s="178"/>
      <c r="H37" s="179"/>
    </row>
    <row r="38" spans="1:9" ht="13.5" customHeight="1" x14ac:dyDescent="0.25">
      <c r="A38" s="45">
        <v>42101</v>
      </c>
      <c r="B38" s="34" t="s">
        <v>1380</v>
      </c>
      <c r="C38" s="87" t="s">
        <v>434</v>
      </c>
      <c r="D38" s="176">
        <v>12</v>
      </c>
      <c r="E38" s="177">
        <v>799</v>
      </c>
      <c r="F38" s="177">
        <v>959</v>
      </c>
      <c r="G38" s="178">
        <v>1199</v>
      </c>
      <c r="H38" s="179">
        <v>240</v>
      </c>
    </row>
    <row r="39" spans="1:9" ht="13.5" customHeight="1" x14ac:dyDescent="0.25">
      <c r="A39" s="45">
        <v>42102</v>
      </c>
      <c r="B39" s="34" t="s">
        <v>1380</v>
      </c>
      <c r="C39" s="87" t="s">
        <v>768</v>
      </c>
      <c r="D39" s="176">
        <v>12</v>
      </c>
      <c r="E39" s="177">
        <v>799</v>
      </c>
      <c r="F39" s="177">
        <v>959</v>
      </c>
      <c r="G39" s="178">
        <v>1199</v>
      </c>
      <c r="H39" s="179">
        <v>240</v>
      </c>
    </row>
    <row r="40" spans="1:9" ht="13.5" customHeight="1" x14ac:dyDescent="0.25">
      <c r="A40" s="45">
        <v>42103</v>
      </c>
      <c r="B40" s="34" t="s">
        <v>1380</v>
      </c>
      <c r="C40" s="87" t="s">
        <v>436</v>
      </c>
      <c r="D40" s="176">
        <v>12</v>
      </c>
      <c r="E40" s="177">
        <v>799</v>
      </c>
      <c r="F40" s="177">
        <v>959</v>
      </c>
      <c r="G40" s="178">
        <v>1199</v>
      </c>
      <c r="H40" s="179">
        <v>240</v>
      </c>
      <c r="I40" s="88"/>
    </row>
    <row r="41" spans="1:9" ht="13.5" customHeight="1" x14ac:dyDescent="0.25">
      <c r="A41" s="45">
        <v>42104</v>
      </c>
      <c r="B41" s="34" t="s">
        <v>1380</v>
      </c>
      <c r="C41" s="87" t="s">
        <v>769</v>
      </c>
      <c r="D41" s="176">
        <v>12</v>
      </c>
      <c r="E41" s="177">
        <v>799</v>
      </c>
      <c r="F41" s="177">
        <v>959</v>
      </c>
      <c r="G41" s="178">
        <v>1199</v>
      </c>
      <c r="H41" s="179">
        <v>240</v>
      </c>
    </row>
    <row r="42" spans="1:9" ht="13.5" customHeight="1" x14ac:dyDescent="0.25">
      <c r="A42" s="45">
        <v>42105</v>
      </c>
      <c r="B42" s="34" t="s">
        <v>1380</v>
      </c>
      <c r="C42" s="87" t="s">
        <v>770</v>
      </c>
      <c r="D42" s="176">
        <v>12</v>
      </c>
      <c r="E42" s="177">
        <v>799</v>
      </c>
      <c r="F42" s="177">
        <v>959</v>
      </c>
      <c r="G42" s="178">
        <v>1199</v>
      </c>
      <c r="H42" s="179">
        <v>240</v>
      </c>
    </row>
    <row r="43" spans="1:9" ht="13.5" customHeight="1" x14ac:dyDescent="0.25">
      <c r="A43" s="45">
        <v>42106</v>
      </c>
      <c r="B43" s="34" t="s">
        <v>1380</v>
      </c>
      <c r="C43" s="87" t="s">
        <v>771</v>
      </c>
      <c r="D43" s="176">
        <v>12</v>
      </c>
      <c r="E43" s="177">
        <v>799</v>
      </c>
      <c r="F43" s="177">
        <v>959</v>
      </c>
      <c r="G43" s="178">
        <v>1199</v>
      </c>
      <c r="H43" s="179">
        <v>240</v>
      </c>
    </row>
    <row r="44" spans="1:9" ht="13.5" customHeight="1" x14ac:dyDescent="0.25">
      <c r="A44" s="45">
        <v>42107</v>
      </c>
      <c r="B44" s="34" t="s">
        <v>1380</v>
      </c>
      <c r="C44" s="87" t="s">
        <v>772</v>
      </c>
      <c r="D44" s="176">
        <v>12</v>
      </c>
      <c r="E44" s="177">
        <v>799</v>
      </c>
      <c r="F44" s="177">
        <v>959</v>
      </c>
      <c r="G44" s="178">
        <v>1199</v>
      </c>
      <c r="H44" s="179">
        <v>240</v>
      </c>
    </row>
    <row r="45" spans="1:9" ht="13.5" customHeight="1" x14ac:dyDescent="0.25">
      <c r="A45" s="45"/>
      <c r="B45" s="40"/>
      <c r="C45" s="49" t="s">
        <v>1366</v>
      </c>
      <c r="D45" s="180">
        <v>10</v>
      </c>
      <c r="E45" s="181">
        <v>633</v>
      </c>
      <c r="F45" s="181">
        <v>759</v>
      </c>
      <c r="G45" s="182">
        <v>949</v>
      </c>
      <c r="H45" s="183">
        <v>190</v>
      </c>
    </row>
    <row r="46" spans="1:9" ht="13.5" customHeight="1" x14ac:dyDescent="0.25">
      <c r="A46" s="45">
        <v>42112</v>
      </c>
      <c r="B46" s="34" t="s">
        <v>1380</v>
      </c>
      <c r="C46" s="87" t="s">
        <v>441</v>
      </c>
      <c r="D46" s="176">
        <v>12</v>
      </c>
      <c r="E46" s="177">
        <v>799</v>
      </c>
      <c r="F46" s="177">
        <v>959</v>
      </c>
      <c r="G46" s="178">
        <v>1199</v>
      </c>
      <c r="H46" s="179">
        <v>240</v>
      </c>
    </row>
    <row r="47" spans="1:9" ht="13.5" customHeight="1" x14ac:dyDescent="0.25">
      <c r="A47" s="45">
        <v>42113</v>
      </c>
      <c r="B47" s="34" t="s">
        <v>1380</v>
      </c>
      <c r="C47" s="87" t="s">
        <v>442</v>
      </c>
      <c r="D47" s="176">
        <v>12</v>
      </c>
      <c r="E47" s="177">
        <v>799</v>
      </c>
      <c r="F47" s="177">
        <v>959</v>
      </c>
      <c r="G47" s="178">
        <v>1199</v>
      </c>
      <c r="H47" s="179">
        <v>240</v>
      </c>
    </row>
    <row r="48" spans="1:9" ht="13.5" customHeight="1" x14ac:dyDescent="0.25">
      <c r="A48" s="45"/>
      <c r="B48" s="40"/>
      <c r="C48" s="49" t="s">
        <v>1367</v>
      </c>
      <c r="D48" s="180">
        <v>10</v>
      </c>
      <c r="E48" s="181">
        <v>626</v>
      </c>
      <c r="F48" s="181">
        <v>751</v>
      </c>
      <c r="G48" s="182">
        <v>939</v>
      </c>
      <c r="H48" s="183">
        <v>188</v>
      </c>
    </row>
    <row r="49" spans="1:8" ht="13.5" customHeight="1" x14ac:dyDescent="0.25">
      <c r="A49" s="45">
        <v>43243</v>
      </c>
      <c r="B49" s="34" t="s">
        <v>1380</v>
      </c>
      <c r="C49" s="87" t="s">
        <v>849</v>
      </c>
      <c r="D49" s="176">
        <v>15</v>
      </c>
      <c r="E49" s="177">
        <v>999</v>
      </c>
      <c r="F49" s="177">
        <v>1199</v>
      </c>
      <c r="G49" s="178">
        <v>1499</v>
      </c>
      <c r="H49" s="179">
        <v>300</v>
      </c>
    </row>
    <row r="50" spans="1:8" ht="13.5" customHeight="1" x14ac:dyDescent="0.25">
      <c r="A50" s="45">
        <v>43244</v>
      </c>
      <c r="B50" s="34" t="s">
        <v>1380</v>
      </c>
      <c r="C50" s="87" t="s">
        <v>850</v>
      </c>
      <c r="D50" s="176">
        <v>15</v>
      </c>
      <c r="E50" s="177">
        <v>999</v>
      </c>
      <c r="F50" s="177">
        <v>1199</v>
      </c>
      <c r="G50" s="178">
        <v>1499</v>
      </c>
      <c r="H50" s="179">
        <v>300</v>
      </c>
    </row>
    <row r="51" spans="1:8" ht="13.5" customHeight="1" x14ac:dyDescent="0.25">
      <c r="A51" s="45">
        <v>43245</v>
      </c>
      <c r="B51" s="34" t="s">
        <v>1380</v>
      </c>
      <c r="C51" s="87" t="s">
        <v>851</v>
      </c>
      <c r="D51" s="176">
        <v>15</v>
      </c>
      <c r="E51" s="177">
        <v>999</v>
      </c>
      <c r="F51" s="177">
        <v>1199</v>
      </c>
      <c r="G51" s="178">
        <v>1499</v>
      </c>
      <c r="H51" s="179">
        <v>300</v>
      </c>
    </row>
    <row r="52" spans="1:8" ht="13.5" customHeight="1" x14ac:dyDescent="0.25">
      <c r="A52" s="45">
        <v>43246</v>
      </c>
      <c r="B52" s="34" t="s">
        <v>1380</v>
      </c>
      <c r="C52" s="87" t="s">
        <v>852</v>
      </c>
      <c r="D52" s="176">
        <v>15</v>
      </c>
      <c r="E52" s="177">
        <v>999</v>
      </c>
      <c r="F52" s="177">
        <v>1199</v>
      </c>
      <c r="G52" s="178">
        <v>1499</v>
      </c>
      <c r="H52" s="179">
        <v>300</v>
      </c>
    </row>
    <row r="53" spans="1:8" ht="13.5" customHeight="1" x14ac:dyDescent="0.25">
      <c r="A53" s="45">
        <v>43247</v>
      </c>
      <c r="B53" s="34" t="s">
        <v>1380</v>
      </c>
      <c r="C53" s="87" t="s">
        <v>853</v>
      </c>
      <c r="D53" s="176">
        <v>15</v>
      </c>
      <c r="E53" s="177">
        <v>999</v>
      </c>
      <c r="F53" s="177">
        <v>1199</v>
      </c>
      <c r="G53" s="178">
        <v>1499</v>
      </c>
      <c r="H53" s="179">
        <v>300</v>
      </c>
    </row>
    <row r="54" spans="1:8" ht="13.5" customHeight="1" x14ac:dyDescent="0.25">
      <c r="A54" s="45">
        <v>43248</v>
      </c>
      <c r="B54" s="34" t="s">
        <v>1380</v>
      </c>
      <c r="C54" s="87" t="s">
        <v>459</v>
      </c>
      <c r="D54" s="176">
        <v>15</v>
      </c>
      <c r="E54" s="177">
        <v>999</v>
      </c>
      <c r="F54" s="177">
        <v>1199</v>
      </c>
      <c r="G54" s="178">
        <v>1499</v>
      </c>
      <c r="H54" s="179">
        <v>300</v>
      </c>
    </row>
    <row r="55" spans="1:8" ht="13.5" customHeight="1" x14ac:dyDescent="0.25">
      <c r="A55" s="45">
        <v>43249</v>
      </c>
      <c r="B55" s="34" t="s">
        <v>1380</v>
      </c>
      <c r="C55" s="87" t="s">
        <v>460</v>
      </c>
      <c r="D55" s="176">
        <v>15</v>
      </c>
      <c r="E55" s="177">
        <v>999</v>
      </c>
      <c r="F55" s="177">
        <v>1199</v>
      </c>
      <c r="G55" s="178">
        <v>1499</v>
      </c>
      <c r="H55" s="179">
        <v>300</v>
      </c>
    </row>
    <row r="56" spans="1:8" ht="13.5" customHeight="1" x14ac:dyDescent="0.25">
      <c r="A56" s="45"/>
      <c r="B56" s="40"/>
      <c r="C56" s="49" t="s">
        <v>1368</v>
      </c>
      <c r="D56" s="180">
        <v>12</v>
      </c>
      <c r="E56" s="181">
        <v>799</v>
      </c>
      <c r="F56" s="181">
        <v>959</v>
      </c>
      <c r="G56" s="182">
        <v>1199</v>
      </c>
      <c r="H56" s="183">
        <v>240</v>
      </c>
    </row>
    <row r="57" spans="1:8" ht="13.5" customHeight="1" x14ac:dyDescent="0.25">
      <c r="A57" s="45"/>
      <c r="B57" s="40"/>
      <c r="C57" s="22" t="s">
        <v>1369</v>
      </c>
      <c r="D57" s="176"/>
      <c r="E57" s="177"/>
      <c r="F57" s="177"/>
      <c r="G57" s="178"/>
      <c r="H57" s="179"/>
    </row>
    <row r="58" spans="1:8" ht="13.5" customHeight="1" x14ac:dyDescent="0.25">
      <c r="A58" s="45">
        <v>47117</v>
      </c>
      <c r="B58" s="34" t="s">
        <v>1380</v>
      </c>
      <c r="C58" s="87" t="s">
        <v>174</v>
      </c>
      <c r="D58" s="176">
        <v>18</v>
      </c>
      <c r="E58" s="177">
        <v>567</v>
      </c>
      <c r="F58" s="177">
        <v>1359</v>
      </c>
      <c r="G58" s="178">
        <v>1699</v>
      </c>
      <c r="H58" s="179">
        <v>340</v>
      </c>
    </row>
    <row r="59" spans="1:8" ht="13.5" customHeight="1" x14ac:dyDescent="0.25">
      <c r="A59" s="47"/>
      <c r="B59" s="40"/>
      <c r="C59" s="62" t="s">
        <v>1384</v>
      </c>
      <c r="D59" s="180">
        <v>12</v>
      </c>
      <c r="E59" s="181">
        <v>400</v>
      </c>
      <c r="F59" s="181">
        <v>959</v>
      </c>
      <c r="G59" s="182">
        <v>1199</v>
      </c>
      <c r="H59" s="183">
        <v>240</v>
      </c>
    </row>
    <row r="60" spans="1:8" ht="13.5" customHeight="1" x14ac:dyDescent="0.25">
      <c r="A60" s="48"/>
      <c r="B60" s="48"/>
      <c r="C60" s="22" t="s">
        <v>1370</v>
      </c>
      <c r="D60" s="180"/>
      <c r="E60" s="181"/>
      <c r="F60" s="181"/>
      <c r="G60" s="182"/>
      <c r="H60" s="183"/>
    </row>
    <row r="61" spans="1:8" ht="13.5" customHeight="1" x14ac:dyDescent="0.25">
      <c r="A61" s="45">
        <v>41029</v>
      </c>
      <c r="B61" s="48"/>
      <c r="C61" s="46" t="s">
        <v>708</v>
      </c>
      <c r="D61" s="176">
        <v>16</v>
      </c>
      <c r="E61" s="177">
        <v>1067</v>
      </c>
      <c r="F61" s="177">
        <v>1280</v>
      </c>
      <c r="G61" s="178">
        <v>1600</v>
      </c>
      <c r="H61" s="179">
        <v>320</v>
      </c>
    </row>
    <row r="62" spans="1:8" ht="13.5" customHeight="1" x14ac:dyDescent="0.25">
      <c r="A62" s="45">
        <v>42425</v>
      </c>
      <c r="B62" s="48"/>
      <c r="C62" s="46" t="s">
        <v>85</v>
      </c>
      <c r="D62" s="176">
        <v>19</v>
      </c>
      <c r="E62" s="177">
        <v>1199</v>
      </c>
      <c r="F62" s="177">
        <v>1439</v>
      </c>
      <c r="G62" s="178">
        <v>1799</v>
      </c>
      <c r="H62" s="179">
        <v>360</v>
      </c>
    </row>
    <row r="63" spans="1:8" ht="13.5" customHeight="1" x14ac:dyDescent="0.25">
      <c r="A63" s="45">
        <v>41037</v>
      </c>
      <c r="B63" s="48"/>
      <c r="C63" s="46" t="s">
        <v>74</v>
      </c>
      <c r="D63" s="176">
        <v>40</v>
      </c>
      <c r="E63" s="177">
        <v>2600</v>
      </c>
      <c r="F63" s="177">
        <v>3120</v>
      </c>
      <c r="G63" s="178">
        <v>3900</v>
      </c>
      <c r="H63" s="179">
        <v>780</v>
      </c>
    </row>
    <row r="64" spans="1:8" ht="13.5" customHeight="1" x14ac:dyDescent="0.25">
      <c r="A64" s="45">
        <v>41048</v>
      </c>
      <c r="B64" s="48"/>
      <c r="C64" s="46" t="s">
        <v>713</v>
      </c>
      <c r="D64" s="176">
        <v>31</v>
      </c>
      <c r="E64" s="177">
        <v>2000</v>
      </c>
      <c r="F64" s="177">
        <v>2400</v>
      </c>
      <c r="G64" s="178">
        <v>3000</v>
      </c>
      <c r="H64" s="179">
        <v>600</v>
      </c>
    </row>
    <row r="65" spans="1:8" ht="13.5" customHeight="1" x14ac:dyDescent="0.25">
      <c r="A65" s="45">
        <v>41058</v>
      </c>
      <c r="B65" s="48"/>
      <c r="C65" s="46" t="s">
        <v>715</v>
      </c>
      <c r="D65" s="176">
        <v>31</v>
      </c>
      <c r="E65" s="177">
        <v>2000</v>
      </c>
      <c r="F65" s="177">
        <v>2400</v>
      </c>
      <c r="G65" s="178">
        <v>3000</v>
      </c>
      <c r="H65" s="179">
        <v>600</v>
      </c>
    </row>
    <row r="66" spans="1:8" ht="13.5" customHeight="1" x14ac:dyDescent="0.25">
      <c r="A66" s="48">
        <v>43691</v>
      </c>
      <c r="B66" s="48"/>
      <c r="C66" s="49" t="s">
        <v>86</v>
      </c>
      <c r="D66" s="180">
        <v>120</v>
      </c>
      <c r="E66" s="181">
        <v>6466</v>
      </c>
      <c r="F66" s="181">
        <v>7759</v>
      </c>
      <c r="G66" s="182">
        <v>9699</v>
      </c>
      <c r="H66" s="183">
        <v>1940</v>
      </c>
    </row>
    <row r="67" spans="1:8" ht="13.5" customHeight="1" x14ac:dyDescent="0.25">
      <c r="A67" s="48"/>
      <c r="B67" s="48"/>
      <c r="C67" s="22" t="s">
        <v>1370</v>
      </c>
      <c r="D67" s="176"/>
      <c r="E67" s="177"/>
      <c r="F67" s="177"/>
      <c r="G67" s="178"/>
      <c r="H67" s="179"/>
    </row>
    <row r="68" spans="1:8" ht="13.5" customHeight="1" x14ac:dyDescent="0.25">
      <c r="A68" s="45">
        <v>41029</v>
      </c>
      <c r="B68" s="48"/>
      <c r="C68" s="46" t="s">
        <v>708</v>
      </c>
      <c r="D68" s="176">
        <v>16</v>
      </c>
      <c r="E68" s="177">
        <v>1067</v>
      </c>
      <c r="F68" s="177">
        <v>1280</v>
      </c>
      <c r="G68" s="178">
        <v>1600</v>
      </c>
      <c r="H68" s="179">
        <v>320</v>
      </c>
    </row>
    <row r="69" spans="1:8" ht="13.5" customHeight="1" x14ac:dyDescent="0.25">
      <c r="A69" s="45">
        <v>41034</v>
      </c>
      <c r="B69" s="48"/>
      <c r="C69" s="46" t="s">
        <v>73</v>
      </c>
      <c r="D69" s="176">
        <v>19</v>
      </c>
      <c r="E69" s="177">
        <v>1199</v>
      </c>
      <c r="F69" s="177">
        <v>1439</v>
      </c>
      <c r="G69" s="178">
        <v>1799</v>
      </c>
      <c r="H69" s="179">
        <v>360</v>
      </c>
    </row>
    <row r="70" spans="1:8" ht="13.5" customHeight="1" x14ac:dyDescent="0.25">
      <c r="A70" s="45">
        <v>41035</v>
      </c>
      <c r="B70" s="48"/>
      <c r="C70" s="46" t="s">
        <v>84</v>
      </c>
      <c r="D70" s="176">
        <v>40</v>
      </c>
      <c r="E70" s="177">
        <v>2600</v>
      </c>
      <c r="F70" s="177">
        <v>3120</v>
      </c>
      <c r="G70" s="178">
        <v>3900</v>
      </c>
      <c r="H70" s="179">
        <v>780</v>
      </c>
    </row>
    <row r="71" spans="1:8" ht="13.5" customHeight="1" x14ac:dyDescent="0.25">
      <c r="A71" s="45">
        <v>41048</v>
      </c>
      <c r="B71" s="48"/>
      <c r="C71" s="46" t="s">
        <v>713</v>
      </c>
      <c r="D71" s="176">
        <v>31</v>
      </c>
      <c r="E71" s="177">
        <v>2000</v>
      </c>
      <c r="F71" s="177">
        <v>2400</v>
      </c>
      <c r="G71" s="178">
        <v>3000</v>
      </c>
      <c r="H71" s="179">
        <v>600</v>
      </c>
    </row>
    <row r="72" spans="1:8" ht="13.5" customHeight="1" x14ac:dyDescent="0.25">
      <c r="A72" s="45">
        <v>41058</v>
      </c>
      <c r="B72" s="48"/>
      <c r="C72" s="46" t="s">
        <v>715</v>
      </c>
      <c r="D72" s="176">
        <v>31</v>
      </c>
      <c r="E72" s="177">
        <v>2000</v>
      </c>
      <c r="F72" s="177">
        <v>2400</v>
      </c>
      <c r="G72" s="178">
        <v>3000</v>
      </c>
      <c r="H72" s="179">
        <v>600</v>
      </c>
    </row>
    <row r="73" spans="1:8" ht="13.5" customHeight="1" x14ac:dyDescent="0.25">
      <c r="A73" s="48">
        <v>43695</v>
      </c>
      <c r="B73" s="48"/>
      <c r="C73" s="49" t="s">
        <v>87</v>
      </c>
      <c r="D73" s="180">
        <v>120</v>
      </c>
      <c r="E73" s="181">
        <v>6466</v>
      </c>
      <c r="F73" s="181">
        <v>7759</v>
      </c>
      <c r="G73" s="182">
        <v>9699</v>
      </c>
      <c r="H73" s="183">
        <v>1940</v>
      </c>
    </row>
    <row r="74" spans="1:8" ht="13.5" customHeight="1" x14ac:dyDescent="0.25">
      <c r="A74" s="47"/>
      <c r="B74" s="40"/>
      <c r="C74" s="22" t="s">
        <v>1370</v>
      </c>
      <c r="D74" s="176"/>
      <c r="E74" s="177"/>
      <c r="F74" s="177"/>
      <c r="G74" s="178"/>
      <c r="H74" s="179"/>
    </row>
    <row r="75" spans="1:8" ht="13.5" customHeight="1" x14ac:dyDescent="0.25">
      <c r="A75" s="45">
        <v>41029</v>
      </c>
      <c r="B75" s="40"/>
      <c r="C75" s="46" t="s">
        <v>708</v>
      </c>
      <c r="D75" s="176">
        <v>16</v>
      </c>
      <c r="E75" s="177">
        <v>1067</v>
      </c>
      <c r="F75" s="177">
        <v>1280</v>
      </c>
      <c r="G75" s="178">
        <v>1600</v>
      </c>
      <c r="H75" s="179">
        <v>320</v>
      </c>
    </row>
    <row r="76" spans="1:8" ht="13.5" customHeight="1" x14ac:dyDescent="0.25">
      <c r="A76" s="45">
        <v>41034</v>
      </c>
      <c r="B76" s="40"/>
      <c r="C76" s="46" t="s">
        <v>73</v>
      </c>
      <c r="D76" s="176">
        <v>19</v>
      </c>
      <c r="E76" s="177">
        <v>1199</v>
      </c>
      <c r="F76" s="177">
        <v>1439</v>
      </c>
      <c r="G76" s="178">
        <v>1799</v>
      </c>
      <c r="H76" s="179">
        <v>360</v>
      </c>
    </row>
    <row r="77" spans="1:8" ht="13.5" customHeight="1" x14ac:dyDescent="0.25">
      <c r="A77" s="45">
        <v>41035</v>
      </c>
      <c r="B77" s="40"/>
      <c r="C77" s="46" t="s">
        <v>84</v>
      </c>
      <c r="D77" s="176">
        <v>40</v>
      </c>
      <c r="E77" s="177">
        <v>2600</v>
      </c>
      <c r="F77" s="177">
        <v>3120</v>
      </c>
      <c r="G77" s="178">
        <v>3900</v>
      </c>
      <c r="H77" s="179">
        <v>780</v>
      </c>
    </row>
    <row r="78" spans="1:8" ht="13.5" customHeight="1" x14ac:dyDescent="0.25">
      <c r="A78" s="45">
        <v>41044</v>
      </c>
      <c r="B78" s="40"/>
      <c r="C78" s="46" t="s">
        <v>712</v>
      </c>
      <c r="D78" s="176">
        <v>31</v>
      </c>
      <c r="E78" s="177">
        <v>2000</v>
      </c>
      <c r="F78" s="177">
        <v>2400</v>
      </c>
      <c r="G78" s="178">
        <v>3000</v>
      </c>
      <c r="H78" s="179">
        <v>600</v>
      </c>
    </row>
    <row r="79" spans="1:8" ht="13.5" customHeight="1" x14ac:dyDescent="0.25">
      <c r="A79" s="45">
        <v>41057</v>
      </c>
      <c r="B79" s="40"/>
      <c r="C79" s="46" t="s">
        <v>417</v>
      </c>
      <c r="D79" s="176">
        <v>31</v>
      </c>
      <c r="E79" s="177">
        <v>2000</v>
      </c>
      <c r="F79" s="177">
        <v>2400</v>
      </c>
      <c r="G79" s="178">
        <v>3000</v>
      </c>
      <c r="H79" s="179">
        <v>600</v>
      </c>
    </row>
    <row r="80" spans="1:8" ht="13.5" customHeight="1" x14ac:dyDescent="0.25">
      <c r="A80" s="47">
        <v>45591</v>
      </c>
      <c r="B80" s="40"/>
      <c r="C80" s="49" t="s">
        <v>88</v>
      </c>
      <c r="D80" s="180">
        <v>120</v>
      </c>
      <c r="E80" s="181">
        <v>6466</v>
      </c>
      <c r="F80" s="181">
        <v>7759</v>
      </c>
      <c r="G80" s="182">
        <v>9699</v>
      </c>
      <c r="H80" s="183">
        <v>1940</v>
      </c>
    </row>
    <row r="81" spans="1:8" ht="13.5" customHeight="1" x14ac:dyDescent="0.25">
      <c r="A81" s="47"/>
      <c r="B81" s="40"/>
      <c r="C81" s="22" t="s">
        <v>1370</v>
      </c>
      <c r="D81" s="176"/>
      <c r="E81" s="177"/>
      <c r="F81" s="177"/>
      <c r="G81" s="178"/>
      <c r="H81" s="179"/>
    </row>
    <row r="82" spans="1:8" ht="13.5" customHeight="1" x14ac:dyDescent="0.25">
      <c r="A82" s="45">
        <v>41029</v>
      </c>
      <c r="B82" s="40"/>
      <c r="C82" s="46" t="s">
        <v>708</v>
      </c>
      <c r="D82" s="176">
        <v>16</v>
      </c>
      <c r="E82" s="177">
        <v>1067</v>
      </c>
      <c r="F82" s="177">
        <v>1280</v>
      </c>
      <c r="G82" s="178">
        <v>1600</v>
      </c>
      <c r="H82" s="179">
        <v>320</v>
      </c>
    </row>
    <row r="83" spans="1:8" ht="13.5" customHeight="1" x14ac:dyDescent="0.25">
      <c r="A83" s="45">
        <v>42425</v>
      </c>
      <c r="B83" s="40"/>
      <c r="C83" s="46" t="s">
        <v>85</v>
      </c>
      <c r="D83" s="176">
        <v>19</v>
      </c>
      <c r="E83" s="177">
        <v>1199</v>
      </c>
      <c r="F83" s="177">
        <v>1439</v>
      </c>
      <c r="G83" s="178">
        <v>1799</v>
      </c>
      <c r="H83" s="179">
        <v>360</v>
      </c>
    </row>
    <row r="84" spans="1:8" ht="13.5" customHeight="1" x14ac:dyDescent="0.25">
      <c r="A84" s="45">
        <v>41037</v>
      </c>
      <c r="B84" s="40"/>
      <c r="C84" s="46" t="s">
        <v>74</v>
      </c>
      <c r="D84" s="176">
        <v>40</v>
      </c>
      <c r="E84" s="177">
        <v>2600</v>
      </c>
      <c r="F84" s="177">
        <v>3120</v>
      </c>
      <c r="G84" s="178">
        <v>3900</v>
      </c>
      <c r="H84" s="179">
        <v>780</v>
      </c>
    </row>
    <row r="85" spans="1:8" ht="13.5" customHeight="1" x14ac:dyDescent="0.25">
      <c r="A85" s="45">
        <v>41044</v>
      </c>
      <c r="B85" s="40"/>
      <c r="C85" s="46" t="s">
        <v>712</v>
      </c>
      <c r="D85" s="176">
        <v>31</v>
      </c>
      <c r="E85" s="177">
        <v>2000</v>
      </c>
      <c r="F85" s="177">
        <v>2400</v>
      </c>
      <c r="G85" s="178">
        <v>3000</v>
      </c>
      <c r="H85" s="179">
        <v>600</v>
      </c>
    </row>
    <row r="86" spans="1:8" ht="13.5" customHeight="1" x14ac:dyDescent="0.25">
      <c r="A86" s="45">
        <v>41057</v>
      </c>
      <c r="B86" s="40"/>
      <c r="C86" s="46" t="s">
        <v>417</v>
      </c>
      <c r="D86" s="176">
        <v>31</v>
      </c>
      <c r="E86" s="177">
        <v>2000</v>
      </c>
      <c r="F86" s="177">
        <v>2400</v>
      </c>
      <c r="G86" s="178">
        <v>3000</v>
      </c>
      <c r="H86" s="179">
        <v>600</v>
      </c>
    </row>
    <row r="87" spans="1:8" ht="13.5" customHeight="1" x14ac:dyDescent="0.25">
      <c r="A87" s="47">
        <v>45592</v>
      </c>
      <c r="B87" s="40"/>
      <c r="C87" s="49" t="s">
        <v>89</v>
      </c>
      <c r="D87" s="180">
        <v>120</v>
      </c>
      <c r="E87" s="181">
        <v>6466</v>
      </c>
      <c r="F87" s="181">
        <v>7759</v>
      </c>
      <c r="G87" s="182">
        <v>9699</v>
      </c>
      <c r="H87" s="183">
        <v>1940</v>
      </c>
    </row>
    <row r="88" spans="1:8" ht="13.5" customHeight="1" x14ac:dyDescent="0.25">
      <c r="A88" s="47"/>
      <c r="B88" s="40"/>
      <c r="C88" s="22" t="s">
        <v>1371</v>
      </c>
      <c r="D88" s="176"/>
      <c r="E88" s="177"/>
      <c r="F88" s="177"/>
      <c r="G88" s="178"/>
      <c r="H88" s="179"/>
    </row>
    <row r="89" spans="1:8" ht="13.5" customHeight="1" x14ac:dyDescent="0.25">
      <c r="A89" s="45">
        <v>41029</v>
      </c>
      <c r="B89" s="40"/>
      <c r="C89" s="46" t="s">
        <v>708</v>
      </c>
      <c r="D89" s="176">
        <v>16</v>
      </c>
      <c r="E89" s="177">
        <v>1067</v>
      </c>
      <c r="F89" s="177">
        <v>1280</v>
      </c>
      <c r="G89" s="178">
        <v>1600</v>
      </c>
      <c r="H89" s="179">
        <v>320</v>
      </c>
    </row>
    <row r="90" spans="1:8" ht="13.5" customHeight="1" x14ac:dyDescent="0.25">
      <c r="A90" s="45">
        <v>41033</v>
      </c>
      <c r="B90" s="40"/>
      <c r="C90" s="46" t="s">
        <v>83</v>
      </c>
      <c r="D90" s="176">
        <v>19</v>
      </c>
      <c r="E90" s="177">
        <v>1199</v>
      </c>
      <c r="F90" s="177">
        <v>1439</v>
      </c>
      <c r="G90" s="178">
        <v>1799</v>
      </c>
      <c r="H90" s="179">
        <v>360</v>
      </c>
    </row>
    <row r="91" spans="1:8" ht="13.5" customHeight="1" x14ac:dyDescent="0.25">
      <c r="A91" s="45">
        <v>41040</v>
      </c>
      <c r="B91" s="40"/>
      <c r="C91" s="46" t="s">
        <v>75</v>
      </c>
      <c r="D91" s="176">
        <v>40</v>
      </c>
      <c r="E91" s="177">
        <v>2600</v>
      </c>
      <c r="F91" s="177">
        <v>3120</v>
      </c>
      <c r="G91" s="178">
        <v>3900</v>
      </c>
      <c r="H91" s="179">
        <v>780</v>
      </c>
    </row>
    <row r="92" spans="1:8" ht="13.5" customHeight="1" x14ac:dyDescent="0.25">
      <c r="A92" s="45">
        <v>41044</v>
      </c>
      <c r="B92" s="40"/>
      <c r="C92" s="46" t="s">
        <v>712</v>
      </c>
      <c r="D92" s="176">
        <v>31</v>
      </c>
      <c r="E92" s="177">
        <v>2000</v>
      </c>
      <c r="F92" s="177">
        <v>2400</v>
      </c>
      <c r="G92" s="178">
        <v>3000</v>
      </c>
      <c r="H92" s="179">
        <v>600</v>
      </c>
    </row>
    <row r="93" spans="1:8" ht="13.5" customHeight="1" x14ac:dyDescent="0.25">
      <c r="A93" s="45">
        <v>41058</v>
      </c>
      <c r="B93" s="40"/>
      <c r="C93" s="46" t="s">
        <v>715</v>
      </c>
      <c r="D93" s="176">
        <v>31</v>
      </c>
      <c r="E93" s="177">
        <v>2000</v>
      </c>
      <c r="F93" s="177">
        <v>2400</v>
      </c>
      <c r="G93" s="178">
        <v>3000</v>
      </c>
      <c r="H93" s="179">
        <v>600</v>
      </c>
    </row>
    <row r="94" spans="1:8" ht="13.5" customHeight="1" x14ac:dyDescent="0.25">
      <c r="A94" s="47">
        <v>45595</v>
      </c>
      <c r="B94" s="40"/>
      <c r="C94" s="49" t="s">
        <v>90</v>
      </c>
      <c r="D94" s="180">
        <v>120</v>
      </c>
      <c r="E94" s="181">
        <v>6466</v>
      </c>
      <c r="F94" s="181">
        <v>7759</v>
      </c>
      <c r="G94" s="182">
        <v>9699</v>
      </c>
      <c r="H94" s="183">
        <v>1940</v>
      </c>
    </row>
    <row r="95" spans="1:8" ht="13.5" customHeight="1" x14ac:dyDescent="0.25">
      <c r="A95" s="48"/>
      <c r="B95" s="48"/>
      <c r="C95" s="22" t="s">
        <v>1371</v>
      </c>
      <c r="D95" s="176"/>
      <c r="E95" s="177"/>
      <c r="F95" s="177"/>
      <c r="G95" s="178"/>
      <c r="H95" s="179"/>
    </row>
    <row r="96" spans="1:8" ht="13.5" customHeight="1" x14ac:dyDescent="0.25">
      <c r="A96" s="45">
        <v>41029</v>
      </c>
      <c r="B96" s="40"/>
      <c r="C96" s="46" t="s">
        <v>708</v>
      </c>
      <c r="D96" s="176">
        <v>16</v>
      </c>
      <c r="E96" s="177">
        <v>1067</v>
      </c>
      <c r="F96" s="177">
        <v>1280</v>
      </c>
      <c r="G96" s="178">
        <v>1600</v>
      </c>
      <c r="H96" s="179">
        <v>320</v>
      </c>
    </row>
    <row r="97" spans="1:8" ht="13.5" customHeight="1" x14ac:dyDescent="0.25">
      <c r="A97" s="45">
        <v>41034</v>
      </c>
      <c r="B97" s="40"/>
      <c r="C97" s="46" t="s">
        <v>73</v>
      </c>
      <c r="D97" s="176">
        <v>19</v>
      </c>
      <c r="E97" s="177">
        <v>1199</v>
      </c>
      <c r="F97" s="177">
        <v>1439</v>
      </c>
      <c r="G97" s="178">
        <v>1799</v>
      </c>
      <c r="H97" s="179">
        <v>360</v>
      </c>
    </row>
    <row r="98" spans="1:8" ht="13.5" customHeight="1" x14ac:dyDescent="0.25">
      <c r="A98" s="45">
        <v>41039</v>
      </c>
      <c r="B98" s="40"/>
      <c r="C98" s="46" t="s">
        <v>76</v>
      </c>
      <c r="D98" s="176">
        <v>40</v>
      </c>
      <c r="E98" s="177">
        <v>2600</v>
      </c>
      <c r="F98" s="177">
        <v>3120</v>
      </c>
      <c r="G98" s="178">
        <v>3900</v>
      </c>
      <c r="H98" s="179">
        <v>780</v>
      </c>
    </row>
    <row r="99" spans="1:8" ht="13.5" customHeight="1" x14ac:dyDescent="0.25">
      <c r="A99" s="45">
        <v>41044</v>
      </c>
      <c r="B99" s="40"/>
      <c r="C99" s="46" t="s">
        <v>712</v>
      </c>
      <c r="D99" s="176">
        <v>31</v>
      </c>
      <c r="E99" s="177">
        <v>2000</v>
      </c>
      <c r="F99" s="177">
        <v>2400</v>
      </c>
      <c r="G99" s="178">
        <v>3000</v>
      </c>
      <c r="H99" s="179">
        <v>600</v>
      </c>
    </row>
    <row r="100" spans="1:8" ht="13.5" customHeight="1" x14ac:dyDescent="0.25">
      <c r="A100" s="45">
        <v>41057</v>
      </c>
      <c r="B100" s="40"/>
      <c r="C100" s="46" t="s">
        <v>417</v>
      </c>
      <c r="D100" s="176">
        <v>31</v>
      </c>
      <c r="E100" s="177">
        <v>2000</v>
      </c>
      <c r="F100" s="177">
        <v>2400</v>
      </c>
      <c r="G100" s="178">
        <v>3000</v>
      </c>
      <c r="H100" s="179">
        <v>600</v>
      </c>
    </row>
    <row r="101" spans="1:8" ht="13.5" customHeight="1" x14ac:dyDescent="0.25">
      <c r="A101" s="47">
        <v>45608</v>
      </c>
      <c r="B101" s="40"/>
      <c r="C101" s="49" t="s">
        <v>91</v>
      </c>
      <c r="D101" s="180">
        <v>120</v>
      </c>
      <c r="E101" s="181">
        <v>6466</v>
      </c>
      <c r="F101" s="181">
        <v>7759</v>
      </c>
      <c r="G101" s="182">
        <v>9699</v>
      </c>
      <c r="H101" s="183">
        <v>1940</v>
      </c>
    </row>
    <row r="102" spans="1:8" ht="13.5" customHeight="1" x14ac:dyDescent="0.25">
      <c r="A102" s="47"/>
      <c r="B102" s="40"/>
      <c r="C102" s="22" t="s">
        <v>1372</v>
      </c>
      <c r="D102" s="176"/>
      <c r="E102" s="177"/>
      <c r="F102" s="177"/>
      <c r="G102" s="178"/>
      <c r="H102" s="179"/>
    </row>
    <row r="103" spans="1:8" ht="13.5" customHeight="1" x14ac:dyDescent="0.25">
      <c r="A103" s="45">
        <v>32627</v>
      </c>
      <c r="B103" s="9"/>
      <c r="C103" s="46" t="s">
        <v>317</v>
      </c>
      <c r="D103" s="176">
        <v>31</v>
      </c>
      <c r="E103" s="177">
        <v>2000</v>
      </c>
      <c r="F103" s="177">
        <v>2400</v>
      </c>
      <c r="G103" s="178">
        <v>3000</v>
      </c>
      <c r="H103" s="179">
        <v>600</v>
      </c>
    </row>
    <row r="104" spans="1:8" ht="13.5" customHeight="1" x14ac:dyDescent="0.25">
      <c r="A104" s="45">
        <v>32628</v>
      </c>
      <c r="B104" s="9"/>
      <c r="C104" s="46" t="s">
        <v>318</v>
      </c>
      <c r="D104" s="176">
        <v>31</v>
      </c>
      <c r="E104" s="177">
        <v>2000</v>
      </c>
      <c r="F104" s="177">
        <v>2400</v>
      </c>
      <c r="G104" s="178">
        <v>3000</v>
      </c>
      <c r="H104" s="179">
        <v>600</v>
      </c>
    </row>
    <row r="105" spans="1:8" ht="13.5" customHeight="1" x14ac:dyDescent="0.25">
      <c r="A105" s="45">
        <v>32629</v>
      </c>
      <c r="B105" s="40"/>
      <c r="C105" s="46" t="s">
        <v>70</v>
      </c>
      <c r="D105" s="176">
        <v>19</v>
      </c>
      <c r="E105" s="177">
        <v>1199</v>
      </c>
      <c r="F105" s="177">
        <v>1439</v>
      </c>
      <c r="G105" s="178">
        <v>1799</v>
      </c>
      <c r="H105" s="179">
        <v>360</v>
      </c>
    </row>
    <row r="106" spans="1:8" ht="13.5" customHeight="1" x14ac:dyDescent="0.25">
      <c r="A106" s="45">
        <v>32630</v>
      </c>
      <c r="B106" s="9"/>
      <c r="C106" s="46" t="s">
        <v>69</v>
      </c>
      <c r="D106" s="176">
        <v>40</v>
      </c>
      <c r="E106" s="177">
        <v>2600</v>
      </c>
      <c r="F106" s="177">
        <v>3120</v>
      </c>
      <c r="G106" s="178">
        <v>3900</v>
      </c>
      <c r="H106" s="179">
        <v>780</v>
      </c>
    </row>
    <row r="107" spans="1:8" ht="13.5" customHeight="1" x14ac:dyDescent="0.25">
      <c r="A107" s="45">
        <v>33984</v>
      </c>
      <c r="B107" s="47"/>
      <c r="C107" s="46" t="s">
        <v>315</v>
      </c>
      <c r="D107" s="176">
        <v>12</v>
      </c>
      <c r="E107" s="177">
        <v>799</v>
      </c>
      <c r="F107" s="177">
        <v>959</v>
      </c>
      <c r="G107" s="178">
        <v>1199</v>
      </c>
      <c r="H107" s="179">
        <v>240</v>
      </c>
    </row>
    <row r="108" spans="1:8" ht="13.5" customHeight="1" x14ac:dyDescent="0.25">
      <c r="A108" s="48">
        <v>31774</v>
      </c>
      <c r="B108" s="48"/>
      <c r="C108" s="49" t="s">
        <v>78</v>
      </c>
      <c r="D108" s="180">
        <v>120</v>
      </c>
      <c r="E108" s="181">
        <v>6466</v>
      </c>
      <c r="F108" s="181">
        <v>7759</v>
      </c>
      <c r="G108" s="182">
        <v>9699</v>
      </c>
      <c r="H108" s="183">
        <v>1940</v>
      </c>
    </row>
    <row r="109" spans="1:8" ht="13.5" customHeight="1" x14ac:dyDescent="0.25">
      <c r="A109" s="15"/>
      <c r="B109" s="15"/>
      <c r="C109" s="22" t="s">
        <v>1372</v>
      </c>
      <c r="D109" s="176"/>
      <c r="E109" s="177"/>
      <c r="F109" s="177"/>
      <c r="G109" s="178"/>
      <c r="H109" s="179"/>
    </row>
    <row r="110" spans="1:8" ht="13.5" customHeight="1" x14ac:dyDescent="0.25">
      <c r="A110" s="58">
        <v>38382</v>
      </c>
      <c r="B110" s="65"/>
      <c r="C110" s="46" t="s">
        <v>349</v>
      </c>
      <c r="D110" s="176">
        <v>16</v>
      </c>
      <c r="E110" s="177">
        <v>1067</v>
      </c>
      <c r="F110" s="177">
        <v>1280</v>
      </c>
      <c r="G110" s="178">
        <v>1600</v>
      </c>
      <c r="H110" s="179">
        <v>320</v>
      </c>
    </row>
    <row r="111" spans="1:8" ht="13.5" customHeight="1" x14ac:dyDescent="0.25">
      <c r="A111" s="45">
        <v>38385</v>
      </c>
      <c r="B111" s="40"/>
      <c r="C111" s="46" t="s">
        <v>637</v>
      </c>
      <c r="D111" s="176">
        <v>27</v>
      </c>
      <c r="E111" s="177">
        <v>1733</v>
      </c>
      <c r="F111" s="177">
        <v>2080</v>
      </c>
      <c r="G111" s="178">
        <v>2600</v>
      </c>
      <c r="H111" s="179">
        <v>520</v>
      </c>
    </row>
    <row r="112" spans="1:8" ht="13.5" customHeight="1" x14ac:dyDescent="0.25">
      <c r="A112" s="45">
        <v>38390</v>
      </c>
      <c r="B112" s="65"/>
      <c r="C112" s="46" t="s">
        <v>72</v>
      </c>
      <c r="D112" s="176">
        <v>17</v>
      </c>
      <c r="E112" s="177">
        <v>1133</v>
      </c>
      <c r="F112" s="177">
        <v>1359</v>
      </c>
      <c r="G112" s="178">
        <v>1699</v>
      </c>
      <c r="H112" s="179">
        <v>340</v>
      </c>
    </row>
    <row r="113" spans="1:8" ht="13.5" customHeight="1" x14ac:dyDescent="0.25">
      <c r="A113" s="45">
        <v>38391</v>
      </c>
      <c r="B113" s="40"/>
      <c r="C113" s="46" t="s">
        <v>79</v>
      </c>
      <c r="D113" s="176">
        <v>37</v>
      </c>
      <c r="E113" s="177">
        <v>2400</v>
      </c>
      <c r="F113" s="177">
        <v>2880</v>
      </c>
      <c r="G113" s="178">
        <v>3600</v>
      </c>
      <c r="H113" s="179">
        <v>720</v>
      </c>
    </row>
    <row r="114" spans="1:8" ht="13.5" customHeight="1" x14ac:dyDescent="0.25">
      <c r="A114" s="45">
        <v>40794</v>
      </c>
      <c r="B114" s="9"/>
      <c r="C114" s="46" t="s">
        <v>346</v>
      </c>
      <c r="D114" s="176">
        <v>27</v>
      </c>
      <c r="E114" s="177">
        <v>1733</v>
      </c>
      <c r="F114" s="177">
        <v>2080</v>
      </c>
      <c r="G114" s="178">
        <v>2600</v>
      </c>
      <c r="H114" s="179">
        <v>520</v>
      </c>
    </row>
    <row r="115" spans="1:8" ht="13.5" customHeight="1" x14ac:dyDescent="0.25">
      <c r="A115" s="47">
        <v>44480</v>
      </c>
      <c r="B115" s="40"/>
      <c r="C115" s="59" t="s">
        <v>80</v>
      </c>
      <c r="D115" s="180">
        <v>109</v>
      </c>
      <c r="E115" s="181">
        <v>5866</v>
      </c>
      <c r="F115" s="181">
        <v>7039</v>
      </c>
      <c r="G115" s="182">
        <v>8799</v>
      </c>
      <c r="H115" s="183">
        <v>1760</v>
      </c>
    </row>
    <row r="116" spans="1:8" ht="13.5" customHeight="1" x14ac:dyDescent="0.25">
      <c r="A116" s="15"/>
      <c r="B116" s="15"/>
      <c r="C116" s="22" t="s">
        <v>1373</v>
      </c>
      <c r="D116" s="176"/>
      <c r="E116" s="177"/>
      <c r="F116" s="177"/>
      <c r="G116" s="178"/>
      <c r="H116" s="179"/>
    </row>
    <row r="117" spans="1:8" ht="13.5" customHeight="1" x14ac:dyDescent="0.25">
      <c r="A117" s="58">
        <v>42590</v>
      </c>
      <c r="B117" s="34" t="s">
        <v>1380</v>
      </c>
      <c r="C117" s="87" t="s">
        <v>814</v>
      </c>
      <c r="D117" s="176">
        <v>8</v>
      </c>
      <c r="E117" s="177">
        <v>547</v>
      </c>
      <c r="F117" s="177">
        <v>656</v>
      </c>
      <c r="G117" s="178">
        <v>820</v>
      </c>
      <c r="H117" s="179">
        <v>164</v>
      </c>
    </row>
    <row r="118" spans="1:8" ht="13.5" customHeight="1" x14ac:dyDescent="0.25">
      <c r="A118" s="15"/>
      <c r="B118" s="15"/>
      <c r="C118" s="49" t="s">
        <v>1385</v>
      </c>
      <c r="D118" s="180">
        <v>5</v>
      </c>
      <c r="E118" s="181">
        <v>299</v>
      </c>
      <c r="F118" s="181">
        <v>359</v>
      </c>
      <c r="G118" s="182">
        <v>449</v>
      </c>
      <c r="H118" s="183">
        <v>90</v>
      </c>
    </row>
    <row r="119" spans="1:8" ht="13.5" customHeight="1" x14ac:dyDescent="0.25">
      <c r="A119" s="15"/>
      <c r="B119" s="15"/>
      <c r="C119" s="22" t="s">
        <v>1361</v>
      </c>
      <c r="D119" s="176"/>
      <c r="E119" s="177"/>
      <c r="F119" s="177"/>
      <c r="G119" s="178"/>
      <c r="H119" s="179"/>
    </row>
    <row r="120" spans="1:8" ht="13.5" customHeight="1" x14ac:dyDescent="0.25">
      <c r="A120" s="58">
        <v>42550</v>
      </c>
      <c r="B120" s="34" t="s">
        <v>1380</v>
      </c>
      <c r="C120" s="87" t="s">
        <v>808</v>
      </c>
      <c r="D120" s="176">
        <v>8</v>
      </c>
      <c r="E120" s="177">
        <v>499</v>
      </c>
      <c r="F120" s="177">
        <v>599</v>
      </c>
      <c r="G120" s="178">
        <v>749</v>
      </c>
      <c r="H120" s="179">
        <v>150</v>
      </c>
    </row>
    <row r="121" spans="1:8" ht="13.5" customHeight="1" x14ac:dyDescent="0.25">
      <c r="A121" s="58"/>
      <c r="B121" s="15"/>
      <c r="C121" s="49" t="s">
        <v>1375</v>
      </c>
      <c r="D121" s="180">
        <v>7</v>
      </c>
      <c r="E121" s="181">
        <v>453</v>
      </c>
      <c r="F121" s="181">
        <v>543</v>
      </c>
      <c r="G121" s="182">
        <v>679</v>
      </c>
      <c r="H121" s="183">
        <v>136</v>
      </c>
    </row>
    <row r="122" spans="1:8" ht="13.5" customHeight="1" x14ac:dyDescent="0.25">
      <c r="A122" s="58">
        <v>42548</v>
      </c>
      <c r="B122" s="34" t="s">
        <v>1380</v>
      </c>
      <c r="C122" s="87" t="s">
        <v>806</v>
      </c>
      <c r="D122" s="176">
        <v>9</v>
      </c>
      <c r="E122" s="177">
        <v>559</v>
      </c>
      <c r="F122" s="177">
        <v>671</v>
      </c>
      <c r="G122" s="178">
        <v>839</v>
      </c>
      <c r="H122" s="179">
        <v>168</v>
      </c>
    </row>
    <row r="123" spans="1:8" ht="13.5" customHeight="1" x14ac:dyDescent="0.25">
      <c r="A123" s="58">
        <v>42549</v>
      </c>
      <c r="B123" s="34" t="s">
        <v>1380</v>
      </c>
      <c r="C123" s="87" t="s">
        <v>807</v>
      </c>
      <c r="D123" s="176">
        <v>9</v>
      </c>
      <c r="E123" s="177">
        <v>559</v>
      </c>
      <c r="F123" s="177">
        <v>671</v>
      </c>
      <c r="G123" s="178">
        <v>839</v>
      </c>
      <c r="H123" s="179">
        <v>168</v>
      </c>
    </row>
    <row r="124" spans="1:8" ht="13.5" customHeight="1" x14ac:dyDescent="0.25">
      <c r="A124" s="58">
        <v>42551</v>
      </c>
      <c r="B124" s="34" t="s">
        <v>1380</v>
      </c>
      <c r="C124" s="87" t="s">
        <v>809</v>
      </c>
      <c r="D124" s="176">
        <v>9</v>
      </c>
      <c r="E124" s="177">
        <v>559</v>
      </c>
      <c r="F124" s="177">
        <v>671</v>
      </c>
      <c r="G124" s="178">
        <v>839</v>
      </c>
      <c r="H124" s="179">
        <v>168</v>
      </c>
    </row>
    <row r="125" spans="1:8" ht="13.5" customHeight="1" x14ac:dyDescent="0.25">
      <c r="A125" s="15"/>
      <c r="B125" s="15"/>
      <c r="C125" s="49" t="s">
        <v>1374</v>
      </c>
      <c r="D125" s="180">
        <v>8</v>
      </c>
      <c r="E125" s="181">
        <v>513</v>
      </c>
      <c r="F125" s="181">
        <v>615</v>
      </c>
      <c r="G125" s="182">
        <v>769</v>
      </c>
      <c r="H125" s="183">
        <v>154</v>
      </c>
    </row>
    <row r="126" spans="1:8" ht="13.5" customHeight="1" x14ac:dyDescent="0.25">
      <c r="A126" s="15"/>
      <c r="B126" s="15"/>
      <c r="C126" s="22" t="s">
        <v>1376</v>
      </c>
      <c r="D126" s="176"/>
      <c r="E126" s="177"/>
      <c r="F126" s="177"/>
      <c r="G126" s="178"/>
      <c r="H126" s="179"/>
    </row>
    <row r="127" spans="1:8" ht="13.5" customHeight="1" x14ac:dyDescent="0.25">
      <c r="A127" s="58">
        <v>34849</v>
      </c>
      <c r="B127" s="34" t="s">
        <v>1380</v>
      </c>
      <c r="C127" s="87" t="s">
        <v>188</v>
      </c>
      <c r="D127" s="176">
        <v>7</v>
      </c>
      <c r="E127" s="177">
        <v>427</v>
      </c>
      <c r="F127" s="177">
        <v>512</v>
      </c>
      <c r="G127" s="178">
        <v>640</v>
      </c>
      <c r="H127" s="179">
        <v>128</v>
      </c>
    </row>
    <row r="128" spans="1:8" ht="13.5" customHeight="1" x14ac:dyDescent="0.25">
      <c r="A128" s="15"/>
      <c r="B128" s="15"/>
      <c r="C128" s="49" t="s">
        <v>1377</v>
      </c>
      <c r="D128" s="180">
        <v>3</v>
      </c>
      <c r="E128" s="181">
        <v>219</v>
      </c>
      <c r="F128" s="181">
        <v>263</v>
      </c>
      <c r="G128" s="182">
        <v>329</v>
      </c>
      <c r="H128" s="183">
        <v>66</v>
      </c>
    </row>
    <row r="129" spans="1:8" ht="13.5" customHeight="1" x14ac:dyDescent="0.25">
      <c r="A129" s="15"/>
      <c r="B129" s="15"/>
      <c r="C129" s="22" t="s">
        <v>1378</v>
      </c>
      <c r="D129" s="176"/>
      <c r="E129" s="177"/>
      <c r="F129" s="177"/>
      <c r="G129" s="178"/>
      <c r="H129" s="179"/>
    </row>
    <row r="130" spans="1:8" ht="13.5" customHeight="1" x14ac:dyDescent="0.25">
      <c r="A130" s="58">
        <v>43119</v>
      </c>
      <c r="B130" s="15"/>
      <c r="C130" s="87" t="s">
        <v>841</v>
      </c>
      <c r="D130" s="176">
        <v>3</v>
      </c>
      <c r="E130" s="177">
        <v>226</v>
      </c>
      <c r="F130" s="177">
        <v>271</v>
      </c>
      <c r="G130" s="178">
        <v>339</v>
      </c>
      <c r="H130" s="179">
        <v>68</v>
      </c>
    </row>
    <row r="131" spans="1:8" ht="13.5" customHeight="1" x14ac:dyDescent="0.25">
      <c r="A131" s="58">
        <v>43085</v>
      </c>
      <c r="B131" s="15"/>
      <c r="C131" s="87" t="s">
        <v>840</v>
      </c>
      <c r="D131" s="176">
        <v>4</v>
      </c>
      <c r="E131" s="177">
        <v>279</v>
      </c>
      <c r="F131" s="177">
        <v>335</v>
      </c>
      <c r="G131" s="178">
        <v>419</v>
      </c>
      <c r="H131" s="179">
        <v>84</v>
      </c>
    </row>
    <row r="132" spans="1:8" ht="13.5" customHeight="1" x14ac:dyDescent="0.25">
      <c r="A132" s="48">
        <v>148800</v>
      </c>
      <c r="B132" s="15"/>
      <c r="C132" s="121" t="s">
        <v>258</v>
      </c>
      <c r="D132" s="184">
        <v>6</v>
      </c>
      <c r="E132" s="183">
        <v>399</v>
      </c>
      <c r="F132" s="183">
        <v>479</v>
      </c>
      <c r="G132" s="81">
        <v>599</v>
      </c>
      <c r="H132" s="183">
        <v>120</v>
      </c>
    </row>
  </sheetData>
  <sortState xmlns:xlrd2="http://schemas.microsoft.com/office/spreadsheetml/2017/richdata2" ref="A7:A21">
    <sortCondition ref="A6:A21"/>
  </sortState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8B57B-94A0-41F3-B939-6A691A9849A2}">
  <dimension ref="A1:I8"/>
  <sheetViews>
    <sheetView workbookViewId="0">
      <selection activeCell="D23" sqref="D23"/>
    </sheetView>
  </sheetViews>
  <sheetFormatPr defaultRowHeight="13.2" x14ac:dyDescent="0.25"/>
  <cols>
    <col min="4" max="4" width="54.44140625" customWidth="1"/>
  </cols>
  <sheetData>
    <row r="1" spans="1:9" x14ac:dyDescent="0.25">
      <c r="A1" s="193" t="s">
        <v>4</v>
      </c>
      <c r="B1" s="194" t="s">
        <v>12</v>
      </c>
      <c r="C1" s="195" t="s">
        <v>11</v>
      </c>
      <c r="D1" s="196" t="s">
        <v>14</v>
      </c>
      <c r="E1" s="196" t="s">
        <v>5</v>
      </c>
      <c r="F1" s="197" t="s">
        <v>6</v>
      </c>
      <c r="G1" s="197" t="s">
        <v>7</v>
      </c>
      <c r="H1" s="197" t="s">
        <v>8</v>
      </c>
      <c r="I1" s="198" t="s">
        <v>10</v>
      </c>
    </row>
    <row r="2" spans="1:9" x14ac:dyDescent="0.25">
      <c r="A2" s="70">
        <v>35767</v>
      </c>
      <c r="B2" s="67">
        <v>0.34383561643835597</v>
      </c>
      <c r="C2" s="66" t="s">
        <v>587</v>
      </c>
      <c r="D2" s="54" t="s">
        <v>588</v>
      </c>
      <c r="E2" s="66">
        <v>5</v>
      </c>
      <c r="F2" s="66">
        <v>319</v>
      </c>
      <c r="G2" s="66">
        <v>383</v>
      </c>
      <c r="H2" s="66">
        <v>479</v>
      </c>
      <c r="I2" s="66">
        <v>96</v>
      </c>
    </row>
    <row r="3" spans="1:9" x14ac:dyDescent="0.25">
      <c r="A3" s="70">
        <v>38497</v>
      </c>
      <c r="B3" s="67">
        <v>0.485151515151515</v>
      </c>
      <c r="C3" s="66" t="s">
        <v>638</v>
      </c>
      <c r="D3" s="54" t="s">
        <v>452</v>
      </c>
      <c r="E3" s="66">
        <v>17</v>
      </c>
      <c r="F3" s="66">
        <v>1133</v>
      </c>
      <c r="G3" s="66">
        <v>1359</v>
      </c>
      <c r="H3" s="66">
        <v>1699</v>
      </c>
      <c r="I3" s="66">
        <v>340</v>
      </c>
    </row>
    <row r="4" spans="1:9" x14ac:dyDescent="0.25">
      <c r="A4" s="70">
        <v>41676</v>
      </c>
      <c r="B4" s="67">
        <v>0.29843750000000002</v>
      </c>
      <c r="C4" s="66" t="s">
        <v>527</v>
      </c>
      <c r="D4" s="54" t="s">
        <v>754</v>
      </c>
      <c r="E4" s="66">
        <v>5</v>
      </c>
      <c r="F4" s="66">
        <v>299</v>
      </c>
      <c r="G4" s="66">
        <v>359</v>
      </c>
      <c r="H4" s="66">
        <v>449</v>
      </c>
      <c r="I4" s="66">
        <v>90</v>
      </c>
    </row>
    <row r="5" spans="1:9" x14ac:dyDescent="0.25">
      <c r="A5" s="70">
        <v>41715</v>
      </c>
      <c r="B5" s="67">
        <v>0.44035087719298199</v>
      </c>
      <c r="C5" s="66" t="s">
        <v>651</v>
      </c>
      <c r="D5" s="54" t="s">
        <v>757</v>
      </c>
      <c r="E5" s="66">
        <v>3</v>
      </c>
      <c r="F5" s="66">
        <v>213</v>
      </c>
      <c r="G5" s="66">
        <v>255</v>
      </c>
      <c r="H5" s="66">
        <v>319</v>
      </c>
      <c r="I5" s="66">
        <v>64</v>
      </c>
    </row>
    <row r="6" spans="1:9" x14ac:dyDescent="0.25">
      <c r="A6" s="70">
        <v>43053</v>
      </c>
      <c r="B6" s="67">
        <v>0.44666666666666699</v>
      </c>
      <c r="C6" s="66" t="s">
        <v>566</v>
      </c>
      <c r="D6" s="54" t="s">
        <v>837</v>
      </c>
      <c r="E6" s="66">
        <v>3</v>
      </c>
      <c r="F6" s="66">
        <v>166</v>
      </c>
      <c r="G6" s="66">
        <v>199</v>
      </c>
      <c r="H6" s="66">
        <v>249</v>
      </c>
      <c r="I6" s="66">
        <v>50</v>
      </c>
    </row>
    <row r="7" spans="1:9" x14ac:dyDescent="0.25">
      <c r="A7" s="70">
        <v>43054</v>
      </c>
      <c r="B7" s="67">
        <v>0.44666666666666699</v>
      </c>
      <c r="C7" s="66" t="s">
        <v>566</v>
      </c>
      <c r="D7" s="54" t="s">
        <v>838</v>
      </c>
      <c r="E7" s="66">
        <v>3</v>
      </c>
      <c r="F7" s="66">
        <v>166</v>
      </c>
      <c r="G7" s="66">
        <v>199</v>
      </c>
      <c r="H7" s="66">
        <v>249</v>
      </c>
      <c r="I7" s="66">
        <v>50</v>
      </c>
    </row>
    <row r="8" spans="1:9" x14ac:dyDescent="0.25">
      <c r="A8" s="70">
        <v>44950</v>
      </c>
      <c r="B8" s="67">
        <v>0.293939393939394</v>
      </c>
      <c r="C8" s="66" t="s">
        <v>869</v>
      </c>
      <c r="D8" s="54" t="s">
        <v>870</v>
      </c>
      <c r="E8" s="66">
        <v>7</v>
      </c>
      <c r="F8" s="66">
        <v>466</v>
      </c>
      <c r="G8" s="66">
        <v>559</v>
      </c>
      <c r="H8" s="66">
        <v>699</v>
      </c>
      <c r="I8" s="66">
        <v>140</v>
      </c>
    </row>
  </sheetData>
  <sortState xmlns:xlrd2="http://schemas.microsoft.com/office/spreadsheetml/2017/richdata2" ref="A2:I8">
    <sortCondition ref="A2:A8"/>
  </sortState>
  <conditionalFormatting sqref="A2:A8">
    <cfRule type="expression" dxfId="1" priority="2" stopIfTrue="1">
      <formula>AND(COUNTIF(#REF!, A2)&gt;1,NOT(ISBLANK(A2)))</formula>
    </cfRule>
  </conditionalFormatting>
  <conditionalFormatting sqref="A2:A8">
    <cfRule type="duplicateValues" dxfId="0" priority="1"/>
  </conditionalFormatting>
  <pageMargins left="0.7" right="0.7" top="0.75" bottom="0.75" header="0.3" footer="0.3"/>
  <ignoredErrors>
    <ignoredError sqref="C2:C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3"/>
  <sheetViews>
    <sheetView topLeftCell="A28" workbookViewId="0">
      <selection activeCell="A30" sqref="A30:D30"/>
    </sheetView>
  </sheetViews>
  <sheetFormatPr defaultRowHeight="13.2" x14ac:dyDescent="0.25"/>
  <cols>
    <col min="2" max="2" width="8.44140625" customWidth="1"/>
    <col min="3" max="3" width="8" customWidth="1"/>
    <col min="4" max="4" width="76.33203125" bestFit="1" customWidth="1"/>
  </cols>
  <sheetData>
    <row r="1" spans="1:9" x14ac:dyDescent="0.25">
      <c r="A1" s="63" t="s">
        <v>4</v>
      </c>
      <c r="B1" s="67" t="s">
        <v>12</v>
      </c>
      <c r="C1" s="66" t="s">
        <v>11</v>
      </c>
      <c r="D1" s="63" t="s">
        <v>14</v>
      </c>
      <c r="E1" s="63" t="s">
        <v>5</v>
      </c>
      <c r="F1" s="64" t="s">
        <v>6</v>
      </c>
      <c r="G1" s="64" t="s">
        <v>7</v>
      </c>
      <c r="H1" s="64" t="s">
        <v>8</v>
      </c>
      <c r="I1" s="64" t="s">
        <v>10</v>
      </c>
    </row>
    <row r="2" spans="1:9" x14ac:dyDescent="0.25">
      <c r="A2" s="63">
        <v>34612</v>
      </c>
      <c r="B2" s="67"/>
      <c r="C2" s="66" t="s">
        <v>30</v>
      </c>
      <c r="D2" s="54" t="s">
        <v>19</v>
      </c>
      <c r="E2" s="50" t="s">
        <v>17</v>
      </c>
      <c r="F2" s="50" t="s">
        <v>17</v>
      </c>
      <c r="G2" s="53">
        <v>35</v>
      </c>
      <c r="H2" s="50" t="s">
        <v>17</v>
      </c>
      <c r="I2" s="50" t="s">
        <v>17</v>
      </c>
    </row>
    <row r="3" spans="1:9" x14ac:dyDescent="0.25">
      <c r="A3" s="63">
        <v>34613</v>
      </c>
      <c r="B3" s="67"/>
      <c r="C3" s="66" t="s">
        <v>30</v>
      </c>
      <c r="D3" s="54" t="s">
        <v>18</v>
      </c>
      <c r="E3" s="50" t="s">
        <v>17</v>
      </c>
      <c r="F3" s="50" t="s">
        <v>17</v>
      </c>
      <c r="G3" s="53">
        <v>35</v>
      </c>
      <c r="H3" s="50" t="s">
        <v>17</v>
      </c>
      <c r="I3" s="50" t="s">
        <v>17</v>
      </c>
    </row>
    <row r="4" spans="1:9" x14ac:dyDescent="0.25">
      <c r="A4" s="63">
        <v>35084</v>
      </c>
      <c r="B4" s="67"/>
      <c r="C4" s="66" t="s">
        <v>30</v>
      </c>
      <c r="D4" s="54" t="s">
        <v>124</v>
      </c>
      <c r="E4" s="50" t="s">
        <v>17</v>
      </c>
      <c r="F4" s="50" t="s">
        <v>17</v>
      </c>
      <c r="G4" s="53">
        <v>35</v>
      </c>
      <c r="H4" s="50" t="s">
        <v>17</v>
      </c>
      <c r="I4" s="50" t="s">
        <v>17</v>
      </c>
    </row>
    <row r="5" spans="1:9" x14ac:dyDescent="0.25">
      <c r="A5" s="63">
        <v>35198</v>
      </c>
      <c r="B5" s="67"/>
      <c r="C5" s="66" t="s">
        <v>30</v>
      </c>
      <c r="D5" s="54" t="s">
        <v>125</v>
      </c>
      <c r="E5" s="50" t="s">
        <v>17</v>
      </c>
      <c r="F5" s="50" t="s">
        <v>17</v>
      </c>
      <c r="G5" s="53">
        <v>35</v>
      </c>
      <c r="H5" s="50" t="s">
        <v>17</v>
      </c>
      <c r="I5" s="50" t="s">
        <v>17</v>
      </c>
    </row>
    <row r="6" spans="1:9" x14ac:dyDescent="0.25">
      <c r="A6" s="63">
        <v>35200</v>
      </c>
      <c r="B6" s="67"/>
      <c r="C6" s="66" t="s">
        <v>30</v>
      </c>
      <c r="D6" s="54" t="s">
        <v>126</v>
      </c>
      <c r="E6" s="50" t="s">
        <v>17</v>
      </c>
      <c r="F6" s="50" t="s">
        <v>17</v>
      </c>
      <c r="G6" s="53">
        <v>35</v>
      </c>
      <c r="H6" s="50" t="s">
        <v>17</v>
      </c>
      <c r="I6" s="50" t="s">
        <v>17</v>
      </c>
    </row>
    <row r="7" spans="1:9" x14ac:dyDescent="0.25">
      <c r="A7" s="63">
        <v>35231</v>
      </c>
      <c r="B7" s="67"/>
      <c r="C7" s="66" t="s">
        <v>30</v>
      </c>
      <c r="D7" s="54" t="s">
        <v>127</v>
      </c>
      <c r="E7" s="50" t="s">
        <v>17</v>
      </c>
      <c r="F7" s="50" t="s">
        <v>17</v>
      </c>
      <c r="G7" s="53">
        <v>35</v>
      </c>
      <c r="H7" s="50" t="s">
        <v>17</v>
      </c>
      <c r="I7" s="50" t="s">
        <v>17</v>
      </c>
    </row>
    <row r="8" spans="1:9" x14ac:dyDescent="0.25">
      <c r="A8" s="70">
        <v>35232</v>
      </c>
      <c r="B8" s="67"/>
      <c r="C8" s="66" t="s">
        <v>30</v>
      </c>
      <c r="D8" s="54" t="s">
        <v>128</v>
      </c>
      <c r="E8" s="50" t="s">
        <v>17</v>
      </c>
      <c r="F8" s="50" t="s">
        <v>17</v>
      </c>
      <c r="G8" s="53">
        <v>35</v>
      </c>
      <c r="H8" s="50" t="s">
        <v>17</v>
      </c>
      <c r="I8" s="50" t="s">
        <v>17</v>
      </c>
    </row>
    <row r="9" spans="1:9" x14ac:dyDescent="0.25">
      <c r="A9" s="70">
        <v>35332</v>
      </c>
      <c r="B9" s="67"/>
      <c r="C9" s="66" t="s">
        <v>30</v>
      </c>
      <c r="D9" s="54" t="s">
        <v>129</v>
      </c>
      <c r="E9" s="50" t="s">
        <v>17</v>
      </c>
      <c r="F9" s="50" t="s">
        <v>17</v>
      </c>
      <c r="G9" s="53">
        <v>35</v>
      </c>
      <c r="H9" s="50" t="s">
        <v>17</v>
      </c>
      <c r="I9" s="50" t="s">
        <v>17</v>
      </c>
    </row>
    <row r="10" spans="1:9" x14ac:dyDescent="0.25">
      <c r="A10" s="70">
        <v>35333</v>
      </c>
      <c r="B10" s="67"/>
      <c r="C10" s="66" t="s">
        <v>30</v>
      </c>
      <c r="D10" s="54" t="s">
        <v>130</v>
      </c>
      <c r="E10" s="50" t="s">
        <v>17</v>
      </c>
      <c r="F10" s="50" t="s">
        <v>17</v>
      </c>
      <c r="G10" s="53">
        <v>35</v>
      </c>
      <c r="H10" s="50" t="s">
        <v>17</v>
      </c>
      <c r="I10" s="50" t="s">
        <v>17</v>
      </c>
    </row>
    <row r="11" spans="1:9" x14ac:dyDescent="0.25">
      <c r="A11" s="70">
        <v>41183</v>
      </c>
      <c r="B11" s="67"/>
      <c r="C11" s="66" t="s">
        <v>30</v>
      </c>
      <c r="D11" s="54" t="s">
        <v>131</v>
      </c>
      <c r="E11" s="50" t="s">
        <v>17</v>
      </c>
      <c r="F11" s="50" t="s">
        <v>17</v>
      </c>
      <c r="G11" s="53">
        <v>35</v>
      </c>
      <c r="H11" s="50" t="s">
        <v>17</v>
      </c>
      <c r="I11" s="50" t="s">
        <v>17</v>
      </c>
    </row>
    <row r="12" spans="1:9" x14ac:dyDescent="0.25">
      <c r="A12" s="70">
        <v>41185</v>
      </c>
      <c r="B12" s="67"/>
      <c r="C12" s="66" t="s">
        <v>30</v>
      </c>
      <c r="D12" s="54" t="s">
        <v>132</v>
      </c>
      <c r="E12" s="50" t="s">
        <v>17</v>
      </c>
      <c r="F12" s="50" t="s">
        <v>17</v>
      </c>
      <c r="G12" s="53">
        <v>35</v>
      </c>
      <c r="H12" s="50" t="s">
        <v>17</v>
      </c>
      <c r="I12" s="50" t="s">
        <v>17</v>
      </c>
    </row>
    <row r="13" spans="1:9" x14ac:dyDescent="0.25">
      <c r="A13" s="70">
        <v>41377</v>
      </c>
      <c r="B13" s="67"/>
      <c r="C13" s="66" t="s">
        <v>30</v>
      </c>
      <c r="D13" s="54" t="s">
        <v>133</v>
      </c>
      <c r="E13" s="50" t="s">
        <v>17</v>
      </c>
      <c r="F13" s="50" t="s">
        <v>17</v>
      </c>
      <c r="G13" s="53">
        <v>35</v>
      </c>
      <c r="H13" s="50" t="s">
        <v>17</v>
      </c>
      <c r="I13" s="50" t="s">
        <v>17</v>
      </c>
    </row>
    <row r="14" spans="1:9" x14ac:dyDescent="0.25">
      <c r="A14" s="70">
        <v>41378</v>
      </c>
      <c r="B14" s="67"/>
      <c r="C14" s="66" t="s">
        <v>30</v>
      </c>
      <c r="D14" s="54" t="s">
        <v>134</v>
      </c>
      <c r="E14" s="50" t="s">
        <v>17</v>
      </c>
      <c r="F14" s="50" t="s">
        <v>17</v>
      </c>
      <c r="G14" s="53">
        <v>35</v>
      </c>
      <c r="H14" s="50" t="s">
        <v>17</v>
      </c>
      <c r="I14" s="50" t="s">
        <v>17</v>
      </c>
    </row>
    <row r="15" spans="1:9" x14ac:dyDescent="0.25">
      <c r="A15" s="70">
        <v>41379</v>
      </c>
      <c r="B15" s="67"/>
      <c r="C15" s="66" t="s">
        <v>30</v>
      </c>
      <c r="D15" s="54" t="s">
        <v>135</v>
      </c>
      <c r="E15" s="50" t="s">
        <v>17</v>
      </c>
      <c r="F15" s="50" t="s">
        <v>17</v>
      </c>
      <c r="G15" s="53">
        <v>35</v>
      </c>
      <c r="H15" s="50" t="s">
        <v>17</v>
      </c>
      <c r="I15" s="50" t="s">
        <v>17</v>
      </c>
    </row>
    <row r="16" spans="1:9" x14ac:dyDescent="0.25">
      <c r="A16" s="70">
        <v>43888</v>
      </c>
      <c r="B16" s="67"/>
      <c r="C16" s="66" t="s">
        <v>30</v>
      </c>
      <c r="D16" s="54" t="s">
        <v>136</v>
      </c>
      <c r="E16" s="50" t="s">
        <v>17</v>
      </c>
      <c r="F16" s="50" t="s">
        <v>17</v>
      </c>
      <c r="G16" s="53">
        <v>35</v>
      </c>
      <c r="H16" s="50" t="s">
        <v>17</v>
      </c>
      <c r="I16" s="50" t="s">
        <v>17</v>
      </c>
    </row>
    <row r="17" spans="1:9" x14ac:dyDescent="0.25">
      <c r="A17" s="70">
        <v>43890</v>
      </c>
      <c r="B17" s="67"/>
      <c r="C17" s="66" t="s">
        <v>30</v>
      </c>
      <c r="D17" s="54" t="s">
        <v>137</v>
      </c>
      <c r="E17" s="50" t="s">
        <v>17</v>
      </c>
      <c r="F17" s="50" t="s">
        <v>17</v>
      </c>
      <c r="G17" s="53">
        <v>35</v>
      </c>
      <c r="H17" s="50" t="s">
        <v>17</v>
      </c>
      <c r="I17" s="50" t="s">
        <v>17</v>
      </c>
    </row>
    <row r="18" spans="1:9" x14ac:dyDescent="0.25">
      <c r="A18" s="70">
        <v>43892</v>
      </c>
      <c r="B18" s="67"/>
      <c r="C18" s="66" t="s">
        <v>30</v>
      </c>
      <c r="D18" s="54" t="s">
        <v>138</v>
      </c>
      <c r="E18" s="50" t="s">
        <v>17</v>
      </c>
      <c r="F18" s="50" t="s">
        <v>17</v>
      </c>
      <c r="G18" s="53">
        <v>35</v>
      </c>
      <c r="H18" s="50" t="s">
        <v>17</v>
      </c>
      <c r="I18" s="50" t="s">
        <v>17</v>
      </c>
    </row>
    <row r="19" spans="1:9" x14ac:dyDescent="0.25">
      <c r="A19" s="70">
        <v>43893</v>
      </c>
      <c r="B19" s="67"/>
      <c r="C19" s="66" t="s">
        <v>30</v>
      </c>
      <c r="D19" s="54" t="s">
        <v>139</v>
      </c>
      <c r="E19" s="50" t="s">
        <v>17</v>
      </c>
      <c r="F19" s="50" t="s">
        <v>17</v>
      </c>
      <c r="G19" s="53">
        <v>35</v>
      </c>
      <c r="H19" s="50" t="s">
        <v>17</v>
      </c>
      <c r="I19" s="50" t="s">
        <v>17</v>
      </c>
    </row>
    <row r="20" spans="1:9" x14ac:dyDescent="0.25">
      <c r="A20" s="70">
        <v>43894</v>
      </c>
      <c r="B20" s="67"/>
      <c r="C20" s="66" t="s">
        <v>30</v>
      </c>
      <c r="D20" s="54" t="s">
        <v>140</v>
      </c>
      <c r="E20" s="50" t="s">
        <v>17</v>
      </c>
      <c r="F20" s="50" t="s">
        <v>17</v>
      </c>
      <c r="G20" s="53">
        <v>35</v>
      </c>
      <c r="H20" s="50" t="s">
        <v>17</v>
      </c>
      <c r="I20" s="50" t="s">
        <v>17</v>
      </c>
    </row>
    <row r="21" spans="1:9" x14ac:dyDescent="0.25">
      <c r="A21" s="70">
        <v>43896</v>
      </c>
      <c r="B21" s="67"/>
      <c r="C21" s="66" t="s">
        <v>30</v>
      </c>
      <c r="D21" s="54" t="s">
        <v>141</v>
      </c>
      <c r="E21" s="50" t="s">
        <v>17</v>
      </c>
      <c r="F21" s="50" t="s">
        <v>17</v>
      </c>
      <c r="G21" s="53">
        <v>35</v>
      </c>
      <c r="H21" s="50" t="s">
        <v>17</v>
      </c>
      <c r="I21" s="50" t="s">
        <v>17</v>
      </c>
    </row>
    <row r="22" spans="1:9" x14ac:dyDescent="0.25">
      <c r="A22" s="70">
        <v>43897</v>
      </c>
      <c r="B22" s="67"/>
      <c r="C22" s="66" t="s">
        <v>30</v>
      </c>
      <c r="D22" s="54" t="s">
        <v>142</v>
      </c>
      <c r="E22" s="50" t="s">
        <v>17</v>
      </c>
      <c r="F22" s="50" t="s">
        <v>17</v>
      </c>
      <c r="G22" s="53">
        <v>35</v>
      </c>
      <c r="H22" s="50" t="s">
        <v>17</v>
      </c>
      <c r="I22" s="50" t="s">
        <v>17</v>
      </c>
    </row>
    <row r="23" spans="1:9" x14ac:dyDescent="0.25">
      <c r="A23" s="70">
        <v>43898</v>
      </c>
      <c r="B23" s="67"/>
      <c r="C23" s="66" t="s">
        <v>30</v>
      </c>
      <c r="D23" s="54" t="s">
        <v>143</v>
      </c>
      <c r="E23" s="50" t="s">
        <v>17</v>
      </c>
      <c r="F23" s="50" t="s">
        <v>17</v>
      </c>
      <c r="G23" s="53">
        <v>35</v>
      </c>
      <c r="H23" s="50" t="s">
        <v>17</v>
      </c>
      <c r="I23" s="50" t="s">
        <v>17</v>
      </c>
    </row>
    <row r="24" spans="1:9" x14ac:dyDescent="0.25">
      <c r="A24" s="70">
        <v>43899</v>
      </c>
      <c r="B24" s="67"/>
      <c r="C24" s="66" t="s">
        <v>30</v>
      </c>
      <c r="D24" s="54" t="s">
        <v>144</v>
      </c>
      <c r="E24" s="50" t="s">
        <v>17</v>
      </c>
      <c r="F24" s="50" t="s">
        <v>17</v>
      </c>
      <c r="G24" s="53">
        <v>35</v>
      </c>
      <c r="H24" s="50" t="s">
        <v>17</v>
      </c>
      <c r="I24" s="50" t="s">
        <v>17</v>
      </c>
    </row>
    <row r="25" spans="1:9" x14ac:dyDescent="0.25">
      <c r="A25" s="70">
        <v>43901</v>
      </c>
      <c r="B25" s="67"/>
      <c r="C25" s="66" t="s">
        <v>30</v>
      </c>
      <c r="D25" s="54" t="s">
        <v>145</v>
      </c>
      <c r="E25" s="50" t="s">
        <v>17</v>
      </c>
      <c r="F25" s="50" t="s">
        <v>17</v>
      </c>
      <c r="G25" s="53">
        <v>35</v>
      </c>
      <c r="H25" s="50" t="s">
        <v>17</v>
      </c>
      <c r="I25" s="50" t="s">
        <v>17</v>
      </c>
    </row>
    <row r="26" spans="1:9" x14ac:dyDescent="0.25">
      <c r="A26" s="70">
        <v>43902</v>
      </c>
      <c r="B26" s="67"/>
      <c r="C26" s="66" t="s">
        <v>30</v>
      </c>
      <c r="D26" s="54" t="s">
        <v>146</v>
      </c>
      <c r="E26" s="50" t="s">
        <v>17</v>
      </c>
      <c r="F26" s="50" t="s">
        <v>17</v>
      </c>
      <c r="G26" s="53">
        <v>35</v>
      </c>
      <c r="H26" s="50" t="s">
        <v>17</v>
      </c>
      <c r="I26" s="50" t="s">
        <v>17</v>
      </c>
    </row>
    <row r="27" spans="1:9" x14ac:dyDescent="0.25">
      <c r="A27" s="70">
        <v>43904</v>
      </c>
      <c r="B27" s="67"/>
      <c r="C27" s="66" t="s">
        <v>30</v>
      </c>
      <c r="D27" s="54" t="s">
        <v>147</v>
      </c>
      <c r="E27" s="50" t="s">
        <v>17</v>
      </c>
      <c r="F27" s="50" t="s">
        <v>17</v>
      </c>
      <c r="G27" s="53">
        <v>35</v>
      </c>
      <c r="H27" s="50" t="s">
        <v>17</v>
      </c>
      <c r="I27" s="50" t="s">
        <v>17</v>
      </c>
    </row>
    <row r="28" spans="1:9" x14ac:dyDescent="0.25">
      <c r="A28" s="70">
        <v>43905</v>
      </c>
      <c r="B28" s="67"/>
      <c r="C28" s="66" t="s">
        <v>30</v>
      </c>
      <c r="D28" s="54" t="s">
        <v>148</v>
      </c>
      <c r="E28" s="50" t="s">
        <v>17</v>
      </c>
      <c r="F28" s="50" t="s">
        <v>17</v>
      </c>
      <c r="G28" s="53">
        <v>35</v>
      </c>
      <c r="H28" s="50" t="s">
        <v>17</v>
      </c>
      <c r="I28" s="50" t="s">
        <v>17</v>
      </c>
    </row>
    <row r="29" spans="1:9" x14ac:dyDescent="0.25">
      <c r="A29" s="70">
        <v>45694</v>
      </c>
      <c r="B29" s="67"/>
      <c r="C29" s="66" t="s">
        <v>30</v>
      </c>
      <c r="D29" s="54" t="s">
        <v>43</v>
      </c>
      <c r="E29" s="50" t="s">
        <v>17</v>
      </c>
      <c r="F29" s="53" t="s">
        <v>17</v>
      </c>
      <c r="G29" s="53">
        <v>35</v>
      </c>
      <c r="H29" s="50" t="s">
        <v>17</v>
      </c>
      <c r="I29" s="53" t="s">
        <v>17</v>
      </c>
    </row>
    <row r="30" spans="1:9" x14ac:dyDescent="0.25">
      <c r="A30" s="70">
        <v>45695</v>
      </c>
      <c r="B30" s="67"/>
      <c r="C30" s="66" t="s">
        <v>30</v>
      </c>
      <c r="D30" s="54" t="s">
        <v>44</v>
      </c>
      <c r="E30" s="50" t="s">
        <v>17</v>
      </c>
      <c r="F30" s="53" t="s">
        <v>17</v>
      </c>
      <c r="G30" s="53">
        <v>35</v>
      </c>
      <c r="H30" s="50" t="s">
        <v>17</v>
      </c>
      <c r="I30" s="53" t="s">
        <v>17</v>
      </c>
    </row>
    <row r="31" spans="1:9" x14ac:dyDescent="0.25">
      <c r="A31" s="70">
        <v>45696</v>
      </c>
      <c r="B31" s="67"/>
      <c r="C31" s="66" t="s">
        <v>30</v>
      </c>
      <c r="D31" s="54" t="s">
        <v>45</v>
      </c>
      <c r="E31" s="50" t="s">
        <v>17</v>
      </c>
      <c r="F31" s="53" t="s">
        <v>17</v>
      </c>
      <c r="G31" s="53">
        <v>35</v>
      </c>
      <c r="H31" s="50" t="s">
        <v>17</v>
      </c>
      <c r="I31" s="53" t="s">
        <v>17</v>
      </c>
    </row>
    <row r="32" spans="1:9" x14ac:dyDescent="0.25">
      <c r="A32" s="70">
        <v>45699</v>
      </c>
      <c r="B32" s="67"/>
      <c r="C32" s="66" t="s">
        <v>30</v>
      </c>
      <c r="D32" s="54" t="s">
        <v>46</v>
      </c>
      <c r="E32" s="50" t="s">
        <v>17</v>
      </c>
      <c r="F32" s="53" t="s">
        <v>17</v>
      </c>
      <c r="G32" s="53">
        <v>35</v>
      </c>
      <c r="H32" s="50" t="s">
        <v>17</v>
      </c>
      <c r="I32" s="53" t="s">
        <v>17</v>
      </c>
    </row>
    <row r="33" spans="1:9" x14ac:dyDescent="0.25">
      <c r="A33" s="70">
        <v>46211</v>
      </c>
      <c r="B33" s="67"/>
      <c r="C33" s="66" t="s">
        <v>30</v>
      </c>
      <c r="D33" s="54" t="s">
        <v>92</v>
      </c>
      <c r="E33" s="50" t="s">
        <v>17</v>
      </c>
      <c r="F33" s="53" t="s">
        <v>17</v>
      </c>
      <c r="G33" s="53">
        <v>35</v>
      </c>
      <c r="H33" s="50" t="s">
        <v>17</v>
      </c>
      <c r="I33" s="53" t="s">
        <v>17</v>
      </c>
    </row>
    <row r="34" spans="1:9" x14ac:dyDescent="0.25">
      <c r="A34" s="70">
        <v>545710</v>
      </c>
      <c r="B34" s="51"/>
      <c r="C34" s="122">
        <v>2</v>
      </c>
      <c r="D34" s="54" t="s">
        <v>149</v>
      </c>
      <c r="E34" s="50" t="s">
        <v>17</v>
      </c>
      <c r="F34" s="50" t="s">
        <v>17</v>
      </c>
      <c r="G34" s="53">
        <v>140</v>
      </c>
      <c r="H34" s="50" t="s">
        <v>17</v>
      </c>
      <c r="I34" s="50" t="s">
        <v>17</v>
      </c>
    </row>
    <row r="35" spans="1:9" x14ac:dyDescent="0.25">
      <c r="A35" s="70">
        <v>545710</v>
      </c>
      <c r="B35" s="51">
        <v>0.28999999999999998</v>
      </c>
      <c r="C35" s="122">
        <v>2</v>
      </c>
      <c r="D35" s="62" t="s">
        <v>149</v>
      </c>
      <c r="E35" s="50" t="s">
        <v>17</v>
      </c>
      <c r="F35" s="50" t="s">
        <v>17</v>
      </c>
      <c r="G35" s="53">
        <v>495</v>
      </c>
      <c r="H35" s="50" t="s">
        <v>17</v>
      </c>
      <c r="I35" s="50" t="s">
        <v>17</v>
      </c>
    </row>
    <row r="36" spans="1:9" x14ac:dyDescent="0.25">
      <c r="A36" s="70">
        <v>545784</v>
      </c>
      <c r="B36" s="51"/>
      <c r="C36" s="122">
        <v>2</v>
      </c>
      <c r="D36" s="54" t="s">
        <v>150</v>
      </c>
      <c r="E36" s="50" t="s">
        <v>17</v>
      </c>
      <c r="F36" s="50" t="s">
        <v>17</v>
      </c>
      <c r="G36" s="53">
        <v>175</v>
      </c>
      <c r="H36" s="50" t="s">
        <v>17</v>
      </c>
      <c r="I36" s="50" t="s">
        <v>17</v>
      </c>
    </row>
    <row r="37" spans="1:9" x14ac:dyDescent="0.25">
      <c r="A37" s="70">
        <v>545784</v>
      </c>
      <c r="B37" s="51">
        <v>0.32</v>
      </c>
      <c r="C37" s="122">
        <v>2</v>
      </c>
      <c r="D37" s="62" t="s">
        <v>150</v>
      </c>
      <c r="E37" s="50" t="s">
        <v>17</v>
      </c>
      <c r="F37" s="50" t="s">
        <v>17</v>
      </c>
      <c r="G37" s="53">
        <v>595</v>
      </c>
      <c r="H37" s="50" t="s">
        <v>17</v>
      </c>
      <c r="I37" s="50" t="s">
        <v>17</v>
      </c>
    </row>
    <row r="38" spans="1:9" x14ac:dyDescent="0.25">
      <c r="A38" s="70">
        <v>548043</v>
      </c>
      <c r="B38" s="15"/>
      <c r="C38" s="122">
        <v>2</v>
      </c>
      <c r="D38" s="54" t="s">
        <v>151</v>
      </c>
      <c r="E38" s="50" t="s">
        <v>17</v>
      </c>
      <c r="F38" s="50" t="s">
        <v>17</v>
      </c>
      <c r="G38" s="53">
        <v>175</v>
      </c>
      <c r="H38" s="50" t="s">
        <v>17</v>
      </c>
      <c r="I38" s="50" t="s">
        <v>17</v>
      </c>
    </row>
    <row r="39" spans="1:9" x14ac:dyDescent="0.25">
      <c r="A39" s="70">
        <v>548043</v>
      </c>
      <c r="B39" s="51">
        <v>0.32</v>
      </c>
      <c r="C39" s="122">
        <v>2</v>
      </c>
      <c r="D39" s="123" t="s">
        <v>151</v>
      </c>
      <c r="E39" s="50" t="s">
        <v>17</v>
      </c>
      <c r="F39" s="50" t="s">
        <v>17</v>
      </c>
      <c r="G39" s="53">
        <v>595</v>
      </c>
      <c r="H39" s="50" t="s">
        <v>17</v>
      </c>
      <c r="I39" s="50" t="s">
        <v>17</v>
      </c>
    </row>
    <row r="40" spans="1:9" x14ac:dyDescent="0.25">
      <c r="A40" s="70">
        <v>548051</v>
      </c>
      <c r="B40" s="15"/>
      <c r="C40" s="122">
        <v>2</v>
      </c>
      <c r="D40" s="54" t="s">
        <v>68</v>
      </c>
      <c r="E40" s="50" t="s">
        <v>17</v>
      </c>
      <c r="F40" s="50" t="s">
        <v>17</v>
      </c>
      <c r="G40" s="53">
        <v>175</v>
      </c>
      <c r="H40" s="50" t="s">
        <v>17</v>
      </c>
      <c r="I40" s="50" t="s">
        <v>17</v>
      </c>
    </row>
    <row r="41" spans="1:9" x14ac:dyDescent="0.25">
      <c r="A41" s="70">
        <v>548051</v>
      </c>
      <c r="B41" s="51">
        <v>0.32</v>
      </c>
      <c r="C41" s="122">
        <v>2</v>
      </c>
      <c r="D41" s="62" t="s">
        <v>68</v>
      </c>
      <c r="E41" s="50" t="s">
        <v>17</v>
      </c>
      <c r="F41" s="50" t="s">
        <v>17</v>
      </c>
      <c r="G41" s="53">
        <v>595</v>
      </c>
      <c r="H41" s="50" t="s">
        <v>17</v>
      </c>
      <c r="I41" s="50" t="s">
        <v>17</v>
      </c>
    </row>
    <row r="42" spans="1:9" x14ac:dyDescent="0.25">
      <c r="A42" s="70">
        <v>548052</v>
      </c>
      <c r="B42" s="15"/>
      <c r="C42" s="122">
        <v>2</v>
      </c>
      <c r="D42" s="54" t="s">
        <v>152</v>
      </c>
      <c r="E42" s="50" t="s">
        <v>17</v>
      </c>
      <c r="F42" s="50" t="s">
        <v>17</v>
      </c>
      <c r="G42" s="53">
        <v>175</v>
      </c>
      <c r="H42" s="50" t="s">
        <v>17</v>
      </c>
      <c r="I42" s="50" t="s">
        <v>17</v>
      </c>
    </row>
    <row r="43" spans="1:9" x14ac:dyDescent="0.25">
      <c r="A43" s="70">
        <v>548052</v>
      </c>
      <c r="B43" s="51">
        <v>0.32</v>
      </c>
      <c r="C43" s="122">
        <v>2</v>
      </c>
      <c r="D43" s="62" t="s">
        <v>152</v>
      </c>
      <c r="E43" s="50" t="s">
        <v>17</v>
      </c>
      <c r="F43" s="50" t="s">
        <v>17</v>
      </c>
      <c r="G43" s="53">
        <v>595</v>
      </c>
      <c r="H43" s="50" t="s">
        <v>17</v>
      </c>
      <c r="I43" s="50" t="s">
        <v>17</v>
      </c>
    </row>
    <row r="44" spans="1:9" x14ac:dyDescent="0.25">
      <c r="A44" s="70">
        <v>548053</v>
      </c>
      <c r="B44" s="15"/>
      <c r="C44" s="122">
        <v>2</v>
      </c>
      <c r="D44" s="54" t="s">
        <v>153</v>
      </c>
      <c r="E44" s="50" t="s">
        <v>17</v>
      </c>
      <c r="F44" s="50" t="s">
        <v>17</v>
      </c>
      <c r="G44" s="53">
        <v>175</v>
      </c>
      <c r="H44" s="50" t="s">
        <v>17</v>
      </c>
      <c r="I44" s="50" t="s">
        <v>17</v>
      </c>
    </row>
    <row r="45" spans="1:9" x14ac:dyDescent="0.25">
      <c r="A45" s="70">
        <v>548053</v>
      </c>
      <c r="B45" s="51">
        <v>0.32</v>
      </c>
      <c r="C45" s="122">
        <v>2</v>
      </c>
      <c r="D45" s="62" t="s">
        <v>153</v>
      </c>
      <c r="E45" s="50" t="s">
        <v>17</v>
      </c>
      <c r="F45" s="50" t="s">
        <v>17</v>
      </c>
      <c r="G45" s="53">
        <v>595</v>
      </c>
      <c r="H45" s="50" t="s">
        <v>17</v>
      </c>
      <c r="I45" s="50" t="s">
        <v>17</v>
      </c>
    </row>
    <row r="46" spans="1:9" x14ac:dyDescent="0.25">
      <c r="A46" s="70">
        <v>548054</v>
      </c>
      <c r="B46" s="15"/>
      <c r="C46" s="122">
        <v>2</v>
      </c>
      <c r="D46" s="54" t="s">
        <v>154</v>
      </c>
      <c r="E46" s="50" t="s">
        <v>17</v>
      </c>
      <c r="F46" s="50" t="s">
        <v>17</v>
      </c>
      <c r="G46" s="53">
        <v>175</v>
      </c>
      <c r="H46" s="50" t="s">
        <v>17</v>
      </c>
      <c r="I46" s="50" t="s">
        <v>17</v>
      </c>
    </row>
    <row r="47" spans="1:9" x14ac:dyDescent="0.25">
      <c r="A47" s="70">
        <v>548054</v>
      </c>
      <c r="B47" s="51">
        <v>0.32</v>
      </c>
      <c r="C47" s="122">
        <v>2</v>
      </c>
      <c r="D47" s="62" t="s">
        <v>154</v>
      </c>
      <c r="E47" s="50" t="s">
        <v>17</v>
      </c>
      <c r="F47" s="50" t="s">
        <v>17</v>
      </c>
      <c r="G47" s="53">
        <v>595</v>
      </c>
      <c r="H47" s="50" t="s">
        <v>17</v>
      </c>
      <c r="I47" s="50" t="s">
        <v>17</v>
      </c>
    </row>
    <row r="48" spans="1:9" x14ac:dyDescent="0.25">
      <c r="A48" s="70">
        <v>548055</v>
      </c>
      <c r="B48" s="15"/>
      <c r="C48" s="122">
        <v>2</v>
      </c>
      <c r="D48" s="54" t="s">
        <v>61</v>
      </c>
      <c r="E48" s="50" t="s">
        <v>17</v>
      </c>
      <c r="F48" s="50" t="s">
        <v>17</v>
      </c>
      <c r="G48" s="53">
        <v>140</v>
      </c>
      <c r="H48" s="50" t="s">
        <v>17</v>
      </c>
      <c r="I48" s="50" t="s">
        <v>17</v>
      </c>
    </row>
    <row r="49" spans="1:9" x14ac:dyDescent="0.25">
      <c r="A49" s="70">
        <v>548055</v>
      </c>
      <c r="B49" s="51">
        <v>0.44</v>
      </c>
      <c r="C49" s="122">
        <v>2</v>
      </c>
      <c r="D49" s="62" t="s">
        <v>61</v>
      </c>
      <c r="E49" s="50" t="s">
        <v>17</v>
      </c>
      <c r="F49" s="50" t="s">
        <v>17</v>
      </c>
      <c r="G49" s="53">
        <v>395</v>
      </c>
      <c r="H49" s="50" t="s">
        <v>17</v>
      </c>
      <c r="I49" s="50" t="s">
        <v>17</v>
      </c>
    </row>
    <row r="50" spans="1:9" x14ac:dyDescent="0.25">
      <c r="A50" s="70">
        <v>548170</v>
      </c>
      <c r="B50" s="15"/>
      <c r="C50" s="122">
        <v>2</v>
      </c>
      <c r="D50" s="54" t="s">
        <v>155</v>
      </c>
      <c r="E50" s="50" t="s">
        <v>17</v>
      </c>
      <c r="F50" s="50" t="s">
        <v>17</v>
      </c>
      <c r="G50" s="53">
        <v>175</v>
      </c>
      <c r="H50" s="50" t="s">
        <v>17</v>
      </c>
      <c r="I50" s="50" t="s">
        <v>17</v>
      </c>
    </row>
    <row r="51" spans="1:9" x14ac:dyDescent="0.25">
      <c r="A51" s="70">
        <v>548170</v>
      </c>
      <c r="B51" s="51">
        <v>0.32</v>
      </c>
      <c r="C51" s="122">
        <v>2</v>
      </c>
      <c r="D51" s="62" t="s">
        <v>155</v>
      </c>
      <c r="E51" s="50" t="s">
        <v>17</v>
      </c>
      <c r="F51" s="50" t="s">
        <v>17</v>
      </c>
      <c r="G51" s="53">
        <v>595</v>
      </c>
      <c r="H51" s="50" t="s">
        <v>17</v>
      </c>
      <c r="I51" s="50" t="s">
        <v>17</v>
      </c>
    </row>
    <row r="52" spans="1:9" x14ac:dyDescent="0.25">
      <c r="A52" s="70">
        <v>548171</v>
      </c>
      <c r="B52" s="15"/>
      <c r="C52" s="122">
        <v>2</v>
      </c>
      <c r="D52" s="54" t="s">
        <v>156</v>
      </c>
      <c r="E52" s="50" t="s">
        <v>17</v>
      </c>
      <c r="F52" s="50" t="s">
        <v>17</v>
      </c>
      <c r="G52" s="53">
        <v>175</v>
      </c>
      <c r="H52" s="50" t="s">
        <v>17</v>
      </c>
      <c r="I52" s="50" t="s">
        <v>17</v>
      </c>
    </row>
    <row r="53" spans="1:9" x14ac:dyDescent="0.25">
      <c r="A53" s="70">
        <v>548171</v>
      </c>
      <c r="B53" s="51">
        <v>0.32</v>
      </c>
      <c r="C53" s="122">
        <v>2</v>
      </c>
      <c r="D53" s="62" t="s">
        <v>156</v>
      </c>
      <c r="E53" s="50" t="s">
        <v>17</v>
      </c>
      <c r="F53" s="50" t="s">
        <v>17</v>
      </c>
      <c r="G53" s="53">
        <v>595</v>
      </c>
      <c r="H53" s="50" t="s">
        <v>17</v>
      </c>
      <c r="I53" s="50" t="s">
        <v>17</v>
      </c>
    </row>
  </sheetData>
  <sortState xmlns:xlrd2="http://schemas.microsoft.com/office/spreadsheetml/2017/richdata2" ref="A7:I33">
    <sortCondition ref="A7:A33"/>
  </sortState>
  <phoneticPr fontId="34" type="noConversion"/>
  <conditionalFormatting sqref="A8:A37">
    <cfRule type="expression" dxfId="35" priority="22" stopIfTrue="1">
      <formula>AND(COUNTIF(#REF!, A8)&gt;1,NOT(ISBLANK(A8)))</formula>
    </cfRule>
  </conditionalFormatting>
  <conditionalFormatting sqref="A11">
    <cfRule type="duplicateValues" dxfId="34" priority="21"/>
  </conditionalFormatting>
  <conditionalFormatting sqref="A12:A13 A8:A10">
    <cfRule type="duplicateValues" dxfId="33" priority="20"/>
  </conditionalFormatting>
  <conditionalFormatting sqref="A14:A15">
    <cfRule type="duplicateValues" dxfId="32" priority="19"/>
  </conditionalFormatting>
  <conditionalFormatting sqref="A16:A28">
    <cfRule type="duplicateValues" dxfId="31" priority="330822"/>
  </conditionalFormatting>
  <conditionalFormatting sqref="A29:A33">
    <cfRule type="duplicateValues" dxfId="30" priority="16"/>
  </conditionalFormatting>
  <conditionalFormatting sqref="A34:A35">
    <cfRule type="duplicateValues" dxfId="29" priority="14"/>
  </conditionalFormatting>
  <conditionalFormatting sqref="A36:A37">
    <cfRule type="duplicateValues" dxfId="28" priority="13"/>
  </conditionalFormatting>
  <conditionalFormatting sqref="A38:A39">
    <cfRule type="duplicateValues" dxfId="27" priority="11"/>
    <cfRule type="expression" dxfId="26" priority="12" stopIfTrue="1">
      <formula>AND(COUNTIF(#REF!, A38)&gt;1,NOT(ISBLANK(A38)))</formula>
    </cfRule>
  </conditionalFormatting>
  <conditionalFormatting sqref="A40:A41">
    <cfRule type="duplicateValues" dxfId="25" priority="9"/>
    <cfRule type="expression" dxfId="24" priority="10" stopIfTrue="1">
      <formula>AND(COUNTIF(#REF!, A40)&gt;1,NOT(ISBLANK(A40)))</formula>
    </cfRule>
  </conditionalFormatting>
  <conditionalFormatting sqref="A42:A47 A50:A51">
    <cfRule type="duplicateValues" dxfId="23" priority="7"/>
    <cfRule type="expression" dxfId="22" priority="8" stopIfTrue="1">
      <formula>AND(COUNTIF(#REF!, A42)&gt;1,NOT(ISBLANK(A42)))</formula>
    </cfRule>
  </conditionalFormatting>
  <conditionalFormatting sqref="A48:A49">
    <cfRule type="duplicateValues" dxfId="21" priority="5"/>
    <cfRule type="expression" dxfId="20" priority="6" stopIfTrue="1">
      <formula>AND(COUNTIF(#REF!, A48)&gt;1,NOT(ISBLANK(A48)))</formula>
    </cfRule>
  </conditionalFormatting>
  <conditionalFormatting sqref="A52:A53">
    <cfRule type="duplicateValues" dxfId="19" priority="3"/>
    <cfRule type="expression" dxfId="18" priority="4" stopIfTrue="1">
      <formula>AND(COUNTIF(#REF!, A52)&gt;1,NOT(ISBLANK(A52)))</formula>
    </cfRule>
  </conditionalFormatting>
  <pageMargins left="0.7" right="0.7" top="0.75" bottom="0.75" header="0.3" footer="0.3"/>
  <pageSetup paperSize="9" orientation="portrait" r:id="rId1"/>
  <ignoredErrors>
    <ignoredError sqref="C2:C33 C34:C5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82F57-EEF0-486E-A747-A15E63B0B13E}">
  <dimension ref="A1:I19"/>
  <sheetViews>
    <sheetView workbookViewId="0">
      <selection activeCell="F15" sqref="F15"/>
    </sheetView>
  </sheetViews>
  <sheetFormatPr defaultRowHeight="13.2" x14ac:dyDescent="0.25"/>
  <cols>
    <col min="2" max="2" width="8" customWidth="1"/>
    <col min="4" max="4" width="63.33203125" bestFit="1" customWidth="1"/>
    <col min="6" max="9" width="9.109375" style="33"/>
  </cols>
  <sheetData>
    <row r="1" spans="1:9" x14ac:dyDescent="0.25">
      <c r="A1" s="50" t="s">
        <v>4</v>
      </c>
      <c r="B1" s="51" t="s">
        <v>12</v>
      </c>
      <c r="C1" s="52" t="s">
        <v>11</v>
      </c>
      <c r="D1" s="50" t="s">
        <v>14</v>
      </c>
      <c r="E1" s="50" t="s">
        <v>5</v>
      </c>
      <c r="F1" s="53" t="s">
        <v>6</v>
      </c>
      <c r="G1" s="53" t="s">
        <v>7</v>
      </c>
      <c r="H1" s="53" t="s">
        <v>8</v>
      </c>
      <c r="I1" s="53" t="s">
        <v>10</v>
      </c>
    </row>
    <row r="2" spans="1:9" x14ac:dyDescent="0.25">
      <c r="A2" s="90">
        <v>46261</v>
      </c>
      <c r="B2" s="80"/>
      <c r="C2" s="89" t="s">
        <v>103</v>
      </c>
      <c r="D2" s="54" t="s">
        <v>107</v>
      </c>
      <c r="E2" s="90">
        <v>46</v>
      </c>
      <c r="F2" s="91">
        <v>1334</v>
      </c>
      <c r="G2" s="91">
        <v>3200</v>
      </c>
      <c r="H2" s="91">
        <v>4000</v>
      </c>
      <c r="I2" s="91">
        <v>800</v>
      </c>
    </row>
    <row r="3" spans="1:9" x14ac:dyDescent="0.25">
      <c r="A3" s="90">
        <v>46277</v>
      </c>
      <c r="B3" s="80"/>
      <c r="C3" s="89" t="s">
        <v>103</v>
      </c>
      <c r="D3" s="54" t="s">
        <v>108</v>
      </c>
      <c r="E3" s="90">
        <v>46</v>
      </c>
      <c r="F3" s="91">
        <v>1334</v>
      </c>
      <c r="G3" s="91">
        <v>3200</v>
      </c>
      <c r="H3" s="91">
        <v>4000</v>
      </c>
      <c r="I3" s="91">
        <v>800</v>
      </c>
    </row>
    <row r="4" spans="1:9" x14ac:dyDescent="0.25">
      <c r="A4" s="90">
        <v>46289</v>
      </c>
      <c r="B4" s="15"/>
      <c r="C4" s="89" t="s">
        <v>120</v>
      </c>
      <c r="D4" s="54" t="s">
        <v>109</v>
      </c>
      <c r="E4" s="90">
        <v>51</v>
      </c>
      <c r="F4" s="91">
        <v>1500</v>
      </c>
      <c r="G4" s="91">
        <v>3600</v>
      </c>
      <c r="H4" s="91">
        <v>4500</v>
      </c>
      <c r="I4" s="91">
        <v>900</v>
      </c>
    </row>
    <row r="5" spans="1:9" x14ac:dyDescent="0.25">
      <c r="A5" s="90">
        <v>46302</v>
      </c>
      <c r="B5" s="15"/>
      <c r="C5" s="89" t="s">
        <v>105</v>
      </c>
      <c r="D5" s="54" t="s">
        <v>110</v>
      </c>
      <c r="E5" s="90">
        <v>57</v>
      </c>
      <c r="F5" s="91">
        <v>1667</v>
      </c>
      <c r="G5" s="91">
        <v>4000</v>
      </c>
      <c r="H5" s="91">
        <v>5000</v>
      </c>
      <c r="I5" s="91">
        <v>1000</v>
      </c>
    </row>
    <row r="6" spans="1:9" x14ac:dyDescent="0.25">
      <c r="A6" s="90">
        <v>46763</v>
      </c>
      <c r="B6" s="15"/>
      <c r="C6" s="89" t="s">
        <v>121</v>
      </c>
      <c r="D6" s="54" t="s">
        <v>111</v>
      </c>
      <c r="E6" s="90">
        <v>34</v>
      </c>
      <c r="F6" s="91">
        <v>1000</v>
      </c>
      <c r="G6" s="91">
        <v>2399</v>
      </c>
      <c r="H6" s="91">
        <v>2999</v>
      </c>
      <c r="I6" s="91">
        <v>600</v>
      </c>
    </row>
    <row r="7" spans="1:9" ht="13.8" thickBot="1" x14ac:dyDescent="0.3">
      <c r="A7" s="94">
        <v>46763</v>
      </c>
      <c r="B7" s="95">
        <v>0.50016672224074699</v>
      </c>
      <c r="C7" s="96" t="s">
        <v>121</v>
      </c>
      <c r="D7" s="97" t="s">
        <v>111</v>
      </c>
      <c r="E7" s="98">
        <v>17</v>
      </c>
      <c r="F7" s="99">
        <v>500</v>
      </c>
      <c r="G7" s="99">
        <v>1199</v>
      </c>
      <c r="H7" s="99">
        <v>1499</v>
      </c>
      <c r="I7" s="99">
        <v>300</v>
      </c>
    </row>
    <row r="8" spans="1:9" ht="13.8" thickBot="1" x14ac:dyDescent="0.3">
      <c r="A8" s="103"/>
      <c r="B8" s="104"/>
      <c r="C8" s="105"/>
      <c r="D8" s="109" t="s">
        <v>122</v>
      </c>
      <c r="E8" s="106"/>
      <c r="F8" s="107"/>
      <c r="G8" s="107"/>
      <c r="H8" s="107"/>
      <c r="I8" s="108"/>
    </row>
    <row r="9" spans="1:9" x14ac:dyDescent="0.25">
      <c r="A9" s="100">
        <v>47075</v>
      </c>
      <c r="B9" s="80"/>
      <c r="C9" s="89" t="s">
        <v>118</v>
      </c>
      <c r="D9" s="101" t="s">
        <v>98</v>
      </c>
      <c r="E9" s="100">
        <v>63</v>
      </c>
      <c r="F9" s="102">
        <v>1834</v>
      </c>
      <c r="G9" s="102">
        <v>4400</v>
      </c>
      <c r="H9" s="102">
        <v>5500</v>
      </c>
      <c r="I9" s="102">
        <v>1100</v>
      </c>
    </row>
    <row r="10" spans="1:9" x14ac:dyDescent="0.25">
      <c r="A10" s="90">
        <v>47076</v>
      </c>
      <c r="B10" s="15"/>
      <c r="C10" s="89" t="s">
        <v>118</v>
      </c>
      <c r="D10" s="54" t="s">
        <v>99</v>
      </c>
      <c r="E10" s="90">
        <v>74</v>
      </c>
      <c r="F10" s="91">
        <v>2167</v>
      </c>
      <c r="G10" s="91">
        <v>5200</v>
      </c>
      <c r="H10" s="91">
        <v>6500</v>
      </c>
      <c r="I10" s="91">
        <v>1300</v>
      </c>
    </row>
    <row r="11" spans="1:9" x14ac:dyDescent="0.25">
      <c r="A11" s="90">
        <v>47077</v>
      </c>
      <c r="B11" s="15"/>
      <c r="C11" s="89" t="s">
        <v>106</v>
      </c>
      <c r="D11" s="54" t="s">
        <v>112</v>
      </c>
      <c r="E11" s="90">
        <v>46</v>
      </c>
      <c r="F11" s="91">
        <v>1334</v>
      </c>
      <c r="G11" s="91">
        <v>3200</v>
      </c>
      <c r="H11" s="91">
        <v>4000</v>
      </c>
      <c r="I11" s="91">
        <v>800</v>
      </c>
    </row>
    <row r="12" spans="1:9" x14ac:dyDescent="0.25">
      <c r="A12" s="90">
        <v>47078</v>
      </c>
      <c r="B12" s="15"/>
      <c r="C12" s="89" t="s">
        <v>106</v>
      </c>
      <c r="D12" s="54" t="s">
        <v>113</v>
      </c>
      <c r="E12" s="90">
        <v>46</v>
      </c>
      <c r="F12" s="91">
        <v>1334</v>
      </c>
      <c r="G12" s="91">
        <v>3200</v>
      </c>
      <c r="H12" s="91">
        <v>4000</v>
      </c>
      <c r="I12" s="91">
        <v>800</v>
      </c>
    </row>
    <row r="13" spans="1:9" x14ac:dyDescent="0.25">
      <c r="A13" s="90">
        <v>47086</v>
      </c>
      <c r="B13" s="15"/>
      <c r="C13" s="89" t="s">
        <v>104</v>
      </c>
      <c r="D13" s="54" t="s">
        <v>114</v>
      </c>
      <c r="E13" s="90">
        <v>51</v>
      </c>
      <c r="F13" s="91">
        <v>1500</v>
      </c>
      <c r="G13" s="91">
        <v>3600</v>
      </c>
      <c r="H13" s="91">
        <v>4500</v>
      </c>
      <c r="I13" s="91">
        <v>900</v>
      </c>
    </row>
    <row r="14" spans="1:9" x14ac:dyDescent="0.25">
      <c r="A14" s="90">
        <v>47087</v>
      </c>
      <c r="B14" s="15"/>
      <c r="C14" s="89" t="s">
        <v>104</v>
      </c>
      <c r="D14" s="54" t="s">
        <v>115</v>
      </c>
      <c r="E14" s="90">
        <v>51</v>
      </c>
      <c r="F14" s="91">
        <v>1500</v>
      </c>
      <c r="G14" s="91">
        <v>3600</v>
      </c>
      <c r="H14" s="91">
        <v>4500</v>
      </c>
      <c r="I14" s="91">
        <v>900</v>
      </c>
    </row>
    <row r="15" spans="1:9" x14ac:dyDescent="0.25">
      <c r="A15" s="90">
        <v>47090</v>
      </c>
      <c r="B15" s="15"/>
      <c r="C15" s="89" t="s">
        <v>119</v>
      </c>
      <c r="D15" s="54" t="s">
        <v>116</v>
      </c>
      <c r="E15" s="90">
        <v>34</v>
      </c>
      <c r="F15" s="91">
        <v>1000</v>
      </c>
      <c r="G15" s="91">
        <v>2400</v>
      </c>
      <c r="H15" s="91">
        <v>3000</v>
      </c>
      <c r="I15" s="91">
        <v>600</v>
      </c>
    </row>
    <row r="16" spans="1:9" x14ac:dyDescent="0.25">
      <c r="A16" s="90">
        <v>47091</v>
      </c>
      <c r="B16" s="15"/>
      <c r="C16" s="89" t="s">
        <v>119</v>
      </c>
      <c r="D16" s="54" t="s">
        <v>117</v>
      </c>
      <c r="E16" s="90">
        <v>34</v>
      </c>
      <c r="F16" s="91">
        <v>1000</v>
      </c>
      <c r="G16" s="91">
        <v>2400</v>
      </c>
      <c r="H16" s="91">
        <v>3000</v>
      </c>
      <c r="I16" s="91">
        <v>600</v>
      </c>
    </row>
    <row r="17" spans="1:9" x14ac:dyDescent="0.25">
      <c r="A17" s="90">
        <v>47164</v>
      </c>
      <c r="B17" s="15"/>
      <c r="C17" s="89" t="s">
        <v>118</v>
      </c>
      <c r="D17" s="54" t="s">
        <v>100</v>
      </c>
      <c r="E17" s="90">
        <v>51</v>
      </c>
      <c r="F17" s="91">
        <v>1500</v>
      </c>
      <c r="G17" s="91">
        <v>3600</v>
      </c>
      <c r="H17" s="91">
        <v>4500</v>
      </c>
      <c r="I17" s="91">
        <v>900</v>
      </c>
    </row>
    <row r="18" spans="1:9" x14ac:dyDescent="0.25">
      <c r="A18" s="90">
        <v>47165</v>
      </c>
      <c r="B18" s="15"/>
      <c r="C18" s="89" t="s">
        <v>118</v>
      </c>
      <c r="D18" s="54" t="s">
        <v>101</v>
      </c>
      <c r="E18" s="90">
        <v>51</v>
      </c>
      <c r="F18" s="91">
        <v>1500</v>
      </c>
      <c r="G18" s="91">
        <v>3600</v>
      </c>
      <c r="H18" s="91">
        <v>4500</v>
      </c>
      <c r="I18" s="91">
        <v>900</v>
      </c>
    </row>
    <row r="19" spans="1:9" x14ac:dyDescent="0.25">
      <c r="A19" s="90">
        <v>47166</v>
      </c>
      <c r="B19" s="15"/>
      <c r="C19" s="89" t="s">
        <v>118</v>
      </c>
      <c r="D19" s="54" t="s">
        <v>102</v>
      </c>
      <c r="E19" s="90">
        <v>51</v>
      </c>
      <c r="F19" s="91">
        <v>1500</v>
      </c>
      <c r="G19" s="91">
        <v>3600</v>
      </c>
      <c r="H19" s="91">
        <v>4500</v>
      </c>
      <c r="I19" s="91">
        <v>900</v>
      </c>
    </row>
  </sheetData>
  <sortState xmlns:xlrd2="http://schemas.microsoft.com/office/spreadsheetml/2017/richdata2" ref="A2:A19">
    <sortCondition ref="A2:A19"/>
  </sortState>
  <phoneticPr fontId="34" type="noConversion"/>
  <conditionalFormatting sqref="A2:A9">
    <cfRule type="duplicateValues" dxfId="17" priority="330788"/>
  </conditionalFormatting>
  <conditionalFormatting sqref="A2:A18">
    <cfRule type="duplicateValues" dxfId="16" priority="330790"/>
  </conditionalFormatting>
  <conditionalFormatting sqref="A2:A19">
    <cfRule type="expression" dxfId="15" priority="14" stopIfTrue="1">
      <formula>AND(COUNTIF(#REF!, A2)&gt;1,NOT(ISBLANK(A2)))</formula>
    </cfRule>
  </conditionalFormatting>
  <conditionalFormatting sqref="A9">
    <cfRule type="duplicateValues" dxfId="14" priority="13"/>
  </conditionalFormatting>
  <conditionalFormatting sqref="A10:A12">
    <cfRule type="duplicateValues" dxfId="13" priority="330769"/>
  </conditionalFormatting>
  <conditionalFormatting sqref="A13">
    <cfRule type="duplicateValues" dxfId="12" priority="330752"/>
  </conditionalFormatting>
  <conditionalFormatting sqref="A14">
    <cfRule type="duplicateValues" dxfId="11" priority="330748"/>
  </conditionalFormatting>
  <conditionalFormatting sqref="A15:A16">
    <cfRule type="duplicateValues" dxfId="10" priority="330743"/>
  </conditionalFormatting>
  <conditionalFormatting sqref="A19">
    <cfRule type="duplicateValues" dxfId="9" priority="330733"/>
  </conditionalFormatting>
  <pageMargins left="0.7" right="0.7" top="0.75" bottom="0.75" header="0.3" footer="0.3"/>
  <pageSetup paperSize="9" orientation="portrait" r:id="rId1"/>
  <ignoredErrors>
    <ignoredError sqref="C9:C19 C2:C7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396A-260A-4BAE-BD7D-66267514B310}">
  <dimension ref="A1:I52"/>
  <sheetViews>
    <sheetView workbookViewId="0">
      <selection activeCell="L37" sqref="L37"/>
    </sheetView>
  </sheetViews>
  <sheetFormatPr defaultRowHeight="13.2" x14ac:dyDescent="0.25"/>
  <cols>
    <col min="2" max="2" width="7.6640625" bestFit="1" customWidth="1"/>
    <col min="3" max="3" width="7" customWidth="1"/>
    <col min="4" max="4" width="70.109375" bestFit="1" customWidth="1"/>
  </cols>
  <sheetData>
    <row r="1" spans="1:9" x14ac:dyDescent="0.25">
      <c r="D1" s="188" t="s">
        <v>159</v>
      </c>
    </row>
    <row r="2" spans="1:9" x14ac:dyDescent="0.25">
      <c r="A2" s="50" t="s">
        <v>4</v>
      </c>
      <c r="B2" s="51" t="s">
        <v>12</v>
      </c>
      <c r="C2" s="52" t="s">
        <v>11</v>
      </c>
      <c r="D2" s="50" t="s">
        <v>14</v>
      </c>
      <c r="E2" s="50" t="s">
        <v>5</v>
      </c>
      <c r="F2" s="53" t="s">
        <v>6</v>
      </c>
      <c r="G2" s="53" t="s">
        <v>7</v>
      </c>
      <c r="H2" s="53" t="s">
        <v>8</v>
      </c>
      <c r="I2" s="53" t="s">
        <v>10</v>
      </c>
    </row>
    <row r="3" spans="1:9" x14ac:dyDescent="0.25">
      <c r="A3" s="192">
        <v>37285</v>
      </c>
      <c r="B3" s="15"/>
      <c r="C3" s="66" t="str">
        <f>VLOOKUP(A3,[2]Report!$1:$1048576,11,0)</f>
        <v>1</v>
      </c>
      <c r="D3" s="54" t="str">
        <f>VLOOKUP(A3,'02 КАТАЛОГ`24 (1)'!1:1048576,6,0)</f>
        <v>СУХАЯ СМЕСЬ ДЛЯ КОКТЕЙЛЯ «НЭЧУРАЛ БАЛАНС» - КЛУБНИЧНЫЙ ВКУС</v>
      </c>
      <c r="E3" s="64">
        <f>VLOOKUP(A3,[2]Report!$1:$1048576,4,0)</f>
        <v>52</v>
      </c>
      <c r="F3" s="64">
        <f>VLOOKUP(A3,[2]Report!$1:$1048576,5,0)</f>
        <v>3333</v>
      </c>
      <c r="G3" s="64">
        <f>VLOOKUP(A3,[2]Report!$1:$1048576,7,0)</f>
        <v>4000</v>
      </c>
      <c r="H3" s="64">
        <f>VLOOKUP(A3,[2]Report!$1:$1048576,9,0)</f>
        <v>5000</v>
      </c>
      <c r="I3" s="64">
        <f>H3-G3</f>
        <v>1000</v>
      </c>
    </row>
    <row r="4" spans="1:9" x14ac:dyDescent="0.25">
      <c r="A4" s="192">
        <v>37289</v>
      </c>
      <c r="B4" s="15"/>
      <c r="C4" s="66" t="str">
        <f>VLOOKUP(A4,[2]Report!$1:$1048576,11,0)</f>
        <v>1</v>
      </c>
      <c r="D4" s="54" t="s">
        <v>504</v>
      </c>
      <c r="E4" s="64">
        <f>VLOOKUP(A4,[2]Report!$1:$1048576,4,0)</f>
        <v>52</v>
      </c>
      <c r="F4" s="64">
        <f>VLOOKUP(A4,[2]Report!$1:$1048576,5,0)</f>
        <v>3333</v>
      </c>
      <c r="G4" s="64">
        <f>VLOOKUP(A4,[2]Report!$1:$1048576,7,0)</f>
        <v>4000</v>
      </c>
      <c r="H4" s="64">
        <f>VLOOKUP(A4,[2]Report!$1:$1048576,9,0)</f>
        <v>5000</v>
      </c>
      <c r="I4" s="64">
        <f t="shared" ref="I4:I22" si="0">H4-G4</f>
        <v>1000</v>
      </c>
    </row>
    <row r="5" spans="1:9" x14ac:dyDescent="0.25">
      <c r="A5" s="192">
        <v>37290</v>
      </c>
      <c r="B5" s="15"/>
      <c r="C5" s="66" t="str">
        <f>VLOOKUP(A5,[2]Report!$1:$1048576,11,0)</f>
        <v>1</v>
      </c>
      <c r="D5" s="54" t="s">
        <v>505</v>
      </c>
      <c r="E5" s="64">
        <f>VLOOKUP(A5,[2]Report!$1:$1048576,4,0)</f>
        <v>52</v>
      </c>
      <c r="F5" s="64">
        <f>VLOOKUP(A5,[2]Report!$1:$1048576,5,0)</f>
        <v>3333</v>
      </c>
      <c r="G5" s="64">
        <f>VLOOKUP(A5,[2]Report!$1:$1048576,7,0)</f>
        <v>4000</v>
      </c>
      <c r="H5" s="64">
        <f>VLOOKUP(A5,[2]Report!$1:$1048576,9,0)</f>
        <v>5000</v>
      </c>
      <c r="I5" s="64">
        <f t="shared" si="0"/>
        <v>1000</v>
      </c>
    </row>
    <row r="6" spans="1:9" x14ac:dyDescent="0.25">
      <c r="A6" s="192">
        <v>37293</v>
      </c>
      <c r="B6" s="15"/>
      <c r="C6" s="66" t="str">
        <f>VLOOKUP(A6,[2]Report!$1:$1048576,11,0)</f>
        <v>2</v>
      </c>
      <c r="D6" s="54" t="s">
        <v>29</v>
      </c>
      <c r="E6" s="64">
        <f>VLOOKUP(A6,[2]Report!$1:$1048576,4,0)</f>
        <v>52</v>
      </c>
      <c r="F6" s="64">
        <f>VLOOKUP(A6,[2]Report!$1:$1048576,5,0)</f>
        <v>3333</v>
      </c>
      <c r="G6" s="64">
        <f>VLOOKUP(A6,[2]Report!$1:$1048576,7,0)</f>
        <v>4000</v>
      </c>
      <c r="H6" s="64">
        <f>VLOOKUP(A6,[2]Report!$1:$1048576,9,0)</f>
        <v>5000</v>
      </c>
      <c r="I6" s="64">
        <f t="shared" si="0"/>
        <v>1000</v>
      </c>
    </row>
    <row r="7" spans="1:9" x14ac:dyDescent="0.25">
      <c r="A7" s="192">
        <v>38556</v>
      </c>
      <c r="B7" s="15"/>
      <c r="C7" s="66" t="str">
        <f>VLOOKUP(A7,[2]Report!$1:$1048576,11,0)</f>
        <v>1</v>
      </c>
      <c r="D7" s="54" t="s">
        <v>34</v>
      </c>
      <c r="E7" s="64">
        <f>VLOOKUP(A7,[2]Report!$1:$1048576,4,0)</f>
        <v>24</v>
      </c>
      <c r="F7" s="64">
        <f>VLOOKUP(A7,[2]Report!$1:$1048576,5,0)</f>
        <v>1533</v>
      </c>
      <c r="G7" s="64">
        <f>VLOOKUP(A7,[2]Report!$1:$1048576,7,0)</f>
        <v>1840</v>
      </c>
      <c r="H7" s="64">
        <f>VLOOKUP(A7,[2]Report!$1:$1048576,9,0)</f>
        <v>2300</v>
      </c>
      <c r="I7" s="64">
        <f t="shared" si="0"/>
        <v>460</v>
      </c>
    </row>
    <row r="8" spans="1:9" x14ac:dyDescent="0.25">
      <c r="A8" s="192">
        <v>38557</v>
      </c>
      <c r="B8" s="15"/>
      <c r="C8" s="66" t="str">
        <f>VLOOKUP(A8,[2]Report!$1:$1048576,11,0)</f>
        <v>1</v>
      </c>
      <c r="D8" s="54" t="s">
        <v>31</v>
      </c>
      <c r="E8" s="64">
        <f>VLOOKUP(A8,[2]Report!$1:$1048576,4,0)</f>
        <v>29</v>
      </c>
      <c r="F8" s="64">
        <f>VLOOKUP(A8,[2]Report!$1:$1048576,5,0)</f>
        <v>1867</v>
      </c>
      <c r="G8" s="64">
        <f>VLOOKUP(A8,[2]Report!$1:$1048576,7,0)</f>
        <v>2240</v>
      </c>
      <c r="H8" s="64">
        <f>VLOOKUP(A8,[2]Report!$1:$1048576,9,0)</f>
        <v>2800</v>
      </c>
      <c r="I8" s="64">
        <f t="shared" si="0"/>
        <v>560</v>
      </c>
    </row>
    <row r="9" spans="1:9" x14ac:dyDescent="0.25">
      <c r="A9" s="192">
        <v>38558</v>
      </c>
      <c r="B9" s="15"/>
      <c r="C9" s="66" t="str">
        <f>VLOOKUP(A9,[2]Report!$1:$1048576,11,0)</f>
        <v>1</v>
      </c>
      <c r="D9" s="54" t="s">
        <v>32</v>
      </c>
      <c r="E9" s="64">
        <f>VLOOKUP(A9,[2]Report!$1:$1048576,4,0)</f>
        <v>29</v>
      </c>
      <c r="F9" s="64">
        <f>VLOOKUP(A9,[2]Report!$1:$1048576,5,0)</f>
        <v>1867</v>
      </c>
      <c r="G9" s="64">
        <f>VLOOKUP(A9,[2]Report!$1:$1048576,7,0)</f>
        <v>2240</v>
      </c>
      <c r="H9" s="64">
        <f>VLOOKUP(A9,[2]Report!$1:$1048576,9,0)</f>
        <v>2800</v>
      </c>
      <c r="I9" s="64">
        <f t="shared" si="0"/>
        <v>560</v>
      </c>
    </row>
    <row r="10" spans="1:9" x14ac:dyDescent="0.25">
      <c r="A10" s="192">
        <v>38559</v>
      </c>
      <c r="B10" s="15"/>
      <c r="C10" s="66" t="str">
        <f>VLOOKUP(A10,[2]Report!$1:$1048576,11,0)</f>
        <v>1</v>
      </c>
      <c r="D10" s="54" t="s">
        <v>33</v>
      </c>
      <c r="E10" s="64">
        <f>VLOOKUP(A10,[2]Report!$1:$1048576,4,0)</f>
        <v>29</v>
      </c>
      <c r="F10" s="64">
        <f>VLOOKUP(A10,[2]Report!$1:$1048576,5,0)</f>
        <v>1867</v>
      </c>
      <c r="G10" s="64">
        <f>VLOOKUP(A10,[2]Report!$1:$1048576,7,0)</f>
        <v>2240</v>
      </c>
      <c r="H10" s="64">
        <f>VLOOKUP(A10,[2]Report!$1:$1048576,9,0)</f>
        <v>2800</v>
      </c>
      <c r="I10" s="64">
        <f t="shared" si="0"/>
        <v>560</v>
      </c>
    </row>
    <row r="11" spans="1:9" x14ac:dyDescent="0.25">
      <c r="A11" s="192">
        <v>38836</v>
      </c>
      <c r="B11" s="15"/>
      <c r="C11" s="66" t="str">
        <f>VLOOKUP(A11,[2]Report!$1:$1048576,11,0)</f>
        <v>1</v>
      </c>
      <c r="D11" s="54" t="s">
        <v>510</v>
      </c>
      <c r="E11" s="64">
        <f>VLOOKUP(A11,[2]Report!$1:$1048576,4,0)</f>
        <v>50</v>
      </c>
      <c r="F11" s="64">
        <f>VLOOKUP(A11,[2]Report!$1:$1048576,5,0)</f>
        <v>3000</v>
      </c>
      <c r="G11" s="64">
        <f>VLOOKUP(A11,[2]Report!$1:$1048576,7,0)</f>
        <v>3600</v>
      </c>
      <c r="H11" s="64">
        <f>VLOOKUP(A11,[2]Report!$1:$1048576,9,0)</f>
        <v>4500</v>
      </c>
      <c r="I11" s="64">
        <f t="shared" si="0"/>
        <v>900</v>
      </c>
    </row>
    <row r="12" spans="1:9" x14ac:dyDescent="0.25">
      <c r="A12" s="192">
        <v>38838</v>
      </c>
      <c r="B12" s="15"/>
      <c r="C12" s="66" t="str">
        <f>VLOOKUP(A12,[2]Report!$1:$1048576,11,0)</f>
        <v>1</v>
      </c>
      <c r="D12" s="54" t="s">
        <v>511</v>
      </c>
      <c r="E12" s="64">
        <f>VLOOKUP(A12,[2]Report!$1:$1048576,4,0)</f>
        <v>50</v>
      </c>
      <c r="F12" s="64">
        <f>VLOOKUP(A12,[2]Report!$1:$1048576,5,0)</f>
        <v>3000</v>
      </c>
      <c r="G12" s="64">
        <f>VLOOKUP(A12,[2]Report!$1:$1048576,7,0)</f>
        <v>3600</v>
      </c>
      <c r="H12" s="64">
        <f>VLOOKUP(A12,[2]Report!$1:$1048576,9,0)</f>
        <v>4500</v>
      </c>
      <c r="I12" s="64">
        <f t="shared" si="0"/>
        <v>900</v>
      </c>
    </row>
    <row r="13" spans="1:9" x14ac:dyDescent="0.25">
      <c r="A13" s="192">
        <v>40745</v>
      </c>
      <c r="B13" s="15"/>
      <c r="C13" s="66" t="str">
        <f>VLOOKUP(A13,[2]Report!$1:$1048576,11,0)</f>
        <v>2</v>
      </c>
      <c r="D13" s="54" t="s">
        <v>160</v>
      </c>
      <c r="E13" s="64">
        <f>VLOOKUP(A13,[2]Report!$1:$1048576,4,0)</f>
        <v>70</v>
      </c>
      <c r="F13" s="64">
        <f>VLOOKUP(A13,[2]Report!$1:$1048576,5,0)</f>
        <v>4000</v>
      </c>
      <c r="G13" s="64">
        <f>VLOOKUP(A13,[2]Report!$1:$1048576,7,0)</f>
        <v>4800</v>
      </c>
      <c r="H13" s="64">
        <f>VLOOKUP(A13,[2]Report!$1:$1048576,9,0)</f>
        <v>6000</v>
      </c>
      <c r="I13" s="64">
        <f t="shared" si="0"/>
        <v>1200</v>
      </c>
    </row>
    <row r="14" spans="1:9" x14ac:dyDescent="0.25">
      <c r="A14" s="192">
        <v>45306</v>
      </c>
      <c r="B14" s="15"/>
      <c r="C14" s="66" t="str">
        <f>VLOOKUP(A14,[2]Report!$1:$1048576,11,0)</f>
        <v>1</v>
      </c>
      <c r="D14" s="54" t="s">
        <v>38</v>
      </c>
      <c r="E14" s="64">
        <f>VLOOKUP(A14,[2]Report!$1:$1048576,4,0)</f>
        <v>70</v>
      </c>
      <c r="F14" s="64">
        <f>VLOOKUP(A14,[2]Report!$1:$1048576,5,0)</f>
        <v>4000</v>
      </c>
      <c r="G14" s="64">
        <f>VLOOKUP(A14,[2]Report!$1:$1048576,7,0)</f>
        <v>4800</v>
      </c>
      <c r="H14" s="64">
        <f>VLOOKUP(A14,[2]Report!$1:$1048576,9,0)</f>
        <v>6000</v>
      </c>
      <c r="I14" s="64">
        <f t="shared" si="0"/>
        <v>1200</v>
      </c>
    </row>
    <row r="15" spans="1:9" x14ac:dyDescent="0.25">
      <c r="A15" s="192">
        <v>45307</v>
      </c>
      <c r="B15" s="15"/>
      <c r="C15" s="66" t="str">
        <f>VLOOKUP(A15,[2]Report!$1:$1048576,11,0)</f>
        <v>1</v>
      </c>
      <c r="D15" s="54" t="s">
        <v>37</v>
      </c>
      <c r="E15" s="64">
        <f>VLOOKUP(A15,[2]Report!$1:$1048576,4,0)</f>
        <v>70</v>
      </c>
      <c r="F15" s="64">
        <f>VLOOKUP(A15,[2]Report!$1:$1048576,5,0)</f>
        <v>4000</v>
      </c>
      <c r="G15" s="64">
        <f>VLOOKUP(A15,[2]Report!$1:$1048576,7,0)</f>
        <v>4800</v>
      </c>
      <c r="H15" s="64">
        <f>VLOOKUP(A15,[2]Report!$1:$1048576,9,0)</f>
        <v>6000</v>
      </c>
      <c r="I15" s="64">
        <f t="shared" si="0"/>
        <v>1200</v>
      </c>
    </row>
    <row r="16" spans="1:9" x14ac:dyDescent="0.25">
      <c r="A16" s="192">
        <v>46068</v>
      </c>
      <c r="B16" s="15"/>
      <c r="C16" s="66" t="str">
        <f>VLOOKUP(A16,[2]Report!$1:$1048576,11,0)</f>
        <v>1</v>
      </c>
      <c r="D16" s="54" t="s">
        <v>60</v>
      </c>
      <c r="E16" s="64">
        <f>VLOOKUP(A16,[2]Report!$1:$1048576,4,0)</f>
        <v>1</v>
      </c>
      <c r="F16" s="64">
        <f>VLOOKUP(A16,[2]Report!$1:$1048576,5,0)</f>
        <v>40</v>
      </c>
      <c r="G16" s="64">
        <f>VLOOKUP(A16,[2]Report!$1:$1048576,7,0)</f>
        <v>95</v>
      </c>
      <c r="H16" s="64">
        <f>VLOOKUP(A16,[2]Report!$1:$1048576,9,0)</f>
        <v>119</v>
      </c>
      <c r="I16" s="64">
        <f t="shared" si="0"/>
        <v>24</v>
      </c>
    </row>
    <row r="17" spans="1:9" x14ac:dyDescent="0.25">
      <c r="A17" s="192">
        <v>46664</v>
      </c>
      <c r="B17" s="15"/>
      <c r="C17" s="66" t="str">
        <f>VLOOKUP(A17,[2]Report!$1:$1048576,11,0)</f>
        <v>1</v>
      </c>
      <c r="D17" s="54" t="s">
        <v>36</v>
      </c>
      <c r="E17" s="64">
        <f>VLOOKUP(A17,[2]Report!$1:$1048576,4,0)</f>
        <v>14</v>
      </c>
      <c r="F17" s="64">
        <f>VLOOKUP(A17,[2]Report!$1:$1048576,5,0)</f>
        <v>467</v>
      </c>
      <c r="G17" s="64">
        <f>VLOOKUP(A17,[2]Report!$1:$1048576,7,0)</f>
        <v>1119</v>
      </c>
      <c r="H17" s="64">
        <f>VLOOKUP(A17,[2]Report!$1:$1048576,9,0)</f>
        <v>1399</v>
      </c>
      <c r="I17" s="64">
        <f t="shared" si="0"/>
        <v>280</v>
      </c>
    </row>
    <row r="18" spans="1:9" x14ac:dyDescent="0.25">
      <c r="A18" s="192">
        <v>46684</v>
      </c>
      <c r="B18" s="15"/>
      <c r="C18" s="66" t="str">
        <f>VLOOKUP(A18,[2]Report!$1:$1048576,11,0)</f>
        <v>1</v>
      </c>
      <c r="D18" s="54" t="s">
        <v>513</v>
      </c>
      <c r="E18" s="64">
        <f>VLOOKUP(A18,[2]Report!$1:$1048576,4,0)</f>
        <v>14</v>
      </c>
      <c r="F18" s="64">
        <f>VLOOKUP(A18,[2]Report!$1:$1048576,5,0)</f>
        <v>467</v>
      </c>
      <c r="G18" s="64">
        <f>VLOOKUP(A18,[2]Report!$1:$1048576,7,0)</f>
        <v>1119</v>
      </c>
      <c r="H18" s="64">
        <f>VLOOKUP(A18,[2]Report!$1:$1048576,9,0)</f>
        <v>1399</v>
      </c>
      <c r="I18" s="64">
        <f t="shared" si="0"/>
        <v>280</v>
      </c>
    </row>
    <row r="19" spans="1:9" x14ac:dyDescent="0.25">
      <c r="A19" s="192">
        <v>47260</v>
      </c>
      <c r="B19" s="15"/>
      <c r="C19" s="66" t="str">
        <f>VLOOKUP(A19,[2]Report!$1:$1048576,11,0)</f>
        <v>11</v>
      </c>
      <c r="D19" s="54" t="s">
        <v>515</v>
      </c>
      <c r="E19" s="64">
        <f>VLOOKUP(A19,[2]Report!$1:$1048576,4,0)</f>
        <v>122</v>
      </c>
      <c r="F19" s="64">
        <f>VLOOKUP(A19,[2]Report!$1:$1048576,5,0)</f>
        <v>6333</v>
      </c>
      <c r="G19" s="64">
        <f>VLOOKUP(A19,[2]Report!$1:$1048576,7,0)</f>
        <v>7600</v>
      </c>
      <c r="H19" s="64">
        <f>VLOOKUP(A19,[2]Report!$1:$1048576,9,0)</f>
        <v>9500</v>
      </c>
      <c r="I19" s="64">
        <f t="shared" si="0"/>
        <v>1900</v>
      </c>
    </row>
    <row r="20" spans="1:9" x14ac:dyDescent="0.25">
      <c r="A20" s="192">
        <v>47269</v>
      </c>
      <c r="B20" s="15"/>
      <c r="C20" s="66" t="str">
        <f>VLOOKUP(A20,[2]Report!$1:$1048576,11,0)</f>
        <v>11</v>
      </c>
      <c r="D20" s="54" t="s">
        <v>516</v>
      </c>
      <c r="E20" s="64">
        <f>VLOOKUP(A20,[2]Report!$1:$1048576,4,0)</f>
        <v>232</v>
      </c>
      <c r="F20" s="64">
        <f>VLOOKUP(A20,[2]Report!$1:$1048576,5,0)</f>
        <v>11400</v>
      </c>
      <c r="G20" s="64">
        <f>VLOOKUP(A20,[2]Report!$1:$1048576,7,0)</f>
        <v>13680</v>
      </c>
      <c r="H20" s="64">
        <f>VLOOKUP(A20,[2]Report!$1:$1048576,9,0)</f>
        <v>17100</v>
      </c>
      <c r="I20" s="64">
        <f t="shared" si="0"/>
        <v>3420</v>
      </c>
    </row>
    <row r="21" spans="1:9" x14ac:dyDescent="0.25">
      <c r="A21" s="192">
        <v>47272</v>
      </c>
      <c r="B21" s="15"/>
      <c r="C21" s="66" t="str">
        <f>VLOOKUP(A21,[2]Report!$1:$1048576,11,0)</f>
        <v>11</v>
      </c>
      <c r="D21" s="54" t="s">
        <v>517</v>
      </c>
      <c r="E21" s="64">
        <f>VLOOKUP(A21,[2]Report!$1:$1048576,4,0)</f>
        <v>144</v>
      </c>
      <c r="F21" s="64">
        <f>VLOOKUP(A21,[2]Report!$1:$1048576,5,0)</f>
        <v>7000</v>
      </c>
      <c r="G21" s="64">
        <f>VLOOKUP(A21,[2]Report!$1:$1048576,7,0)</f>
        <v>8400</v>
      </c>
      <c r="H21" s="64">
        <f>VLOOKUP(A21,[2]Report!$1:$1048576,9,0)</f>
        <v>10500</v>
      </c>
      <c r="I21" s="64">
        <f t="shared" si="0"/>
        <v>2100</v>
      </c>
    </row>
    <row r="22" spans="1:9" x14ac:dyDescent="0.25">
      <c r="A22" s="192">
        <v>47276</v>
      </c>
      <c r="B22" s="15"/>
      <c r="C22" s="66" t="str">
        <f>VLOOKUP(A22,[2]Report!$1:$1048576,11,0)</f>
        <v>11</v>
      </c>
      <c r="D22" s="54" t="s">
        <v>518</v>
      </c>
      <c r="E22" s="64">
        <f>VLOOKUP(A22,[2]Report!$1:$1048576,4,0)</f>
        <v>168</v>
      </c>
      <c r="F22" s="64">
        <f>VLOOKUP(A22,[2]Report!$1:$1048576,5,0)</f>
        <v>8000</v>
      </c>
      <c r="G22" s="64">
        <f>VLOOKUP(A22,[2]Report!$1:$1048576,7,0)</f>
        <v>9600</v>
      </c>
      <c r="H22" s="64">
        <f>VLOOKUP(A22,[2]Report!$1:$1048576,9,0)</f>
        <v>12000</v>
      </c>
      <c r="I22" s="64">
        <f t="shared" si="0"/>
        <v>2400</v>
      </c>
    </row>
    <row r="23" spans="1:9" x14ac:dyDescent="0.25">
      <c r="A23" s="189"/>
      <c r="B23" s="190"/>
      <c r="C23" s="190"/>
      <c r="D23" s="191"/>
      <c r="E23" s="190"/>
      <c r="F23" s="190"/>
      <c r="G23" s="190"/>
      <c r="H23" s="190"/>
      <c r="I23" s="190"/>
    </row>
    <row r="24" spans="1:9" s="190" customFormat="1" x14ac:dyDescent="0.25">
      <c r="A24" s="189"/>
      <c r="D24" s="191"/>
    </row>
    <row r="25" spans="1:9" x14ac:dyDescent="0.25">
      <c r="A25" s="50" t="s">
        <v>4</v>
      </c>
      <c r="B25" s="51" t="s">
        <v>12</v>
      </c>
      <c r="C25" s="52" t="s">
        <v>11</v>
      </c>
      <c r="D25" s="50" t="s">
        <v>14</v>
      </c>
      <c r="E25" s="50" t="s">
        <v>5</v>
      </c>
      <c r="F25" s="53" t="s">
        <v>6</v>
      </c>
      <c r="G25" s="53" t="s">
        <v>7</v>
      </c>
      <c r="H25" s="53" t="s">
        <v>8</v>
      </c>
      <c r="I25" s="53" t="s">
        <v>10</v>
      </c>
    </row>
    <row r="26" spans="1:9" x14ac:dyDescent="0.25">
      <c r="A26" s="50">
        <v>22467</v>
      </c>
      <c r="B26" s="15"/>
      <c r="C26" s="52" t="s">
        <v>123</v>
      </c>
      <c r="D26" s="54" t="s">
        <v>21</v>
      </c>
      <c r="E26" s="64">
        <f>VLOOKUP(A26,[2]Report!$1:$1048576,4,0)</f>
        <v>24</v>
      </c>
      <c r="F26" s="64">
        <f>VLOOKUP(A26,[2]Report!$1:$1048576,5,0)</f>
        <v>1533</v>
      </c>
      <c r="G26" s="64">
        <f>VLOOKUP(A26,[2]Report!$1:$1048576,7,0)</f>
        <v>1840</v>
      </c>
      <c r="H26" s="64">
        <f>VLOOKUP(A26,[2]Report!$1:$1048576,9,0)</f>
        <v>2300</v>
      </c>
      <c r="I26" s="64">
        <f t="shared" ref="I26:I52" si="1">H26-G26</f>
        <v>460</v>
      </c>
    </row>
    <row r="27" spans="1:9" x14ac:dyDescent="0.25">
      <c r="A27" s="50">
        <v>27996</v>
      </c>
      <c r="B27" s="15"/>
      <c r="C27" s="52" t="s">
        <v>95</v>
      </c>
      <c r="D27" s="54" t="s">
        <v>22</v>
      </c>
      <c r="E27" s="64">
        <f>VLOOKUP(A27,[2]Report!$1:$1048576,4,0)</f>
        <v>17</v>
      </c>
      <c r="F27" s="64">
        <f>VLOOKUP(A27,[2]Report!$1:$1048576,5,0)</f>
        <v>1133</v>
      </c>
      <c r="G27" s="64">
        <f>VLOOKUP(A27,[2]Report!$1:$1048576,7,0)</f>
        <v>1360</v>
      </c>
      <c r="H27" s="64">
        <f>VLOOKUP(A27,[2]Report!$1:$1048576,9,0)</f>
        <v>1700</v>
      </c>
      <c r="I27" s="64">
        <f t="shared" si="1"/>
        <v>340</v>
      </c>
    </row>
    <row r="28" spans="1:9" x14ac:dyDescent="0.25">
      <c r="A28" s="50">
        <v>28487</v>
      </c>
      <c r="B28" s="15"/>
      <c r="C28" s="52" t="s">
        <v>157</v>
      </c>
      <c r="D28" s="54" t="s">
        <v>47</v>
      </c>
      <c r="E28" s="64">
        <f>VLOOKUP(A28,[2]Report!$1:$1048576,4,0)</f>
        <v>102</v>
      </c>
      <c r="F28" s="64">
        <f>VLOOKUP(A28,[2]Report!$1:$1048576,5,0)</f>
        <v>6333</v>
      </c>
      <c r="G28" s="64">
        <f>VLOOKUP(A28,[2]Report!$1:$1048576,7,0)</f>
        <v>7600</v>
      </c>
      <c r="H28" s="64">
        <f>VLOOKUP(A28,[2]Report!$1:$1048576,9,0)</f>
        <v>9500</v>
      </c>
      <c r="I28" s="64">
        <f t="shared" si="1"/>
        <v>1900</v>
      </c>
    </row>
    <row r="29" spans="1:9" x14ac:dyDescent="0.25">
      <c r="A29" s="50">
        <v>28488</v>
      </c>
      <c r="B29" s="15"/>
      <c r="C29" s="52" t="s">
        <v>157</v>
      </c>
      <c r="D29" s="54" t="s">
        <v>48</v>
      </c>
      <c r="E29" s="64">
        <f>VLOOKUP(A29,[2]Report!$1:$1048576,4,0)</f>
        <v>102</v>
      </c>
      <c r="F29" s="64">
        <f>VLOOKUP(A29,[2]Report!$1:$1048576,5,0)</f>
        <v>6333</v>
      </c>
      <c r="G29" s="64">
        <f>VLOOKUP(A29,[2]Report!$1:$1048576,7,0)</f>
        <v>7600</v>
      </c>
      <c r="H29" s="64">
        <f>VLOOKUP(A29,[2]Report!$1:$1048576,9,0)</f>
        <v>9500</v>
      </c>
      <c r="I29" s="64">
        <f t="shared" si="1"/>
        <v>1900</v>
      </c>
    </row>
    <row r="30" spans="1:9" x14ac:dyDescent="0.25">
      <c r="A30" s="50">
        <v>28489</v>
      </c>
      <c r="B30" s="15"/>
      <c r="C30" s="52" t="s">
        <v>157</v>
      </c>
      <c r="D30" s="54" t="s">
        <v>49</v>
      </c>
      <c r="E30" s="64">
        <f>VLOOKUP(A30,[2]Report!$1:$1048576,4,0)</f>
        <v>154</v>
      </c>
      <c r="F30" s="64">
        <f>VLOOKUP(A30,[2]Report!$1:$1048576,5,0)</f>
        <v>9667</v>
      </c>
      <c r="G30" s="64">
        <f>VLOOKUP(A30,[2]Report!$1:$1048576,7,0)</f>
        <v>11600</v>
      </c>
      <c r="H30" s="64">
        <f>VLOOKUP(A30,[2]Report!$1:$1048576,9,0)</f>
        <v>14500</v>
      </c>
      <c r="I30" s="64">
        <f t="shared" si="1"/>
        <v>2900</v>
      </c>
    </row>
    <row r="31" spans="1:9" x14ac:dyDescent="0.25">
      <c r="A31" s="50">
        <v>28491</v>
      </c>
      <c r="B31" s="15"/>
      <c r="C31" s="52" t="s">
        <v>157</v>
      </c>
      <c r="D31" s="54" t="s">
        <v>50</v>
      </c>
      <c r="E31" s="64">
        <f>VLOOKUP(A31,[2]Report!$1:$1048576,4,0)</f>
        <v>154</v>
      </c>
      <c r="F31" s="64">
        <f>VLOOKUP(A31,[2]Report!$1:$1048576,5,0)</f>
        <v>9667</v>
      </c>
      <c r="G31" s="64">
        <f>VLOOKUP(A31,[2]Report!$1:$1048576,7,0)</f>
        <v>11600</v>
      </c>
      <c r="H31" s="64">
        <f>VLOOKUP(A31,[2]Report!$1:$1048576,9,0)</f>
        <v>14500</v>
      </c>
      <c r="I31" s="64">
        <f t="shared" si="1"/>
        <v>2900</v>
      </c>
    </row>
    <row r="32" spans="1:9" x14ac:dyDescent="0.25">
      <c r="A32" s="50">
        <v>29688</v>
      </c>
      <c r="B32" s="15"/>
      <c r="C32" s="52" t="s">
        <v>30</v>
      </c>
      <c r="D32" s="54" t="s">
        <v>31</v>
      </c>
      <c r="E32" s="64">
        <f>VLOOKUP(A32,[2]Report!$1:$1048576,4,0)</f>
        <v>29</v>
      </c>
      <c r="F32" s="64">
        <f>VLOOKUP(A32,[2]Report!$1:$1048576,5,0)</f>
        <v>1867</v>
      </c>
      <c r="G32" s="64">
        <f>VLOOKUP(A32,[2]Report!$1:$1048576,7,0)</f>
        <v>2240</v>
      </c>
      <c r="H32" s="64">
        <f>VLOOKUP(A32,[2]Report!$1:$1048576,9,0)</f>
        <v>2800</v>
      </c>
      <c r="I32" s="64">
        <f t="shared" si="1"/>
        <v>560</v>
      </c>
    </row>
    <row r="33" spans="1:9" x14ac:dyDescent="0.25">
      <c r="A33" s="50">
        <v>29689</v>
      </c>
      <c r="B33" s="15"/>
      <c r="C33" s="52" t="s">
        <v>30</v>
      </c>
      <c r="D33" s="54" t="s">
        <v>23</v>
      </c>
      <c r="E33" s="64">
        <f>VLOOKUP(A33,[2]Report!$1:$1048576,4,0)</f>
        <v>52</v>
      </c>
      <c r="F33" s="64">
        <f>VLOOKUP(A33,[2]Report!$1:$1048576,5,0)</f>
        <v>3333</v>
      </c>
      <c r="G33" s="64">
        <f>VLOOKUP(A33,[2]Report!$1:$1048576,7,0)</f>
        <v>4000</v>
      </c>
      <c r="H33" s="64">
        <f>VLOOKUP(A33,[2]Report!$1:$1048576,9,0)</f>
        <v>5000</v>
      </c>
      <c r="I33" s="64">
        <f t="shared" si="1"/>
        <v>1000</v>
      </c>
    </row>
    <row r="34" spans="1:9" x14ac:dyDescent="0.25">
      <c r="A34" s="50">
        <v>29690</v>
      </c>
      <c r="B34" s="15"/>
      <c r="C34" s="52" t="s">
        <v>93</v>
      </c>
      <c r="D34" s="54" t="s">
        <v>24</v>
      </c>
      <c r="E34" s="64">
        <f>VLOOKUP(A34,[2]Report!$1:$1048576,4,0)</f>
        <v>52</v>
      </c>
      <c r="F34" s="64">
        <f>VLOOKUP(A34,[2]Report!$1:$1048576,5,0)</f>
        <v>3333</v>
      </c>
      <c r="G34" s="64">
        <f>VLOOKUP(A34,[2]Report!$1:$1048576,7,0)</f>
        <v>4000</v>
      </c>
      <c r="H34" s="64">
        <f>VLOOKUP(A34,[2]Report!$1:$1048576,9,0)</f>
        <v>5000</v>
      </c>
      <c r="I34" s="64">
        <f t="shared" si="1"/>
        <v>1000</v>
      </c>
    </row>
    <row r="35" spans="1:9" x14ac:dyDescent="0.25">
      <c r="A35" s="50">
        <v>29691</v>
      </c>
      <c r="B35" s="15"/>
      <c r="C35" s="52" t="s">
        <v>93</v>
      </c>
      <c r="D35" s="54" t="s">
        <v>25</v>
      </c>
      <c r="E35" s="64">
        <f>VLOOKUP(A35,[2]Report!$1:$1048576,4,0)</f>
        <v>52</v>
      </c>
      <c r="F35" s="64">
        <f>VLOOKUP(A35,[2]Report!$1:$1048576,5,0)</f>
        <v>3333</v>
      </c>
      <c r="G35" s="64">
        <f>VLOOKUP(A35,[2]Report!$1:$1048576,7,0)</f>
        <v>4000</v>
      </c>
      <c r="H35" s="64">
        <f>VLOOKUP(A35,[2]Report!$1:$1048576,9,0)</f>
        <v>5000</v>
      </c>
      <c r="I35" s="64">
        <f t="shared" si="1"/>
        <v>1000</v>
      </c>
    </row>
    <row r="36" spans="1:9" x14ac:dyDescent="0.25">
      <c r="A36" s="50">
        <v>29695</v>
      </c>
      <c r="B36" s="15"/>
      <c r="C36" s="52" t="s">
        <v>158</v>
      </c>
      <c r="D36" s="54" t="s">
        <v>26</v>
      </c>
      <c r="E36" s="64">
        <f>VLOOKUP(A36,[2]Report!$1:$1048576,4,0)</f>
        <v>52</v>
      </c>
      <c r="F36" s="64">
        <f>VLOOKUP(A36,[2]Report!$1:$1048576,5,0)</f>
        <v>3333</v>
      </c>
      <c r="G36" s="64">
        <f>VLOOKUP(A36,[2]Report!$1:$1048576,7,0)</f>
        <v>4000</v>
      </c>
      <c r="H36" s="64">
        <f>VLOOKUP(A36,[2]Report!$1:$1048576,9,0)</f>
        <v>5000</v>
      </c>
      <c r="I36" s="64">
        <f t="shared" si="1"/>
        <v>1000</v>
      </c>
    </row>
    <row r="37" spans="1:9" x14ac:dyDescent="0.25">
      <c r="A37" s="50">
        <v>29696</v>
      </c>
      <c r="B37" s="15"/>
      <c r="C37" s="52" t="s">
        <v>30</v>
      </c>
      <c r="D37" s="54" t="s">
        <v>27</v>
      </c>
      <c r="E37" s="64">
        <f>VLOOKUP(A37,[2]Report!$1:$1048576,4,0)</f>
        <v>50</v>
      </c>
      <c r="F37" s="64">
        <f>VLOOKUP(A37,[2]Report!$1:$1048576,5,0)</f>
        <v>3000</v>
      </c>
      <c r="G37" s="64">
        <f>VLOOKUP(A37,[2]Report!$1:$1048576,7,0)</f>
        <v>3600</v>
      </c>
      <c r="H37" s="64">
        <f>VLOOKUP(A37,[2]Report!$1:$1048576,9,0)</f>
        <v>4500</v>
      </c>
      <c r="I37" s="64">
        <f t="shared" si="1"/>
        <v>900</v>
      </c>
    </row>
    <row r="38" spans="1:9" x14ac:dyDescent="0.25">
      <c r="A38" s="50">
        <v>29697</v>
      </c>
      <c r="B38" s="15"/>
      <c r="C38" s="52" t="s">
        <v>30</v>
      </c>
      <c r="D38" s="54" t="s">
        <v>28</v>
      </c>
      <c r="E38" s="64">
        <f>VLOOKUP(A38,[2]Report!$1:$1048576,4,0)</f>
        <v>50</v>
      </c>
      <c r="F38" s="64">
        <f>VLOOKUP(A38,[2]Report!$1:$1048576,5,0)</f>
        <v>3000</v>
      </c>
      <c r="G38" s="64">
        <f>VLOOKUP(A38,[2]Report!$1:$1048576,7,0)</f>
        <v>3600</v>
      </c>
      <c r="H38" s="64">
        <f>VLOOKUP(A38,[2]Report!$1:$1048576,9,0)</f>
        <v>4500</v>
      </c>
      <c r="I38" s="64">
        <f t="shared" si="1"/>
        <v>900</v>
      </c>
    </row>
    <row r="39" spans="1:9" x14ac:dyDescent="0.25">
      <c r="A39" s="50">
        <v>29705</v>
      </c>
      <c r="B39" s="15"/>
      <c r="C39" s="52" t="s">
        <v>30</v>
      </c>
      <c r="D39" s="54" t="s">
        <v>34</v>
      </c>
      <c r="E39" s="64">
        <f>VLOOKUP(A39,[2]Report!$1:$1048576,4,0)</f>
        <v>24</v>
      </c>
      <c r="F39" s="64">
        <f>VLOOKUP(A39,[2]Report!$1:$1048576,5,0)</f>
        <v>1533</v>
      </c>
      <c r="G39" s="64">
        <f>VLOOKUP(A39,[2]Report!$1:$1048576,7,0)</f>
        <v>1840</v>
      </c>
      <c r="H39" s="64">
        <f>VLOOKUP(A39,[2]Report!$1:$1048576,9,0)</f>
        <v>2300</v>
      </c>
      <c r="I39" s="64">
        <f t="shared" si="1"/>
        <v>460</v>
      </c>
    </row>
    <row r="40" spans="1:9" x14ac:dyDescent="0.25">
      <c r="A40" s="50">
        <v>29706</v>
      </c>
      <c r="B40" s="15"/>
      <c r="C40" s="52" t="s">
        <v>118</v>
      </c>
      <c r="D40" s="54" t="s">
        <v>35</v>
      </c>
      <c r="E40" s="64">
        <f>VLOOKUP(A40,[2]Report!$1:$1048576,4,0)</f>
        <v>29</v>
      </c>
      <c r="F40" s="64">
        <f>VLOOKUP(A40,[2]Report!$1:$1048576,5,0)</f>
        <v>1867</v>
      </c>
      <c r="G40" s="64">
        <f>VLOOKUP(A40,[2]Report!$1:$1048576,7,0)</f>
        <v>2240</v>
      </c>
      <c r="H40" s="64">
        <f>VLOOKUP(A40,[2]Report!$1:$1048576,9,0)</f>
        <v>2800</v>
      </c>
      <c r="I40" s="64">
        <f t="shared" si="1"/>
        <v>560</v>
      </c>
    </row>
    <row r="41" spans="1:9" x14ac:dyDescent="0.25">
      <c r="A41" s="50">
        <v>31750</v>
      </c>
      <c r="B41" s="15"/>
      <c r="C41" s="52" t="s">
        <v>94</v>
      </c>
      <c r="D41" s="54" t="s">
        <v>51</v>
      </c>
      <c r="E41" s="64">
        <f>VLOOKUP(A41,[2]Report!$1:$1048576,4,0)</f>
        <v>24</v>
      </c>
      <c r="F41" s="64">
        <f>VLOOKUP(A41,[2]Report!$1:$1048576,5,0)</f>
        <v>1533</v>
      </c>
      <c r="G41" s="64">
        <f>VLOOKUP(A41,[2]Report!$1:$1048576,7,0)</f>
        <v>1840</v>
      </c>
      <c r="H41" s="64">
        <f>VLOOKUP(A41,[2]Report!$1:$1048576,9,0)</f>
        <v>2300</v>
      </c>
      <c r="I41" s="64">
        <f t="shared" si="1"/>
        <v>460</v>
      </c>
    </row>
    <row r="42" spans="1:9" x14ac:dyDescent="0.25">
      <c r="A42" s="50">
        <v>31766</v>
      </c>
      <c r="B42" s="15"/>
      <c r="C42" s="52" t="s">
        <v>158</v>
      </c>
      <c r="D42" s="54" t="s">
        <v>52</v>
      </c>
      <c r="E42" s="64">
        <f>VLOOKUP(A42,[2]Report!$1:$1048576,4,0)</f>
        <v>24</v>
      </c>
      <c r="F42" s="64">
        <f>VLOOKUP(A42,[2]Report!$1:$1048576,5,0)</f>
        <v>1533</v>
      </c>
      <c r="G42" s="64">
        <f>VLOOKUP(A42,[2]Report!$1:$1048576,7,0)</f>
        <v>1840</v>
      </c>
      <c r="H42" s="64">
        <f>VLOOKUP(A42,[2]Report!$1:$1048576,9,0)</f>
        <v>2300</v>
      </c>
      <c r="I42" s="64">
        <f t="shared" si="1"/>
        <v>460</v>
      </c>
    </row>
    <row r="43" spans="1:9" x14ac:dyDescent="0.25">
      <c r="A43" s="50">
        <v>36169</v>
      </c>
      <c r="B43" s="15"/>
      <c r="C43" s="52" t="s">
        <v>93</v>
      </c>
      <c r="D43" s="54" t="s">
        <v>29</v>
      </c>
      <c r="E43" s="64">
        <f>VLOOKUP(A43,[2]Report!$1:$1048576,4,0)</f>
        <v>52</v>
      </c>
      <c r="F43" s="64">
        <f>VLOOKUP(A43,[2]Report!$1:$1048576,5,0)</f>
        <v>3333</v>
      </c>
      <c r="G43" s="64">
        <f>VLOOKUP(A43,[2]Report!$1:$1048576,7,0)</f>
        <v>4000</v>
      </c>
      <c r="H43" s="64">
        <f>VLOOKUP(A43,[2]Report!$1:$1048576,9,0)</f>
        <v>5000</v>
      </c>
      <c r="I43" s="64">
        <f t="shared" si="1"/>
        <v>1000</v>
      </c>
    </row>
    <row r="44" spans="1:9" x14ac:dyDescent="0.25">
      <c r="A44" s="50">
        <v>38890</v>
      </c>
      <c r="B44" s="15"/>
      <c r="C44" s="52" t="s">
        <v>30</v>
      </c>
      <c r="D44" s="54" t="s">
        <v>37</v>
      </c>
      <c r="E44" s="64">
        <f>VLOOKUP(A44,[2]Report!$1:$1048576,4,0)</f>
        <v>70</v>
      </c>
      <c r="F44" s="64">
        <f>VLOOKUP(A44,[2]Report!$1:$1048576,5,0)</f>
        <v>4000</v>
      </c>
      <c r="G44" s="64">
        <f>VLOOKUP(A44,[2]Report!$1:$1048576,7,0)</f>
        <v>4800</v>
      </c>
      <c r="H44" s="64">
        <f>VLOOKUP(A44,[2]Report!$1:$1048576,9,0)</f>
        <v>6000</v>
      </c>
      <c r="I44" s="64">
        <f t="shared" si="1"/>
        <v>1200</v>
      </c>
    </row>
    <row r="45" spans="1:9" x14ac:dyDescent="0.25">
      <c r="A45" s="50">
        <v>43271</v>
      </c>
      <c r="B45" s="15"/>
      <c r="C45" s="52" t="s">
        <v>30</v>
      </c>
      <c r="D45" s="54" t="s">
        <v>38</v>
      </c>
      <c r="E45" s="64">
        <f>VLOOKUP(A45,[2]Report!$1:$1048576,4,0)</f>
        <v>70</v>
      </c>
      <c r="F45" s="64">
        <f>VLOOKUP(A45,[2]Report!$1:$1048576,5,0)</f>
        <v>4000</v>
      </c>
      <c r="G45" s="64">
        <f>VLOOKUP(A45,[2]Report!$1:$1048576,7,0)</f>
        <v>4800</v>
      </c>
      <c r="H45" s="64">
        <f>VLOOKUP(A45,[2]Report!$1:$1048576,9,0)</f>
        <v>6000</v>
      </c>
      <c r="I45" s="64">
        <f t="shared" si="1"/>
        <v>1200</v>
      </c>
    </row>
    <row r="46" spans="1:9" x14ac:dyDescent="0.25">
      <c r="A46" s="50">
        <v>45117</v>
      </c>
      <c r="B46" s="15"/>
      <c r="C46" s="52" t="s">
        <v>157</v>
      </c>
      <c r="D46" s="54" t="s">
        <v>53</v>
      </c>
      <c r="E46" s="64">
        <f>VLOOKUP(A46,[2]Report!$1:$1048576,4,0)</f>
        <v>193</v>
      </c>
      <c r="F46" s="64">
        <f>VLOOKUP(A46,[2]Report!$1:$1048576,5,0)</f>
        <v>10601</v>
      </c>
      <c r="G46" s="64">
        <f>VLOOKUP(A46,[2]Report!$1:$1048576,7,0)</f>
        <v>13680</v>
      </c>
      <c r="H46" s="64">
        <f>VLOOKUP(A46,[2]Report!$1:$1048576,9,0)</f>
        <v>17100</v>
      </c>
      <c r="I46" s="64">
        <f t="shared" si="1"/>
        <v>3420</v>
      </c>
    </row>
    <row r="47" spans="1:9" x14ac:dyDescent="0.25">
      <c r="A47" s="50">
        <v>45118</v>
      </c>
      <c r="B47" s="15"/>
      <c r="C47" s="52" t="s">
        <v>157</v>
      </c>
      <c r="D47" s="54" t="s">
        <v>54</v>
      </c>
      <c r="E47" s="64">
        <f>VLOOKUP(A47,[2]Report!$1:$1048576,4,0)</f>
        <v>193</v>
      </c>
      <c r="F47" s="64">
        <f>VLOOKUP(A47,[2]Report!$1:$1048576,5,0)</f>
        <v>10601</v>
      </c>
      <c r="G47" s="64">
        <f>VLOOKUP(A47,[2]Report!$1:$1048576,7,0)</f>
        <v>13680</v>
      </c>
      <c r="H47" s="64">
        <f>VLOOKUP(A47,[2]Report!$1:$1048576,9,0)</f>
        <v>17100</v>
      </c>
      <c r="I47" s="64">
        <f t="shared" si="1"/>
        <v>3420</v>
      </c>
    </row>
    <row r="48" spans="1:9" x14ac:dyDescent="0.25">
      <c r="A48" s="50">
        <v>45119</v>
      </c>
      <c r="B48" s="15"/>
      <c r="C48" s="52" t="s">
        <v>157</v>
      </c>
      <c r="D48" s="54" t="s">
        <v>55</v>
      </c>
      <c r="E48" s="64">
        <f>VLOOKUP(A48,[2]Report!$1:$1048576,4,0)</f>
        <v>193</v>
      </c>
      <c r="F48" s="64">
        <f>VLOOKUP(A48,[2]Report!$1:$1048576,5,0)</f>
        <v>10601</v>
      </c>
      <c r="G48" s="64">
        <f>VLOOKUP(A48,[2]Report!$1:$1048576,7,0)</f>
        <v>13680</v>
      </c>
      <c r="H48" s="64">
        <f>VLOOKUP(A48,[2]Report!$1:$1048576,9,0)</f>
        <v>17100</v>
      </c>
      <c r="I48" s="64">
        <f t="shared" si="1"/>
        <v>3420</v>
      </c>
    </row>
    <row r="49" spans="1:9" x14ac:dyDescent="0.25">
      <c r="A49" s="50">
        <v>45128</v>
      </c>
      <c r="B49" s="15"/>
      <c r="C49" s="52" t="s">
        <v>157</v>
      </c>
      <c r="D49" s="54" t="s">
        <v>39</v>
      </c>
      <c r="E49" s="64">
        <f>VLOOKUP(A49,[2]Report!$1:$1048576,4,0)</f>
        <v>120</v>
      </c>
      <c r="F49" s="64">
        <f>VLOOKUP(A49,[2]Report!$1:$1048576,5,0)</f>
        <v>7000</v>
      </c>
      <c r="G49" s="64">
        <f>VLOOKUP(A49,[2]Report!$1:$1048576,7,0)</f>
        <v>8400</v>
      </c>
      <c r="H49" s="64">
        <f>VLOOKUP(A49,[2]Report!$1:$1048576,9,0)</f>
        <v>10500</v>
      </c>
      <c r="I49" s="64">
        <f t="shared" si="1"/>
        <v>2100</v>
      </c>
    </row>
    <row r="50" spans="1:9" x14ac:dyDescent="0.25">
      <c r="A50" s="50">
        <v>45129</v>
      </c>
      <c r="B50" s="15"/>
      <c r="C50" s="52" t="s">
        <v>157</v>
      </c>
      <c r="D50" s="54" t="s">
        <v>40</v>
      </c>
      <c r="E50" s="64">
        <f>VLOOKUP(A50,[2]Report!$1:$1048576,4,0)</f>
        <v>120</v>
      </c>
      <c r="F50" s="64">
        <f>VLOOKUP(A50,[2]Report!$1:$1048576,5,0)</f>
        <v>7000</v>
      </c>
      <c r="G50" s="64">
        <f>VLOOKUP(A50,[2]Report!$1:$1048576,7,0)</f>
        <v>8400</v>
      </c>
      <c r="H50" s="64">
        <f>VLOOKUP(A50,[2]Report!$1:$1048576,9,0)</f>
        <v>10500</v>
      </c>
      <c r="I50" s="64">
        <f t="shared" si="1"/>
        <v>2100</v>
      </c>
    </row>
    <row r="51" spans="1:9" x14ac:dyDescent="0.25">
      <c r="A51" s="50">
        <v>45131</v>
      </c>
      <c r="B51" s="15"/>
      <c r="C51" s="52" t="s">
        <v>157</v>
      </c>
      <c r="D51" s="54" t="s">
        <v>41</v>
      </c>
      <c r="E51" s="64">
        <f>VLOOKUP(A51,[2]Report!$1:$1048576,4,0)</f>
        <v>120</v>
      </c>
      <c r="F51" s="64">
        <f>VLOOKUP(A51,[2]Report!$1:$1048576,5,0)</f>
        <v>7000</v>
      </c>
      <c r="G51" s="64">
        <f>VLOOKUP(A51,[2]Report!$1:$1048576,7,0)</f>
        <v>8400</v>
      </c>
      <c r="H51" s="64">
        <f>VLOOKUP(A51,[2]Report!$1:$1048576,9,0)</f>
        <v>10500</v>
      </c>
      <c r="I51" s="64">
        <f t="shared" si="1"/>
        <v>2100</v>
      </c>
    </row>
    <row r="52" spans="1:9" x14ac:dyDescent="0.25">
      <c r="A52" s="50">
        <v>45132</v>
      </c>
      <c r="B52" s="15"/>
      <c r="C52" s="52" t="s">
        <v>157</v>
      </c>
      <c r="D52" s="54" t="s">
        <v>42</v>
      </c>
      <c r="E52" s="64">
        <f>VLOOKUP(A52,[2]Report!$1:$1048576,4,0)</f>
        <v>120</v>
      </c>
      <c r="F52" s="64">
        <f>VLOOKUP(A52,[2]Report!$1:$1048576,5,0)</f>
        <v>7000</v>
      </c>
      <c r="G52" s="64">
        <f>VLOOKUP(A52,[2]Report!$1:$1048576,7,0)</f>
        <v>8400</v>
      </c>
      <c r="H52" s="64">
        <f>VLOOKUP(A52,[2]Report!$1:$1048576,9,0)</f>
        <v>10500</v>
      </c>
      <c r="I52" s="64">
        <f t="shared" si="1"/>
        <v>2100</v>
      </c>
    </row>
  </sheetData>
  <sortState xmlns:xlrd2="http://schemas.microsoft.com/office/spreadsheetml/2017/richdata2" ref="A3:A22">
    <sortCondition ref="A3:A22"/>
  </sortState>
  <conditionalFormatting sqref="A45">
    <cfRule type="duplicateValues" dxfId="8" priority="330702"/>
  </conditionalFormatting>
  <conditionalFormatting sqref="A49 A26:A44">
    <cfRule type="duplicateValues" dxfId="7" priority="9"/>
  </conditionalFormatting>
  <conditionalFormatting sqref="A50 A46:A48">
    <cfRule type="duplicateValues" dxfId="6" priority="7"/>
  </conditionalFormatting>
  <conditionalFormatting sqref="A3:A24">
    <cfRule type="expression" dxfId="5" priority="1" stopIfTrue="1">
      <formula>AND(COUNTIF(#REF!, A3)&gt;1,NOT(ISBLANK(A3)))</formula>
    </cfRule>
  </conditionalFormatting>
  <conditionalFormatting sqref="A51:A52">
    <cfRule type="duplicateValues" dxfId="4" priority="330829"/>
    <cfRule type="expression" dxfId="3" priority="330830" stopIfTrue="1">
      <formula>AND(COUNTIF($B$28:$B$28, A51)&gt;1,NOT(ISBLANK(A51)))</formula>
    </cfRule>
  </conditionalFormatting>
  <conditionalFormatting sqref="A26:A50">
    <cfRule type="expression" dxfId="2" priority="330831" stopIfTrue="1">
      <formula>AND(COUNTIF($B$28:$B$28, A26)&gt;1,NOT(ISBLANK(A26)))</formula>
    </cfRule>
  </conditionalFormatting>
  <pageMargins left="0.7" right="0.7" top="0.75" bottom="0.75" header="0.3" footer="0.3"/>
  <pageSetup paperSize="9" orientation="portrait" r:id="rId1"/>
  <ignoredErrors>
    <ignoredError sqref="C26 C45:C52 C39:C44 C27:C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02 КАТАЛОГ`24 (1)</vt:lpstr>
      <vt:lpstr>02 КАТАЛОГ`24 (2)</vt:lpstr>
      <vt:lpstr>02 КАТАЛОГ`24 (3)</vt:lpstr>
      <vt:lpstr>СПЕЦПРЕДЛОЖЕНИЯ</vt:lpstr>
      <vt:lpstr>ПРОДУКТЫ ЗА ДОСТАВКУ</vt:lpstr>
      <vt:lpstr>NOVAGE КАТАЛОГ</vt:lpstr>
      <vt:lpstr>ЮВЕЛИРНЫЙ МИНИ-КАТАЛОГ</vt:lpstr>
      <vt:lpstr>КАТАЛОГ WELLOSOPHY</vt:lpstr>
    </vt:vector>
  </TitlesOfParts>
  <Company>Oriflame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juliabo</dc:creator>
  <cp:lastModifiedBy>Kolabkina, Oksana</cp:lastModifiedBy>
  <cp:lastPrinted>2021-03-10T14:18:52Z</cp:lastPrinted>
  <dcterms:created xsi:type="dcterms:W3CDTF">2008-07-13T18:32:01Z</dcterms:created>
  <dcterms:modified xsi:type="dcterms:W3CDTF">2023-12-22T08:59:49Z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29aa55-c717-49c7-96ad-42e953bc7712_Enabled">
    <vt:lpwstr>true</vt:lpwstr>
  </property>
  <property fmtid="{D5CDD505-2E9C-101B-9397-08002B2CF9AE}" pid="3" name="MSIP_Label_b029aa55-c717-49c7-96ad-42e953bc7712_SetDate">
    <vt:lpwstr>2022-04-13T06:45:41Z</vt:lpwstr>
  </property>
  <property fmtid="{D5CDD505-2E9C-101B-9397-08002B2CF9AE}" pid="4" name="MSIP_Label_b029aa55-c717-49c7-96ad-42e953bc7712_Method">
    <vt:lpwstr>Standard</vt:lpwstr>
  </property>
  <property fmtid="{D5CDD505-2E9C-101B-9397-08002B2CF9AE}" pid="5" name="MSIP_Label_b029aa55-c717-49c7-96ad-42e953bc7712_Name">
    <vt:lpwstr>b029aa55-c717-49c7-96ad-42e953bc7712</vt:lpwstr>
  </property>
  <property fmtid="{D5CDD505-2E9C-101B-9397-08002B2CF9AE}" pid="6" name="MSIP_Label_b029aa55-c717-49c7-96ad-42e953bc7712_SiteId">
    <vt:lpwstr>e46bc88e-1a4b-44ff-a158-1b9f7eb4561e</vt:lpwstr>
  </property>
  <property fmtid="{D5CDD505-2E9C-101B-9397-08002B2CF9AE}" pid="7" name="MSIP_Label_b029aa55-c717-49c7-96ad-42e953bc7712_ActionId">
    <vt:lpwstr>5bcb9af1-a312-4724-8cf5-be3189cf4a73</vt:lpwstr>
  </property>
  <property fmtid="{D5CDD505-2E9C-101B-9397-08002B2CF9AE}" pid="8" name="MSIP_Label_b029aa55-c717-49c7-96ad-42e953bc7712_ContentBits">
    <vt:lpwstr>0</vt:lpwstr>
  </property>
</Properties>
</file>