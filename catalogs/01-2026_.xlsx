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6 ДОФы\"/>
    </mc:Choice>
  </mc:AlternateContent>
  <xr:revisionPtr revIDLastSave="0" documentId="13_ncr:1_{5056B1BB-5808-4C99-B917-A8C23CFE407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КАЛЬКУЛЯТОР" sheetId="1" r:id="rId1"/>
    <sheet name="01.01.2026 - 24.01.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7" i="1"/>
  <c r="F837" i="1"/>
  <c r="E838" i="1"/>
  <c r="F838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6" i="1"/>
  <c r="F856" i="1"/>
  <c r="E857" i="1"/>
  <c r="F857" i="1"/>
  <c r="E858" i="1"/>
  <c r="F858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7" i="1"/>
  <c r="F867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F3" i="1"/>
  <c r="E3" i="1"/>
  <c r="D3" i="1"/>
  <c r="C3" i="1"/>
  <c r="G2" i="1" l="1"/>
  <c r="E2" i="1"/>
  <c r="F2" i="1"/>
</calcChain>
</file>

<file path=xl/sharedStrings.xml><?xml version="1.0" encoding="utf-8"?>
<sst xmlns="http://schemas.openxmlformats.org/spreadsheetml/2006/main" count="2559" uniqueCount="1850">
  <si>
    <t>КОД</t>
  </si>
  <si>
    <t>КОЛ-ВО</t>
  </si>
  <si>
    <t>СКИДКА</t>
  </si>
  <si>
    <t>НАИМЕНОВАНИЕ</t>
  </si>
  <si>
    <t>ББ</t>
  </si>
  <si>
    <t>ОП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</si>
  <si>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</si>
  <si>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</si>
  <si>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</si>
  <si>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</si>
  <si>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</si>
  <si>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</si>
  <si>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</si>
  <si>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</si>
  <si>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</si>
  <si>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</si>
  <si>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>ТУАЛЕТНАЯ ВОДА GLACIER</t>
  </si>
  <si>
    <t xml:space="preserve">ТУАЛЕТНАЯ ВОДА LUCIA 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</si>
  <si>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</si>
  <si>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</si>
  <si>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</si>
  <si>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22443</t>
  </si>
  <si>
    <t/>
  </si>
  <si>
    <t>ОМОЛАЖИВАЮЩИЙ КРЕМ ДЛЯ КОНТУРА ГЛАЗ И ГУБ NOVAGE+ RESTORE</t>
  </si>
  <si>
    <t>ОМОЛАЖИВАЮЩАЯ СЫВОРОТКА ДЛЯ ЛИЦА NOVAGE+ RESTORE</t>
  </si>
  <si>
    <t>ОМОЛАЖИВАЮЩИЙ ДНЕВНОЙ КРЕМ SPF 30 NOVAGE+ RESTORE</t>
  </si>
  <si>
    <t>ОМОЛАЖИВАЮЩИЙ НОЧНОЙ КРЕМ NOVAGE+ RESTORE</t>
  </si>
  <si>
    <t>91</t>
  </si>
  <si>
    <t>КОМПЛЕКСНЫЙ ОМОЛАЖИВАЮЩИЙ УХОД NOVAGE+ RESTORE</t>
  </si>
  <si>
    <t>2</t>
  </si>
  <si>
    <t>93</t>
  </si>
  <si>
    <t>Т-ОБРАЗНЫЙ МАССАЖЁР ДЛЯ ЛИЦА NOVAGE+</t>
  </si>
  <si>
    <t>WELLOSOPHY</t>
  </si>
  <si>
    <t>131</t>
  </si>
  <si>
    <t>КОМПЛЕКС «МУЛЬТИВИТАМИНЫ И МИНЕРАЛЫ» ДЛЯ ДЕТЕЙ</t>
  </si>
  <si>
    <t>129</t>
  </si>
  <si>
    <t>КОМПЛЕКС «АСТАКСАНТИН И ЭКСТРАКТ ЧЕРНИКИ»</t>
  </si>
  <si>
    <t>WELLOSOPHY WELLNESS PACK ДЛЯ МУЖЧИН</t>
  </si>
  <si>
    <t>WELLOSOPHY WELLNESS PACK ДЛЯ ЖЕНЩИН</t>
  </si>
  <si>
    <t>ПИТАТЕЛЬНЫЙ СУП ДЛЯ КОНТРОЛЯ ВЕСА - ГРИБНОЙ ВКУС</t>
  </si>
  <si>
    <t>КОМПЛЕКС «МОРСКОЙ МАГНИЙ И ВИТАМИН B6»</t>
  </si>
  <si>
    <t>121</t>
  </si>
  <si>
    <t>119</t>
  </si>
  <si>
    <t>108</t>
  </si>
  <si>
    <t>НУТРИКОМПЛЕКС ДЛЯ КОЖИ, ВОЛОС И НОГТЕЙ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</si>
  <si>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</si>
  <si>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</si>
  <si>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КОМПЛЕКС "МОРСКОЙ КАЛЬЦИЙ И ВИТАМИН D"</t>
  </si>
  <si>
    <t>ПРЕБИОТИЧЕСКИЙ НАПИТОК С ПИЩЕВЫМИ ВОЛОКНАМИ</t>
  </si>
  <si>
    <t>ШЕЙКЕР</t>
  </si>
  <si>
    <t>ДЕКОРАТИВНАЯ КОСМЕТИКА</t>
  </si>
  <si>
    <t>ПОМАДЫ, БЛЕСКИ И КАРАНДАШИ ДЛЯ ГУБ</t>
  </si>
  <si>
    <t>13</t>
  </si>
  <si>
    <t>КАРАНДАШИ ДЛЯ ГЛАЗ И БРОВЕЙ, ПОДВОДКА ДЛЯ ГЛАЗ, ПОМАДА И ТЕНИ ДЛЯ БРОВЕЙ</t>
  </si>
  <si>
    <t>71</t>
  </si>
  <si>
    <t xml:space="preserve">ТУШЬ ДЛЯ РЕСНИЦ </t>
  </si>
  <si>
    <t>85</t>
  </si>
  <si>
    <t>29</t>
  </si>
  <si>
    <t>69</t>
  </si>
  <si>
    <t>ТЕНИ ДЛЯ ВЕК</t>
  </si>
  <si>
    <t>ТОНАЛЬНЫЕ ОСНОВЫ, РУМЯНА, ПУДРЫ, КОНСИЛЛЕРЫ</t>
  </si>
  <si>
    <t>33</t>
  </si>
  <si>
    <t>МУЛЬТИФУНКЦИОНАЛЬНЫЙ СС-КРЕМ GG SPF 30 - СВЕТЛЫЙ</t>
  </si>
  <si>
    <t>31</t>
  </si>
  <si>
    <t>81</t>
  </si>
  <si>
    <t>АРОМАТЫ</t>
  </si>
  <si>
    <t>ДЛЯ НЕЁ</t>
  </si>
  <si>
    <t>ДУХИ ALL OR NOTHING</t>
  </si>
  <si>
    <t>ПАРФЮМЕРНАЯ ВОДА AMBER ELIXIR MYSTERY</t>
  </si>
  <si>
    <t>51</t>
  </si>
  <si>
    <t>ПАРФЮМЕРНАЯ ВОДА DIVINE</t>
  </si>
  <si>
    <t>45</t>
  </si>
  <si>
    <t>ПАРФЮМЕРНАЯ ВОДА MAGNETISTA</t>
  </si>
  <si>
    <t>15</t>
  </si>
  <si>
    <t>47</t>
  </si>
  <si>
    <t xml:space="preserve">ТУАЛЕТНАЯ ВОДА ECLAT AMOUR INTENSITÉ </t>
  </si>
  <si>
    <t>37</t>
  </si>
  <si>
    <t xml:space="preserve">ПАРФЮМЕРНАЯ ВОДА MISS GIORDANI </t>
  </si>
  <si>
    <t>ДЛЯ НЕГО</t>
  </si>
  <si>
    <t>61</t>
  </si>
  <si>
    <t>ПАРФЮМЕРНАЯ ВОДА ASCENDANT INTENSE</t>
  </si>
  <si>
    <t>53</t>
  </si>
  <si>
    <t>55</t>
  </si>
  <si>
    <t>ПАРФЮМЕРНАЯ ВОДА POSSESS ABSOLUTE MAN</t>
  </si>
  <si>
    <t>УХОД ДЛЯ ВОЛОС</t>
  </si>
  <si>
    <t>141</t>
  </si>
  <si>
    <t>143</t>
  </si>
  <si>
    <t>145</t>
  </si>
  <si>
    <t>135</t>
  </si>
  <si>
    <t>ШАМПУНЬ ПРОТИВ ВЫПАДЕНИЯ ВОЛОС DUOLOGI</t>
  </si>
  <si>
    <t>ШАМПУНЬ ПРОТИВ ВЫПАДЕНИЯ ВОЛОС DUOLOGI (РЕФИЛ)</t>
  </si>
  <si>
    <t>133</t>
  </si>
  <si>
    <t>139</t>
  </si>
  <si>
    <t>137</t>
  </si>
  <si>
    <t>ПОВЯЗКА НА ГОЛОВУ</t>
  </si>
  <si>
    <t>МАССАЖНАЯ ЩЁТКА ДЛЯ ВОЛОС STYLERPRO</t>
  </si>
  <si>
    <t>СКЕЛЕТНАЯ ЩЁТКА ДЛЯ ВОЛОС STYLERPRO</t>
  </si>
  <si>
    <t>ЩЁТКА ДЛЯ УКЛАДКИ ВОЛОС STYLERPRO</t>
  </si>
  <si>
    <t>65</t>
  </si>
  <si>
    <t>155</t>
  </si>
  <si>
    <t>154</t>
  </si>
  <si>
    <t>УХОД ДЛЯ ТЕЛА</t>
  </si>
  <si>
    <t>149</t>
  </si>
  <si>
    <t>УСПОКАИВАЮЩИЙ ГЕЛЬ ДЛЯ ИНТИМНОЙ ГИГИЕНЫ FEMINELLE</t>
  </si>
  <si>
    <t>ОСВЕЖАЮЩИЙ ГЕЛЬ ДЛЯ ИНТИМНОЙ ГИГИЕНЫ FEMINELLE  </t>
  </si>
  <si>
    <t>РАССЛАБЛЯЮЩИЙ ГЕЛЬ ДЛЯ ДУША С ЛАВАНДОЙ SCENTS &amp; MOMENTS</t>
  </si>
  <si>
    <t>БОДРЯЩИЙ ГЕЛЬ ДЛЯ ДУША С РОЗОВЫМ ГРЕЙПФРУТОМ SCENTS &amp; MOMENTS</t>
  </si>
  <si>
    <t>ОСВЕЖАЮЩИЙ ГЕЛЬ ДЛЯ ИНТИМНОЙ ГИГИЕНЫ FEMINELLE (РЕФИЛ)</t>
  </si>
  <si>
    <t>161</t>
  </si>
  <si>
    <t>МАССАЖНАЯ ПЕРЧАТКА</t>
  </si>
  <si>
    <t>ДЕЗОДОРАНТЫ</t>
  </si>
  <si>
    <t>ШАРИКОВЫЙ ДЕЗОДОРАНТ-АНТИПЕРСПИРАНТ C ВЫРАВНИВАЮЩИМ ТОН КОЖИ ЭФФЕКТОМ ACTIVELLE</t>
  </si>
  <si>
    <t>ШАРИКОВЫЙ ДЕЗОДОРАНТ-АНТИПЕРСПИРАНТ ДЛЯ МАКСИМАЛЬНОЙ СВЕЖЕСТИ ACTIVELLE  </t>
  </si>
  <si>
    <t>УХОД ДЛЯ РУК</t>
  </si>
  <si>
    <t>ПИЛКА ДЛЯ НОГТЕЙ</t>
  </si>
  <si>
    <t>163</t>
  </si>
  <si>
    <t>159</t>
  </si>
  <si>
    <t>УХОД ДЛЯ НОГ</t>
  </si>
  <si>
    <t>УХОД ДЛЯ КОЖИ ЛИЦА</t>
  </si>
  <si>
    <t>103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</si>
  <si>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</si>
  <si>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</si>
  <si>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</si>
  <si>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</si>
  <si>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СЫВОРОТКА-КОНЦЕНТРАТ ДЛЯ ПОВЫШЕНИЯ УПРУГОСТИ КОЖИ С ПЕПТИДАМИ NOVAGE PROCEUTICALS</t>
  </si>
  <si>
    <t>ОЧИЩАЮЩИЙ ГЕЛЬ ДЛЯ ЛИЦА NOVAGE+</t>
  </si>
  <si>
    <t>100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</si>
  <si>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</si>
  <si>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</si>
  <si>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101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</si>
  <si>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</si>
  <si>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</si>
  <si>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</si>
  <si>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</si>
  <si>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</si>
  <si>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</si>
  <si>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</si>
  <si>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</si>
  <si>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КРЕМ-ЛИФТИНГ ДЛЯ КОЖИ ВОКРУГ ГЛАЗ NOVAGE+ LIFT + FIRM</t>
  </si>
  <si>
    <t>23</t>
  </si>
  <si>
    <t>113</t>
  </si>
  <si>
    <t>97</t>
  </si>
  <si>
    <t>КОМПЛЕКСНЫЙ ЛИФТИНГ-УХОД NOVAGE+ LIFT + FIRM (НАСЫЩЕННАЯ ТЕКСТУРА)</t>
  </si>
  <si>
    <t>УВЛАЖНЯЮЩИЙ КРЕМ ДЛЯ ЛИЦА С ОРГАНИЧЕСКИМ АЛОЭ ВЕРА И ЭКСТРАКТОМ АНАНАСА LOVE NATURE</t>
  </si>
  <si>
    <t>ГУБКА ДЛЯ ОЧИЩЕНИЯ ЛИЦА</t>
  </si>
  <si>
    <t>МНОГОРАЗОВАЯ ФИКСИРУЮЩАЯ МАСКА ДЛЯ ЛИЦА</t>
  </si>
  <si>
    <t>109</t>
  </si>
  <si>
    <t>ДЕТСКАЯ СЕРИЯ</t>
  </si>
  <si>
    <t>153</t>
  </si>
  <si>
    <t>ДНЕВНОЙ КРЕМ-КОМФОРТ NOVAGE SKINRELIEF PRO RESILIENT SPF 30</t>
  </si>
  <si>
    <t>151</t>
  </si>
  <si>
    <t>НАБОРЫ КОСМЕТИЧЕСКИХ И ПАРФЮМЕРНЫХ СРЕДСТВ</t>
  </si>
  <si>
    <t>КОМПЛЕКСНЫЙ УХОД-КОМФОРТ NOVAGE SKINRELIEF PRO RESILIENT</t>
  </si>
  <si>
    <t>КОМПЛЕКСНЫЙ УХОД ПРОТИВ МОРЩИН NOVAGE+ WRINKLE SMOOTH</t>
  </si>
  <si>
    <t>КОМПЛЕКСНЫЙ УХОД ПРОТИВ ПИГМЕНТАЦИИ NOVAGE+ BRIGHT INTENSE</t>
  </si>
  <si>
    <t>98</t>
  </si>
  <si>
    <t>КОМПЛЕКСНЫЙ АНТИВОЗРАСТНОЙ УХОД ДЛЯ ПРОБЛЕМНОЙ КОЖИ NOVAGE+ BLEMISH + AGE DEFY</t>
  </si>
  <si>
    <t>АКСЕССУАРЫ</t>
  </si>
  <si>
    <t>ТРИММЕР ДЛЯ ЛИЦА И ТЕЛА</t>
  </si>
  <si>
    <t>157</t>
  </si>
  <si>
    <t>ПРОБНИКИ</t>
  </si>
  <si>
    <t>ПРОДУКТ</t>
  </si>
  <si>
    <t xml:space="preserve">ПАРФЮМЕРНАЯ ВОДА POSSESS </t>
  </si>
  <si>
    <t xml:space="preserve">ПАРФЮМЕРНАЯ ВОДА POSSESS THE SECRET MAN </t>
  </si>
  <si>
    <t>ПАРФЮМЕРНАЯ ВОДА INFINITA</t>
  </si>
  <si>
    <t xml:space="preserve">МУЖСКАЯ ПАРФЮМЕРНАЯ ВОДА NORDIC WATERS </t>
  </si>
  <si>
    <t xml:space="preserve">ЖЕНСКАЯ ПАРФЮМЕРНАЯ ВОДА NORDIC WATERS </t>
  </si>
  <si>
    <t> 40794</t>
  </si>
  <si>
    <t>ПАРФЮМЕРНАЯ ВОДА GIORDANI GOLD GOOD AS GOLD</t>
  </si>
  <si>
    <t xml:space="preserve">ПАРФЮМЕРНАЯ ВОДА GIORDANI GOLD MAN </t>
  </si>
  <si>
    <t>СТОЙКАЯ МИНЕРАЛЬНАЯ ТОНАЛЬНАЯ ОСНОВА GIORDANI GOLD - НЕЙТРАЛЬНЫЙ ВАНИЛЬНЫЙ</t>
  </si>
  <si>
    <t>42652</t>
  </si>
  <si>
    <t>42654</t>
  </si>
  <si>
    <t>42655</t>
  </si>
  <si>
    <t>42656</t>
  </si>
  <si>
    <t>42657</t>
  </si>
  <si>
    <t>42658</t>
  </si>
  <si>
    <t>42660</t>
  </si>
  <si>
    <t>ТУАЛЕТНАЯ ВОДА VENTURE POWER</t>
  </si>
  <si>
    <t>41075</t>
  </si>
  <si>
    <t>41070</t>
  </si>
  <si>
    <t>44098</t>
  </si>
  <si>
    <t>44285</t>
  </si>
  <si>
    <t>46057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</si>
  <si>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</si>
  <si>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</si>
  <si>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</si>
  <si>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</si>
  <si>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</si>
  <si>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>46045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</si>
  <si>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</si>
  <si>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</si>
  <si>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</si>
  <si>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</si>
  <si>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</si>
  <si>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</si>
  <si>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</si>
  <si>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 xml:space="preserve">МУЖСКИЕ ДУХИ GIORDANI GOLD ESSENZA MAN </t>
  </si>
  <si>
    <t>ЩИПЧИКИ ДЛЯ ЗАВИВКИ РЕСНИЦ</t>
  </si>
  <si>
    <t>ЩЁТКА-БРАШИНГ ДЛЯ ВОЛОС STYLERPRO</t>
  </si>
  <si>
    <t>ШИРОКАЯ МАССАЖНАЯ ЩЁТКА ДЛЯ ВОЛОС STYLERPRO</t>
  </si>
  <si>
    <t>ЩЁТКА ДЛЯ РАСПУТЫВАНИЯ ВОЛОС STYLERPRO</t>
  </si>
  <si>
    <t>ДВУСТОРОННЯЯ РАСЧЁСКА STYLERPRO</t>
  </si>
  <si>
    <t xml:space="preserve">УХОД ДЛЯ РУК </t>
  </si>
  <si>
    <t>ЩИПЧИКИ ДЛЯ КУТИКУЛЫ</t>
  </si>
  <si>
    <t>4-СТОРОННЯЯ ПИЛКА ДЛЯ НОГТЕЙ</t>
  </si>
  <si>
    <t>НАБОР ДЛЯ МАНИКЮРА</t>
  </si>
  <si>
    <t>КУСАЧКИ ДЛЯ НОГТЕЙ</t>
  </si>
  <si>
    <t>ИНСТРУМЕНТ ДЛЯ УДАЛЕНИЯ МОЗОЛЕЙ</t>
  </si>
  <si>
    <t>ЗАЩИТНЫЙ ГЕЛЬ ДЛЯ ИНТИМНОЙ ГИГИЕНЫ FEMINELLE</t>
  </si>
  <si>
    <t>СМЯГЧАЮЩИЙ КРЕМ-ГЕЛЬ ДЛЯ ИНТИМНОЙ ГИГИЕНЫ FEMINELLE</t>
  </si>
  <si>
    <t>ЗАЩИТНЫЙ ГЕЛЬ ДЛЯ ИНТИМНОЙ ГИГИЕНЫ FEMINELLE (РЕФИЛ)</t>
  </si>
  <si>
    <t>УХОД ДЛЯ ЛИЦА</t>
  </si>
  <si>
    <t>ОЧИЩАЮЩЕЕ СРЕДСТВО ДЛЯ ЛИЦА 3 В 1 GLOW ESSENTIALS</t>
  </si>
  <si>
    <t>КИСТЬ ДЛЯ КРЕМА И СЫВОРОТКИ</t>
  </si>
  <si>
    <t>КРЕМ ДЛЯ КОЖИ ВОКРУГ ГЛАЗ ПРОТИВ ПИГМЕНТАЦИИ NOVAGE+ BRIGHT INTENSE (ПРОБНИК)</t>
  </si>
  <si>
    <t>НАСЫЩЕННЫЙ МУЛЬТИАКТИВНЫЙ НОЧНОЙ КРЕМ NOVAGE+ (ПРОБНИК)</t>
  </si>
  <si>
    <t>ОЧИЩАЮЩИЙ ГЕЛЬ ДЛЯ ЛИЦА NOVAGE+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</si>
  <si>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</si>
  <si>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</si>
  <si>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ЛЁГКИЙ МУЛЬТИАКТИВНЫЙ НОЧНОЙ КРЕМ NOVAGE+ (ПРОБНИК)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</si>
  <si>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</si>
  <si>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NOVAGE КАТАЛОГ</t>
  </si>
  <si>
    <t>1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</si>
  <si>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</si>
  <si>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</si>
  <si>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</si>
  <si>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</si>
  <si>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</si>
  <si>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</si>
  <si>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</si>
  <si>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</si>
  <si>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</si>
  <si>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</si>
  <si>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</si>
  <si>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</si>
  <si>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</si>
  <si>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NOVAGE+ RESTORE</t>
  </si>
  <si>
    <t>НАБОР ПРОБНИКОВ NOVAGE 3.0 WRINKLE</t>
  </si>
  <si>
    <t>45923</t>
  </si>
  <si>
    <t>47510</t>
  </si>
  <si>
    <t>29699</t>
  </si>
  <si>
    <t>37285</t>
  </si>
  <si>
    <t>37289</t>
  </si>
  <si>
    <t>37290</t>
  </si>
  <si>
    <t>38556</t>
  </si>
  <si>
    <t>38557</t>
  </si>
  <si>
    <t>38558</t>
  </si>
  <si>
    <t>38559</t>
  </si>
  <si>
    <t>38836</t>
  </si>
  <si>
    <t>38838</t>
  </si>
  <si>
    <t>40745</t>
  </si>
  <si>
    <t>44221</t>
  </si>
  <si>
    <t>45273</t>
  </si>
  <si>
    <t>45306</t>
  </si>
  <si>
    <t>45307</t>
  </si>
  <si>
    <t>45309</t>
  </si>
  <si>
    <t>45312</t>
  </si>
  <si>
    <t>35681</t>
  </si>
  <si>
    <t>44955</t>
  </si>
  <si>
    <t>44958</t>
  </si>
  <si>
    <t>47524</t>
  </si>
  <si>
    <t>46357</t>
  </si>
  <si>
    <t>46359</t>
  </si>
  <si>
    <t>46361</t>
  </si>
  <si>
    <t>34499</t>
  </si>
  <si>
    <t>34500</t>
  </si>
  <si>
    <t>39389</t>
  </si>
  <si>
    <t>39426</t>
  </si>
  <si>
    <t>43054</t>
  </si>
  <si>
    <t>47542</t>
  </si>
  <si>
    <t>43926</t>
  </si>
  <si>
    <t>46381</t>
  </si>
  <si>
    <t>42288</t>
  </si>
  <si>
    <t>38382</t>
  </si>
  <si>
    <t>38385</t>
  </si>
  <si>
    <t>38390</t>
  </si>
  <si>
    <t>38391</t>
  </si>
  <si>
    <t>40880</t>
  </si>
  <si>
    <t>41029</t>
  </si>
  <si>
    <t>41033</t>
  </si>
  <si>
    <t>41034</t>
  </si>
  <si>
    <t>41035</t>
  </si>
  <si>
    <t>41037</t>
  </si>
  <si>
    <t>41039</t>
  </si>
  <si>
    <t>41040</t>
  </si>
  <si>
    <t>41044</t>
  </si>
  <si>
    <t>41048</t>
  </si>
  <si>
    <t>41057</t>
  </si>
  <si>
    <t>41058</t>
  </si>
  <si>
    <t>42425</t>
  </si>
  <si>
    <t>43691</t>
  </si>
  <si>
    <t>46071</t>
  </si>
  <si>
    <t>47418</t>
  </si>
  <si>
    <t>40794</t>
  </si>
  <si>
    <t>44480</t>
  </si>
  <si>
    <t>45590</t>
  </si>
  <si>
    <t>45595</t>
  </si>
  <si>
    <t>45608</t>
  </si>
  <si>
    <t>46028</t>
  </si>
  <si>
    <t>548260</t>
  </si>
  <si>
    <t>30400</t>
  </si>
  <si>
    <t>30885</t>
  </si>
  <si>
    <t>32234</t>
  </si>
  <si>
    <t>33649</t>
  </si>
  <si>
    <t>35654</t>
  </si>
  <si>
    <t>35666</t>
  </si>
  <si>
    <t>38546</t>
  </si>
  <si>
    <t>38548</t>
  </si>
  <si>
    <t>41185</t>
  </si>
  <si>
    <t>41771</t>
  </si>
  <si>
    <t>43888</t>
  </si>
  <si>
    <t>43890</t>
  </si>
  <si>
    <t>43896</t>
  </si>
  <si>
    <t>43897</t>
  </si>
  <si>
    <t>43898</t>
  </si>
  <si>
    <t>43899</t>
  </si>
  <si>
    <t>43937</t>
  </si>
  <si>
    <t>43938</t>
  </si>
  <si>
    <t>45366</t>
  </si>
  <si>
    <t>45395</t>
  </si>
  <si>
    <t>45891</t>
  </si>
  <si>
    <t>45919</t>
  </si>
  <si>
    <t>45920</t>
  </si>
  <si>
    <t>45921</t>
  </si>
  <si>
    <t>45922</t>
  </si>
  <si>
    <t>46055</t>
  </si>
  <si>
    <t>46338</t>
  </si>
  <si>
    <t>47029</t>
  </si>
  <si>
    <t>47610</t>
  </si>
  <si>
    <t>47611</t>
  </si>
  <si>
    <t>47612</t>
  </si>
  <si>
    <t>47613</t>
  </si>
  <si>
    <t>47614</t>
  </si>
  <si>
    <t>47615</t>
  </si>
  <si>
    <t>47617</t>
  </si>
  <si>
    <t>47619</t>
  </si>
  <si>
    <t>47620</t>
  </si>
  <si>
    <t>47621</t>
  </si>
  <si>
    <t>47622</t>
  </si>
  <si>
    <t>47623</t>
  </si>
  <si>
    <t>47624</t>
  </si>
  <si>
    <t>46358</t>
  </si>
  <si>
    <t>46362</t>
  </si>
  <si>
    <t>46401</t>
  </si>
  <si>
    <t>46402</t>
  </si>
  <si>
    <t>42287</t>
  </si>
  <si>
    <t>42289</t>
  </si>
  <si>
    <t>42290</t>
  </si>
  <si>
    <t>47423</t>
  </si>
  <si>
    <t>46731</t>
  </si>
  <si>
    <t>47428</t>
  </si>
  <si>
    <t>34498</t>
  </si>
  <si>
    <t>34504</t>
  </si>
  <si>
    <t>43053</t>
  </si>
  <si>
    <t>43908</t>
  </si>
  <si>
    <t>47419</t>
  </si>
  <si>
    <t>43901</t>
  </si>
  <si>
    <t>43892</t>
  </si>
  <si>
    <t>43905</t>
  </si>
  <si>
    <t>43893</t>
  </si>
  <si>
    <t>43894</t>
  </si>
  <si>
    <t>43904</t>
  </si>
  <si>
    <t>548052</t>
  </si>
  <si>
    <t>548053</t>
  </si>
  <si>
    <t>548054</t>
  </si>
  <si>
    <t>548268</t>
  </si>
  <si>
    <t>87</t>
  </si>
  <si>
    <t>67</t>
  </si>
  <si>
    <t>138</t>
  </si>
  <si>
    <t>39</t>
  </si>
  <si>
    <t>МЫЛО С АРОМАТОМ СЛИВЫ И СИНЕГО ЧАЯ STARLIT SKY</t>
  </si>
  <si>
    <t>ЖИДКОЕ МЫЛО С ЛИМОНОМ И ВЕРБЕНОЙ ESSENSE &amp; CO. (РЕФИЛ)</t>
  </si>
  <si>
    <t>СМЯГЧАЮЩИЙ КРЕМ ДЛЯ НОГ FEET UP EVERYDAY</t>
  </si>
  <si>
    <t>ПАРФЮМИРОВАННАЯ ВОДА LOVE POTION</t>
  </si>
  <si>
    <t>47571</t>
  </si>
  <si>
    <t>46626</t>
  </si>
  <si>
    <t>46375</t>
  </si>
  <si>
    <t>9</t>
  </si>
  <si>
    <t>7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</si>
  <si>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</si>
  <si>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</si>
  <si>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ОЧИЩАЮЩИЙ ГЕЛЬ ДЛЯ ЛИЦА OPTIMALS </t>
  </si>
  <si>
    <t>СПОНЖ КОННЯКУ</t>
  </si>
  <si>
    <t>БЬЮТИ-КЕЙС</t>
  </si>
  <si>
    <t>МЕРНАЯ ЛОЖКА</t>
  </si>
  <si>
    <t>73</t>
  </si>
  <si>
    <t>68</t>
  </si>
  <si>
    <t>41</t>
  </si>
  <si>
    <t>42</t>
  </si>
  <si>
    <t>27</t>
  </si>
  <si>
    <t>147</t>
  </si>
  <si>
    <t>17</t>
  </si>
  <si>
    <t xml:space="preserve">ПАРФЮМИРОВАННАЯ ВОДА MISTER GIORDANI AQUA RESTAGE </t>
  </si>
  <si>
    <t>45291</t>
  </si>
  <si>
    <t>45292</t>
  </si>
  <si>
    <t>46543</t>
  </si>
  <si>
    <t>47206</t>
  </si>
  <si>
    <t>47501</t>
  </si>
  <si>
    <t>47521</t>
  </si>
  <si>
    <t>47667</t>
  </si>
  <si>
    <t>46068</t>
  </si>
  <si>
    <t>47508</t>
  </si>
  <si>
    <t xml:space="preserve">ТУАЛЕТНАЯ ВОДА EVERY ME SWEETHEART ROSE </t>
  </si>
  <si>
    <t xml:space="preserve">ТУАЛЕТНАЯ ВОДА EVERY ME DRAMA QUEEN IRIS </t>
  </si>
  <si>
    <t>83</t>
  </si>
  <si>
    <t>89</t>
  </si>
  <si>
    <t>49</t>
  </si>
  <si>
    <t>125</t>
  </si>
  <si>
    <t>50</t>
  </si>
  <si>
    <t>ТУШЬ ДЛЯ РЕСНИЦ 5 В 1 THE ONE C ЭФФЕКТОМ HD - ЧЁРНЫЙ</t>
  </si>
  <si>
    <t>ВОДОСТОЙКАЯ СУПЕРТУШЬ ДЛЯ РЕСНИЦ GIORDANI GOLD</t>
  </si>
  <si>
    <t>МАСКА ДЛЯ ЛИЦА С АЛОЭ ВЕРА И ЭКСТРАКТОМ АНАНАСА LOVE NATURE</t>
  </si>
  <si>
    <t>ОБЪЕМНАЯ ВОДОСТОЙКАЯ ТУШЬ ДЛЯ РЕСНИЦ ONCOLOUR - ЧЕРНЫЙ</t>
  </si>
  <si>
    <t>43123</t>
  </si>
  <si>
    <t>44655</t>
  </si>
  <si>
    <t>46062</t>
  </si>
  <si>
    <t>46072</t>
  </si>
  <si>
    <t>42273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</si>
  <si>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</si>
  <si>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</si>
  <si>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</si>
  <si>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58</t>
  </si>
  <si>
    <t>21</t>
  </si>
  <si>
    <t>117</t>
  </si>
  <si>
    <t>150</t>
  </si>
  <si>
    <t>77</t>
  </si>
  <si>
    <t>63</t>
  </si>
  <si>
    <t>ШЕЛКОВАЯ ТОНАЛЬНАЯ ОСНОВА-ФЛЮИД GIORDANI GOLD - ВАНИЛЬНЫЙ</t>
  </si>
  <si>
    <t>КОМПАКТНАЯ МАТИРУЮЩАЯ ПУДРА THE ONE EVERLASTING - СВЕТЛЫЙ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</si>
  <si>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</si>
  <si>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</si>
  <si>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</si>
  <si>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</si>
  <si>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</si>
  <si>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</si>
  <si>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МЫЛО NORTH FOR MEN ULTIMATE BALANCE</t>
  </si>
  <si>
    <t>ТУАЛЕТНАЯ ВОДА MIDNIGHT MAGIC ELVIE</t>
  </si>
  <si>
    <t>СПРЕЙ ДЕЗОДОРАНТ С УХАЖИВАЮЩИМ КОМПЛЕКСОМ ACTIVELLE</t>
  </si>
  <si>
    <t>КРЕМ-АНТИПЕРСПИРАНТ ДЛЯ НОГ FEET UP EVERYDAY</t>
  </si>
  <si>
    <t>ПЕМЗА ДЛЯ НОГ</t>
  </si>
  <si>
    <t>ПАРФЮМИРОВАННЫЙ КРЕМ ДЛЯ ТЕЛА LOVE POTION</t>
  </si>
  <si>
    <t>47503</t>
  </si>
  <si>
    <t>32919</t>
  </si>
  <si>
    <t>34647</t>
  </si>
  <si>
    <t>34649</t>
  </si>
  <si>
    <t>46329</t>
  </si>
  <si>
    <t>46330</t>
  </si>
  <si>
    <t>46331</t>
  </si>
  <si>
    <t>46332</t>
  </si>
  <si>
    <t>46333</t>
  </si>
  <si>
    <t>46334</t>
  </si>
  <si>
    <t>43929</t>
  </si>
  <si>
    <t>33144</t>
  </si>
  <si>
    <t>46374</t>
  </si>
  <si>
    <t>47424</t>
  </si>
  <si>
    <t>47013</t>
  </si>
  <si>
    <t>115</t>
  </si>
  <si>
    <t>59</t>
  </si>
  <si>
    <t>35</t>
  </si>
  <si>
    <t>76</t>
  </si>
  <si>
    <t>105</t>
  </si>
  <si>
    <t>95</t>
  </si>
  <si>
    <t>ПАРФЮМЕРНАЯ ВОДА POSSESS. МИНИ-СПРЕЙ</t>
  </si>
  <si>
    <t>МАТИРУЮЩИЙ КРЕМ-ФЛЮИД ДЛЯ ЛИЦА LOVE NATURE</t>
  </si>
  <si>
    <t>ОЧИЩАЮЩАЯ МАСКА-СКРАБ 2-В-1 ДЛЯ ЛИЦА С ОРГАНИЧЕСКИМ ЧАЙНЫМ ДЕРЕВОМ И ЛАЙМОМ LOVE NATURE</t>
  </si>
  <si>
    <t xml:space="preserve">ТУАЛЕТНАЯ ВОДА ECLAT HOMME WEEKEND AZUR </t>
  </si>
  <si>
    <t>ЖЕНСКАЯ ПАРФЮМЕРНАЯ ВОДА ECLAT NUIT</t>
  </si>
  <si>
    <t>47516</t>
  </si>
  <si>
    <t>43663</t>
  </si>
  <si>
    <t>34845</t>
  </si>
  <si>
    <t>35576</t>
  </si>
  <si>
    <t>42238</t>
  </si>
  <si>
    <t>42241</t>
  </si>
  <si>
    <t>40788</t>
  </si>
  <si>
    <t>КОСМЕТИЧКА-ОРГАНАЙЗЕР</t>
  </si>
  <si>
    <t>111</t>
  </si>
  <si>
    <t>114</t>
  </si>
  <si>
    <t>57</t>
  </si>
  <si>
    <t>75</t>
  </si>
  <si>
    <t>25</t>
  </si>
  <si>
    <t>43</t>
  </si>
  <si>
    <t>79</t>
  </si>
  <si>
    <t>99</t>
  </si>
  <si>
    <t>136</t>
  </si>
  <si>
    <t>123</t>
  </si>
  <si>
    <t>ПАРФЮМЕРНАЯ ВОДА DIVINE. МИНИ-СПРЕЙ</t>
  </si>
  <si>
    <t>ЖЕНСКИЕ ДУХИ GIORDANI GOLD ESSENZA. МИНИ-СПРЕЙ</t>
  </si>
  <si>
    <t>СКРАБ ДЛЯ ТЕЛА THE BODY EDITION</t>
  </si>
  <si>
    <t>МЫЛО RAY OF SUNSHINE</t>
  </si>
  <si>
    <t>СПРЕЙ ДЕЗОДОРАНТ-АНТИПЕРСПИРАНТ БЕЗ БЕЛЫХ СЛЕДОВ ACTIVELLE</t>
  </si>
  <si>
    <t>СПРЕЙ ДЕЗОДОРАНТ-АНТИПЕРСПИРАНТ ДЛЯ МАКСИМАЛЬНОЙ СВЕЖЕСТИ ACTIVELLE</t>
  </si>
  <si>
    <t>ВОССТАНАВЛИВАЮЩИЕ КАПСУЛЫ ДЛЯ ЛИЦА С КОНЦЕНТРАТОМ МАСЕЛ NOVAGE+</t>
  </si>
  <si>
    <t>УВЛАЖНЯЮЩАЯ МИЦЕЛЛЯРНАЯ ВОДА OPTIMALS</t>
  </si>
  <si>
    <t>ОЧИЩАЮЩАЯ ГЛИНЯНАЯ МАСКА ДЛЯ ВСЕХ ТИПОВ КОЖИ OPTIMALS</t>
  </si>
  <si>
    <t>45243</t>
  </si>
  <si>
    <t xml:space="preserve">ЛЁГКИЙ КРЕМ ДЛЯ ЛИЦА ПРОТИВ ПИГМЕНТАЦИИ OPTIMALS EVEN OUT </t>
  </si>
  <si>
    <t>45248</t>
  </si>
  <si>
    <t xml:space="preserve">СЫВОРОТКА ДЛЯ ЛИЦА ПРОТИВ ПИГМЕНТАЦИИ OPTIMALS EVEN OUT </t>
  </si>
  <si>
    <t>48660</t>
  </si>
  <si>
    <t>48662</t>
  </si>
  <si>
    <t>47785</t>
  </si>
  <si>
    <t>47787</t>
  </si>
  <si>
    <t>42041</t>
  </si>
  <si>
    <t>48032</t>
  </si>
  <si>
    <t>45357</t>
  </si>
  <si>
    <t>44370</t>
  </si>
  <si>
    <t>46639</t>
  </si>
  <si>
    <t>41311</t>
  </si>
  <si>
    <t>46382</t>
  </si>
  <si>
    <t>42256</t>
  </si>
  <si>
    <t>42610</t>
  </si>
  <si>
    <t>42615</t>
  </si>
  <si>
    <t>СПОНЖИ ДЛЯ МАКИЯЖА</t>
  </si>
  <si>
    <t>48</t>
  </si>
  <si>
    <t>78</t>
  </si>
  <si>
    <t>70</t>
  </si>
  <si>
    <t>106</t>
  </si>
  <si>
    <t>ШАМПУНЬ ПРОТИВ ПЕРХОТИ DUOLOGI</t>
  </si>
  <si>
    <t>ОЧИЩАЮЩИЙ ГЕЛЬ ДЛЯ УМЫВАНИЯ С ОРГАНИЧЕСКИМ ЧАЙНЫМ ДЕРЕВОМ И ЛАЙМОМ LOVE NATURE</t>
  </si>
  <si>
    <t>МНОГОРАЗОВЫЕ ХЛОПКОВЫЕ ДИСКИ ДЛЯ ОЧИЩЕНИЯ КОЖИ</t>
  </si>
  <si>
    <t>МУЖСКОЙ ТРИММЕР 4-В-1</t>
  </si>
  <si>
    <t>47835</t>
  </si>
  <si>
    <t>47841</t>
  </si>
  <si>
    <t>44951</t>
  </si>
  <si>
    <t>34841</t>
  </si>
  <si>
    <t>47529</t>
  </si>
  <si>
    <t>45847</t>
  </si>
  <si>
    <t>БАЗОВЫЙ НАБОР ДЛЯ УХОДА ЗА КОЖЕЙ+КОМПЛЕКС "АСТАКСАНТИН И ЭКСТРАКТ ЧЕРНИКИ"</t>
  </si>
  <si>
    <t>НАБОР ДЛЯ УХОДА ЗА КОЖЕЙ WELLOSOPHY+MVM ДЛЯ ЖЕНЩИН</t>
  </si>
  <si>
    <t>94</t>
  </si>
  <si>
    <t>38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</si>
  <si>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</si>
  <si>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</si>
  <si>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</si>
  <si>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</si>
  <si>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</si>
  <si>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</si>
  <si>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</si>
  <si>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</si>
  <si>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</si>
  <si>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</si>
  <si>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</si>
  <si>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</si>
  <si>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КОРОЛЕВСКИЙ ГРАНАТ</t>
  </si>
  <si>
    <t>СТОЙКИЕ ТЕНИ-ПОДВОДКА ДЛЯ ВЕК THE ONE COLOUR UNLIMITED - БЕЗУПРЕЧНЫЙ ПЕРСИК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</si>
  <si>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</si>
  <si>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</si>
  <si>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</si>
  <si>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АНТИЦЕЛЛЮЛИТНЫЙ МАССАЖЁР THE BODY EDITION</t>
  </si>
  <si>
    <t>УСПОКАИВАЮЩИЙ ТОНИК ДЛЯ ЛИЦА OPTIMALS</t>
  </si>
  <si>
    <t>МАССАЖЁР ДЛЯ КОЖИ ВОКРУГ ГЛАЗ</t>
  </si>
  <si>
    <t>ТУШЬ ДЛЯ РЕСНИЦ THE ONE DOUBLE EFFECT - ЧЁРНЫЙ</t>
  </si>
  <si>
    <t xml:space="preserve">НАБОР WELLOSOPHY+КОМПЛЕКС"МОРСКОЙ МАГНИЙ И ВИТАМИН B6" 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</si>
  <si>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</si>
  <si>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</si>
  <si>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</si>
  <si>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</si>
  <si>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</si>
  <si>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</si>
  <si>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</si>
  <si>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</si>
  <si>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43348</t>
  </si>
  <si>
    <t>43350</t>
  </si>
  <si>
    <t>46351</t>
  </si>
  <si>
    <t>46353</t>
  </si>
  <si>
    <t>41817</t>
  </si>
  <si>
    <t>41819</t>
  </si>
  <si>
    <t>41827</t>
  </si>
  <si>
    <t>46015</t>
  </si>
  <si>
    <t>42590</t>
  </si>
  <si>
    <t>47422</t>
  </si>
  <si>
    <t>47523</t>
  </si>
  <si>
    <t>42780</t>
  </si>
  <si>
    <t>47788</t>
  </si>
  <si>
    <t>5</t>
  </si>
  <si>
    <t>122</t>
  </si>
  <si>
    <t>80</t>
  </si>
  <si>
    <t>86</t>
  </si>
  <si>
    <t>ТУАЛЕТНАЯ ВОДА BE THE LEGEND</t>
  </si>
  <si>
    <t xml:space="preserve">ТУАЛЕТНАЯ ВОДА GLACIER </t>
  </si>
  <si>
    <t>МУЛЬТИАКТИВНЫЙ БАЛЬЗАМ ДЛЯ ГУБ SPF 15 THE ONE - РОЗОВЫЙ</t>
  </si>
  <si>
    <t>ТУАЛЕТНАЯ ВОДА SCOPE EARTH WONDER</t>
  </si>
  <si>
    <t>ПИТАТЕЛЬНЫЙ КРЕМ ДЛЯ НОГ С ЭКСТРАКТОМ СЛИВЫ И МАСЛОМ ШИ FEET UP</t>
  </si>
  <si>
    <t>НАБОРЫ</t>
  </si>
  <si>
    <t>30468</t>
  </si>
  <si>
    <t>35665</t>
  </si>
  <si>
    <t>43207</t>
  </si>
  <si>
    <t>38883</t>
  </si>
  <si>
    <t>38884</t>
  </si>
  <si>
    <t>38885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</si>
  <si>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</si>
  <si>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</si>
  <si>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</si>
  <si>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</si>
  <si>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</si>
  <si>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</si>
  <si>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</si>
  <si>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</si>
  <si>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46636</t>
  </si>
  <si>
    <t>52</t>
  </si>
  <si>
    <t>74</t>
  </si>
  <si>
    <t>84</t>
  </si>
  <si>
    <t>11</t>
  </si>
  <si>
    <t>96</t>
  </si>
  <si>
    <t>140</t>
  </si>
  <si>
    <t>127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</si>
  <si>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</si>
  <si>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</si>
  <si>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</si>
  <si>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</si>
  <si>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</si>
  <si>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</si>
  <si>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</si>
  <si>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МЫЛО С АКВАТИЧЕСКИМ АРОМАТОМ SCENTS &amp; MOMENTS «ГОРНОЕ ОЗЕРО»</t>
  </si>
  <si>
    <t>НОЧНАЯ МАСКА ДЛЯ ИНТЕНСИВНОГО ВОССТАНОВЛЕНИЯ КОЖИ NOVAGE+</t>
  </si>
  <si>
    <t>ВЫРАВНИВАЮЩИЙ КРЕМ ДЛЯ ЛИЦА С SPF 10 GLOW ESSENTIALS</t>
  </si>
  <si>
    <t>МАСКА ДЛЯ ЛИЦА С ЭКСТРАКТОМ ЧИА И ОРГАНИЧЕСКИМ МЁДОМ LOVE NATURE</t>
  </si>
  <si>
    <t xml:space="preserve">ПОДТЯГИВАЮЩИЙ КРЕМ ДЛЯ ВЕК ROYAL VELVET </t>
  </si>
  <si>
    <t>СКРЕБОК ГУАША ДЛЯ ТЕЛА</t>
  </si>
  <si>
    <t>47705</t>
  </si>
  <si>
    <t>47706</t>
  </si>
  <si>
    <t>47707</t>
  </si>
  <si>
    <t>47708</t>
  </si>
  <si>
    <t>47840</t>
  </si>
  <si>
    <t>43295</t>
  </si>
  <si>
    <t>43296</t>
  </si>
  <si>
    <t>43297</t>
  </si>
  <si>
    <t>43299</t>
  </si>
  <si>
    <t>43300</t>
  </si>
  <si>
    <t>43301</t>
  </si>
  <si>
    <t>43302</t>
  </si>
  <si>
    <t>48965</t>
  </si>
  <si>
    <t>42255</t>
  </si>
  <si>
    <t>43906</t>
  </si>
  <si>
    <t>47001</t>
  </si>
  <si>
    <t>47007</t>
  </si>
  <si>
    <t>47532</t>
  </si>
  <si>
    <t>110</t>
  </si>
  <si>
    <t>МЫЛО С ОРГАНИЧЕСКОЙ ТЫКВОЙ И КОРИЦЕЙ LOVE NATURE</t>
  </si>
  <si>
    <t>МУЖСКАЯ КОСМЕТИЧКА</t>
  </si>
  <si>
    <t>СИЛИКОНОВАЯ МОЧАЛКА ДЛЯ ДУША</t>
  </si>
  <si>
    <t>МАСЛО-СЫВОРОТКА WELLOSOPHY - УПРУГОСТЬ И СИЯНИЕ</t>
  </si>
  <si>
    <t>МИСТ ДЛЯ ЛИЦА WELLOSOPHY - ВОССТАНОВЛЕНИЕ И УВЛАЖНЕНИЕ</t>
  </si>
  <si>
    <t>18</t>
  </si>
  <si>
    <t>60</t>
  </si>
  <si>
    <t>148</t>
  </si>
  <si>
    <t>142</t>
  </si>
  <si>
    <t>146</t>
  </si>
  <si>
    <t>132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</si>
  <si>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</si>
  <si>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</si>
  <si>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</si>
  <si>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</si>
  <si>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</si>
  <si>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</si>
  <si>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</si>
  <si>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</si>
  <si>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</si>
  <si>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</si>
  <si>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</si>
  <si>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</si>
  <si>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</si>
  <si>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</si>
  <si>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</si>
  <si>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</si>
  <si>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 xml:space="preserve">                                                     - НЕЖНЫЙ ЛИЛОВЫЙ</t>
  </si>
  <si>
    <t xml:space="preserve">                                                     - КРАСНЫЙ БАРХАТ 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</si>
  <si>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</si>
  <si>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</si>
  <si>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ТЕРРАКОТА</t>
  </si>
  <si>
    <t xml:space="preserve">                                                                             - РОЗА</t>
  </si>
  <si>
    <t xml:space="preserve">                                                                             - ОРХИДЕЯ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</si>
  <si>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</si>
  <si>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</si>
  <si>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</si>
  <si>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</si>
  <si>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</si>
  <si>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</si>
  <si>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</si>
  <si>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</si>
  <si>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</si>
  <si>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</si>
  <si>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</si>
  <si>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</si>
  <si>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</si>
  <si>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</si>
  <si>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</si>
  <si>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</si>
  <si>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</si>
  <si>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</si>
  <si>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</si>
  <si>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</si>
  <si>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</si>
  <si>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</si>
  <si>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</si>
  <si>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</si>
  <si>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</si>
  <si>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</si>
  <si>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</si>
  <si>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</si>
  <si>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</si>
  <si>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</si>
  <si>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НАБОР ДЛЯ МАКИЯЖА БРОВЕЙ И ГЛАЗ THE ONE</t>
  </si>
  <si>
    <t>ЖИДКИЙ ХАЙЛАЙТЕР THE ONE ILLUSKIN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</si>
  <si>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</si>
  <si>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</si>
  <si>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 - ТЁПЛЫЙ БЕЖ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</si>
  <si>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</si>
  <si>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</si>
  <si>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</si>
  <si>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</si>
  <si>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</si>
  <si>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АНТИВОЗРАСТНАЯ ОСНОВА ПОД МАКИЯЖ С ПРЕБИОТИЧЕСКОЙ СЫВОРОТКОЙ GIORDANI GOLD</t>
  </si>
  <si>
    <t>ТОНАЛЬНЫЙ ФЛЮИД ДЛЯ СИЯНИЯ КОЖИ ONCOLOUR - СВЕТЛЫЙ</t>
  </si>
  <si>
    <t xml:space="preserve">КОМПАКТНАЯ ПУДРА С ОМОЛАЖИВАЮЩЕЙ СЫВОРОТКОЙ GIORDANI GOLD - СВЕТЛЫЙ </t>
  </si>
  <si>
    <t>КОНСИЛЕР В СТИКЕ ONCOLOUR - СЛОНОВАЯ КОСТЬ</t>
  </si>
  <si>
    <t>ВЫРАВНИВАЮЩАЯ БАЗА ПОД МАКИЯЖ THE ONE MAKE-UP PRO</t>
  </si>
  <si>
    <t>ЗАКРЕПЛЯЮЩЕЕ ПОКРЫТИЕ ДЛЯ ГЕЛЬ-ЛАКА THE ONE</t>
  </si>
  <si>
    <t>УКРЕПЛЯЮЩЕЕ ПОКРЫТИЕ ДЛЯ НОГТЕЙ THE ONE EXPERT CARE</t>
  </si>
  <si>
    <t>ТУАЛЕТНАЯ ВОДА ECLAT TOUJOURS INTENSITE</t>
  </si>
  <si>
    <t>МАССАЖЁР ДЛЯ КОЖИ ГОЛОВЫ DUOLOGI</t>
  </si>
  <si>
    <t>МОЧАЛКА ДЛЯ ДУША LOVE NATURE</t>
  </si>
  <si>
    <t>МАСЛО ДЛЯ НОГТЕЙ И КУТИКУЛЫ В КАРАНДАШЕ THE ONE EXPERT CARE</t>
  </si>
  <si>
    <t>СУЖАЮЩИЙ ПОРЫ ТОНИК ДЛЯ ЛИЦА С ОРГАНИЧЕСКИМ ЧАЙНЫМ ДЕРЕВОМ И ЛАЙМОМ LOVE NATURE</t>
  </si>
  <si>
    <t>УВЛАЖНЯЮЩИЙ ГЕЛЬ ДЛЯ УМЫВАНИЯ С ОРГАНИЧЕСКИМ АЛОЭ ВЕРА И ЭКСТРАКТОМ АНАНАСА LOVE NATURE</t>
  </si>
  <si>
    <t>ОЧИЩАЮЩИЙ КРЕМ ДЛЯ ЛИЦА OPTIMALS</t>
  </si>
  <si>
    <t>УВЛАЖНЯЮЩИЙ ТОНИК С ОРГАНИЧЕСКИМ АЛОЭ ВЕРА И ЭКСТРАКТОМ АНАНАСА LOVE NATURE</t>
  </si>
  <si>
    <t>ЗУБНЫЕ ПАСТЫ И ЩЁТКИ</t>
  </si>
  <si>
    <t>ЗУБНАЯ ЩЁТКА СРЕДНЕЙ ЖЁСТКОСТИ OPTIFRESH (ГОЛУБАЯ)</t>
  </si>
  <si>
    <t>МЯГКАЯ ДЕТСКАЯ ЗУБНАЯ ЩЁТКА OPTIFRESH (ГОЛУБАЯ)</t>
  </si>
  <si>
    <t>МЯГКАЯ ДЕТСКАЯ ЗУБНАЯ ЩЁТКА OPTIFRESH (РОЗОВАЯ)</t>
  </si>
  <si>
    <t>ОТБЕЛИВАЮЩАЯ ЗУБНАЯ ПАСТА OPTIFRESH</t>
  </si>
  <si>
    <t>ДЕТСКАЯ ЗУБНАЯ ПАСТА С КЛУБНИЧНЫМ ВКУСОМ OPTIFRESH</t>
  </si>
  <si>
    <t>КИСТЬ ДЛЯ ГУБНОЙ ПОМАДЫ</t>
  </si>
  <si>
    <t>ТУШЬ ДЛЯ РЕСНИЦ И БРОВЕЙ, ТЕНИ, ПОДВОДКИ, КАРАНДАШИ ДЛЯ ГЛАЗ</t>
  </si>
  <si>
    <t>МАРКЕР ДЛЯ БРОВЕЙ THE ONE - СВЕТЛО-КОРИЧНЕВЫЙ</t>
  </si>
  <si>
    <t>ЗУБНЫЕ ПАСТЫ И ЗУБНЫЕ ЩЁТКИ</t>
  </si>
  <si>
    <t>ЗУБНАЯ ПАСТА ДЛЯ ЧУВСТВИТЕЛЬНЫХ ЗУБОВ OPTIFRESH</t>
  </si>
  <si>
    <t>МЯГКАЯ ЗУБНАЯ ЩЁТКА OPTIFRESH (ЗЕЛЁНАЯ)</t>
  </si>
  <si>
    <t>ЗУБНАЯ ПАСТА С ТРАВЯНЫМИ МАСЛАМИ OPTIFRESH</t>
  </si>
  <si>
    <t>47274</t>
  </si>
  <si>
    <t>48044</t>
  </si>
  <si>
    <t>48981</t>
  </si>
  <si>
    <t>45147</t>
  </si>
  <si>
    <t>45290</t>
  </si>
  <si>
    <t>37728</t>
  </si>
  <si>
    <t>37729</t>
  </si>
  <si>
    <t>37730</t>
  </si>
  <si>
    <t>37734</t>
  </si>
  <si>
    <t>37735</t>
  </si>
  <si>
    <t>37736</t>
  </si>
  <si>
    <t>37737</t>
  </si>
  <si>
    <t>38743</t>
  </si>
  <si>
    <t>38744</t>
  </si>
  <si>
    <t>38745</t>
  </si>
  <si>
    <t>38755</t>
  </si>
  <si>
    <t>38756</t>
  </si>
  <si>
    <t>38757</t>
  </si>
  <si>
    <t>38761</t>
  </si>
  <si>
    <t>38775</t>
  </si>
  <si>
    <t>38776</t>
  </si>
  <si>
    <t>38778</t>
  </si>
  <si>
    <t>38948</t>
  </si>
  <si>
    <t>39800</t>
  </si>
  <si>
    <t>39801</t>
  </si>
  <si>
    <t>39806</t>
  </si>
  <si>
    <t>41796</t>
  </si>
  <si>
    <t>41797</t>
  </si>
  <si>
    <t>41798</t>
  </si>
  <si>
    <t>41799</t>
  </si>
  <si>
    <t>41801</t>
  </si>
  <si>
    <t>41802</t>
  </si>
  <si>
    <t>41803</t>
  </si>
  <si>
    <t>41804</t>
  </si>
  <si>
    <t>41805</t>
  </si>
  <si>
    <t>41806</t>
  </si>
  <si>
    <t>41807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</si>
  <si>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</si>
  <si>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</si>
  <si>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</si>
  <si>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</si>
  <si>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</si>
  <si>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</si>
  <si>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</si>
  <si>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</si>
  <si>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</si>
  <si>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</si>
  <si>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46435</t>
  </si>
  <si>
    <t>46436</t>
  </si>
  <si>
    <t>46437</t>
  </si>
  <si>
    <t>46438</t>
  </si>
  <si>
    <t>46439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</si>
  <si>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</si>
  <si>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</si>
  <si>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</si>
  <si>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</si>
  <si>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</si>
  <si>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</si>
  <si>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</si>
  <si>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</si>
  <si>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</si>
  <si>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46608</t>
  </si>
  <si>
    <t>46609</t>
  </si>
  <si>
    <t>40898</t>
  </si>
  <si>
    <t>45362</t>
  </si>
  <si>
    <t>36133</t>
  </si>
  <si>
    <t>41989</t>
  </si>
  <si>
    <t>41990</t>
  </si>
  <si>
    <t>41991</t>
  </si>
  <si>
    <t>42101</t>
  </si>
  <si>
    <t>42102</t>
  </si>
  <si>
    <t>42103</t>
  </si>
  <si>
    <t>42104</t>
  </si>
  <si>
    <t>42105</t>
  </si>
  <si>
    <t>42107</t>
  </si>
  <si>
    <t>42112</t>
  </si>
  <si>
    <t>42113</t>
  </si>
  <si>
    <t>42118</t>
  </si>
  <si>
    <t>39292</t>
  </si>
  <si>
    <t>43245</t>
  </si>
  <si>
    <t>43247</t>
  </si>
  <si>
    <t>44833</t>
  </si>
  <si>
    <t>44834</t>
  </si>
  <si>
    <t>44835</t>
  </si>
  <si>
    <t>47525</t>
  </si>
  <si>
    <t>47526</t>
  </si>
  <si>
    <t>44547</t>
  </si>
  <si>
    <t>43185</t>
  </si>
  <si>
    <t>41758</t>
  </si>
  <si>
    <t>35679</t>
  </si>
  <si>
    <t>42741</t>
  </si>
  <si>
    <t>46063</t>
  </si>
  <si>
    <t>46492</t>
  </si>
  <si>
    <t>47670</t>
  </si>
  <si>
    <t>41760</t>
  </si>
  <si>
    <t>34843</t>
  </si>
  <si>
    <t>45284</t>
  </si>
  <si>
    <t>45285</t>
  </si>
  <si>
    <t>45326</t>
  </si>
  <si>
    <t>46070</t>
  </si>
  <si>
    <t>46900</t>
  </si>
  <si>
    <t>47003</t>
  </si>
  <si>
    <t>42445</t>
  </si>
  <si>
    <t>40877</t>
  </si>
  <si>
    <t>42453</t>
  </si>
  <si>
    <t>38874</t>
  </si>
  <si>
    <t>44954</t>
  </si>
  <si>
    <t>47833</t>
  </si>
  <si>
    <t>43985</t>
  </si>
  <si>
    <t>43986</t>
  </si>
  <si>
    <t>43987</t>
  </si>
  <si>
    <t>38873</t>
  </si>
  <si>
    <t>42450</t>
  </si>
  <si>
    <t>44953</t>
  </si>
  <si>
    <t>СЫВОРОТКА ДЛЯ ЛИЦА С НИАЦИНАМИДОМ 10% NOVAGE+</t>
  </si>
  <si>
    <t xml:space="preserve">ШАРИКОВЫЙ ДЕЗОДОРАНТ-АНТИПЕРСПИРАНТ GIORDANI GOLD WOMAN </t>
  </si>
  <si>
    <t xml:space="preserve">ШАРИКОВЫЙ ДЕЗОДОРАНТ-АНТИПЕРСПИРАНТ MISTER GIORDANI </t>
  </si>
  <si>
    <t>ВИТАМИН D3</t>
  </si>
  <si>
    <t>88</t>
  </si>
  <si>
    <t>44</t>
  </si>
  <si>
    <t>116</t>
  </si>
  <si>
    <t>126</t>
  </si>
  <si>
    <t>152</t>
  </si>
  <si>
    <t>САТИНОВАЯ ГУБНАЯ ПОМАДА GIORDANI GOLD ICONIC - НЕЖНЫЙ НЮД</t>
  </si>
  <si>
    <t xml:space="preserve">                                                                                              - ГЛЯНЦЕВЫЙ ЛИЛОВЫЙ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</si>
  <si>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</si>
  <si>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АТЛАСНЫЙ КРАСНЫЙ</t>
  </si>
  <si>
    <t xml:space="preserve">                                                                             - ЕСТЕСТВЕННЫЙ</t>
  </si>
  <si>
    <t>АНТИВОЗРАСТНАЯ ТОН. ОСНОВА С ПРЕБИОТИЧЕСКОЙ СЫВОРОТКОЙ GIORDANI GOLD SPF 12 - ВАНИЛЬНЫЙ (НЕЙТРАЛЬНЫЙ)</t>
  </si>
  <si>
    <t>ТЕРМОЗАЩИТНЫЙ СПРЕЙ ДЛЯ ВОЛОС DUOLOGI</t>
  </si>
  <si>
    <t>ОЧИЩАЮЩИЙ ШАМПУНЬ ДЛЯ ЖИРНЫХ ВОЛОС LOVE NATURE</t>
  </si>
  <si>
    <t>ЩЁТКА ДЛЯ РАСПУТЫВАНИЯ ВОЛОС</t>
  </si>
  <si>
    <t>ЧУВСТВЕННЫЙ ГЕЛЬ ДЛЯ ДУША С ПИОНОМ SCENTS &amp; MOMENTS</t>
  </si>
  <si>
    <t>БОДРЯЩЕЕ МЫЛО С ОРГАНИЧЕСКОЙ КОКОСОВОЙ ВОДОЙ И ДЫНЕЙ LOVE NATURE</t>
  </si>
  <si>
    <t>ГЕЛЬ ДЛЯ ДУША С КЛУБНИКОЙ И ЧЁРНОЙ СМОРОДИНОЙ SCENTS &amp; MOMENTS</t>
  </si>
  <si>
    <t>МЫЛО С АРОМАТОМ ЛЕСНОЙ СВЕЖЕСТИ SCENTS &amp; MOMENTS «ТАИНСТВЕННЫЙ ЛЕС»</t>
  </si>
  <si>
    <t>СПРЕЙ ДЕЗОДОРАНТ ДЛЯ ЭКСТРЕМАЛЬНОЙ ЗАЩИТЫ ACTIVELLE</t>
  </si>
  <si>
    <t>УНИВЕРСАЛЬНЫЙ УВЛАЖНЯЮЩИЙ КРЕМ ДЛЯ ЛИЦА И ТЕЛА ESSENTIALS</t>
  </si>
  <si>
    <t>СРЕДСТВО ДЛЯ УМЫВАНИЯ PURE SKIN</t>
  </si>
  <si>
    <t>ОЧИЩАЮЩИЙ ТОНИК PURE SKIN</t>
  </si>
  <si>
    <t>МАТИРУЮЩИЙ КРЕМ ДЛЯ ЛИЦА PURE SKIN</t>
  </si>
  <si>
    <t>МАСКА ДЛЯ ЛИЦА С ГЛИНОЙ PURE SKIN</t>
  </si>
  <si>
    <t>ОБНОВЛЯЮЩИЙ СКРАБ ДЛЯ ЛИЦА PURE SKIN</t>
  </si>
  <si>
    <t>ГЕЛЬ ПРОТИВ ПРЫЩЕЙ ДЛЯ ТОЧЕЧНОГО ПРИМЕНЕНИЯ PURE SKIN</t>
  </si>
  <si>
    <t>ОЧИЩАЮЩАЯ МАСКА-ПЛЁНКА С УГЛЁМ PURE SKIN</t>
  </si>
  <si>
    <t>ЗЕРКАЛО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</si>
  <si>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</si>
  <si>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</si>
  <si>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</si>
  <si>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МИЦЕЛЛЯРНАЯ ВОДА С ЭКСТРАКТОМ ЧИА И ОРГАНИЧЕСКИМ МЁДОМ LOVE NATURE</t>
  </si>
  <si>
    <t>ПИНЦЕТ ДЛЯ УДАЛЕНИЯ ЧЁРНЫХ ТОЧЕК</t>
  </si>
  <si>
    <t>МНОГОРАЗОВЫЙ БРИТВЕННЫЙ СТАНОК</t>
  </si>
  <si>
    <t>СМЕННЫЕ КАССЕТЫ ДЛЯ БРИТВЕННОГО СТАНКА</t>
  </si>
  <si>
    <t>42651</t>
  </si>
  <si>
    <t>42653</t>
  </si>
  <si>
    <t>42659</t>
  </si>
  <si>
    <t>46060</t>
  </si>
  <si>
    <t>45245</t>
  </si>
  <si>
    <t xml:space="preserve">САТИНОВАЯ ГУБНАЯ ПОМАДА GIORDANI GOLD  ICONIC - НЕЖНЫЙ НЮД </t>
  </si>
  <si>
    <t>ДУХИ ALL OR NOTHING AMPLIFIED</t>
  </si>
  <si>
    <t>УНИВЕРСАЛЬНЫЙ КРЕМ ДЛЯ ЛИЦА 10 В 1 OPTIMALS</t>
  </si>
  <si>
    <t xml:space="preserve">НАСЫЩЕННЫЙ КРЕМ ДЛЯ ЛИЦА ПРОТИВ ПИГМЕНТАЦИИ OPTIMALS EVEN OUT </t>
  </si>
  <si>
    <t>ТУАЛЕТНАЯ ВОДА SCOPE TIME LOOP</t>
  </si>
  <si>
    <t>ПАРФЮМИРОВАННЫЙ СПРЕЙ ДЛЯ ТЕЛА LOVE POTION SO TEMPTING</t>
  </si>
  <si>
    <t>ПАРФЮМИРОВАННЫЙ КРЕМ ДЛЯ ТЕЛА DIVINE</t>
  </si>
  <si>
    <t>ГЕЛЕВЫЕ НОСКИ ДЛЯ УХОДА ЗА КОЖЕЙ НОГ</t>
  </si>
  <si>
    <t>РАСЧЁСКА ДЛЯ НАЧЁСОВ STYLERPRO</t>
  </si>
  <si>
    <t>ИНСТРУМЕНТ ДЛЯ ЧИСТКИ РАСЧЁСОК STYLERPRO</t>
  </si>
  <si>
    <t>АНТИБАКТЕРИАЛЬНЫЙ КАРАНДАШ-КОРРЕКТОР "ЧАЙНОЕ ДЕРЕВО"</t>
  </si>
  <si>
    <t>СПОНЖ КОННЯКУ С УГЛЁМ</t>
  </si>
  <si>
    <t>ДЕТСКОЕ МЫЛО С ОРГАНИЧЕСКОЙ КОКОСОВОЙ ВОДОЙ LOVE NATURE</t>
  </si>
  <si>
    <t>ТОЧИЛКА ДЛЯ КАРАНДАШЕЙ</t>
  </si>
  <si>
    <t>46319</t>
  </si>
  <si>
    <t>47760</t>
  </si>
  <si>
    <t>47762</t>
  </si>
  <si>
    <t>44220</t>
  </si>
  <si>
    <t>46664</t>
  </si>
  <si>
    <t>42236</t>
  </si>
  <si>
    <t>42237</t>
  </si>
  <si>
    <t>44300</t>
  </si>
  <si>
    <t>35651</t>
  </si>
  <si>
    <t>38527</t>
  </si>
  <si>
    <t>44319</t>
  </si>
  <si>
    <t>45438</t>
  </si>
  <si>
    <t>46383</t>
  </si>
  <si>
    <t>39399</t>
  </si>
  <si>
    <t>41489</t>
  </si>
  <si>
    <t>44372</t>
  </si>
  <si>
    <t>48960</t>
  </si>
  <si>
    <t>33147</t>
  </si>
  <si>
    <t>35767</t>
  </si>
  <si>
    <t>41365</t>
  </si>
  <si>
    <t>41671</t>
  </si>
  <si>
    <t>41672</t>
  </si>
  <si>
    <t>41673</t>
  </si>
  <si>
    <t>41674</t>
  </si>
  <si>
    <t>41675</t>
  </si>
  <si>
    <t>41676</t>
  </si>
  <si>
    <t>42881</t>
  </si>
  <si>
    <t>47002</t>
  </si>
  <si>
    <t>47530</t>
  </si>
  <si>
    <t>46412</t>
  </si>
  <si>
    <t>46413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</si>
  <si>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</si>
  <si>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</si>
  <si>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</si>
  <si>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</si>
  <si>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</si>
  <si>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</si>
  <si>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</si>
  <si>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</si>
  <si>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</si>
  <si>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</si>
  <si>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47572</t>
  </si>
  <si>
    <t>47618</t>
  </si>
  <si>
    <t>48661</t>
  </si>
  <si>
    <t>38533</t>
  </si>
  <si>
    <t>42490</t>
  </si>
  <si>
    <t>44308</t>
  </si>
  <si>
    <t>46056</t>
  </si>
  <si>
    <t>33958</t>
  </si>
  <si>
    <t>47016</t>
  </si>
  <si>
    <t>47672</t>
  </si>
  <si>
    <t>46403</t>
  </si>
  <si>
    <t>46404</t>
  </si>
  <si>
    <t>34855</t>
  </si>
  <si>
    <t>47522</t>
  </si>
  <si>
    <t>46365</t>
  </si>
  <si>
    <t>47837</t>
  </si>
  <si>
    <t>6</t>
  </si>
  <si>
    <t>БАЛЬЗАМ ДЛЯ ГУБ С ЭФФЕКТОМ СИЯНИЯ THE ONE - ВОЛШЕБНЫЙ БЛЕСК</t>
  </si>
  <si>
    <t>ЖИДКИЙ ХАЙЛАЙТЕР С ЭФФЕКТОМ СИЯНИЯ THE ONE - ЛУННЫЙ СВЕТ</t>
  </si>
  <si>
    <t xml:space="preserve">ПЕНА ДЛЯ ВАННЫ WONDER TALE </t>
  </si>
  <si>
    <t xml:space="preserve">МЫЛО WONDER TALE </t>
  </si>
  <si>
    <t>ГЕЛЬ ДЛЯ БРОВЕЙ И РЕСНИЦ С ЭФФЕКТОМ СИЯНИЯ THE ONE - МОРОЗНЫЙ ПОЦЕЛУЙ</t>
  </si>
  <si>
    <t>КОСМЕТИЧКА</t>
  </si>
  <si>
    <t>ЖИДКАЯ ГУБНАЯ ПОМАДА С ЭФФЕКТОМ СИЯНИЯ THE ONE - НЮД</t>
  </si>
  <si>
    <t>МНОГОФУНКЦИОНАЛЬНАЯ ВОДОСТОЙКАЯ ТУШЬ ДЛЯ РЕСНИЦ 5 В 1 THE ONE WONDER LASH. ЛИМИТИРОВАННЫЙ ВЫПУСК - ЧЁРНЫЙ</t>
  </si>
  <si>
    <t>124</t>
  </si>
  <si>
    <t>102</t>
  </si>
  <si>
    <t>90</t>
  </si>
  <si>
    <t>66</t>
  </si>
  <si>
    <t>54</t>
  </si>
  <si>
    <t xml:space="preserve">                                                                             - МАЛИНА</t>
  </si>
  <si>
    <t>БАЛЬЗАМ ДЛЯ ГУБ THE ONE STOCKHOLM - МЯГКИЙ ПЕРСИКОВЫЙ</t>
  </si>
  <si>
    <t xml:space="preserve">                                                                     - ЯРКИЙ РОЗОВЫЙ</t>
  </si>
  <si>
    <t xml:space="preserve">                                                                     - ПЫЛЬНАЯ РОЗА</t>
  </si>
  <si>
    <t xml:space="preserve">                                                                     - МЯГКИЙ СЛИВОВЫЙ</t>
  </si>
  <si>
    <t>ГУБНАЯ ПОМАДА С БЛЕСТЯЩИМ СТЕРЖНЕМ THE ONE - НЕПОВТОРИМЫЙ НЮД</t>
  </si>
  <si>
    <t>РУМЯНА-БРОНЗЕР В ШАРИКАХ GIORDANI GOLD - ЕСТЕСТВЕННЫЙ РУМЯНЕЦ</t>
  </si>
  <si>
    <t xml:space="preserve">                                                                                - МЕРЦАЮЩИЙ ПЕРСИК</t>
  </si>
  <si>
    <t xml:space="preserve">                                                                                - СВЕТЯЩАЯСЯ РОЗА</t>
  </si>
  <si>
    <t xml:space="preserve">                                                                                - СИЯЮЩАЯ БРОНЗА</t>
  </si>
  <si>
    <t xml:space="preserve"> ЛАКИ И ПОКРЫТИЯ ДЛЯ НОГТЕЙ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</si>
  <si>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</si>
  <si>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</si>
  <si>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</si>
  <si>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</si>
  <si>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</si>
  <si>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</si>
  <si>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</si>
  <si>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</si>
  <si>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</si>
  <si>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</si>
  <si>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</si>
  <si>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</si>
  <si>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</si>
  <si>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</si>
  <si>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</si>
  <si>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ГЕЛЬ-ЛАК ДЛЯ НОГТЕЙ THE ONE - СОЛНЕЧНЫЙ ПУНШ</t>
  </si>
  <si>
    <t>ПАРФЮМЕРНАЯ ВОДА GIORDANI GOLD WOMAN</t>
  </si>
  <si>
    <t>ПАРФЮМЕРНАЯ ВОДА GIORDANI GOLD MAN</t>
  </si>
  <si>
    <t>ТУАЛЕТНАЯ ВОДА EXCITE BY ORIFLAME</t>
  </si>
  <si>
    <t>МУЖСКАЯ ПАРФЮМЕРНАЯ ВОДА NORDIC WATERS INFINITE BLUE</t>
  </si>
  <si>
    <t>ЗАЩИТНОЕ МАСЛО ДЛЯ ВОЛОС ELEO</t>
  </si>
  <si>
    <t>НОЧНОЕ ВОССТАНАВЛИВАЮЩЕЕ МАСЛО-ЭЛИКСИР ДЛЯ ВОЛОС ELEO</t>
  </si>
  <si>
    <t>ШАМПУНЬ ДЛЯ ЖИРНЫХ ВОЛОС С ОРГАНИЧЕСКИМИ ЛИМОНОМ И МЯТОЙ LOVE NATURE</t>
  </si>
  <si>
    <t>ШАМПУНЬ-УХОД 2 В 1 ДЛЯ ВСЕХ ТИПОВ ВОЛОС LOVE NATURE. БОЛЬШОЙ ОБЪЁМ</t>
  </si>
  <si>
    <t>СКРАБ-ШАМПУНЬ ДЛЯ ВОЛОС С УГЛЁМ LOVE NATURE</t>
  </si>
  <si>
    <t>ШАМПУНЬ ДЛЯ ИНТЕНСИВНОГО ВОССТАНОВЛЕНИЯ ВОЛОС DUOLOGI</t>
  </si>
  <si>
    <t>ШАМПУНЬ ДЛЯ ИНТЕНСИВНОГО ВОССТАНОВЛЕНИЯ ВОЛОС DUOLOGI (РЕФИЛ)</t>
  </si>
  <si>
    <t>МАСКА ДЛЯ ИНТЕНСИВНОГО ВОССТАНОВЛЕНИЯ ВОЛОС DUOLOGI</t>
  </si>
  <si>
    <t>СКРАБ ДЛЯ КОЖИ ГОЛОВЫ ПРОТИВ ПЕРХОТИ DUOLOGI</t>
  </si>
  <si>
    <t>ФИОЛЕТОВАЯ МАСКА ДЛЯ НЕЙТРАЛИЗАЦИИ ЖЕЛТИЗНЫ DUOLOGI </t>
  </si>
  <si>
    <t xml:space="preserve">ФИОЛЕТОВЫЙ ШАМПУНЬ ДЛЯ НЕЙТРАЛИЗАЦИИ ЖЕЛТИЗНЫ DUOLOGI </t>
  </si>
  <si>
    <t>ОСВЕЖАЮЩИЙ ГЕЛЬ ДЛЯ ДУША С ОКЕАНСКИМ АККОРДОМ SCENTS &amp; MOMENTS</t>
  </si>
  <si>
    <t>ПИТАТЕЛЬНОЕ МАСЛО ДЛЯ ТЕЛА, ЛИЦА И ВОЛОС С ОРГАНИЧЕСКИМ АВОКАДО LOVE NATURE</t>
  </si>
  <si>
    <t>ГЕЛЬ ДЛЯ ДУША С ОРГАНИЧЕСКИМ АЛОЭ ВЕРА SIMPLE JOYS LOVE NATURE</t>
  </si>
  <si>
    <t>ГЕЛЬ ДЛЯ ДУША С ОРГАНИЧЕСКИМ АНАНАСОМ SIMPLE JOYS LOVE NATURE</t>
  </si>
  <si>
    <t>ГЕЛЬ ДЛЯ ДУША С ОРГАНИЧЕСКОЙ КЛУБНИКОЙ SIMPLE JOYS LOVE NATURE</t>
  </si>
  <si>
    <t>МЫЛО С ЦИТРУСОВЫМ АРОМАТОМ SCENTS &amp; MOMENTS «ЦИТРУСОВЫЙ МИКС»</t>
  </si>
  <si>
    <t>КРЕМ ДЛЯ РУК И НОГТЕЙ С ОРГАНИЧЕСКИМ МАСЛОМ МАКАДАМИИ LOVE NATURE. БОЛЬШОЙ ОБЪЁМ</t>
  </si>
  <si>
    <t>CРЕДСТВО ДЛЯ СНЯТИЯ ВОДОСТОЙКОЙ КОСМЕТИКИ С ГЛАЗ THE ONE</t>
  </si>
  <si>
    <t>КРЕМ ДЛЯ КОНТУРА ГЛАЗ И ГУБ OPTIMALS</t>
  </si>
  <si>
    <t>ОСВЕЖАЮЩАЯ ЗУБНАЯ ПАСТА OPTIFRESH</t>
  </si>
  <si>
    <t>ПОДАРОЧНЫЙ КОНВЕРТ</t>
  </si>
  <si>
    <t>НАБОР НАКЛЕЕК</t>
  </si>
  <si>
    <t>ПАКЕТ ПОДАРОЧНЫЙ</t>
  </si>
  <si>
    <t>40667</t>
  </si>
  <si>
    <t>40790</t>
  </si>
  <si>
    <t>44315</t>
  </si>
  <si>
    <t>46052</t>
  </si>
  <si>
    <t>46064</t>
  </si>
  <si>
    <t>46906</t>
  </si>
  <si>
    <t>ТУАЛЕТНАЯ ВОДА ECLAT FEMME</t>
  </si>
  <si>
    <t>ТУАЛЕТНАЯ ВОДА LUCIA BRIGHT AURA</t>
  </si>
  <si>
    <t>ТУАЛЕТНАЯ ВОДА GLACIER EXTREME</t>
  </si>
  <si>
    <t>ТУАЛЕТНАЯ ВОДА ECLAT NUIT FOR HIM</t>
  </si>
  <si>
    <t xml:space="preserve">ПАРФЮМИРОВАННАЯ ВОДА LOVE POTION SENSUAL RUBY </t>
  </si>
  <si>
    <t>ПАРФЮМЕРНАЯ ВОДА INFINITA MY SUNSHINE</t>
  </si>
  <si>
    <t>ПАРФЮМИРОВАННАЯ ВОДА SO FEVER ECSTATIC HIM</t>
  </si>
  <si>
    <t xml:space="preserve">                                                                                                      - ЕСТЕСТВЕННЫЙ БЕЖЕВЫЙ  </t>
  </si>
  <si>
    <t xml:space="preserve">                                                                                        - ГЛЯНЦЕВЫЙ ЛИЛОВЫЙ </t>
  </si>
  <si>
    <t xml:space="preserve">                                                                                        - РОСКОШНАЯ ОРХИДЕЯ</t>
  </si>
  <si>
    <t xml:space="preserve">                                                                                        - ШЕЛКОВИСТАЯ РОЗА</t>
  </si>
  <si>
    <t xml:space="preserve">                                                                                        - СЛИВОЧНЫЙ МОККО </t>
  </si>
  <si>
    <t xml:space="preserve">                                                                                        - ШИКАРНАЯ СЛИВА</t>
  </si>
  <si>
    <t xml:space="preserve">                                                                                        - ИЗЫСКАННЫЙ ЯГОДНЫЙ </t>
  </si>
  <si>
    <t xml:space="preserve">                                                                                        - БЕЗУПРЕЧНЫЙ РОЗОВЫЙ</t>
  </si>
  <si>
    <t xml:space="preserve">                                                                                        - АТЛАСНЫЙ КРАСНЫЙ </t>
  </si>
  <si>
    <t xml:space="preserve">                                                                                        - КОРОЛЕВСКИЙ ГРАНАТ</t>
  </si>
  <si>
    <t>АНТИВОЗРАСТНАЯ ТОН. ОСНОВА С ПРЕБИОТИЧЕСКОЙ СЫВОРОТКОЙ GIORDANI GOLD  - БЕЖЕВЫЙ (ТЁПЛЫЙ)</t>
  </si>
  <si>
    <t>ПАРФЮМЕРНАЯ ВОДА VOLARE TENDER</t>
  </si>
  <si>
    <t>ТУАЛЕТНАЯ ВОДА ECLAT TOUJOURS INTENSITÉ</t>
  </si>
  <si>
    <t xml:space="preserve">                                                                                        - КОРАЛЛОВЫЙ</t>
  </si>
  <si>
    <t xml:space="preserve">                                                                                        - МАЛИНОВЫЙ</t>
  </si>
  <si>
    <t xml:space="preserve">                                                                                          - РОЗОВЫЙ ЗАКАТ</t>
  </si>
  <si>
    <t xml:space="preserve">                                                 - КОРИЧНЕВЫЙ</t>
  </si>
  <si>
    <t xml:space="preserve">                                                 - ТЁМНО-КОРИЧНЕВЫЙ</t>
  </si>
  <si>
    <t xml:space="preserve">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</si>
  <si>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</si>
  <si>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- БЕЖЕВЫЙ (ТЁПЛЫЙ)</t>
  </si>
  <si>
    <t>ПАРФЮМЕРНАЯ ВОДА LOVE POTION SECRETS</t>
  </si>
  <si>
    <t>ТУАЛЕТНАЯ ВОДА GLACIER ROCK</t>
  </si>
  <si>
    <t>ПАРФЮМЕРНАЯ ВОДА SO FEVER TOGETHER</t>
  </si>
  <si>
    <t>УСПОКАИВАЮЩИЙ ГЕЛЬ ДЛЯ ДУША С МИНДАЛЬНЫМ ЦВЕТОМ SCENTS &amp; MOMENTS</t>
  </si>
  <si>
    <t>БОДРЯЩИЙ ГЕЛЬ ДЛЯ ДУША С ОРГАНИЧЕСКОЙ КОКОСОВОЙ ВОДОЙ И ДЫНЕЙ LOVE NATURE</t>
  </si>
  <si>
    <t>ГЕЛЬ ДЛЯ ДУША С СОСНОЙ И ЭВКАЛИПТОМ SCENTS &amp; MOMENT</t>
  </si>
  <si>
    <t>ТОНИК ДЛЯ КОЖИ ГОЛОВЫ ПРОТИВ ВЫПАДЕНИЯ ВОЛОС DUOLOGI</t>
  </si>
  <si>
    <t>предложение со стр. 29</t>
  </si>
  <si>
    <t>47185</t>
  </si>
  <si>
    <t>47188</t>
  </si>
  <si>
    <t>47198</t>
  </si>
  <si>
    <t>47199</t>
  </si>
  <si>
    <t>47977</t>
  </si>
  <si>
    <t>48566</t>
  </si>
  <si>
    <t>48573</t>
  </si>
  <si>
    <t>48640</t>
  </si>
  <si>
    <t>48641</t>
  </si>
  <si>
    <t>48642</t>
  </si>
  <si>
    <t>48650</t>
  </si>
  <si>
    <t>41800</t>
  </si>
  <si>
    <t>41869</t>
  </si>
  <si>
    <t>41870</t>
  </si>
  <si>
    <t>41891</t>
  </si>
  <si>
    <t>41892</t>
  </si>
  <si>
    <t>46607</t>
  </si>
  <si>
    <t>44865</t>
  </si>
  <si>
    <t>44866</t>
  </si>
  <si>
    <t>44915</t>
  </si>
  <si>
    <t>44916</t>
  </si>
  <si>
    <t>44917</t>
  </si>
  <si>
    <t>44918</t>
  </si>
  <si>
    <t>38975</t>
  </si>
  <si>
    <t>38976</t>
  </si>
  <si>
    <t>38978</t>
  </si>
  <si>
    <t>38982</t>
  </si>
  <si>
    <t>38983</t>
  </si>
  <si>
    <t>38986</t>
  </si>
  <si>
    <t>38991</t>
  </si>
  <si>
    <t>38997</t>
  </si>
  <si>
    <t>38998</t>
  </si>
  <si>
    <t>41187</t>
  </si>
  <si>
    <t>41188</t>
  </si>
  <si>
    <t>41189</t>
  </si>
  <si>
    <t>41192</t>
  </si>
  <si>
    <t>41195</t>
  </si>
  <si>
    <t>41196</t>
  </si>
  <si>
    <t>41471</t>
  </si>
  <si>
    <t>37766</t>
  </si>
  <si>
    <t>38497</t>
  </si>
  <si>
    <t>38531</t>
  </si>
  <si>
    <t>38538</t>
  </si>
  <si>
    <t>45890</t>
  </si>
  <si>
    <t>38601</t>
  </si>
  <si>
    <t>38602</t>
  </si>
  <si>
    <t>41354</t>
  </si>
  <si>
    <t>41362</t>
  </si>
  <si>
    <t>43253</t>
  </si>
  <si>
    <t>44950</t>
  </si>
  <si>
    <t>44957</t>
  </si>
  <si>
    <t>44963</t>
  </si>
  <si>
    <t>44966</t>
  </si>
  <si>
    <t>46623</t>
  </si>
  <si>
    <t>46624</t>
  </si>
  <si>
    <t>39377</t>
  </si>
  <si>
    <t>41283</t>
  </si>
  <si>
    <t>47009</t>
  </si>
  <si>
    <t>47010</t>
  </si>
  <si>
    <t>47193</t>
  </si>
  <si>
    <t>48961</t>
  </si>
  <si>
    <t>45425</t>
  </si>
  <si>
    <t>32138</t>
  </si>
  <si>
    <t>44952</t>
  </si>
  <si>
    <t>30557</t>
  </si>
  <si>
    <t>34145</t>
  </si>
  <si>
    <t>34506</t>
  </si>
  <si>
    <t>46335</t>
  </si>
  <si>
    <t>46340</t>
  </si>
  <si>
    <t>515562</t>
  </si>
  <si>
    <t>515563</t>
  </si>
  <si>
    <t>526493</t>
  </si>
  <si>
    <t>30129</t>
  </si>
  <si>
    <t>35652</t>
  </si>
  <si>
    <t>40722</t>
  </si>
  <si>
    <t>42379</t>
  </si>
  <si>
    <t>44306</t>
  </si>
  <si>
    <t>44316</t>
  </si>
  <si>
    <t>44323</t>
  </si>
  <si>
    <t>44847</t>
  </si>
  <si>
    <t>44853</t>
  </si>
  <si>
    <t>44872</t>
  </si>
  <si>
    <t>46054</t>
  </si>
  <si>
    <t>46393</t>
  </si>
  <si>
    <t>46606</t>
  </si>
  <si>
    <t>46665</t>
  </si>
  <si>
    <t>47129</t>
  </si>
  <si>
    <t>47130</t>
  </si>
  <si>
    <t>42507</t>
  </si>
  <si>
    <t>42815</t>
  </si>
  <si>
    <t>42816</t>
  </si>
  <si>
    <t>42835</t>
  </si>
  <si>
    <t>39393</t>
  </si>
  <si>
    <t>41264</t>
  </si>
  <si>
    <t>44371</t>
  </si>
  <si>
    <t>44967</t>
  </si>
  <si>
    <t>34</t>
  </si>
  <si>
    <t>20</t>
  </si>
  <si>
    <t>30</t>
  </si>
  <si>
    <t>РУМЯНА-БРОНЗЕР В ШАРИКАХ GIORDANI GOLD</t>
  </si>
  <si>
    <t>ПЕНА ДЛЯ БРИТЬЯ И УМЫВАНИЯ NORTH FOR MEN BY GIORDANI GOLD</t>
  </si>
  <si>
    <t>ГЕЛЬ ПОСЛЕ БРИТЬЯ NORTH FOR MEN BY GIORDANI GOLD</t>
  </si>
  <si>
    <t xml:space="preserve">ЖИДКОЕ МЫЛО ДЛЯ РУК И ТЕЛА С ДИКИМ МАКОМ И ВАНИЛЬЮ ESSENSE &amp; CO. </t>
  </si>
  <si>
    <t xml:space="preserve">ПАРФЮМЕРНАЯ ВОДА GIORDANI GOLD WHITE </t>
  </si>
  <si>
    <t>ЗАКОЛКИ ДЛЯ ВОЛОС С БАНТАМИ</t>
  </si>
  <si>
    <t>ПОВЯЗКА НА ГОЛОВУ И ТКАНЕВАЯ САЛФЕТКА ДЛЯ СНЯТИЯ МАКИЯЖА</t>
  </si>
  <si>
    <t xml:space="preserve">НАБОР СПЕЦИАЛЬНЫХ СМЯГЧАЮЩИХ СРЕДСТВ </t>
  </si>
  <si>
    <t>ПЕРЕВОДНЫЕ ВЕСНУШКИ ИЗ БЛЁСТОК</t>
  </si>
  <si>
    <t>118</t>
  </si>
  <si>
    <t>БАЛЬЗАМ ДЛЯ КОЖИ ВОКРУГ ГЛАЗ WELLOSOPHY-УВЛАЖНЕНИЕ И ВОССТАНОВЛЕНИЕ</t>
  </si>
  <si>
    <t>НАБОР ДЛЯ УХОДА ЗА КОЖЕЙ WELLOSOPHY+НУТРИКОМПЛЕКС</t>
  </si>
  <si>
    <t>56</t>
  </si>
  <si>
    <t>164</t>
  </si>
  <si>
    <t>46</t>
  </si>
  <si>
    <t>40</t>
  </si>
  <si>
    <t>24</t>
  </si>
  <si>
    <t>12</t>
  </si>
  <si>
    <t>107</t>
  </si>
  <si>
    <t xml:space="preserve">КРЕМОВАЯ ГУБНАЯ ПОМАДА ONCOLOUR - РОЗОВЫЙ НЮД  </t>
  </si>
  <si>
    <t xml:space="preserve">                                                                     - ПЕРСИКОВЫЙ НЮД</t>
  </si>
  <si>
    <t xml:space="preserve">                                                                     - КЛЮКВЕННЫЙ КРАСНЫЙ</t>
  </si>
  <si>
    <t xml:space="preserve">                                                                     - РОЗОВЫЙ ПИОН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</si>
  <si>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</si>
  <si>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                             - ДИКАЯ ВИШНЯ </t>
  </si>
  <si>
    <t>СУПЕРСТОЙКАЯ МАТОВАЯ ЖИДКАЯ ПОМАДА THE ONE COLOUR UNLIMITED - ПРЯНЫЙ НЮД</t>
  </si>
  <si>
    <t xml:space="preserve">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</si>
  <si>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</si>
  <si>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</si>
  <si>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</si>
  <si>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</si>
  <si>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</si>
  <si>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</si>
  <si>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</si>
  <si>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- РОЗОВЫЙ</t>
  </si>
  <si>
    <t xml:space="preserve">                                                                                                    - КРАСНЫЙ</t>
  </si>
  <si>
    <t>ОБЪЕМНАЯ ТУШЬ ДЛЯ РЕСНИЦ ONCOLOUR - ЧЕРНЫЙ</t>
  </si>
  <si>
    <t>МНОГОФУНКЦИОНАЛЬНАЯ ТУШЬ ДЛЯ РЕСНИЦ 5 В 1 THE ONE WONDER LASH XXL - ЧЁРНЫЙ</t>
  </si>
  <si>
    <t>ТУШЬ ДЛЯ РЕСНИЦ 5 В 1 THE ONE.ЛИМИТИРОВАННЫЙ ВЫПУСК - ЧЁРНЫЙ</t>
  </si>
  <si>
    <t>ЦВЕТНАЯ ТУШЬ THE ONE С ЭФФЕКТОМ ГИПНОТИЧЕСКОГО ВЗГЛЯДА - ИЗЫСКАННЫЙ СИРЕНЕВЫЙ</t>
  </si>
  <si>
    <t xml:space="preserve">                                                                                                              - ГЛУБОКИЙ БУРГУНДИ</t>
  </si>
  <si>
    <t xml:space="preserve">                                                                                                              - НЕБЕСНЫЙ СИНИЙ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</si>
  <si>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</si>
  <si>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</si>
  <si>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КОНСИЛЕР С ПРЕБИОТИЧЕСКОЙ СЫВОРОТКОЙ GIORDANI GOLD - СВЕТЛЫЙ</t>
  </si>
  <si>
    <t xml:space="preserve">                                                                                                            - СЛОНОВАЯ КОСТЬ</t>
  </si>
  <si>
    <t xml:space="preserve">ПАЛЕТКА ДЛЯ МАКИЯЖА GIORDANI GOLD </t>
  </si>
  <si>
    <t>ЖЕНСКИЕ ДУХИ GG ESSENZA SUPREME</t>
  </si>
  <si>
    <t>ПАРФЮМЕРНАЯ ВОДА AMBER ELIXIR</t>
  </si>
  <si>
    <t>ПАРФЮМЕРНАЯ ВОДА POSSESS</t>
  </si>
  <si>
    <t>ЖЕНСКАЯ ПАРФЮМЕРНАЯ ВОДА LOVE POTION</t>
  </si>
  <si>
    <t>ТУАЛЕТНАЯ ВОДА EVERY ME SWEETHEART ROSE</t>
  </si>
  <si>
    <t xml:space="preserve">ПАРФЮМИРОВАННЫЙ СПРЕЙ GIORDANI GOLD EVERLASTING GLOW </t>
  </si>
  <si>
    <t>ТУАЛЕТНАЯ ВОДА EVERY ME DRAMA QUEEN IRIS</t>
  </si>
  <si>
    <t xml:space="preserve">ПАРФЮМЕРНАЯ ВОДА MISS GIORDANI FLORAL </t>
  </si>
  <si>
    <t>МУЖСКИЕ ДУХИ GG ESSENZA MAN ELIXIR</t>
  </si>
  <si>
    <t>МУЖСКАЯ ПАРФЮМЕРНАЯ ВОДА MISTER GIORDANI</t>
  </si>
  <si>
    <t>ТУАЛЕТНАЯ ВОДА ECLAT HOMME WEEKEND AZUR</t>
  </si>
  <si>
    <t>ШАМПУНЬ ДЛЯ ВОЛОС И ТЕЛА NORTH FOR MEN SUBZERO</t>
  </si>
  <si>
    <t>CМЯГЧАЮЩЕЕ СРЕДСТВО С МАСЛОМ ЧЁРНОЙ СМОРОДИНЫ</t>
  </si>
  <si>
    <t>СПЕЦИАЛЬНОЕ СМЯГЧАЮЩЕЕ СРЕДСТВО С МАСЛОМ МАЛИНОВЫХ СЕМЯН</t>
  </si>
  <si>
    <t>МЫЛО BERRY MERRY</t>
  </si>
  <si>
    <t>МЫЛО BLOOMING BLOSSOM</t>
  </si>
  <si>
    <t>ГЕЛЬ ДЛЯ ДУША С РОЗОВЫМ ГРЕЙПФРУТОМ SCENTS &amp; MOMENTS</t>
  </si>
  <si>
    <t>АРОМАТНОЕ МЫЛО С ЦИТРУСОМ И РОЖДЕСТВЕНСКИМИ СПЕЦИЯМИ HAPPY HOLIDAYS</t>
  </si>
  <si>
    <t>ГЕЛЬ ДЛЯ БРИТЬЯ FEMINELLE</t>
  </si>
  <si>
    <t>СПЕЦИАЛЬНОЕ СМЯГЧАЮЩЕЕ СРЕДСТВО С ЭКСТРАКТОМ МАНДАРИНА</t>
  </si>
  <si>
    <t>МЫЛО NORTH FOR MEN SUBZERO</t>
  </si>
  <si>
    <t>СПЕЦИАЛЬНОЕ СМЯГЧАЮЩЕЕ СРЕДСТВО С ЭКСТРАКТОМ САХАРНОЙ СЛИВЫ</t>
  </si>
  <si>
    <t>ДЕЗОДОРАНТ-АНТИПЕРСПИРАНТ ДЛЯ ЭКСТРЕМАЛЬНОЙ ЗАЩИТЫ ACTIVELLE</t>
  </si>
  <si>
    <t>ШАРИКОВЫЙ ДЕЗОДОРАНТ БЕЗ БЕЛЫХ СЛЕДОВ ACTIVELLE</t>
  </si>
  <si>
    <t>АППАРАТ ДЛЯ  МАНИКЮРА</t>
  </si>
  <si>
    <t>ОЧИЩАЮЩЕЕ МАСЛО ДЛЯ ЛИЦА NOVAGE+</t>
  </si>
  <si>
    <t>УВЛАЖНЯЮЩАЯ ЭССЕНЦИЯ-СПРЕЙ ДЛЯ ЛИЦА NOVAGE+ PROCEUTICALS</t>
  </si>
  <si>
    <t>СЫВОРОТКА ДЛЯ ИНТЕНСИВНОГО УВЛАЖНЕНИЯ NOVAGE+ PROCEUTICALS</t>
  </si>
  <si>
    <t>ОТШЕЛУШИВАЮЩИЙ СКРАБ ДЛЯ ЛИЦА OPTIMALS</t>
  </si>
  <si>
    <t>ОЧИЩАЮЩАЯ ЩЁТКА ДЛЯ ЛИЦА</t>
  </si>
  <si>
    <t>КИСТЬ ДЛЯ ТОНАЛЬНОЙ ОСНОВЫ</t>
  </si>
  <si>
    <t>СПОНЖ ДЛЯ МАКИЯЖА</t>
  </si>
  <si>
    <t>ТУАЛЕТНАЯ ВОДА ECLAT FEMME WEEKEND (ПРОБНИК)</t>
  </si>
  <si>
    <t>ТУАЛЕТНАЯ ВОДА POSSESS ABSOLUTE (ПРОБНИК)</t>
  </si>
  <si>
    <t>47511</t>
  </si>
  <si>
    <t>46718</t>
  </si>
  <si>
    <t xml:space="preserve">ПАРФЮМЕРНАЯ ВОДА AMBER ELIXIR </t>
  </si>
  <si>
    <t xml:space="preserve">ПАРФЮМИРОВАННАЯ ВОДА GIORDANI GOLD ESSENZA </t>
  </si>
  <si>
    <t xml:space="preserve">ТУАЛЕТНАЯ ВОДА JOYCE ROSE </t>
  </si>
  <si>
    <t xml:space="preserve">ТУАЛЕТНАЯ ВОДА ECLAT NUIT FOR HER </t>
  </si>
  <si>
    <t>АНТИВОЗРАСТНАЯ ТОН. ОСНОВА С ПРЕБИОТИЧЕСКОЙ СЫВОРОТКОЙ GIORDANI GOLD  - СЛОНОВАЯ КОСТЬ (НЕЙТРАЛЬНЫЙ)</t>
  </si>
  <si>
    <t xml:space="preserve">ДНЕВНОЙ КРЕМ WAUNT «ДЗЕН-ЭФФЕКТ» </t>
  </si>
  <si>
    <t>ПАРФЮМЕРНАЯ ВОДА MISS GIORDANI FLORAL</t>
  </si>
  <si>
    <t>КРЕМОВАЯ ГУБНАЯ ПОМАДА THE ONE SMART SYNC - РОЗОВОЕ ДЕРЕВО</t>
  </si>
  <si>
    <t>ГУБНАЯ ПОМАДА С ЭФФЕКТОМ СИЯНИЯ THE ONE - ПЕРСИКОВЫЙ СОРБЕТ</t>
  </si>
  <si>
    <t xml:space="preserve">                                                                                    - РОЗОВОЕ ШАМПАНСКОЕ</t>
  </si>
  <si>
    <t xml:space="preserve">                                                                                    - СВЕЖИЙ КЛЕВЕР</t>
  </si>
  <si>
    <t xml:space="preserve">                                                                                    - МАНЯЩАЯ МАЛИНА</t>
  </si>
  <si>
    <t xml:space="preserve">                                                                                    - ВИШНЁВЫЙ ЛЕДЕНЕЦ</t>
  </si>
  <si>
    <t xml:space="preserve">                                                                                   - ВИННЫЕ ИСКРЫ</t>
  </si>
  <si>
    <t>ТЕНИ-ПОДВОДКА ДЛЯ ВЕК THE ONE COLOUR UNLIMITED - ЗЕЛЁНЫЙ ИЗУМРУД</t>
  </si>
  <si>
    <t xml:space="preserve">                                                                                          - ИГРИСТЫЙ НЮД</t>
  </si>
  <si>
    <t>ЖИДКИЕ ТЕНИ С ЭФФЕКТОМ "МЕТАЛЛИК" THE ONE - РОЗОВЫЙ</t>
  </si>
  <si>
    <t xml:space="preserve">                                                                                   - ПЕРСИКОВЫЙ</t>
  </si>
  <si>
    <t xml:space="preserve">                                                                                   - БЕЖЕВЫЙ</t>
  </si>
  <si>
    <t xml:space="preserve">                                                                                                          - СЕРЫЙ ГРАНИТ</t>
  </si>
  <si>
    <t>ГЕЛЬ-ФИКСАТОР ДЛЯ БРОВЕЙ THE ONE</t>
  </si>
  <si>
    <t xml:space="preserve">                                                                      - ГОЛУБОЙ</t>
  </si>
  <si>
    <t xml:space="preserve">                                                                      - КОРИЧНЕВЫЙ</t>
  </si>
  <si>
    <t xml:space="preserve">                                                                      - ИЗУМРУДНЫЙ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</si>
  <si>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</si>
  <si>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</si>
  <si>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 xml:space="preserve">                                                   - ЕСТЕСТВЕННЫЙ БЕЖ</t>
  </si>
  <si>
    <t>ЛАКИ И ПОКРЫТИЯ ДЛЯ НОГТЕЙ</t>
  </si>
  <si>
    <t>МЫЛО LOVE MAGNET</t>
  </si>
  <si>
    <t>МЫЛО NEON VIBES</t>
  </si>
  <si>
    <t>ДВУСТОРОННЯЯ КИСТЬ ДЛЯ БРОВЕЙ</t>
  </si>
  <si>
    <t>46901</t>
  </si>
  <si>
    <t>47270</t>
  </si>
  <si>
    <t>47271</t>
  </si>
  <si>
    <t>47450</t>
  </si>
  <si>
    <t>48028</t>
  </si>
  <si>
    <t>48546</t>
  </si>
  <si>
    <t>48652</t>
  </si>
  <si>
    <t>48675</t>
  </si>
  <si>
    <t>48982</t>
  </si>
  <si>
    <t>45148</t>
  </si>
  <si>
    <t>47784</t>
  </si>
  <si>
    <t>38742</t>
  </si>
  <si>
    <t>38751</t>
  </si>
  <si>
    <t>38760</t>
  </si>
  <si>
    <t>43298</t>
  </si>
  <si>
    <t>44715</t>
  </si>
  <si>
    <t>38929</t>
  </si>
  <si>
    <t>40672</t>
  </si>
  <si>
    <t>47949</t>
  </si>
  <si>
    <t>48038</t>
  </si>
  <si>
    <t>48039</t>
  </si>
  <si>
    <t>48040</t>
  </si>
  <si>
    <t>34648</t>
  </si>
  <si>
    <t>41107</t>
  </si>
  <si>
    <t>41108</t>
  </si>
  <si>
    <t>42106</t>
  </si>
  <si>
    <t>42121</t>
  </si>
  <si>
    <t>35653</t>
  </si>
  <si>
    <t>40683</t>
  </si>
  <si>
    <t>42495</t>
  </si>
  <si>
    <t>42519</t>
  </si>
  <si>
    <t>42751</t>
  </si>
  <si>
    <t>46793</t>
  </si>
  <si>
    <t>46807</t>
  </si>
  <si>
    <t>47498</t>
  </si>
  <si>
    <t>47499</t>
  </si>
  <si>
    <t>47514</t>
  </si>
  <si>
    <t>45967</t>
  </si>
  <si>
    <t>46795</t>
  </si>
  <si>
    <t>46631</t>
  </si>
  <si>
    <t>47877</t>
  </si>
  <si>
    <t>36151</t>
  </si>
  <si>
    <t>36152</t>
  </si>
  <si>
    <t>41099</t>
  </si>
  <si>
    <t>45858</t>
  </si>
  <si>
    <t>45821</t>
  </si>
  <si>
    <t>45878</t>
  </si>
  <si>
    <t>46367</t>
  </si>
  <si>
    <t>46989</t>
  </si>
  <si>
    <t>47412</t>
  </si>
  <si>
    <t>47439</t>
  </si>
  <si>
    <t>33142</t>
  </si>
  <si>
    <t>41303</t>
  </si>
  <si>
    <t>44774</t>
  </si>
  <si>
    <t>41032</t>
  </si>
  <si>
    <t>42263</t>
  </si>
  <si>
    <t>42444</t>
  </si>
  <si>
    <t>42614</t>
  </si>
  <si>
    <t>45082</t>
  </si>
  <si>
    <t>47825</t>
  </si>
  <si>
    <t>47834</t>
  </si>
  <si>
    <t>11037</t>
  </si>
  <si>
    <t>31292</t>
  </si>
  <si>
    <t>42994</t>
  </si>
  <si>
    <t>44289</t>
  </si>
  <si>
    <t>11365</t>
  </si>
  <si>
    <t>30321</t>
  </si>
  <si>
    <t>31817</t>
  </si>
  <si>
    <t>35656</t>
  </si>
  <si>
    <t>38525</t>
  </si>
  <si>
    <t>41163</t>
  </si>
  <si>
    <t>42438</t>
  </si>
  <si>
    <t>43936</t>
  </si>
  <si>
    <t>44871</t>
  </si>
  <si>
    <t>45696</t>
  </si>
  <si>
    <t>45880</t>
  </si>
  <si>
    <t>46058</t>
  </si>
  <si>
    <t>46061</t>
  </si>
  <si>
    <t>46392</t>
  </si>
  <si>
    <t>46735</t>
  </si>
  <si>
    <t>47616</t>
  </si>
  <si>
    <t>42157</t>
  </si>
  <si>
    <t>42158</t>
  </si>
  <si>
    <t>42159</t>
  </si>
  <si>
    <t>42160</t>
  </si>
  <si>
    <t>42161</t>
  </si>
  <si>
    <t>42163</t>
  </si>
  <si>
    <t>43347</t>
  </si>
  <si>
    <t>45361</t>
  </si>
  <si>
    <t>45364</t>
  </si>
  <si>
    <t>46595</t>
  </si>
  <si>
    <t>42470</t>
  </si>
  <si>
    <t>46619</t>
  </si>
  <si>
    <t>48526</t>
  </si>
  <si>
    <t>47831</t>
  </si>
  <si>
    <t>47838</t>
  </si>
  <si>
    <t>47938</t>
  </si>
  <si>
    <t>120</t>
  </si>
  <si>
    <t>ВОДОСТОЙКАЯ ТУШЬ ДЛЯ РЕСНИЦ С ЭФФЕКТОМ ОШЕЛОМИТЕЛЬНОГО ОБЪЁМА THE ONE - ЧЁРНЫЙ</t>
  </si>
  <si>
    <t>ЧЕХОЛ ДЛЯ МЫЛА</t>
  </si>
  <si>
    <t>ПОЛОТЕНЦЕ-ТЮРБАН ДЛЯ ВОЛОС</t>
  </si>
  <si>
    <t>КРИОМАССАЖЁР ДЛЯ ЛИЦА</t>
  </si>
  <si>
    <t>62</t>
  </si>
  <si>
    <t>КРЕМ ДЛЯ ЛИЦА WELLOSOPHY-РАЗГЛАЖИВАНИЕ И ОБНОВЛЕНИЕ</t>
  </si>
  <si>
    <t>ГЕЛЬ-СЫВОРОТКА ДЛЯ ЛИЦА WELLOSOPHY-ОМОЛОЖЕНИЕ И ВОССТАНОВЛЕНИЕ</t>
  </si>
  <si>
    <t>ОЧИЩАЮЩЕЕ СРЕДСТВО ДЛЯ ЛИЦА WELLOSOPHY-СИЯНИЕ И БАЛАНС</t>
  </si>
  <si>
    <t xml:space="preserve">МАСКА ДЛЯ ЛИЦА WELLOSOPHY - ОТШЕЛУШИВАНИЕ И ТОНИЗИРОВАНИЕ </t>
  </si>
  <si>
    <t>БАЗОВЫЙ НАБОР ДЛЯ УХОДА ЗА КОЖЕЙ WELLOSOPHY</t>
  </si>
  <si>
    <t>22</t>
  </si>
  <si>
    <t>82</t>
  </si>
  <si>
    <t>156</t>
  </si>
  <si>
    <t>130</t>
  </si>
  <si>
    <t>19</t>
  </si>
  <si>
    <t>4</t>
  </si>
  <si>
    <t>16</t>
  </si>
  <si>
    <t>8</t>
  </si>
  <si>
    <t>158</t>
  </si>
  <si>
    <t>14</t>
  </si>
  <si>
    <t>112</t>
  </si>
  <si>
    <t>36</t>
  </si>
  <si>
    <t>10</t>
  </si>
  <si>
    <t>162</t>
  </si>
  <si>
    <t>32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</si>
  <si>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</si>
  <si>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</si>
  <si>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</si>
  <si>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</si>
  <si>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</si>
  <si>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</si>
  <si>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</si>
  <si>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- ПЛЕНИТЕЛЬНАЯ ВИШНЯ</t>
  </si>
  <si>
    <t>СИЯЮЩАЯ ГУБНАЯ ПОМАДА ONCOLOUR - СИЯЮЩИЙ ПЕРСИК</t>
  </si>
  <si>
    <t xml:space="preserve">                                                                      - МЕРЦАЮЩИЙ РОЗОВЫЙ</t>
  </si>
  <si>
    <t xml:space="preserve">                                                                      - ИСКРИСТЫЙ ВИШНЕВЫЙ</t>
  </si>
  <si>
    <t xml:space="preserve">                                                                      - МАЛИНОВЫЙ ЛЕД</t>
  </si>
  <si>
    <t>МАТОВАЯ ПОМАДА ONCOLOUR - НЮДОВЫЙ БЕЖ</t>
  </si>
  <si>
    <t xml:space="preserve">                                                     - РОЗОВЫЙ КОРАЛЛ</t>
  </si>
  <si>
    <t xml:space="preserve">                                                     - РОЗОВАЯ ВСПЫШКА</t>
  </si>
  <si>
    <t xml:space="preserve">                                                     - МЯГКИЙ ПЕРСИК</t>
  </si>
  <si>
    <t>КРЕМОВАЯ ГУБНАЯ ПОМАДА ONCOLOUR FLIRTY - НЮДОВЫЙ ПИОН</t>
  </si>
  <si>
    <t xml:space="preserve">                                                                                  - РОЗОВАЯ ОРХИДЕЯ</t>
  </si>
  <si>
    <t xml:space="preserve">                                                                                  - КРАСНЫЙ ЛЕПЕСТОК</t>
  </si>
  <si>
    <t xml:space="preserve">                                                                                  - ПУРПУРНАЯ ОРХ</t>
  </si>
  <si>
    <t>МАТОВАЯ ПОМАДА ONCOLOUR - НЮД</t>
  </si>
  <si>
    <t xml:space="preserve">                                                  - АЛЫЙ</t>
  </si>
  <si>
    <t xml:space="preserve">                                                  - ФУКСИЯ</t>
  </si>
  <si>
    <t xml:space="preserve">                                                  - МАУВ</t>
  </si>
  <si>
    <t xml:space="preserve">                                                                                       - НЕЖНЫЙ РОЗОВЫЙ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</si>
  <si>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</si>
  <si>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</si>
  <si>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</si>
  <si>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</si>
  <si>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</si>
  <si>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</si>
  <si>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</si>
  <si>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</si>
  <si>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 xml:space="preserve">                                                                                      - ВПЕЧАТЛЯЮЩИЙ РОЗОВЫЙ</t>
  </si>
  <si>
    <t xml:space="preserve">                                                                                      - АЛЫЙ РУБИН</t>
  </si>
  <si>
    <t>БАЛЬЗАМ-МАСЛО ДЛЯ ГУБ WAUNT "РАЗГЛАЖИВАЮЩИЙ ЭФФЕКТ" - СВЕТЛЫЙ РОЗОВЫЙ</t>
  </si>
  <si>
    <t xml:space="preserve">     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</si>
  <si>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     - НЕЖНЫЙ ПЕРСИКОВЫЙ</t>
  </si>
  <si>
    <t>ВОДОСТОЙКАЯ ТУШЬ ДЛЯ РЕСНИЦ 5 В 1 THE ONE WONDERLASH - ЧЁРНЫЙ</t>
  </si>
  <si>
    <t>ТУШЬ ДЛЯ РЕСНИЦ С ЭФФЕКТОМ ОБЪЁМА THE ONE ЧЁРНЫЙ</t>
  </si>
  <si>
    <t>ДВУСТОРОННИЙ КАРАНДАШ ДЛЯ ГЛАЗ ONCOLOUR - СНЕГ И ГРАФИТ</t>
  </si>
  <si>
    <t xml:space="preserve">                                                                                 - МОККО И РОЗОВОЕ ЗОЛОТО</t>
  </si>
  <si>
    <t xml:space="preserve">                                                                                 - САПФИР И ОКЕАН</t>
  </si>
  <si>
    <t xml:space="preserve">                                                                                 - ПАЛЬМА И ОЛИВКА</t>
  </si>
  <si>
    <t>ТУШЬ ДЛЯ БРОВЕЙ THE ONE - КОРИЧНЕВЫЙ</t>
  </si>
  <si>
    <t xml:space="preserve">                                              - ТЁМНО-КОРИЧНЕВЫЙ</t>
  </si>
  <si>
    <t>КАРАНДАШ-ПОДВОДКА ДЛЯ ГЛАЗ THE ONE - ЧЁРНЫЙ</t>
  </si>
  <si>
    <t xml:space="preserve">                                                                      - СЕРЫЙ</t>
  </si>
  <si>
    <t xml:space="preserve">                                                                                                          - БРОНЗОВЫЙ ПЕСОК</t>
  </si>
  <si>
    <t>ЖИДКИЕ ТЕНИ ДЛЯ ВЕК THE ONE - МЕРЦАНИЕ ЗВЁЗД</t>
  </si>
  <si>
    <t xml:space="preserve">                                                         - МАГИЯ ЗОЛОТА</t>
  </si>
  <si>
    <t xml:space="preserve">                                                         - ВОЛШЕБНАЯ НОЧЬ</t>
  </si>
  <si>
    <t xml:space="preserve">                                                         - СНЕЖНОЕ СИЯНИЕ</t>
  </si>
  <si>
    <t xml:space="preserve">                                                                                                     - СРЕДНИЙ</t>
  </si>
  <si>
    <t xml:space="preserve">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</si>
  <si>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- СЛОНОВАЯ КОСТЬ (НЕЙТРАЛЬНЫЙ)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</si>
  <si>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</si>
  <si>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</si>
  <si>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</si>
  <si>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</si>
  <si>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</si>
  <si>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</si>
  <si>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</si>
  <si>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</si>
  <si>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- НАТУРАЛЬНЫЙ БЕЖ </t>
  </si>
  <si>
    <t>БАЗА ПОД МАКИЯЖ WAUNT "ВЫРАВНИВАЮЩИЙ ЭФФЕКТ"</t>
  </si>
  <si>
    <t xml:space="preserve">                                                  - ЧИЛИ</t>
  </si>
  <si>
    <t>ТУАЛЕТНАЯ ВОДА ECLAT AMOUR</t>
  </si>
  <si>
    <t>ТУАЛЕТНАЯ ВОДА JOYCE ROSE</t>
  </si>
  <si>
    <t>ТУАЛЕТНАЯ ВОДА JOYCE JADE</t>
  </si>
  <si>
    <t>ТУАЛЕТНАЯ ВОДА ECLAT FEMME WEEKEND</t>
  </si>
  <si>
    <t>ТУАЛЕТНАЯ ВОДА ELVIE</t>
  </si>
  <si>
    <t>ТУАЛЕТНАЯ ВОДА JOYCE TURQUOISE</t>
  </si>
  <si>
    <t>ПАРФЮМЕРНАЯ ВОДА VOLARE</t>
  </si>
  <si>
    <t>ПАРФЮМЕРНАЯ ВОДА POSSESS ABSOLUTE</t>
  </si>
  <si>
    <t>ЖЕНСКАЯ ПАРФЮМЕРНАЯ ВОДА NORDIC WATERS</t>
  </si>
  <si>
    <t>ТУАЛЕТНАЯ ВОДА OH! SWEET DULCE DE LECHE</t>
  </si>
  <si>
    <t>ПАРФЮМЕРНАЯ ВОДА LOVE POTION SENSUAL RUBY</t>
  </si>
  <si>
    <t>ТУАЛЕТНАЯ ВОДА ECLAT MADEMOISELLE</t>
  </si>
  <si>
    <t>ПАРФЮМЕРНАЯ ВОДА DIVINE DARK VELVET</t>
  </si>
  <si>
    <t>ТУАЛЕТНАЯ ВОДА MEN'S COLLECTION CITRUS TONIC</t>
  </si>
  <si>
    <t>ПАРФЮМЕРНАЯ ВОДА POSSESS THE SECRET MAN</t>
  </si>
  <si>
    <t>ТУАЛЕТНАЯ ВОДА ДЛЯ НЕГО ECLAT TOUJOURS</t>
  </si>
  <si>
    <t>МУЖСКАЯ ПАРФЮМЕРНАЯ ВОДА NORDIC WATERS</t>
  </si>
  <si>
    <t xml:space="preserve">ТУАЛЕТНАЯ ВОДА GLACIER EXTREME </t>
  </si>
  <si>
    <t>ТУАЛЕТНАЯ ВОДА SO FEVER ECSTATIC HIM</t>
  </si>
  <si>
    <t>ВОССТАНАВЛИВАЮЩАЯ МАСКА-СМУЗИ ДЛЯ ВОЛОС С ОРГАНИЧЕСКОЙ ПАПАЙЕЙ LOVE NATURE</t>
  </si>
  <si>
    <t>МАСКА-СМУЗИ ДЛЯ ВОЛОС С ОРГАНИЧЕСКИМ АВОКАДО LOVE NATURE</t>
  </si>
  <si>
    <t>УКРЕПЛЯЮЩАЯ МАСКА-СМУЗИ ДЛЯ ВОЛОС С ОРГАНИЧЕСКИМ БАНАНОМ LOVE NATURE</t>
  </si>
  <si>
    <t>ПРЕ-ШАМПУНЬ ДЛЯ ВОССТАНОВЛЕНИЯ ПОВРЕЖДЁННЫХ ВОЛОС DUOLOGI</t>
  </si>
  <si>
    <t>ГЕЛЬ ДЛЯ УКЛАДКИ DUOLOGI</t>
  </si>
  <si>
    <t>НОЧНАЯ СЫВОРОТКА ДЛЯ ВОССТАНОВЛЕНИЯ ПОВРЕЖДЁННЫХ ВОЛОС DUOLOGI</t>
  </si>
  <si>
    <t>СПЕЦИАЛЬНОЕ СМЯГЧАЮЩЕЕ СРЕДСТВО</t>
  </si>
  <si>
    <t>КРЕМ ДЛЯ ДУША WILD BLUEBERRY</t>
  </si>
  <si>
    <t>ОТШЕЛУШИВАЮЩЕЕ МЫЛО С МЯТОЙ И МАЛИНОЙ LOVE NATURE</t>
  </si>
  <si>
    <t>КРЕМ ДЛЯ ДУША CRANBERRY BLISS</t>
  </si>
  <si>
    <t>ГЕЛЬ ДЛЯ ДУША SPRINGTIME STROLL</t>
  </si>
  <si>
    <t>ГЕЛЬ ДЛЯ ДУША С ПИОНОМ SCENTS &amp; MOMENTS</t>
  </si>
  <si>
    <t>ТОНИЗИРУЮЩИЙ ГЕЛЬ ДЛЯ ДУША LOVE NATURE</t>
  </si>
  <si>
    <t>ГЕЛЬ ДЛЯ ДУША NEON VIBES</t>
  </si>
  <si>
    <t xml:space="preserve">МЫЛО BEYOUTIFUL </t>
  </si>
  <si>
    <t>КРЕМ ДЛЯ ДУША MILK &amp; HONEY GOLD </t>
  </si>
  <si>
    <t xml:space="preserve">КРЕМ-МЫЛО MILK &amp; HONEY GOLD </t>
  </si>
  <si>
    <t>ГЕЛЬ ДЛЯ ДУША С ОРГАНИЧЕСКИМ МАНГО LOVE NATURE</t>
  </si>
  <si>
    <t>ПАРФЮМИРОВАННЫЙ КРЕМ ДЛЯ ТЕЛА ECLAT FEMME WEEKEND</t>
  </si>
  <si>
    <t>ПАРФЮМИРОВАННЫЙ КРЕМ ДЛЯ ТЕЛА LOVE POTION SENSUAL RUBY</t>
  </si>
  <si>
    <t>ПАРФЮМИРОВАННЫЙ КРЕМ ДЛЯ ТЕЛА ALL OR NOTHING AMPLIFIED</t>
  </si>
  <si>
    <t>МАССАЖЁР ДЛЯ ТЕЛА И КОЖИ ГОЛОВЫ</t>
  </si>
  <si>
    <t>ШАРИКОВЫЙ ДЕЗОДОРАНТ-АНТИПЕРСПИРАНТ С УХАЖИВАЮЩИМ КОМПЛЕКСОМ ACTIVELLE</t>
  </si>
  <si>
    <t>ШАРИКОВЫЙ ДЕЗОДОРАНТ-АНТИПЕРСПИРАНТ NORTH FOR MEN SUBZERO</t>
  </si>
  <si>
    <t xml:space="preserve">ШАРИКОВЫЙ ДЕЗОДОРАНТ-АНТИПЕРСПИРАНТ MISS GIORDANI </t>
  </si>
  <si>
    <t xml:space="preserve">ШАРИКОВЫЙ ДЕЗОДОРАНТ-АНТИПЕРСПИРАНТ GLACIER </t>
  </si>
  <si>
    <t>ПЕРЧАТКИ ДЛЯ УХОДА ЗА КОЖЕЙ РУК (С СЕНСОРНОЙ ФУНКЦИЕЙ)</t>
  </si>
  <si>
    <t>КРЕМ ДЛЯ РУК LOVE MAGNET</t>
  </si>
  <si>
    <t>КРЕМ ДЛЯ РУК SPRINGTIME STROLL</t>
  </si>
  <si>
    <t>ЛОСЬОН ДЛЯ РУК И ТЕЛА NEON VIBES</t>
  </si>
  <si>
    <t>ЗАЩИТНЫЙ КРЕМ ДЛЯ РУК И НОГТЕЙ С ОРГАНИЧЕСКИМ ЭКСТРАКТОМ МАРАКУЙИ LOVE NATURE</t>
  </si>
  <si>
    <t xml:space="preserve">УВЛАЖНЯЮЩИЙ КРЕМ ДЛЯ РУК MILK &amp; HONEY GOLD </t>
  </si>
  <si>
    <t>ТОНИЗИРУЮЩИЙ КРЕМ ДЛЯ РУК С ЛИМОНОМ, ОРГАНИЧЕСКОЙ МОРКОВЬЮ И ИМБИРЁМ LOVE NATURE</t>
  </si>
  <si>
    <t xml:space="preserve">КРЕМ ДЛЯ РУК BEYOUTIFUL </t>
  </si>
  <si>
    <t>ЖИДКОЕ МЫЛО ДЛЯ РУК И ТЕЛА С ЛИМОНОМ И ВЕРБЕНОЙ ESSENSE &amp; CO.</t>
  </si>
  <si>
    <t>ЛОСЬОН ДЛЯ РУК И ТЕЛА С ЛИМОНОМ И ВЕРБЕНОЙ ESSENSE &amp; CO.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</si>
  <si>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</si>
  <si>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</si>
  <si>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ПИТАТЕЛЬНЫЙ КРЕМ ДЛЯ РУК И ТЕЛА MILK &amp; HONEY GOLD </t>
  </si>
  <si>
    <t>ИНСТРУМЕНТ ДЛЯ ОЧИСТКИ ЛИЦА</t>
  </si>
  <si>
    <t>НОЧНОЙ УВЛАЖНЯЮЩИЙ КРЕМ ДЛЯ НОГ FEET UP COMFORT</t>
  </si>
  <si>
    <t>ОСВЕЖАЮЩИЙ CПРЕЙ-ДЕЗОДОРАНТ ДЛЯ НОГ FEET UP COMFORT</t>
  </si>
  <si>
    <t>ГЕЛЕВЫЕ ПОДУШЕЧКИ ДЛЯ ЗАДНИКОВ ОБУВИ</t>
  </si>
  <si>
    <t>ПОДУШЕЧКИ ДЛЯ ОБУВИ</t>
  </si>
  <si>
    <t>НОЧНОЙ УВЛАЖНЯЮЩИЙ КРЕМ ДЛЯ НОГ FEET UP EVERYDAY</t>
  </si>
  <si>
    <t>ПИТАТЕЛЬНАЯ МАСКА ДЛЯ СТУПНЕЙ FEET UP EVERYDAY</t>
  </si>
  <si>
    <t>ПИЛКА ДЛЯ НОГ 4 В 1</t>
  </si>
  <si>
    <t>МУЛЬТИФУНКЦИОНАЛЬНЫЙ ЗАЩИТНЫЙ КРЕМ ДЛЯ ЛИЦА SPF 50 NOVAGE+ PROCEUTICALS</t>
  </si>
  <si>
    <t>КРЕМ ДЛЯ КОЖИ ВОКРУГ ГЛАЗ WAUNT "ЭФФЕКТ ВОССТАНОВЛЕНИЯ"</t>
  </si>
  <si>
    <t>ДНЕВНОЙ КРЕМ WAUNT "ДЗЕН-ЭФФЕКТ"</t>
  </si>
  <si>
    <t>НОЧНАЯ МАСКА ДЛЯ ЛИЦА WAUNT "ПИТАТЕЛЬНЫЙ ЭФФЕКТ"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</si>
  <si>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</si>
  <si>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</si>
  <si>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</si>
  <si>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</si>
  <si>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МЫЛО ДЛЯ ЛИЦА И ТЕЛА GLOW ESSENTIALS</t>
  </si>
  <si>
    <t>ЛЁГКИЙ УВЛАЖНЯЮЩИЙ КРЕМ ДЛЯ ЛИЦА OPTIMALS HYDRA RADIANCE</t>
  </si>
  <si>
    <t>НАСЫЩЕННЫЙ УВЛАЖНЯЮЩИЙ КРЕМ ДЛЯ ЛИЦА OPTIMALS HYDRA RADIANCE</t>
  </si>
  <si>
    <t xml:space="preserve">УНИВЕРСАЛЬНЫЙ КРЕМ ДЛЯ ЛИЦА 10 В 1 OPTIMALS С SPF 25 </t>
  </si>
  <si>
    <t>СКРЕБОК ГУАША ДЛЯ ЛИЦА</t>
  </si>
  <si>
    <t xml:space="preserve">ПОДТЯГИВАЮЩИЙ ДНЕВНОЙ КРЕМ SPF 20 ROYAL VELVET </t>
  </si>
  <si>
    <t>ПОДТЯГИВАЮЩИЙ НОЧНОЙ КРЕМ ROYAL VELVET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</si>
  <si>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</si>
  <si>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</si>
  <si>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СЫВОРОТКА-ПИЛИНГ ДЛЯ ОБНОВЛЕНИЯ КОЖИ С AHA-КИСЛОТАМИ NOVAGE PROCEUTICALS</t>
  </si>
  <si>
    <t>РОЛИКОВЫЙ МАССАЖЁР ДЛЯ ЛИЦА</t>
  </si>
  <si>
    <t>УВЛАЖНЯЮЩИЕ ПАТЧИ ДЛЯ ЛИЦА OPTIMALS</t>
  </si>
  <si>
    <t>ДВУСТОРОННЯЯ ЩЁТКА ДЛЯ ОЧИЩЕНИЯ ЛИЦА</t>
  </si>
  <si>
    <t>ОТШЕЛУШИВАЮЩИЕ ДИСКИ ДЛЯ ЛИЦА C AHA- И BHA-КИСЛОТАМИ NOVAGE+</t>
  </si>
  <si>
    <t>УВЛАЖНЯЮЩИЙ ГЕЛЬ ПОСЛЕ БРИТЬЯ NORTH FOR MEN SUBZERO</t>
  </si>
  <si>
    <t>ПЕНА ДЛЯ БРИТЬЯ И УМЫВАНИЯ 2 В 1 NORTH FOR MEN SUBZERO</t>
  </si>
  <si>
    <t>КИСТИ, СПОНЖИ, ТОЧИЛКИ</t>
  </si>
  <si>
    <t>ТУАЛЕТНАЯ ВОДА ECLAT HOMME (ПРОБНИК)</t>
  </si>
  <si>
    <t>ТУАЛЕТНАЯ ВОДА BE THE LEGEND (ПРОБНИК)</t>
  </si>
  <si>
    <t>ТУАЛЕТНАЯ ВОДА ECLAT TOUJOURS (ПРОБНИК)</t>
  </si>
  <si>
    <t>ПАРФЮМЕРНАЯ ВОДА GIORDANI GOLD WOMAN (ПРОБНИК)</t>
  </si>
  <si>
    <t>МУЛЬТИФУНКЦИОНАЛЬНЫЙ СС-КРЕМ GG SPF 30 - СВЕТЛЫЙ (ПРОБНИК)</t>
  </si>
  <si>
    <t xml:space="preserve">                                                                             - ЕСТЕСТВЕННЫЙ (ПРОБНИК)</t>
  </si>
  <si>
    <t>ТУАЛЕТНАЯ ВОДА EXCITE FOR HIM (ПРОБНИК)</t>
  </si>
  <si>
    <t>ТУАЛЕТНАЯ ВОДА SCOPE TIME LOOP (ПРОБНИК)</t>
  </si>
  <si>
    <t>ТОНАЛЬНАЯ ОСНОВА С ЭФФЕКТОМ СИЯНИЯ THE ONE - НЕЙТРАЛЬНЫЙ ВАНИЛЬНЫЙ (ПРОБНИК)</t>
  </si>
  <si>
    <t xml:space="preserve">                                                                                     - СЛОНОВАЯ КОСТЬ (ПРОБНИК)</t>
  </si>
  <si>
    <t xml:space="preserve">                                                                                     - ТЁПЛЫЙ БЕЖ (ПРОБНИК)</t>
  </si>
  <si>
    <t>ЖЕНСКАЯ ПАРФЮМЕРНАЯ ВОДА NORDIC WATERS INFINITE BLUE (ПРОБНИК)</t>
  </si>
  <si>
    <t>ПАРФЮМИРОВАННАЯ ВОДА MISTER GIORDANI RESTAGE EDP VIAL (ПРОБНИК)</t>
  </si>
  <si>
    <t>44288</t>
  </si>
  <si>
    <t>43244</t>
  </si>
  <si>
    <t>45138</t>
  </si>
  <si>
    <t>45139</t>
  </si>
  <si>
    <t>46047</t>
  </si>
  <si>
    <t>46801</t>
  </si>
  <si>
    <t>ТУАЛЕТНАЯ ВОДА ASCENDANT</t>
  </si>
  <si>
    <t xml:space="preserve">СИЯЮЩАЯ ТОНАЛЬНАЯ ОСНОВА GIORDANI GOLD SPF 25 -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</si>
  <si>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</si>
  <si>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</si>
  <si>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>ТОНАЛЬНАЯ ОСНОВА-АНТИСТРЕСС THE ONE - СВЕТЛЫЙ БЕЖ</t>
  </si>
  <si>
    <t xml:space="preserve">                                                                       - ТЁПЛЫЙ БЕЖ</t>
  </si>
  <si>
    <t>ПАРФЮМЕРНАЯ ВОДА LOVE POTION CHERRY ON TOP</t>
  </si>
  <si>
    <t xml:space="preserve">ТУАЛЕТНАЯ ВОДА DIVINE DARK VELVET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</si>
  <si>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</si>
  <si>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</si>
  <si>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</si>
  <si>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</si>
  <si>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</si>
  <si>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</si>
  <si>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</si>
  <si>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КРЕМОВАЯ ПОМАДА В МИНИ-ФОРМАТЕ ONCOLOUR - МЯГКАЯ КОРИЦА</t>
  </si>
  <si>
    <t xml:space="preserve">                                                                                       - ПЕРСИКОВЫЙ НЮД</t>
  </si>
  <si>
    <t xml:space="preserve">                                                                                       - ПЫЛЬНЫЙ ЛИЛОВЫЙ</t>
  </si>
  <si>
    <t>СТОЙКИЙ МАРКЕР ДЛЯ ГУБ THE ONE STAIN &amp; STAY - НЮД</t>
  </si>
  <si>
    <t xml:space="preserve">                                                                                      - ДЫНЯ</t>
  </si>
  <si>
    <t xml:space="preserve">                                                                                      - РОЗА</t>
  </si>
  <si>
    <t xml:space="preserve">                                                                                      - ЧИЛИ</t>
  </si>
  <si>
    <t xml:space="preserve">                                                                                      - ВИШНЯ</t>
  </si>
  <si>
    <t xml:space="preserve">                                                                                      - ТЕРРАКОТА</t>
  </si>
  <si>
    <t>СУПЕРТУШЬ ДЛЯ РЕСНИЦ GIORDANI GOLD - ЧЁРНЫЙ</t>
  </si>
  <si>
    <t>ТУШЬ ДЛЯ РЕСНИЦ 360 С ЭФФЕКТОМ ПОДКРУЧИВАНИЯ THE ONE - ЧЁРНЫЙ</t>
  </si>
  <si>
    <t>СТОЙКИЕ МАТОВЫЕ ЖИДКИЕ ТЕНИ ДЛЯ ВЕК THE ONE - ПЕСОЧНЫЙ</t>
  </si>
  <si>
    <t xml:space="preserve">                                                                                      - БРОНЗОВЫЙ</t>
  </si>
  <si>
    <t xml:space="preserve">                                                                                      - ЭСПРЕССО</t>
  </si>
  <si>
    <t>ПУДРОВЫЕ ТЕНИ ДЛЯ БРОВЕЙ THE ONE - СВЕТЛЫЙ КОРИЧНЕВЫЙ</t>
  </si>
  <si>
    <t xml:space="preserve">                                                                   - СРЕДНИЙ КОРИЧНЕВЫЙ</t>
  </si>
  <si>
    <t>ТУАЛЕТНАЯ ВОДА ECLAT HOMME</t>
  </si>
  <si>
    <t>ЖЕНСКИЕ ДУХИ GIORDANI GOLD ESSENZA</t>
  </si>
  <si>
    <t> МЫЛО MILK &amp; HONEY GOLD - МАГНОЛИЯ</t>
  </si>
  <si>
    <t>ЖИДКОЕ МЫЛО ДЛЯ РУК И ТЕЛА MILK &amp; HONEY GOLD - МАГНОЛИЯ</t>
  </si>
  <si>
    <t>ЭПИЛЯТОР-ПРУЖИНКА ДЛЯ ЛИЦА</t>
  </si>
  <si>
    <t>предложение со стр. 20</t>
  </si>
  <si>
    <t>ЦЕНА 299 РУБ. ПРИ ЗАКАЗЕ ЛЮБОЙ ВОДОСТОЙКОЙ ТУШИ ДЛЯ РЕСНИЦ THE ONE СО СТР. 21-27 (42273, 42120, 48650, 44655)</t>
  </si>
  <si>
    <t>ЦЕНА 7399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</si>
  <si>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31</t>
  </si>
  <si>
    <t>ЦЕНА 8649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</si>
  <si>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32</t>
  </si>
  <si>
    <t>ЦЕНА 8049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</si>
  <si>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33</t>
  </si>
  <si>
    <t>предложение со стр. 34</t>
  </si>
  <si>
    <t>предложение со стр. 35</t>
  </si>
  <si>
    <t>предложение со стр. 65-69</t>
  </si>
  <si>
    <t>ЦЕНА 3249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</si>
  <si>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ЦЕНА 3999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</si>
  <si>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ЦЕНА 1449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</si>
  <si>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ЦЕНА 3099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</si>
  <si>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73</t>
  </si>
  <si>
    <t>ЦЕНА 999 РУБ. ПРИ ЗАКАЗЕ НА СУММУ 500 РУБ. СО СТР. 74-103</t>
  </si>
  <si>
    <t>ЦЕНА 1499 РУБ. ПРИ ЗАКАЗЕ НА СУММУ 500 РУБ. СО СТР. 74-103</t>
  </si>
  <si>
    <t>предложение со стр. 91</t>
  </si>
  <si>
    <t xml:space="preserve">                                                                             - РОЗОВОЕ ШАМПАНСКОЕ</t>
  </si>
  <si>
    <t xml:space="preserve">                                                                             - СВЕЖИЙ КЛЕВЕР</t>
  </si>
  <si>
    <t xml:space="preserve">                                                                             - МАНЯЩАЯ МАЛИНА</t>
  </si>
  <si>
    <t xml:space="preserve">                                                                             - ВИШНЁВЫЙ ЛЕДЕНЕЦ</t>
  </si>
  <si>
    <t xml:space="preserve">                                                                             - ВИННЫЕ ИСКРЫ</t>
  </si>
  <si>
    <t>ПРИ ПОКУПКЕ ЛЮБЫХ ДВУХ ОТТЕНКОВ ПОМАДЫ ЦЕНА КАЖДОГО 399 РУБ.</t>
  </si>
  <si>
    <t>предложение со стр. 159</t>
  </si>
  <si>
    <t>ЦЕНА 1499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</si>
  <si>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161</t>
  </si>
  <si>
    <t>ЦЕНА 1599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</si>
  <si>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предложение со стр. 163</t>
  </si>
  <si>
    <t xml:space="preserve">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</si>
  <si>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</si>
  <si>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</si>
  <si>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</si>
  <si>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</si>
  <si>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</si>
  <si>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</si>
  <si>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- НАТУРАЛЬНЫЙ БЕЖ </t>
  </si>
  <si>
    <t>ЦЕНА 699 РУБ. ПРИ ЗАКАЗЕ НА 3000 РУБ. ИЗ ЭТОГО КАТАЛОГА ИЛИ НА САЙТЕ В ПЕРИОД ДЕЙСТВИЯ КАТАЛОГА (КРОМЕ ПРОДУКТОВ-УЧАСТНИКОВ АКЦИЙ 38838, 38836, 45307, 45306, 40745, 37290, 37289, 37285, 29699, 42499, 38556, 46906, 46907, 46908, 46909, 46910, 46911, 46912, 46913, 46914, 44480, 45923, 45595, 43691, 45590, 45608)</t>
  </si>
  <si>
    <t>46897</t>
  </si>
  <si>
    <t>48552</t>
  </si>
  <si>
    <t>48915</t>
  </si>
  <si>
    <t>48918</t>
  </si>
  <si>
    <t>45149</t>
  </si>
  <si>
    <t>45152</t>
  </si>
  <si>
    <t>47847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</si>
  <si>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</si>
  <si>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</si>
  <si>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</si>
  <si>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</si>
  <si>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</si>
  <si>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</si>
  <si>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</si>
  <si>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</si>
  <si>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39091</t>
  </si>
  <si>
    <t>39092</t>
  </si>
  <si>
    <t>39093</t>
  </si>
  <si>
    <t>39094</t>
  </si>
  <si>
    <t>39802</t>
  </si>
  <si>
    <t>39803</t>
  </si>
  <si>
    <t>39915</t>
  </si>
  <si>
    <t>39916</t>
  </si>
  <si>
    <t>39917</t>
  </si>
  <si>
    <t>39918</t>
  </si>
  <si>
    <t>40738</t>
  </si>
  <si>
    <t>40739</t>
  </si>
  <si>
    <t>40740</t>
  </si>
  <si>
    <t>40741</t>
  </si>
  <si>
    <t>46440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</si>
  <si>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</si>
  <si>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</si>
  <si>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</si>
  <si>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</si>
  <si>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</si>
  <si>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</si>
  <si>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</si>
  <si>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</si>
  <si>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47180</t>
  </si>
  <si>
    <t>47181</t>
  </si>
  <si>
    <t>47182</t>
  </si>
  <si>
    <t>42120</t>
  </si>
  <si>
    <t>46896</t>
  </si>
  <si>
    <t>46969</t>
  </si>
  <si>
    <t>41367</t>
  </si>
  <si>
    <t>41368</t>
  </si>
  <si>
    <t>41369</t>
  </si>
  <si>
    <t>41370</t>
  </si>
  <si>
    <t>43206</t>
  </si>
  <si>
    <t>47704</t>
  </si>
  <si>
    <t>46352</t>
  </si>
  <si>
    <t>47189</t>
  </si>
  <si>
    <t>47190</t>
  </si>
  <si>
    <t>47191</t>
  </si>
  <si>
    <t>47192</t>
  </si>
  <si>
    <t>42239</t>
  </si>
  <si>
    <t>42240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</si>
  <si>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</si>
  <si>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</si>
  <si>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</si>
  <si>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</si>
  <si>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</si>
  <si>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</si>
  <si>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</si>
  <si>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</si>
  <si>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40670</t>
  </si>
  <si>
    <t>38987</t>
  </si>
  <si>
    <t>35649</t>
  </si>
  <si>
    <t>37772</t>
  </si>
  <si>
    <t>42499</t>
  </si>
  <si>
    <t>42502</t>
  </si>
  <si>
    <t>42508</t>
  </si>
  <si>
    <t>42514</t>
  </si>
  <si>
    <t>42968</t>
  </si>
  <si>
    <t>43122</t>
  </si>
  <si>
    <t>46217</t>
  </si>
  <si>
    <t>47513</t>
  </si>
  <si>
    <t>30058</t>
  </si>
  <si>
    <t>33650</t>
  </si>
  <si>
    <t>38550</t>
  </si>
  <si>
    <t>41312</t>
  </si>
  <si>
    <t>43154</t>
  </si>
  <si>
    <t>43661</t>
  </si>
  <si>
    <t>46984</t>
  </si>
  <si>
    <t>46985</t>
  </si>
  <si>
    <t>47262</t>
  </si>
  <si>
    <t>12760</t>
  </si>
  <si>
    <t>35861</t>
  </si>
  <si>
    <t>41277</t>
  </si>
  <si>
    <t>43119</t>
  </si>
  <si>
    <t>44357</t>
  </si>
  <si>
    <t>44589</t>
  </si>
  <si>
    <t>46370</t>
  </si>
  <si>
    <t>46620</t>
  </si>
  <si>
    <t>46638</t>
  </si>
  <si>
    <t>46970</t>
  </si>
  <si>
    <t>46971</t>
  </si>
  <si>
    <t>46987</t>
  </si>
  <si>
    <t>47014</t>
  </si>
  <si>
    <t>47019</t>
  </si>
  <si>
    <t>47020</t>
  </si>
  <si>
    <t>47790</t>
  </si>
  <si>
    <t>33139</t>
  </si>
  <si>
    <t>46633</t>
  </si>
  <si>
    <t>47759</t>
  </si>
  <si>
    <t>47763</t>
  </si>
  <si>
    <t>37607</t>
  </si>
  <si>
    <t>42469</t>
  </si>
  <si>
    <t>44354</t>
  </si>
  <si>
    <t>46621</t>
  </si>
  <si>
    <t>47202</t>
  </si>
  <si>
    <t>47224</t>
  </si>
  <si>
    <t>46372</t>
  </si>
  <si>
    <t>46637</t>
  </si>
  <si>
    <t>46642</t>
  </si>
  <si>
    <t>46643</t>
  </si>
  <si>
    <t>47328</t>
  </si>
  <si>
    <t>47329</t>
  </si>
  <si>
    <t>46968</t>
  </si>
  <si>
    <t>26825</t>
  </si>
  <si>
    <t>32370</t>
  </si>
  <si>
    <t>32372</t>
  </si>
  <si>
    <t>41247</t>
  </si>
  <si>
    <t>41249</t>
  </si>
  <si>
    <t>46373</t>
  </si>
  <si>
    <t>46377</t>
  </si>
  <si>
    <t>47671</t>
  </si>
  <si>
    <t>41059</t>
  </si>
  <si>
    <t>41353</t>
  </si>
  <si>
    <t>41373</t>
  </si>
  <si>
    <t>42548</t>
  </si>
  <si>
    <t>42549</t>
  </si>
  <si>
    <t>42550</t>
  </si>
  <si>
    <t>42551</t>
  </si>
  <si>
    <t>43909</t>
  </si>
  <si>
    <t>46661</t>
  </si>
  <si>
    <t>47005</t>
  </si>
  <si>
    <t>47006</t>
  </si>
  <si>
    <t>47102</t>
  </si>
  <si>
    <t>47103</t>
  </si>
  <si>
    <t>47104</t>
  </si>
  <si>
    <t>47434</t>
  </si>
  <si>
    <t>47437</t>
  </si>
  <si>
    <t>47519</t>
  </si>
  <si>
    <t>48678</t>
  </si>
  <si>
    <t>46149</t>
  </si>
  <si>
    <t>46632</t>
  </si>
  <si>
    <t>38535</t>
  </si>
  <si>
    <t>45636</t>
  </si>
  <si>
    <t>45637</t>
  </si>
  <si>
    <t>45639</t>
  </si>
  <si>
    <t>46106</t>
  </si>
  <si>
    <t>46107</t>
  </si>
  <si>
    <t>47207</t>
  </si>
  <si>
    <t>47583</t>
  </si>
  <si>
    <t>46394</t>
  </si>
  <si>
    <t>46395</t>
  </si>
  <si>
    <t>46396</t>
  </si>
  <si>
    <t>46397</t>
  </si>
  <si>
    <t>46398</t>
  </si>
  <si>
    <t>46611</t>
  </si>
  <si>
    <t>46612</t>
  </si>
  <si>
    <t>46613</t>
  </si>
  <si>
    <t>46888</t>
  </si>
  <si>
    <t>46889</t>
  </si>
  <si>
    <t>46890</t>
  </si>
  <si>
    <t>46891</t>
  </si>
  <si>
    <t>46892</t>
  </si>
  <si>
    <t>46893</t>
  </si>
  <si>
    <t>42823</t>
  </si>
  <si>
    <t>46549</t>
  </si>
  <si>
    <t>46569</t>
  </si>
  <si>
    <t>46570</t>
  </si>
  <si>
    <t>46571</t>
  </si>
  <si>
    <t>47481</t>
  </si>
  <si>
    <t>47482</t>
  </si>
  <si>
    <t>42864</t>
  </si>
  <si>
    <t>47538</t>
  </si>
  <si>
    <t>47537</t>
  </si>
  <si>
    <t>47518</t>
  </si>
  <si>
    <t>47885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</si>
</sst>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1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Tahoma"/>
      <family val="2"/>
      <charset val="204"/>
    </font>
    <font>
      <b/>
      <sz val="11"/>
      <color theme="1" tint="4.9989318521683403E-2"/>
      <name val="Tahoma"/>
      <family val="2"/>
      <charset val="204"/>
    </font>
    <font>
      <b/>
      <sz val="11"/>
      <color indexed="8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indexed="8"/>
      <name val="Tahoma"/>
      <family val="2"/>
    </font>
    <font>
      <b/>
      <sz val="11"/>
      <color rgb="FF0070C0"/>
      <name val="Tahoma"/>
      <family val="2"/>
    </font>
    <font>
      <b/>
      <sz val="11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02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9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10" fontId="3" fillId="0" borderId="0" xfId="3" applyNumberFormat="1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3" fillId="4" borderId="6" xfId="3" applyFont="1" applyFill="1" applyBorder="1" applyAlignment="1">
      <alignment horizontal="center" vertical="center"/>
    </xf>
    <xf numFmtId="0" fontId="3" fillId="4" borderId="7" xfId="3" applyFont="1" applyFill="1" applyBorder="1" applyAlignment="1">
      <alignment horizontal="center" vertical="center"/>
    </xf>
    <xf numFmtId="9" fontId="3" fillId="4" borderId="7" xfId="2" applyNumberFormat="1" applyFont="1" applyFill="1" applyBorder="1" applyAlignment="1">
      <alignment horizontal="center" vertical="center"/>
    </xf>
    <xf numFmtId="1" fontId="3" fillId="4" borderId="7" xfId="2" applyNumberFormat="1" applyFont="1" applyFill="1" applyBorder="1" applyAlignment="1">
      <alignment horizontal="center" vertical="center"/>
    </xf>
    <xf numFmtId="2" fontId="3" fillId="4" borderId="7" xfId="2" applyNumberFormat="1" applyFont="1" applyFill="1" applyBorder="1" applyAlignment="1">
      <alignment horizontal="center" vertical="center"/>
    </xf>
    <xf numFmtId="0" fontId="3" fillId="4" borderId="7" xfId="2" applyFont="1" applyFill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7" fillId="0" borderId="1" xfId="0" applyFont="1" applyBorder="1" applyAlignment="1">
      <alignment vertical="center"/>
    </xf>
    <xf numFmtId="3" fontId="2" fillId="0" borderId="1" xfId="2" applyNumberFormat="1" applyFont="1" applyBorder="1" applyAlignment="1">
      <alignment horizontal="center" vertical="center"/>
    </xf>
    <xf numFmtId="164" fontId="2" fillId="6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2" applyFont="1" applyBorder="1" applyAlignment="1">
      <alignment horizontal="left" vertical="center"/>
    </xf>
    <xf numFmtId="0" fontId="9" fillId="0" borderId="1" xfId="0" applyFont="1" applyBorder="1"/>
    <xf numFmtId="0" fontId="8" fillId="0" borderId="1" xfId="2" applyFont="1" applyBorder="1" applyAlignment="1">
      <alignment horizontal="left" vertical="center"/>
    </xf>
    <xf numFmtId="9" fontId="2" fillId="0" borderId="1" xfId="2" applyNumberFormat="1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2" fontId="3" fillId="4" borderId="8" xfId="2" applyNumberFormat="1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2" fillId="4" borderId="1" xfId="1" applyNumberFormat="1" applyFont="1" applyFill="1" applyBorder="1" applyAlignment="1">
      <alignment horizontal="center" vertical="center" wrapText="1"/>
    </xf>
    <xf numFmtId="0" fontId="3" fillId="4" borderId="6" xfId="3" applyFont="1" applyFill="1" applyBorder="1" applyAlignment="1">
      <alignment horizontal="left" vertical="center"/>
    </xf>
    <xf numFmtId="9" fontId="7" fillId="0" borderId="1" xfId="2" applyNumberFormat="1" applyFont="1" applyBorder="1" applyAlignment="1">
      <alignment horizontal="left" vertical="center"/>
    </xf>
    <xf numFmtId="0" fontId="2" fillId="5" borderId="9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0" xfId="2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9" fontId="7" fillId="0" borderId="4" xfId="2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center"/>
    </xf>
    <xf numFmtId="0" fontId="14" fillId="0" borderId="1" xfId="2" applyFont="1" applyBorder="1" applyAlignment="1">
      <alignment vertic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/>
    </xf>
    <xf numFmtId="9" fontId="2" fillId="0" borderId="12" xfId="2" applyNumberFormat="1" applyFont="1" applyBorder="1" applyAlignment="1">
      <alignment horizontal="center" vertical="center"/>
    </xf>
    <xf numFmtId="1" fontId="2" fillId="0" borderId="12" xfId="2" applyNumberFormat="1" applyFont="1" applyBorder="1" applyAlignment="1">
      <alignment horizontal="center" vertical="center"/>
    </xf>
    <xf numFmtId="0" fontId="8" fillId="0" borderId="13" xfId="2" applyFont="1" applyBorder="1" applyAlignment="1">
      <alignment vertical="center"/>
    </xf>
    <xf numFmtId="0" fontId="3" fillId="0" borderId="12" xfId="2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3" fontId="2" fillId="0" borderId="14" xfId="2" applyNumberFormat="1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5" xfId="2" applyFont="1" applyBorder="1" applyAlignment="1">
      <alignment vertical="center"/>
    </xf>
    <xf numFmtId="0" fontId="2" fillId="0" borderId="11" xfId="2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3" fontId="15" fillId="4" borderId="1" xfId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2" fillId="0" borderId="1" xfId="2" applyFont="1" applyBorder="1" applyAlignment="1">
      <alignment vertical="center"/>
    </xf>
    <xf numFmtId="0" fontId="16" fillId="0" borderId="1" xfId="0" applyFont="1" applyBorder="1" applyAlignment="1">
      <alignment horizontal="center" vertical="top" wrapText="1"/>
    </xf>
    <xf numFmtId="0" fontId="7" fillId="0" borderId="13" xfId="2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17" fillId="0" borderId="1" xfId="0" applyFont="1" applyBorder="1" applyAlignment="1">
      <alignment horizontal="center" vertical="top" wrapText="1"/>
    </xf>
    <xf numFmtId="0" fontId="0" fillId="0" borderId="1" xfId="0" applyBorder="1"/>
  </cellXfs>
  <cellStyles count="5">
    <cellStyle name="Comma" xfId="1" builtinId="3"/>
    <cellStyle name="Normal" xfId="0" builtinId="0"/>
    <cellStyle name="Normal_Version 1" xfId="2" xr:uid="{00000000-0005-0000-0000-000002000000}"/>
    <cellStyle name="Обычный 2" xfId="3" xr:uid="{00000000-0005-0000-0000-000003000000}"/>
    <cellStyle name="Финансовый 2" xfId="4" xr:uid="{00000000-0005-0000-0000-000004000000}"/>
  </cellStyles>
  <dxfs count="10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AA70E12D-B71D-4E97-92D1-686A6C77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FF0ECE89-E933-4B8E-84CC-172AF3B7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6357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DD50F26C-CF5B-4961-894D-B022C2F6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211FA7C-E843-4A99-86AC-187329594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0355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94744668-1D4E-4CAD-8475-A7CDF707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FB5C385A-E35E-4675-942C-CAE33811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577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CB07F495-1703-4BC9-AEE0-8C6C31B6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7467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B4551874-8959-4088-AEEA-5562CA81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7467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0" name="Picture 2217" descr="_">
          <a:extLst>
            <a:ext uri="{FF2B5EF4-FFF2-40B4-BE49-F238E27FC236}">
              <a16:creationId xmlns:a16="http://schemas.microsoft.com/office/drawing/2014/main" id="{F8A5E441-DC41-4CD0-ACFE-8048A3FEA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68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1" name="Picture 2218" descr="_">
          <a:extLst>
            <a:ext uri="{FF2B5EF4-FFF2-40B4-BE49-F238E27FC236}">
              <a16:creationId xmlns:a16="http://schemas.microsoft.com/office/drawing/2014/main" id="{5C01DD02-8D59-4C54-B3B0-40286E78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68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2" name="Picture 2217" descr="_">
          <a:extLst>
            <a:ext uri="{FF2B5EF4-FFF2-40B4-BE49-F238E27FC236}">
              <a16:creationId xmlns:a16="http://schemas.microsoft.com/office/drawing/2014/main" id="{02A2E155-3B33-4FDD-9EB1-823B9F88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35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3" name="Picture 2218" descr="_">
          <a:extLst>
            <a:ext uri="{FF2B5EF4-FFF2-40B4-BE49-F238E27FC236}">
              <a16:creationId xmlns:a16="http://schemas.microsoft.com/office/drawing/2014/main" id="{E54E8F23-7B29-410B-A4DC-B99572D2E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35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4" name="Picture 2217" descr="_">
          <a:extLst>
            <a:ext uri="{FF2B5EF4-FFF2-40B4-BE49-F238E27FC236}">
              <a16:creationId xmlns:a16="http://schemas.microsoft.com/office/drawing/2014/main" id="{13E311C3-72D0-4A2A-8754-F82F4828B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257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5" name="Picture 2218" descr="_">
          <a:extLst>
            <a:ext uri="{FF2B5EF4-FFF2-40B4-BE49-F238E27FC236}">
              <a16:creationId xmlns:a16="http://schemas.microsoft.com/office/drawing/2014/main" id="{D3491518-3CB7-406C-B54F-0404F694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257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6" name="Picture 2217" descr="_">
          <a:extLst>
            <a:ext uri="{FF2B5EF4-FFF2-40B4-BE49-F238E27FC236}">
              <a16:creationId xmlns:a16="http://schemas.microsoft.com/office/drawing/2014/main" id="{567E5893-9E8F-456D-AD88-E3A8B20A6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7018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17" name="Picture 2218" descr="_">
          <a:extLst>
            <a:ext uri="{FF2B5EF4-FFF2-40B4-BE49-F238E27FC236}">
              <a16:creationId xmlns:a16="http://schemas.microsoft.com/office/drawing/2014/main" id="{741F456D-19E8-49F9-BEC1-452B15666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7018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8" name="Picture 2217" descr="_">
          <a:extLst>
            <a:ext uri="{FF2B5EF4-FFF2-40B4-BE49-F238E27FC236}">
              <a16:creationId xmlns:a16="http://schemas.microsoft.com/office/drawing/2014/main" id="{48D9B911-EE80-49C9-9C12-F80055A2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52400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19" name="Picture 2218" descr="_">
          <a:extLst>
            <a:ext uri="{FF2B5EF4-FFF2-40B4-BE49-F238E27FC236}">
              <a16:creationId xmlns:a16="http://schemas.microsoft.com/office/drawing/2014/main" id="{3F3F676F-1FCD-4F6E-B537-B41D17D10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52400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0" name="Picture 2217" descr="_">
          <a:extLst>
            <a:ext uri="{FF2B5EF4-FFF2-40B4-BE49-F238E27FC236}">
              <a16:creationId xmlns:a16="http://schemas.microsoft.com/office/drawing/2014/main" id="{B0525606-0322-48CD-B4B6-AF773FE6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603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1" name="Picture 2218" descr="_">
          <a:extLst>
            <a:ext uri="{FF2B5EF4-FFF2-40B4-BE49-F238E27FC236}">
              <a16:creationId xmlns:a16="http://schemas.microsoft.com/office/drawing/2014/main" id="{576E4374-F726-4DD3-AAD1-81D0EA59B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603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2" name="Picture 2217" descr="_">
          <a:extLst>
            <a:ext uri="{FF2B5EF4-FFF2-40B4-BE49-F238E27FC236}">
              <a16:creationId xmlns:a16="http://schemas.microsoft.com/office/drawing/2014/main" id="{F15822F1-BAA4-4938-8895-54C98F92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419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3" name="Picture 2218" descr="_">
          <a:extLst>
            <a:ext uri="{FF2B5EF4-FFF2-40B4-BE49-F238E27FC236}">
              <a16:creationId xmlns:a16="http://schemas.microsoft.com/office/drawing/2014/main" id="{187C87D1-CF66-44FE-83DA-B6D7D1B15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419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4" name="Picture 2217" descr="_">
          <a:extLst>
            <a:ext uri="{FF2B5EF4-FFF2-40B4-BE49-F238E27FC236}">
              <a16:creationId xmlns:a16="http://schemas.microsoft.com/office/drawing/2014/main" id="{914FEBD9-A8B6-495E-B6E0-F36F98F46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914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15875</xdr:colOff>
      <xdr:row>2</xdr:row>
      <xdr:rowOff>111125</xdr:rowOff>
    </xdr:to>
    <xdr:pic>
      <xdr:nvPicPr>
        <xdr:cNvPr id="25" name="Picture 2218" descr="_">
          <a:extLst>
            <a:ext uri="{FF2B5EF4-FFF2-40B4-BE49-F238E27FC236}">
              <a16:creationId xmlns:a16="http://schemas.microsoft.com/office/drawing/2014/main" id="{171CB1D8-4D50-47E9-BE28-E92642910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914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6" name="Picture 2217" descr="_">
          <a:extLst>
            <a:ext uri="{FF2B5EF4-FFF2-40B4-BE49-F238E27FC236}">
              <a16:creationId xmlns:a16="http://schemas.microsoft.com/office/drawing/2014/main" id="{7FE16A4B-2162-4723-8DA5-BD0A2D0A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730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15240</xdr:colOff>
      <xdr:row>2</xdr:row>
      <xdr:rowOff>109855</xdr:rowOff>
    </xdr:to>
    <xdr:pic>
      <xdr:nvPicPr>
        <xdr:cNvPr id="27" name="Picture 2218" descr="_">
          <a:extLst>
            <a:ext uri="{FF2B5EF4-FFF2-40B4-BE49-F238E27FC236}">
              <a16:creationId xmlns:a16="http://schemas.microsoft.com/office/drawing/2014/main" id="{385E6320-81D5-41E2-B83C-A7E86B76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730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28" name="Picture 2217" descr="_">
          <a:extLst>
            <a:ext uri="{FF2B5EF4-FFF2-40B4-BE49-F238E27FC236}">
              <a16:creationId xmlns:a16="http://schemas.microsoft.com/office/drawing/2014/main" id="{8D762D8F-0F5E-4950-8787-BDD2F0C0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6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29" name="Picture 2218" descr="_">
          <a:extLst>
            <a:ext uri="{FF2B5EF4-FFF2-40B4-BE49-F238E27FC236}">
              <a16:creationId xmlns:a16="http://schemas.microsoft.com/office/drawing/2014/main" id="{8875CBFF-3124-475D-A197-6433198E9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69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30" name="Picture 2217" descr="_">
          <a:extLst>
            <a:ext uri="{FF2B5EF4-FFF2-40B4-BE49-F238E27FC236}">
              <a16:creationId xmlns:a16="http://schemas.microsoft.com/office/drawing/2014/main" id="{AC0B3646-0134-48EB-92D7-C557E4EF0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2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31" name="Picture 2218" descr="_">
          <a:extLst>
            <a:ext uri="{FF2B5EF4-FFF2-40B4-BE49-F238E27FC236}">
              <a16:creationId xmlns:a16="http://schemas.microsoft.com/office/drawing/2014/main" id="{BADB72AC-B57E-43F7-AE15-3D01954B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27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32" name="Picture 2217" descr="_">
          <a:extLst>
            <a:ext uri="{FF2B5EF4-FFF2-40B4-BE49-F238E27FC236}">
              <a16:creationId xmlns:a16="http://schemas.microsoft.com/office/drawing/2014/main" id="{AC3AD222-0355-495E-BEC6-9674665A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3718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33" name="Picture 2218" descr="_">
          <a:extLst>
            <a:ext uri="{FF2B5EF4-FFF2-40B4-BE49-F238E27FC236}">
              <a16:creationId xmlns:a16="http://schemas.microsoft.com/office/drawing/2014/main" id="{C946C6A5-0A7F-449F-B182-D19E2EFB7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3718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34" name="Picture 2217" descr="_">
          <a:extLst>
            <a:ext uri="{FF2B5EF4-FFF2-40B4-BE49-F238E27FC236}">
              <a16:creationId xmlns:a16="http://schemas.microsoft.com/office/drawing/2014/main" id="{FEEE5FA9-EEC2-479A-9CC2-456BCF926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181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35" name="Picture 2218" descr="_">
          <a:extLst>
            <a:ext uri="{FF2B5EF4-FFF2-40B4-BE49-F238E27FC236}">
              <a16:creationId xmlns:a16="http://schemas.microsoft.com/office/drawing/2014/main" id="{5649BC97-D6D1-4A46-B9B7-7C162407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181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36" name="Picture 2217" descr="_">
          <a:extLst>
            <a:ext uri="{FF2B5EF4-FFF2-40B4-BE49-F238E27FC236}">
              <a16:creationId xmlns:a16="http://schemas.microsoft.com/office/drawing/2014/main" id="{C0F4251C-FC8F-4B68-8D72-599F15F7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37" name="Picture 2218" descr="_">
          <a:extLst>
            <a:ext uri="{FF2B5EF4-FFF2-40B4-BE49-F238E27FC236}">
              <a16:creationId xmlns:a16="http://schemas.microsoft.com/office/drawing/2014/main" id="{D609962C-7F54-4485-9908-E4FFDAF31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38" name="Picture 2217" descr="_">
          <a:extLst>
            <a:ext uri="{FF2B5EF4-FFF2-40B4-BE49-F238E27FC236}">
              <a16:creationId xmlns:a16="http://schemas.microsoft.com/office/drawing/2014/main" id="{CDF43C53-9A61-4CDA-9644-A3C5F939E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39" name="Picture 2218" descr="_">
          <a:extLst>
            <a:ext uri="{FF2B5EF4-FFF2-40B4-BE49-F238E27FC236}">
              <a16:creationId xmlns:a16="http://schemas.microsoft.com/office/drawing/2014/main" id="{145BA1DF-CFB9-4A65-83F9-BB74F5BBB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40" name="Picture 2217" descr="_">
          <a:extLst>
            <a:ext uri="{FF2B5EF4-FFF2-40B4-BE49-F238E27FC236}">
              <a16:creationId xmlns:a16="http://schemas.microsoft.com/office/drawing/2014/main" id="{EB6DC510-2769-4C39-9A41-FD04B37C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41" name="Picture 2218" descr="_">
          <a:extLst>
            <a:ext uri="{FF2B5EF4-FFF2-40B4-BE49-F238E27FC236}">
              <a16:creationId xmlns:a16="http://schemas.microsoft.com/office/drawing/2014/main" id="{36ED2F52-14C0-4B59-8773-EEF35120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81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42" name="Picture 2217" descr="_">
          <a:extLst>
            <a:ext uri="{FF2B5EF4-FFF2-40B4-BE49-F238E27FC236}">
              <a16:creationId xmlns:a16="http://schemas.microsoft.com/office/drawing/2014/main" id="{1C70BEA1-204C-4BB1-9BC2-790E8243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43" name="Picture 2218" descr="_">
          <a:extLst>
            <a:ext uri="{FF2B5EF4-FFF2-40B4-BE49-F238E27FC236}">
              <a16:creationId xmlns:a16="http://schemas.microsoft.com/office/drawing/2014/main" id="{B76A3495-12AB-4D37-A04B-41BC0A91D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597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44" name="Picture 2217" descr="_">
          <a:extLst>
            <a:ext uri="{FF2B5EF4-FFF2-40B4-BE49-F238E27FC236}">
              <a16:creationId xmlns:a16="http://schemas.microsoft.com/office/drawing/2014/main" id="{57071DE4-B1C8-4F29-8A2C-6C8D8EB3D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914775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45" name="Picture 2218" descr="_">
          <a:extLst>
            <a:ext uri="{FF2B5EF4-FFF2-40B4-BE49-F238E27FC236}">
              <a16:creationId xmlns:a16="http://schemas.microsoft.com/office/drawing/2014/main" id="{46B46279-ECFD-4E5E-A5FF-DC1E5EE1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914775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46" name="Picture 2217" descr="_">
          <a:extLst>
            <a:ext uri="{FF2B5EF4-FFF2-40B4-BE49-F238E27FC236}">
              <a16:creationId xmlns:a16="http://schemas.microsoft.com/office/drawing/2014/main" id="{F7075A57-9814-4FA5-8601-AABBFDD94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724275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47" name="Picture 2218" descr="_">
          <a:extLst>
            <a:ext uri="{FF2B5EF4-FFF2-40B4-BE49-F238E27FC236}">
              <a16:creationId xmlns:a16="http://schemas.microsoft.com/office/drawing/2014/main" id="{65BECE6D-D2A7-4D8B-AF36-178BE6449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724275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48" name="Picture 2217" descr="_">
          <a:extLst>
            <a:ext uri="{FF2B5EF4-FFF2-40B4-BE49-F238E27FC236}">
              <a16:creationId xmlns:a16="http://schemas.microsoft.com/office/drawing/2014/main" id="{6516A7DE-3D8C-4BAF-983F-25526903B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914775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49" name="Picture 2218" descr="_">
          <a:extLst>
            <a:ext uri="{FF2B5EF4-FFF2-40B4-BE49-F238E27FC236}">
              <a16:creationId xmlns:a16="http://schemas.microsoft.com/office/drawing/2014/main" id="{B7756531-543F-4D55-9D18-E547A6C4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914775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50" name="Picture 2217" descr="_">
          <a:extLst>
            <a:ext uri="{FF2B5EF4-FFF2-40B4-BE49-F238E27FC236}">
              <a16:creationId xmlns:a16="http://schemas.microsoft.com/office/drawing/2014/main" id="{52101458-6361-4921-BE82-A1E08347F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724275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51" name="Picture 2218" descr="_">
          <a:extLst>
            <a:ext uri="{FF2B5EF4-FFF2-40B4-BE49-F238E27FC236}">
              <a16:creationId xmlns:a16="http://schemas.microsoft.com/office/drawing/2014/main" id="{6407A82D-72AC-4BF9-A57E-06702267D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3724275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52" name="Picture 2217" descr="_">
          <a:extLst>
            <a:ext uri="{FF2B5EF4-FFF2-40B4-BE49-F238E27FC236}">
              <a16:creationId xmlns:a16="http://schemas.microsoft.com/office/drawing/2014/main" id="{6B103896-5611-4AFD-A659-1FC24BB9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53" name="Picture 2218" descr="_">
          <a:extLst>
            <a:ext uri="{FF2B5EF4-FFF2-40B4-BE49-F238E27FC236}">
              <a16:creationId xmlns:a16="http://schemas.microsoft.com/office/drawing/2014/main" id="{12B39497-D8AD-4D4D-B18C-EF59B0FBE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54" name="Picture 2217" descr="_">
          <a:extLst>
            <a:ext uri="{FF2B5EF4-FFF2-40B4-BE49-F238E27FC236}">
              <a16:creationId xmlns:a16="http://schemas.microsoft.com/office/drawing/2014/main" id="{4AE10CF0-9FF5-4286-A244-249916068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55" name="Picture 2218" descr="_">
          <a:extLst>
            <a:ext uri="{FF2B5EF4-FFF2-40B4-BE49-F238E27FC236}">
              <a16:creationId xmlns:a16="http://schemas.microsoft.com/office/drawing/2014/main" id="{55167289-09A8-4CCB-839C-4206B97D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56" name="Picture 2217" descr="_">
          <a:extLst>
            <a:ext uri="{FF2B5EF4-FFF2-40B4-BE49-F238E27FC236}">
              <a16:creationId xmlns:a16="http://schemas.microsoft.com/office/drawing/2014/main" id="{6CB68125-F61D-4108-A4C7-E50638EDD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57" name="Picture 2218" descr="_">
          <a:extLst>
            <a:ext uri="{FF2B5EF4-FFF2-40B4-BE49-F238E27FC236}">
              <a16:creationId xmlns:a16="http://schemas.microsoft.com/office/drawing/2014/main" id="{D2C656E0-79A8-4819-836A-BC1DAC873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58" name="Picture 2217" descr="_">
          <a:extLst>
            <a:ext uri="{FF2B5EF4-FFF2-40B4-BE49-F238E27FC236}">
              <a16:creationId xmlns:a16="http://schemas.microsoft.com/office/drawing/2014/main" id="{F9D63990-96C5-4C44-8B36-FA631E14B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59" name="Picture 2218" descr="_">
          <a:extLst>
            <a:ext uri="{FF2B5EF4-FFF2-40B4-BE49-F238E27FC236}">
              <a16:creationId xmlns:a16="http://schemas.microsoft.com/office/drawing/2014/main" id="{4AF93C6A-CD19-4121-A9C8-9CACA1D89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60" name="Picture 2217" descr="_">
          <a:extLst>
            <a:ext uri="{FF2B5EF4-FFF2-40B4-BE49-F238E27FC236}">
              <a16:creationId xmlns:a16="http://schemas.microsoft.com/office/drawing/2014/main" id="{A630BF30-6D2D-41DE-8362-36FC53E71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61" name="Picture 2218" descr="_">
          <a:extLst>
            <a:ext uri="{FF2B5EF4-FFF2-40B4-BE49-F238E27FC236}">
              <a16:creationId xmlns:a16="http://schemas.microsoft.com/office/drawing/2014/main" id="{B69D964E-88FA-4F81-B34C-0C07F548F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62" name="Picture 2217" descr="_">
          <a:extLst>
            <a:ext uri="{FF2B5EF4-FFF2-40B4-BE49-F238E27FC236}">
              <a16:creationId xmlns:a16="http://schemas.microsoft.com/office/drawing/2014/main" id="{FAE504AE-2262-4B1E-A4D4-6992350E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63" name="Picture 2218" descr="_">
          <a:extLst>
            <a:ext uri="{FF2B5EF4-FFF2-40B4-BE49-F238E27FC236}">
              <a16:creationId xmlns:a16="http://schemas.microsoft.com/office/drawing/2014/main" id="{4676CC0B-DC61-4674-8000-E2A03994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60" name="Picture 2217" descr="_">
          <a:extLst>
            <a:ext uri="{FF2B5EF4-FFF2-40B4-BE49-F238E27FC236}">
              <a16:creationId xmlns:a16="http://schemas.microsoft.com/office/drawing/2014/main" id="{F31E0D20-9799-4EEF-A124-1802157E3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61" name="Picture 2218" descr="_">
          <a:extLst>
            <a:ext uri="{FF2B5EF4-FFF2-40B4-BE49-F238E27FC236}">
              <a16:creationId xmlns:a16="http://schemas.microsoft.com/office/drawing/2014/main" id="{70BF2912-7893-453A-978F-2444C4291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62" name="Picture 2217" descr="_">
          <a:extLst>
            <a:ext uri="{FF2B5EF4-FFF2-40B4-BE49-F238E27FC236}">
              <a16:creationId xmlns:a16="http://schemas.microsoft.com/office/drawing/2014/main" id="{A7AD5AE1-2D19-4BB4-88BC-0C5EA6D5F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63" name="Picture 2218" descr="_">
          <a:extLst>
            <a:ext uri="{FF2B5EF4-FFF2-40B4-BE49-F238E27FC236}">
              <a16:creationId xmlns:a16="http://schemas.microsoft.com/office/drawing/2014/main" id="{84450474-FA24-4D74-A2FD-4BDD68059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68" name="Picture 2217" descr="_">
          <a:extLst>
            <a:ext uri="{FF2B5EF4-FFF2-40B4-BE49-F238E27FC236}">
              <a16:creationId xmlns:a16="http://schemas.microsoft.com/office/drawing/2014/main" id="{231DE487-E021-4B84-B3A6-18AD2386B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69" name="Picture 2218" descr="_">
          <a:extLst>
            <a:ext uri="{FF2B5EF4-FFF2-40B4-BE49-F238E27FC236}">
              <a16:creationId xmlns:a16="http://schemas.microsoft.com/office/drawing/2014/main" id="{E9CC1266-5FD4-4CA4-A498-D7804D4AB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70" name="Picture 2217" descr="_">
          <a:extLst>
            <a:ext uri="{FF2B5EF4-FFF2-40B4-BE49-F238E27FC236}">
              <a16:creationId xmlns:a16="http://schemas.microsoft.com/office/drawing/2014/main" id="{F1E73CD1-FB95-472A-BD1F-CE2E84CEF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71" name="Picture 2218" descr="_">
          <a:extLst>
            <a:ext uri="{FF2B5EF4-FFF2-40B4-BE49-F238E27FC236}">
              <a16:creationId xmlns:a16="http://schemas.microsoft.com/office/drawing/2014/main" id="{C401FBEA-B400-4C5F-8AE6-FDD6C6B39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72" name="Picture 2217" descr="_">
          <a:extLst>
            <a:ext uri="{FF2B5EF4-FFF2-40B4-BE49-F238E27FC236}">
              <a16:creationId xmlns:a16="http://schemas.microsoft.com/office/drawing/2014/main" id="{11F180AE-B825-4624-B828-AA06DD5A5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73" name="Picture 2218" descr="_">
          <a:extLst>
            <a:ext uri="{FF2B5EF4-FFF2-40B4-BE49-F238E27FC236}">
              <a16:creationId xmlns:a16="http://schemas.microsoft.com/office/drawing/2014/main" id="{010FDF39-93AE-49AE-8CB3-E4571650E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74" name="Picture 2217" descr="_">
          <a:extLst>
            <a:ext uri="{FF2B5EF4-FFF2-40B4-BE49-F238E27FC236}">
              <a16:creationId xmlns:a16="http://schemas.microsoft.com/office/drawing/2014/main" id="{D16C7C5F-CED2-4AAE-9D73-1BEBF4F6D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75" name="Picture 2218" descr="_">
          <a:extLst>
            <a:ext uri="{FF2B5EF4-FFF2-40B4-BE49-F238E27FC236}">
              <a16:creationId xmlns:a16="http://schemas.microsoft.com/office/drawing/2014/main" id="{3633C15E-BFAE-4D4B-BC14-C8D7A1F50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76" name="Picture 2217" descr="_">
          <a:extLst>
            <a:ext uri="{FF2B5EF4-FFF2-40B4-BE49-F238E27FC236}">
              <a16:creationId xmlns:a16="http://schemas.microsoft.com/office/drawing/2014/main" id="{7DA4AE42-E73D-48BC-A233-A0CF85CF7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77" name="Picture 2218" descr="_">
          <a:extLst>
            <a:ext uri="{FF2B5EF4-FFF2-40B4-BE49-F238E27FC236}">
              <a16:creationId xmlns:a16="http://schemas.microsoft.com/office/drawing/2014/main" id="{B8014825-EA51-4825-912B-DEF25FD3A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78" name="Picture 2217" descr="_">
          <a:extLst>
            <a:ext uri="{FF2B5EF4-FFF2-40B4-BE49-F238E27FC236}">
              <a16:creationId xmlns:a16="http://schemas.microsoft.com/office/drawing/2014/main" id="{7922A0DD-3429-4296-89B4-AA4D49638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79" name="Picture 2218" descr="_">
          <a:extLst>
            <a:ext uri="{FF2B5EF4-FFF2-40B4-BE49-F238E27FC236}">
              <a16:creationId xmlns:a16="http://schemas.microsoft.com/office/drawing/2014/main" id="{31827DE7-DBDA-4D61-A836-67F6D893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80" name="Picture 2217" descr="_">
          <a:extLst>
            <a:ext uri="{FF2B5EF4-FFF2-40B4-BE49-F238E27FC236}">
              <a16:creationId xmlns:a16="http://schemas.microsoft.com/office/drawing/2014/main" id="{C4E1E070-1DC5-40F5-B1F9-624DF2A0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81" name="Picture 2218" descr="_">
          <a:extLst>
            <a:ext uri="{FF2B5EF4-FFF2-40B4-BE49-F238E27FC236}">
              <a16:creationId xmlns:a16="http://schemas.microsoft.com/office/drawing/2014/main" id="{15E833C1-D253-4AEA-BEA5-592A74943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82" name="Picture 2217" descr="_">
          <a:extLst>
            <a:ext uri="{FF2B5EF4-FFF2-40B4-BE49-F238E27FC236}">
              <a16:creationId xmlns:a16="http://schemas.microsoft.com/office/drawing/2014/main" id="{4F60E488-F6E5-4FD9-9786-A2BFD0D87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83" name="Picture 2218" descr="_">
          <a:extLst>
            <a:ext uri="{FF2B5EF4-FFF2-40B4-BE49-F238E27FC236}">
              <a16:creationId xmlns:a16="http://schemas.microsoft.com/office/drawing/2014/main" id="{F3AAD432-98D6-4A98-9F70-616C68E55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84" name="Picture 2217" descr="_">
          <a:extLst>
            <a:ext uri="{FF2B5EF4-FFF2-40B4-BE49-F238E27FC236}">
              <a16:creationId xmlns:a16="http://schemas.microsoft.com/office/drawing/2014/main" id="{483F235C-D85F-4FFA-950C-BCA5FD590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85" name="Picture 2218" descr="_">
          <a:extLst>
            <a:ext uri="{FF2B5EF4-FFF2-40B4-BE49-F238E27FC236}">
              <a16:creationId xmlns:a16="http://schemas.microsoft.com/office/drawing/2014/main" id="{4A0B04BA-216E-464D-B5E2-3E85F14A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86" name="Picture 2217" descr="_">
          <a:extLst>
            <a:ext uri="{FF2B5EF4-FFF2-40B4-BE49-F238E27FC236}">
              <a16:creationId xmlns:a16="http://schemas.microsoft.com/office/drawing/2014/main" id="{8FDAA4F3-9732-43F9-8AEC-E226330A5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87" name="Picture 2218" descr="_">
          <a:extLst>
            <a:ext uri="{FF2B5EF4-FFF2-40B4-BE49-F238E27FC236}">
              <a16:creationId xmlns:a16="http://schemas.microsoft.com/office/drawing/2014/main" id="{F93F1AA7-7421-44BB-9F7D-87C822909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88" name="Picture 2217" descr="_">
          <a:extLst>
            <a:ext uri="{FF2B5EF4-FFF2-40B4-BE49-F238E27FC236}">
              <a16:creationId xmlns:a16="http://schemas.microsoft.com/office/drawing/2014/main" id="{E0BC08AE-1473-43AB-A293-E8A734E4F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89" name="Picture 2218" descr="_">
          <a:extLst>
            <a:ext uri="{FF2B5EF4-FFF2-40B4-BE49-F238E27FC236}">
              <a16:creationId xmlns:a16="http://schemas.microsoft.com/office/drawing/2014/main" id="{31343F40-CD43-48A1-928B-ED41DA42D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90" name="Picture 2217" descr="_">
          <a:extLst>
            <a:ext uri="{FF2B5EF4-FFF2-40B4-BE49-F238E27FC236}">
              <a16:creationId xmlns:a16="http://schemas.microsoft.com/office/drawing/2014/main" id="{E3B4BCCB-11F1-4785-9BEE-572C37757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91" name="Picture 2218" descr="_">
          <a:extLst>
            <a:ext uri="{FF2B5EF4-FFF2-40B4-BE49-F238E27FC236}">
              <a16:creationId xmlns:a16="http://schemas.microsoft.com/office/drawing/2014/main" id="{4339B783-DCB3-4C4C-9888-5ACEA777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92" name="Picture 2217" descr="_">
          <a:extLst>
            <a:ext uri="{FF2B5EF4-FFF2-40B4-BE49-F238E27FC236}">
              <a16:creationId xmlns:a16="http://schemas.microsoft.com/office/drawing/2014/main" id="{2C9DB1F0-CF50-44D9-99BF-B37E53507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3147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93" name="Picture 2218" descr="_">
          <a:extLst>
            <a:ext uri="{FF2B5EF4-FFF2-40B4-BE49-F238E27FC236}">
              <a16:creationId xmlns:a16="http://schemas.microsoft.com/office/drawing/2014/main" id="{10BAADB8-05B5-4EAE-981E-B9EFAA424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3147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94" name="Picture 2217" descr="_">
          <a:extLst>
            <a:ext uri="{FF2B5EF4-FFF2-40B4-BE49-F238E27FC236}">
              <a16:creationId xmlns:a16="http://schemas.microsoft.com/office/drawing/2014/main" id="{051EDBC4-D873-421C-82B5-759C5DA61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95" name="Picture 2218" descr="_">
          <a:extLst>
            <a:ext uri="{FF2B5EF4-FFF2-40B4-BE49-F238E27FC236}">
              <a16:creationId xmlns:a16="http://schemas.microsoft.com/office/drawing/2014/main" id="{2F917076-A339-4B6A-9818-272E6F52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96" name="Picture 2217" descr="_">
          <a:extLst>
            <a:ext uri="{FF2B5EF4-FFF2-40B4-BE49-F238E27FC236}">
              <a16:creationId xmlns:a16="http://schemas.microsoft.com/office/drawing/2014/main" id="{EE5E8D47-3543-41E8-A285-019A0FCDA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3147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397" name="Picture 2218" descr="_">
          <a:extLst>
            <a:ext uri="{FF2B5EF4-FFF2-40B4-BE49-F238E27FC236}">
              <a16:creationId xmlns:a16="http://schemas.microsoft.com/office/drawing/2014/main" id="{7482468E-230C-4BEE-959D-86113E376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3147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98" name="Picture 2217" descr="_">
          <a:extLst>
            <a:ext uri="{FF2B5EF4-FFF2-40B4-BE49-F238E27FC236}">
              <a16:creationId xmlns:a16="http://schemas.microsoft.com/office/drawing/2014/main" id="{71F6E1EE-748B-474C-B350-61E39D8F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399" name="Picture 2218" descr="_">
          <a:extLst>
            <a:ext uri="{FF2B5EF4-FFF2-40B4-BE49-F238E27FC236}">
              <a16:creationId xmlns:a16="http://schemas.microsoft.com/office/drawing/2014/main" id="{ECD9D288-49D8-40B7-9E30-6C4FCC5F5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1305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00" name="Picture 2217" descr="_">
          <a:extLst>
            <a:ext uri="{FF2B5EF4-FFF2-40B4-BE49-F238E27FC236}">
              <a16:creationId xmlns:a16="http://schemas.microsoft.com/office/drawing/2014/main" id="{A8CACADD-1935-43FF-917E-57C49598E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01" name="Picture 2218" descr="_">
          <a:extLst>
            <a:ext uri="{FF2B5EF4-FFF2-40B4-BE49-F238E27FC236}">
              <a16:creationId xmlns:a16="http://schemas.microsoft.com/office/drawing/2014/main" id="{62B2B67B-CC94-4796-BB86-3E69A097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02" name="Picture 2217" descr="_">
          <a:extLst>
            <a:ext uri="{FF2B5EF4-FFF2-40B4-BE49-F238E27FC236}">
              <a16:creationId xmlns:a16="http://schemas.microsoft.com/office/drawing/2014/main" id="{A46F83B4-2D2B-477F-B7F2-CB3AADCC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03" name="Picture 2218" descr="_">
          <a:extLst>
            <a:ext uri="{FF2B5EF4-FFF2-40B4-BE49-F238E27FC236}">
              <a16:creationId xmlns:a16="http://schemas.microsoft.com/office/drawing/2014/main" id="{068B04D2-6962-42DF-9898-862F691C0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04" name="Picture 2217" descr="_">
          <a:extLst>
            <a:ext uri="{FF2B5EF4-FFF2-40B4-BE49-F238E27FC236}">
              <a16:creationId xmlns:a16="http://schemas.microsoft.com/office/drawing/2014/main" id="{2F8DE1D2-1483-4AF0-B1EB-89905051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05" name="Picture 2218" descr="_">
          <a:extLst>
            <a:ext uri="{FF2B5EF4-FFF2-40B4-BE49-F238E27FC236}">
              <a16:creationId xmlns:a16="http://schemas.microsoft.com/office/drawing/2014/main" id="{A07321D0-1521-4FEE-AFB2-497DDE823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06" name="Picture 2217" descr="_">
          <a:extLst>
            <a:ext uri="{FF2B5EF4-FFF2-40B4-BE49-F238E27FC236}">
              <a16:creationId xmlns:a16="http://schemas.microsoft.com/office/drawing/2014/main" id="{000AF0BC-5B6F-4B93-BF96-35E9D1BC7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07" name="Picture 2218" descr="_">
          <a:extLst>
            <a:ext uri="{FF2B5EF4-FFF2-40B4-BE49-F238E27FC236}">
              <a16:creationId xmlns:a16="http://schemas.microsoft.com/office/drawing/2014/main" id="{60B4ECD0-86E8-42CF-96D9-D22FE384A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08" name="Picture 2217" descr="_">
          <a:extLst>
            <a:ext uri="{FF2B5EF4-FFF2-40B4-BE49-F238E27FC236}">
              <a16:creationId xmlns:a16="http://schemas.microsoft.com/office/drawing/2014/main" id="{2C39AE06-870D-4A04-97AC-6C6D4BB99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09" name="Picture 2218" descr="_">
          <a:extLst>
            <a:ext uri="{FF2B5EF4-FFF2-40B4-BE49-F238E27FC236}">
              <a16:creationId xmlns:a16="http://schemas.microsoft.com/office/drawing/2014/main" id="{8136DA65-93C8-45DE-B19A-86A8B4B1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10" name="Picture 2217" descr="_">
          <a:extLst>
            <a:ext uri="{FF2B5EF4-FFF2-40B4-BE49-F238E27FC236}">
              <a16:creationId xmlns:a16="http://schemas.microsoft.com/office/drawing/2014/main" id="{AB8D817E-47EE-4C37-93FC-CD27ABF4C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11" name="Picture 2218" descr="_">
          <a:extLst>
            <a:ext uri="{FF2B5EF4-FFF2-40B4-BE49-F238E27FC236}">
              <a16:creationId xmlns:a16="http://schemas.microsoft.com/office/drawing/2014/main" id="{B195677F-FF31-4CEA-A2CB-F26B66A1D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12" name="Picture 2217" descr="_">
          <a:extLst>
            <a:ext uri="{FF2B5EF4-FFF2-40B4-BE49-F238E27FC236}">
              <a16:creationId xmlns:a16="http://schemas.microsoft.com/office/drawing/2014/main" id="{1A85288B-8033-42E5-9AB7-A24F1B978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13" name="Picture 2218" descr="_">
          <a:extLst>
            <a:ext uri="{FF2B5EF4-FFF2-40B4-BE49-F238E27FC236}">
              <a16:creationId xmlns:a16="http://schemas.microsoft.com/office/drawing/2014/main" id="{93FA010E-43A0-4CE5-8770-BA06C82E6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14" name="Picture 2217" descr="_">
          <a:extLst>
            <a:ext uri="{FF2B5EF4-FFF2-40B4-BE49-F238E27FC236}">
              <a16:creationId xmlns:a16="http://schemas.microsoft.com/office/drawing/2014/main" id="{24CFBDF5-ACE5-4F89-B1ED-55D8746CB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15" name="Picture 2218" descr="_">
          <a:extLst>
            <a:ext uri="{FF2B5EF4-FFF2-40B4-BE49-F238E27FC236}">
              <a16:creationId xmlns:a16="http://schemas.microsoft.com/office/drawing/2014/main" id="{4C3F853B-D56F-4EC8-A530-47DB8F7DE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16" name="Picture 2217" descr="_">
          <a:extLst>
            <a:ext uri="{FF2B5EF4-FFF2-40B4-BE49-F238E27FC236}">
              <a16:creationId xmlns:a16="http://schemas.microsoft.com/office/drawing/2014/main" id="{286512D7-6272-423E-9C19-6E5AB7EEC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17" name="Picture 2218" descr="_">
          <a:extLst>
            <a:ext uri="{FF2B5EF4-FFF2-40B4-BE49-F238E27FC236}">
              <a16:creationId xmlns:a16="http://schemas.microsoft.com/office/drawing/2014/main" id="{D6ECBEB9-DC92-4029-A628-C6028365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18" name="Picture 2217" descr="_">
          <a:extLst>
            <a:ext uri="{FF2B5EF4-FFF2-40B4-BE49-F238E27FC236}">
              <a16:creationId xmlns:a16="http://schemas.microsoft.com/office/drawing/2014/main" id="{E0209AD0-F283-418C-B5A9-9F8135BD1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19" name="Picture 2218" descr="_">
          <a:extLst>
            <a:ext uri="{FF2B5EF4-FFF2-40B4-BE49-F238E27FC236}">
              <a16:creationId xmlns:a16="http://schemas.microsoft.com/office/drawing/2014/main" id="{5BAC637E-D946-4AD9-BFEE-95BD3ECB9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20" name="Picture 2217" descr="_">
          <a:extLst>
            <a:ext uri="{FF2B5EF4-FFF2-40B4-BE49-F238E27FC236}">
              <a16:creationId xmlns:a16="http://schemas.microsoft.com/office/drawing/2014/main" id="{2D6DF676-C60F-4B70-881D-20ADA7807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21" name="Picture 2218" descr="_">
          <a:extLst>
            <a:ext uri="{FF2B5EF4-FFF2-40B4-BE49-F238E27FC236}">
              <a16:creationId xmlns:a16="http://schemas.microsoft.com/office/drawing/2014/main" id="{6A1A4318-B7EB-4F3E-8229-C6BE6CEC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22" name="Picture 2217" descr="_">
          <a:extLst>
            <a:ext uri="{FF2B5EF4-FFF2-40B4-BE49-F238E27FC236}">
              <a16:creationId xmlns:a16="http://schemas.microsoft.com/office/drawing/2014/main" id="{56817309-5C52-45EE-82D9-D106CB026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23" name="Picture 2218" descr="_">
          <a:extLst>
            <a:ext uri="{FF2B5EF4-FFF2-40B4-BE49-F238E27FC236}">
              <a16:creationId xmlns:a16="http://schemas.microsoft.com/office/drawing/2014/main" id="{AC50DFF6-D3D1-46C9-A012-185AD9CE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24" name="Picture 2217" descr="_">
          <a:extLst>
            <a:ext uri="{FF2B5EF4-FFF2-40B4-BE49-F238E27FC236}">
              <a16:creationId xmlns:a16="http://schemas.microsoft.com/office/drawing/2014/main" id="{D272983F-F1EB-433E-A862-2CFB506CF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25" name="Picture 2218" descr="_">
          <a:extLst>
            <a:ext uri="{FF2B5EF4-FFF2-40B4-BE49-F238E27FC236}">
              <a16:creationId xmlns:a16="http://schemas.microsoft.com/office/drawing/2014/main" id="{2A3AD3EE-750C-4064-8A4E-8F06D55A3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26" name="Picture 2217" descr="_">
          <a:extLst>
            <a:ext uri="{FF2B5EF4-FFF2-40B4-BE49-F238E27FC236}">
              <a16:creationId xmlns:a16="http://schemas.microsoft.com/office/drawing/2014/main" id="{4098BDD5-A259-4C2B-AF00-8620C719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27" name="Picture 2218" descr="_">
          <a:extLst>
            <a:ext uri="{FF2B5EF4-FFF2-40B4-BE49-F238E27FC236}">
              <a16:creationId xmlns:a16="http://schemas.microsoft.com/office/drawing/2014/main" id="{E1D67D95-C854-49CC-BE50-5CB51B4B7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28" name="Picture 2217" descr="_">
          <a:extLst>
            <a:ext uri="{FF2B5EF4-FFF2-40B4-BE49-F238E27FC236}">
              <a16:creationId xmlns:a16="http://schemas.microsoft.com/office/drawing/2014/main" id="{01662188-95A7-4CB7-8A32-4BA4C7755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29" name="Picture 2218" descr="_">
          <a:extLst>
            <a:ext uri="{FF2B5EF4-FFF2-40B4-BE49-F238E27FC236}">
              <a16:creationId xmlns:a16="http://schemas.microsoft.com/office/drawing/2014/main" id="{5F6D7914-7D16-497D-BC3D-9D8835807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30" name="Picture 2217" descr="_">
          <a:extLst>
            <a:ext uri="{FF2B5EF4-FFF2-40B4-BE49-F238E27FC236}">
              <a16:creationId xmlns:a16="http://schemas.microsoft.com/office/drawing/2014/main" id="{7649985E-6ECA-40F8-979B-6FE681483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31" name="Picture 2218" descr="_">
          <a:extLst>
            <a:ext uri="{FF2B5EF4-FFF2-40B4-BE49-F238E27FC236}">
              <a16:creationId xmlns:a16="http://schemas.microsoft.com/office/drawing/2014/main" id="{465F3729-E0F6-4D19-9673-12627665E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32" name="Picture 2217" descr="_">
          <a:extLst>
            <a:ext uri="{FF2B5EF4-FFF2-40B4-BE49-F238E27FC236}">
              <a16:creationId xmlns:a16="http://schemas.microsoft.com/office/drawing/2014/main" id="{29AF912C-B6B8-4287-81F5-0ADA6C127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33" name="Picture 2218" descr="_">
          <a:extLst>
            <a:ext uri="{FF2B5EF4-FFF2-40B4-BE49-F238E27FC236}">
              <a16:creationId xmlns:a16="http://schemas.microsoft.com/office/drawing/2014/main" id="{9BCE4B3B-FBCE-4996-AC76-893189E63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34" name="Picture 2217" descr="_">
          <a:extLst>
            <a:ext uri="{FF2B5EF4-FFF2-40B4-BE49-F238E27FC236}">
              <a16:creationId xmlns:a16="http://schemas.microsoft.com/office/drawing/2014/main" id="{817EE1F1-4DDD-474B-9620-01A10FCE2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35" name="Picture 2218" descr="_">
          <a:extLst>
            <a:ext uri="{FF2B5EF4-FFF2-40B4-BE49-F238E27FC236}">
              <a16:creationId xmlns:a16="http://schemas.microsoft.com/office/drawing/2014/main" id="{4BC7FBC4-E9BA-40C9-AFEB-211A65CE3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36" name="Picture 2217" descr="_">
          <a:extLst>
            <a:ext uri="{FF2B5EF4-FFF2-40B4-BE49-F238E27FC236}">
              <a16:creationId xmlns:a16="http://schemas.microsoft.com/office/drawing/2014/main" id="{2C5ACC5C-AA41-434D-95CC-CF54776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37" name="Picture 2218" descr="_">
          <a:extLst>
            <a:ext uri="{FF2B5EF4-FFF2-40B4-BE49-F238E27FC236}">
              <a16:creationId xmlns:a16="http://schemas.microsoft.com/office/drawing/2014/main" id="{0694AC04-DD49-4FE1-B2A8-A5ADCD02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40" name="Picture 2217" descr="_">
          <a:extLst>
            <a:ext uri="{FF2B5EF4-FFF2-40B4-BE49-F238E27FC236}">
              <a16:creationId xmlns:a16="http://schemas.microsoft.com/office/drawing/2014/main" id="{E58F7F73-FB31-4AB2-B30A-64349E57B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41" name="Picture 2218" descr="_">
          <a:extLst>
            <a:ext uri="{FF2B5EF4-FFF2-40B4-BE49-F238E27FC236}">
              <a16:creationId xmlns:a16="http://schemas.microsoft.com/office/drawing/2014/main" id="{974C321D-DCEA-4BC4-8F38-803F30D0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42" name="Picture 2217" descr="_">
          <a:extLst>
            <a:ext uri="{FF2B5EF4-FFF2-40B4-BE49-F238E27FC236}">
              <a16:creationId xmlns:a16="http://schemas.microsoft.com/office/drawing/2014/main" id="{8F530846-4374-40CE-AD44-B290A092D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43" name="Picture 2218" descr="_">
          <a:extLst>
            <a:ext uri="{FF2B5EF4-FFF2-40B4-BE49-F238E27FC236}">
              <a16:creationId xmlns:a16="http://schemas.microsoft.com/office/drawing/2014/main" id="{C69EBB7C-9151-4E4A-8EC2-782B13356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44" name="Picture 2217" descr="_">
          <a:extLst>
            <a:ext uri="{FF2B5EF4-FFF2-40B4-BE49-F238E27FC236}">
              <a16:creationId xmlns:a16="http://schemas.microsoft.com/office/drawing/2014/main" id="{1E76D7C3-48F0-4C6D-8426-15D213207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45" name="Picture 2218" descr="_">
          <a:extLst>
            <a:ext uri="{FF2B5EF4-FFF2-40B4-BE49-F238E27FC236}">
              <a16:creationId xmlns:a16="http://schemas.microsoft.com/office/drawing/2014/main" id="{C0CB4B0C-4F82-4CEA-BC30-56062BD07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46" name="Picture 2217" descr="_">
          <a:extLst>
            <a:ext uri="{FF2B5EF4-FFF2-40B4-BE49-F238E27FC236}">
              <a16:creationId xmlns:a16="http://schemas.microsoft.com/office/drawing/2014/main" id="{8F65B5A9-79E2-4226-9FF2-EB1FC4F2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47" name="Picture 2218" descr="_">
          <a:extLst>
            <a:ext uri="{FF2B5EF4-FFF2-40B4-BE49-F238E27FC236}">
              <a16:creationId xmlns:a16="http://schemas.microsoft.com/office/drawing/2014/main" id="{A91014B1-4F17-4EF9-9E37-CC702067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48" name="Picture 2217" descr="_">
          <a:extLst>
            <a:ext uri="{FF2B5EF4-FFF2-40B4-BE49-F238E27FC236}">
              <a16:creationId xmlns:a16="http://schemas.microsoft.com/office/drawing/2014/main" id="{A084C8EE-E687-4054-8070-9C6B50C9C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49" name="Picture 2218" descr="_">
          <a:extLst>
            <a:ext uri="{FF2B5EF4-FFF2-40B4-BE49-F238E27FC236}">
              <a16:creationId xmlns:a16="http://schemas.microsoft.com/office/drawing/2014/main" id="{4FD54760-DE14-49DA-9EEE-6B9BCB641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50" name="Picture 2217" descr="_">
          <a:extLst>
            <a:ext uri="{FF2B5EF4-FFF2-40B4-BE49-F238E27FC236}">
              <a16:creationId xmlns:a16="http://schemas.microsoft.com/office/drawing/2014/main" id="{20814054-98B9-45BB-BE11-A082B09E5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51" name="Picture 2218" descr="_">
          <a:extLst>
            <a:ext uri="{FF2B5EF4-FFF2-40B4-BE49-F238E27FC236}">
              <a16:creationId xmlns:a16="http://schemas.microsoft.com/office/drawing/2014/main" id="{D1290E35-576F-4885-8351-1DC12F539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52" name="Picture 2217" descr="_">
          <a:extLst>
            <a:ext uri="{FF2B5EF4-FFF2-40B4-BE49-F238E27FC236}">
              <a16:creationId xmlns:a16="http://schemas.microsoft.com/office/drawing/2014/main" id="{FDE13219-AA13-49EA-BE57-692622326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53" name="Picture 2218" descr="_">
          <a:extLst>
            <a:ext uri="{FF2B5EF4-FFF2-40B4-BE49-F238E27FC236}">
              <a16:creationId xmlns:a16="http://schemas.microsoft.com/office/drawing/2014/main" id="{3C5CDD53-E296-4391-BEE1-E6B1C946D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54" name="Picture 2217" descr="_">
          <a:extLst>
            <a:ext uri="{FF2B5EF4-FFF2-40B4-BE49-F238E27FC236}">
              <a16:creationId xmlns:a16="http://schemas.microsoft.com/office/drawing/2014/main" id="{A93C9392-706B-4E73-9708-878879F2F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55" name="Picture 2218" descr="_">
          <a:extLst>
            <a:ext uri="{FF2B5EF4-FFF2-40B4-BE49-F238E27FC236}">
              <a16:creationId xmlns:a16="http://schemas.microsoft.com/office/drawing/2014/main" id="{E7DA09D2-4463-48C7-89F3-6D674ABC3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56" name="Picture 2217" descr="_">
          <a:extLst>
            <a:ext uri="{FF2B5EF4-FFF2-40B4-BE49-F238E27FC236}">
              <a16:creationId xmlns:a16="http://schemas.microsoft.com/office/drawing/2014/main" id="{0CCAB317-0262-4EFC-9F16-593C22A4A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57" name="Picture 2218" descr="_">
          <a:extLst>
            <a:ext uri="{FF2B5EF4-FFF2-40B4-BE49-F238E27FC236}">
              <a16:creationId xmlns:a16="http://schemas.microsoft.com/office/drawing/2014/main" id="{179DEA80-E9CD-411D-BFA1-E6D234A13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58" name="Picture 2217" descr="_">
          <a:extLst>
            <a:ext uri="{FF2B5EF4-FFF2-40B4-BE49-F238E27FC236}">
              <a16:creationId xmlns:a16="http://schemas.microsoft.com/office/drawing/2014/main" id="{6105A0C8-05C4-4112-967F-B52DADC10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91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59" name="Picture 2218" descr="_">
          <a:extLst>
            <a:ext uri="{FF2B5EF4-FFF2-40B4-BE49-F238E27FC236}">
              <a16:creationId xmlns:a16="http://schemas.microsoft.com/office/drawing/2014/main" id="{7597AA3D-53B5-4852-A468-9B26D6D09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91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60" name="Picture 2217" descr="_">
          <a:extLst>
            <a:ext uri="{FF2B5EF4-FFF2-40B4-BE49-F238E27FC236}">
              <a16:creationId xmlns:a16="http://schemas.microsoft.com/office/drawing/2014/main" id="{150F1A92-C580-4FF8-9ACA-227E06744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61" name="Picture 2218" descr="_">
          <a:extLst>
            <a:ext uri="{FF2B5EF4-FFF2-40B4-BE49-F238E27FC236}">
              <a16:creationId xmlns:a16="http://schemas.microsoft.com/office/drawing/2014/main" id="{6902628C-1D1E-4C42-A7A3-CC10FF33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62" name="Picture 2217" descr="_">
          <a:extLst>
            <a:ext uri="{FF2B5EF4-FFF2-40B4-BE49-F238E27FC236}">
              <a16:creationId xmlns:a16="http://schemas.microsoft.com/office/drawing/2014/main" id="{B2026FA3-DC63-4B41-8285-795C8405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91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63" name="Picture 2218" descr="_">
          <a:extLst>
            <a:ext uri="{FF2B5EF4-FFF2-40B4-BE49-F238E27FC236}">
              <a16:creationId xmlns:a16="http://schemas.microsoft.com/office/drawing/2014/main" id="{2B3E4B01-C1BD-4CF6-8FDE-D11620848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9591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64" name="Picture 2217" descr="_">
          <a:extLst>
            <a:ext uri="{FF2B5EF4-FFF2-40B4-BE49-F238E27FC236}">
              <a16:creationId xmlns:a16="http://schemas.microsoft.com/office/drawing/2014/main" id="{20147003-3391-441D-B0C8-58E5A4DE5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65" name="Picture 2218" descr="_">
          <a:extLst>
            <a:ext uri="{FF2B5EF4-FFF2-40B4-BE49-F238E27FC236}">
              <a16:creationId xmlns:a16="http://schemas.microsoft.com/office/drawing/2014/main" id="{D3B0BFE4-0680-4D38-B8C3-1DE321690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27749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66" name="Picture 2217" descr="_">
          <a:extLst>
            <a:ext uri="{FF2B5EF4-FFF2-40B4-BE49-F238E27FC236}">
              <a16:creationId xmlns:a16="http://schemas.microsoft.com/office/drawing/2014/main" id="{5D703194-9DF0-4B6A-A154-970B13D2B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67" name="Picture 2218" descr="_">
          <a:extLst>
            <a:ext uri="{FF2B5EF4-FFF2-40B4-BE49-F238E27FC236}">
              <a16:creationId xmlns:a16="http://schemas.microsoft.com/office/drawing/2014/main" id="{CA1F36EC-308F-4340-82DE-E4A0992A3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68" name="Picture 2217" descr="_">
          <a:extLst>
            <a:ext uri="{FF2B5EF4-FFF2-40B4-BE49-F238E27FC236}">
              <a16:creationId xmlns:a16="http://schemas.microsoft.com/office/drawing/2014/main" id="{E5AF5B80-CDBB-4DB9-BAE2-4E3B493A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69" name="Picture 2218" descr="_">
          <a:extLst>
            <a:ext uri="{FF2B5EF4-FFF2-40B4-BE49-F238E27FC236}">
              <a16:creationId xmlns:a16="http://schemas.microsoft.com/office/drawing/2014/main" id="{259C8C83-3210-4E4F-B41F-B2BA7011F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70" name="Picture 2217" descr="_">
          <a:extLst>
            <a:ext uri="{FF2B5EF4-FFF2-40B4-BE49-F238E27FC236}">
              <a16:creationId xmlns:a16="http://schemas.microsoft.com/office/drawing/2014/main" id="{7F1B8FB0-6A8B-45A8-84D6-ED73CB47A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71" name="Picture 2218" descr="_">
          <a:extLst>
            <a:ext uri="{FF2B5EF4-FFF2-40B4-BE49-F238E27FC236}">
              <a16:creationId xmlns:a16="http://schemas.microsoft.com/office/drawing/2014/main" id="{C299AF5F-2981-4C22-9F79-DAB9367D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72" name="Picture 2217" descr="_">
          <a:extLst>
            <a:ext uri="{FF2B5EF4-FFF2-40B4-BE49-F238E27FC236}">
              <a16:creationId xmlns:a16="http://schemas.microsoft.com/office/drawing/2014/main" id="{E894A7F1-FD79-4BE1-B987-92ACEE2F7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73" name="Picture 2218" descr="_">
          <a:extLst>
            <a:ext uri="{FF2B5EF4-FFF2-40B4-BE49-F238E27FC236}">
              <a16:creationId xmlns:a16="http://schemas.microsoft.com/office/drawing/2014/main" id="{0E79B55E-14AC-44A7-9BF6-7C9BD8356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74" name="Picture 2217" descr="_">
          <a:extLst>
            <a:ext uri="{FF2B5EF4-FFF2-40B4-BE49-F238E27FC236}">
              <a16:creationId xmlns:a16="http://schemas.microsoft.com/office/drawing/2014/main" id="{0E8E71E5-5D0D-43C1-87EB-A2575F1A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75" name="Picture 2218" descr="_">
          <a:extLst>
            <a:ext uri="{FF2B5EF4-FFF2-40B4-BE49-F238E27FC236}">
              <a16:creationId xmlns:a16="http://schemas.microsoft.com/office/drawing/2014/main" id="{A902705F-DDB7-438F-B1AC-AE87AA0AD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76" name="Picture 2217" descr="_">
          <a:extLst>
            <a:ext uri="{FF2B5EF4-FFF2-40B4-BE49-F238E27FC236}">
              <a16:creationId xmlns:a16="http://schemas.microsoft.com/office/drawing/2014/main" id="{60E66ED7-29F5-4DEF-AE09-208D26BE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77" name="Picture 2218" descr="_">
          <a:extLst>
            <a:ext uri="{FF2B5EF4-FFF2-40B4-BE49-F238E27FC236}">
              <a16:creationId xmlns:a16="http://schemas.microsoft.com/office/drawing/2014/main" id="{C0BFCB44-986A-4BC8-A54F-A3A9BA408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78" name="Picture 2217" descr="_">
          <a:extLst>
            <a:ext uri="{FF2B5EF4-FFF2-40B4-BE49-F238E27FC236}">
              <a16:creationId xmlns:a16="http://schemas.microsoft.com/office/drawing/2014/main" id="{15C3616B-2366-4EE0-8C07-F7B4DC872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79" name="Picture 2218" descr="_">
          <a:extLst>
            <a:ext uri="{FF2B5EF4-FFF2-40B4-BE49-F238E27FC236}">
              <a16:creationId xmlns:a16="http://schemas.microsoft.com/office/drawing/2014/main" id="{E7D93186-F255-4E64-8B39-70F1105C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80" name="Picture 2217" descr="_">
          <a:extLst>
            <a:ext uri="{FF2B5EF4-FFF2-40B4-BE49-F238E27FC236}">
              <a16:creationId xmlns:a16="http://schemas.microsoft.com/office/drawing/2014/main" id="{99C2B023-DE0C-4CF5-8979-53D087330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81" name="Picture 2218" descr="_">
          <a:extLst>
            <a:ext uri="{FF2B5EF4-FFF2-40B4-BE49-F238E27FC236}">
              <a16:creationId xmlns:a16="http://schemas.microsoft.com/office/drawing/2014/main" id="{73AAE00A-C8B3-49D8-B64F-A743B9FD8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82" name="Picture 2217" descr="_">
          <a:extLst>
            <a:ext uri="{FF2B5EF4-FFF2-40B4-BE49-F238E27FC236}">
              <a16:creationId xmlns:a16="http://schemas.microsoft.com/office/drawing/2014/main" id="{8BD185E6-6C28-4775-B64E-11630912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83" name="Picture 2218" descr="_">
          <a:extLst>
            <a:ext uri="{FF2B5EF4-FFF2-40B4-BE49-F238E27FC236}">
              <a16:creationId xmlns:a16="http://schemas.microsoft.com/office/drawing/2014/main" id="{568BF463-906A-49DF-9B26-AFB06372E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84" name="Picture 2217" descr="_">
          <a:extLst>
            <a:ext uri="{FF2B5EF4-FFF2-40B4-BE49-F238E27FC236}">
              <a16:creationId xmlns:a16="http://schemas.microsoft.com/office/drawing/2014/main" id="{C9DEDE60-2B0B-4E88-9AEF-239B263A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85" name="Picture 2218" descr="_">
          <a:extLst>
            <a:ext uri="{FF2B5EF4-FFF2-40B4-BE49-F238E27FC236}">
              <a16:creationId xmlns:a16="http://schemas.microsoft.com/office/drawing/2014/main" id="{B5ED0261-FCBE-4805-86A1-BDA39780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86" name="Picture 2217" descr="_">
          <a:extLst>
            <a:ext uri="{FF2B5EF4-FFF2-40B4-BE49-F238E27FC236}">
              <a16:creationId xmlns:a16="http://schemas.microsoft.com/office/drawing/2014/main" id="{AACB14B4-CA8D-4CA9-BAC6-4609023A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87" name="Picture 2218" descr="_">
          <a:extLst>
            <a:ext uri="{FF2B5EF4-FFF2-40B4-BE49-F238E27FC236}">
              <a16:creationId xmlns:a16="http://schemas.microsoft.com/office/drawing/2014/main" id="{4D988596-AAAE-4E36-9768-2755491EB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88" name="Picture 2217" descr="_">
          <a:extLst>
            <a:ext uri="{FF2B5EF4-FFF2-40B4-BE49-F238E27FC236}">
              <a16:creationId xmlns:a16="http://schemas.microsoft.com/office/drawing/2014/main" id="{21434B80-E62F-4C3A-8D53-AB47AEBB5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89" name="Picture 2218" descr="_">
          <a:extLst>
            <a:ext uri="{FF2B5EF4-FFF2-40B4-BE49-F238E27FC236}">
              <a16:creationId xmlns:a16="http://schemas.microsoft.com/office/drawing/2014/main" id="{CF758FCC-B8D1-4F5D-92DE-78C623C40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90" name="Picture 2217" descr="_">
          <a:extLst>
            <a:ext uri="{FF2B5EF4-FFF2-40B4-BE49-F238E27FC236}">
              <a16:creationId xmlns:a16="http://schemas.microsoft.com/office/drawing/2014/main" id="{84CD56A6-F09E-4DAF-94AF-CB947E5F9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91" name="Picture 2218" descr="_">
          <a:extLst>
            <a:ext uri="{FF2B5EF4-FFF2-40B4-BE49-F238E27FC236}">
              <a16:creationId xmlns:a16="http://schemas.microsoft.com/office/drawing/2014/main" id="{F383BEC8-5A71-4F8D-AAE5-56DE4987B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92" name="Picture 2217" descr="_">
          <a:extLst>
            <a:ext uri="{FF2B5EF4-FFF2-40B4-BE49-F238E27FC236}">
              <a16:creationId xmlns:a16="http://schemas.microsoft.com/office/drawing/2014/main" id="{42D60299-71E8-4AEB-AE4A-CAF9A85A7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93" name="Picture 2218" descr="_">
          <a:extLst>
            <a:ext uri="{FF2B5EF4-FFF2-40B4-BE49-F238E27FC236}">
              <a16:creationId xmlns:a16="http://schemas.microsoft.com/office/drawing/2014/main" id="{3F37F9C9-EBC3-48C8-87EB-0AD686948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94" name="Picture 2217" descr="_">
          <a:extLst>
            <a:ext uri="{FF2B5EF4-FFF2-40B4-BE49-F238E27FC236}">
              <a16:creationId xmlns:a16="http://schemas.microsoft.com/office/drawing/2014/main" id="{1357C5F1-2462-49A8-B1BE-9D12300FC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95" name="Picture 2218" descr="_">
          <a:extLst>
            <a:ext uri="{FF2B5EF4-FFF2-40B4-BE49-F238E27FC236}">
              <a16:creationId xmlns:a16="http://schemas.microsoft.com/office/drawing/2014/main" id="{E9F2558F-F890-4BEB-A6AE-0DEEB5130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96" name="Picture 2217" descr="_">
          <a:extLst>
            <a:ext uri="{FF2B5EF4-FFF2-40B4-BE49-F238E27FC236}">
              <a16:creationId xmlns:a16="http://schemas.microsoft.com/office/drawing/2014/main" id="{578D5AAF-7F86-47B7-86CB-D00589085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497" name="Picture 2218" descr="_">
          <a:extLst>
            <a:ext uri="{FF2B5EF4-FFF2-40B4-BE49-F238E27FC236}">
              <a16:creationId xmlns:a16="http://schemas.microsoft.com/office/drawing/2014/main" id="{B16B0B8A-8FBE-4B95-A3F9-AFD5E40C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98" name="Picture 2217" descr="_">
          <a:extLst>
            <a:ext uri="{FF2B5EF4-FFF2-40B4-BE49-F238E27FC236}">
              <a16:creationId xmlns:a16="http://schemas.microsoft.com/office/drawing/2014/main" id="{FF2A2F5E-8081-4C94-825C-70D8CEE0A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499" name="Picture 2218" descr="_">
          <a:extLst>
            <a:ext uri="{FF2B5EF4-FFF2-40B4-BE49-F238E27FC236}">
              <a16:creationId xmlns:a16="http://schemas.microsoft.com/office/drawing/2014/main" id="{58DD6978-89C3-4A6F-AAAC-39FF520AE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00" name="Picture 2217" descr="_">
          <a:extLst>
            <a:ext uri="{FF2B5EF4-FFF2-40B4-BE49-F238E27FC236}">
              <a16:creationId xmlns:a16="http://schemas.microsoft.com/office/drawing/2014/main" id="{03F26E19-5D1F-45F2-9429-E7B6835F9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01" name="Picture 2218" descr="_">
          <a:extLst>
            <a:ext uri="{FF2B5EF4-FFF2-40B4-BE49-F238E27FC236}">
              <a16:creationId xmlns:a16="http://schemas.microsoft.com/office/drawing/2014/main" id="{D344C5F7-EE2E-4DCD-BE4D-998D6A85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02" name="Picture 2217" descr="_">
          <a:extLst>
            <a:ext uri="{FF2B5EF4-FFF2-40B4-BE49-F238E27FC236}">
              <a16:creationId xmlns:a16="http://schemas.microsoft.com/office/drawing/2014/main" id="{6E97B009-DF8C-4436-B824-B116DDE3F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03" name="Picture 2218" descr="_">
          <a:extLst>
            <a:ext uri="{FF2B5EF4-FFF2-40B4-BE49-F238E27FC236}">
              <a16:creationId xmlns:a16="http://schemas.microsoft.com/office/drawing/2014/main" id="{CCB29B56-CDF6-46CE-BC1D-AA8F5B709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04" name="Picture 2217" descr="_">
          <a:extLst>
            <a:ext uri="{FF2B5EF4-FFF2-40B4-BE49-F238E27FC236}">
              <a16:creationId xmlns:a16="http://schemas.microsoft.com/office/drawing/2014/main" id="{07676F74-B642-44EA-A9BA-29224BF6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05" name="Picture 2218" descr="_">
          <a:extLst>
            <a:ext uri="{FF2B5EF4-FFF2-40B4-BE49-F238E27FC236}">
              <a16:creationId xmlns:a16="http://schemas.microsoft.com/office/drawing/2014/main" id="{EE4B3E5E-2389-4C83-BB66-AA470700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06" name="Picture 2217" descr="_">
          <a:extLst>
            <a:ext uri="{FF2B5EF4-FFF2-40B4-BE49-F238E27FC236}">
              <a16:creationId xmlns:a16="http://schemas.microsoft.com/office/drawing/2014/main" id="{9D9CC09B-7B79-44FA-B59E-0CD28E56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07" name="Picture 2218" descr="_">
          <a:extLst>
            <a:ext uri="{FF2B5EF4-FFF2-40B4-BE49-F238E27FC236}">
              <a16:creationId xmlns:a16="http://schemas.microsoft.com/office/drawing/2014/main" id="{306B42E7-9779-4F87-857D-73EF8F21C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08" name="Picture 2217" descr="_">
          <a:extLst>
            <a:ext uri="{FF2B5EF4-FFF2-40B4-BE49-F238E27FC236}">
              <a16:creationId xmlns:a16="http://schemas.microsoft.com/office/drawing/2014/main" id="{05CE9D67-4D01-4A5A-8146-069046660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09" name="Picture 2218" descr="_">
          <a:extLst>
            <a:ext uri="{FF2B5EF4-FFF2-40B4-BE49-F238E27FC236}">
              <a16:creationId xmlns:a16="http://schemas.microsoft.com/office/drawing/2014/main" id="{3729434A-1CC6-42D9-B547-56954CF4F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10" name="Picture 2217" descr="_">
          <a:extLst>
            <a:ext uri="{FF2B5EF4-FFF2-40B4-BE49-F238E27FC236}">
              <a16:creationId xmlns:a16="http://schemas.microsoft.com/office/drawing/2014/main" id="{997BCF9D-2428-43E9-B622-967E5FE5F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11" name="Picture 2218" descr="_">
          <a:extLst>
            <a:ext uri="{FF2B5EF4-FFF2-40B4-BE49-F238E27FC236}">
              <a16:creationId xmlns:a16="http://schemas.microsoft.com/office/drawing/2014/main" id="{B5B0E39C-ABAB-4F05-8A01-96C773AB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12" name="Picture 2217" descr="_">
          <a:extLst>
            <a:ext uri="{FF2B5EF4-FFF2-40B4-BE49-F238E27FC236}">
              <a16:creationId xmlns:a16="http://schemas.microsoft.com/office/drawing/2014/main" id="{F7909B99-FBBF-496E-AFE9-1783D381C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13" name="Picture 2218" descr="_">
          <a:extLst>
            <a:ext uri="{FF2B5EF4-FFF2-40B4-BE49-F238E27FC236}">
              <a16:creationId xmlns:a16="http://schemas.microsoft.com/office/drawing/2014/main" id="{A6CABD88-7E17-4505-9CAA-8F12A5AEC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14" name="Picture 2217" descr="_">
          <a:extLst>
            <a:ext uri="{FF2B5EF4-FFF2-40B4-BE49-F238E27FC236}">
              <a16:creationId xmlns:a16="http://schemas.microsoft.com/office/drawing/2014/main" id="{C2AC2287-819F-4D55-A9D2-C9E02D71B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15" name="Picture 2218" descr="_">
          <a:extLst>
            <a:ext uri="{FF2B5EF4-FFF2-40B4-BE49-F238E27FC236}">
              <a16:creationId xmlns:a16="http://schemas.microsoft.com/office/drawing/2014/main" id="{37239D66-0575-417C-BA0E-AD8600855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16" name="Picture 2217" descr="_">
          <a:extLst>
            <a:ext uri="{FF2B5EF4-FFF2-40B4-BE49-F238E27FC236}">
              <a16:creationId xmlns:a16="http://schemas.microsoft.com/office/drawing/2014/main" id="{7F9098E0-CCD8-4BBB-A7BB-9C5F769C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17" name="Picture 2218" descr="_">
          <a:extLst>
            <a:ext uri="{FF2B5EF4-FFF2-40B4-BE49-F238E27FC236}">
              <a16:creationId xmlns:a16="http://schemas.microsoft.com/office/drawing/2014/main" id="{3F6726DD-19A6-4C48-AF78-6B4B1AC3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18" name="Picture 2217" descr="_">
          <a:extLst>
            <a:ext uri="{FF2B5EF4-FFF2-40B4-BE49-F238E27FC236}">
              <a16:creationId xmlns:a16="http://schemas.microsoft.com/office/drawing/2014/main" id="{AD3C6A71-74BC-4C1F-B42B-90FDFD0F9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19" name="Picture 2218" descr="_">
          <a:extLst>
            <a:ext uri="{FF2B5EF4-FFF2-40B4-BE49-F238E27FC236}">
              <a16:creationId xmlns:a16="http://schemas.microsoft.com/office/drawing/2014/main" id="{96AAA2DF-6FDB-4EAA-8AC1-A0C72E8D8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20" name="Picture 2217" descr="_">
          <a:extLst>
            <a:ext uri="{FF2B5EF4-FFF2-40B4-BE49-F238E27FC236}">
              <a16:creationId xmlns:a16="http://schemas.microsoft.com/office/drawing/2014/main" id="{FD37A71C-CE51-49FD-AF67-05C209110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21" name="Picture 2218" descr="_">
          <a:extLst>
            <a:ext uri="{FF2B5EF4-FFF2-40B4-BE49-F238E27FC236}">
              <a16:creationId xmlns:a16="http://schemas.microsoft.com/office/drawing/2014/main" id="{A48CAE98-F3E8-4661-8EEE-70B4E672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22" name="Picture 2217" descr="_">
          <a:extLst>
            <a:ext uri="{FF2B5EF4-FFF2-40B4-BE49-F238E27FC236}">
              <a16:creationId xmlns:a16="http://schemas.microsoft.com/office/drawing/2014/main" id="{BA43BE19-9996-4F05-9A3A-B52DBCB53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381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23" name="Picture 2218" descr="_">
          <a:extLst>
            <a:ext uri="{FF2B5EF4-FFF2-40B4-BE49-F238E27FC236}">
              <a16:creationId xmlns:a16="http://schemas.microsoft.com/office/drawing/2014/main" id="{08E923C4-FB31-4BC8-B92E-AE9540ABD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381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24" name="Picture 2217" descr="_">
          <a:extLst>
            <a:ext uri="{FF2B5EF4-FFF2-40B4-BE49-F238E27FC236}">
              <a16:creationId xmlns:a16="http://schemas.microsoft.com/office/drawing/2014/main" id="{7949F351-7BD4-4313-8FF7-CE3A27C6C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25" name="Picture 2218" descr="_">
          <a:extLst>
            <a:ext uri="{FF2B5EF4-FFF2-40B4-BE49-F238E27FC236}">
              <a16:creationId xmlns:a16="http://schemas.microsoft.com/office/drawing/2014/main" id="{51DEA8AD-AA6A-47BA-A3FB-7358B75E6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26" name="Picture 2217" descr="_">
          <a:extLst>
            <a:ext uri="{FF2B5EF4-FFF2-40B4-BE49-F238E27FC236}">
              <a16:creationId xmlns:a16="http://schemas.microsoft.com/office/drawing/2014/main" id="{1C38EAD6-1459-422A-8150-C31C3C2EC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381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27" name="Picture 2218" descr="_">
          <a:extLst>
            <a:ext uri="{FF2B5EF4-FFF2-40B4-BE49-F238E27FC236}">
              <a16:creationId xmlns:a16="http://schemas.microsoft.com/office/drawing/2014/main" id="{E1EDAF98-EF21-4D2F-9104-295F65654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3815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28" name="Picture 2217" descr="_">
          <a:extLst>
            <a:ext uri="{FF2B5EF4-FFF2-40B4-BE49-F238E27FC236}">
              <a16:creationId xmlns:a16="http://schemas.microsoft.com/office/drawing/2014/main" id="{3F5ADF6D-5DD3-43E1-A72C-FD6D18D8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29" name="Picture 2218" descr="_">
          <a:extLst>
            <a:ext uri="{FF2B5EF4-FFF2-40B4-BE49-F238E27FC236}">
              <a16:creationId xmlns:a16="http://schemas.microsoft.com/office/drawing/2014/main" id="{3ECC062F-6242-49B5-A63C-60086DB3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41973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30" name="Picture 2217" descr="_">
          <a:extLst>
            <a:ext uri="{FF2B5EF4-FFF2-40B4-BE49-F238E27FC236}">
              <a16:creationId xmlns:a16="http://schemas.microsoft.com/office/drawing/2014/main" id="{5D28A46A-79B2-4C21-B436-3B350AD74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31" name="Picture 2218" descr="_">
          <a:extLst>
            <a:ext uri="{FF2B5EF4-FFF2-40B4-BE49-F238E27FC236}">
              <a16:creationId xmlns:a16="http://schemas.microsoft.com/office/drawing/2014/main" id="{615A12B1-A95A-4A27-A8B4-C2DB3B262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32" name="Picture 2217" descr="_">
          <a:extLst>
            <a:ext uri="{FF2B5EF4-FFF2-40B4-BE49-F238E27FC236}">
              <a16:creationId xmlns:a16="http://schemas.microsoft.com/office/drawing/2014/main" id="{966BED27-0161-4DB2-BF29-440C993C9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33" name="Picture 2218" descr="_">
          <a:extLst>
            <a:ext uri="{FF2B5EF4-FFF2-40B4-BE49-F238E27FC236}">
              <a16:creationId xmlns:a16="http://schemas.microsoft.com/office/drawing/2014/main" id="{76D6EA84-CB35-4CB8-B597-8A64BA026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34" name="Picture 2217" descr="_">
          <a:extLst>
            <a:ext uri="{FF2B5EF4-FFF2-40B4-BE49-F238E27FC236}">
              <a16:creationId xmlns:a16="http://schemas.microsoft.com/office/drawing/2014/main" id="{E505BA8F-1805-4528-B134-E0B7853D8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35" name="Picture 2218" descr="_">
          <a:extLst>
            <a:ext uri="{FF2B5EF4-FFF2-40B4-BE49-F238E27FC236}">
              <a16:creationId xmlns:a16="http://schemas.microsoft.com/office/drawing/2014/main" id="{3BCF7DC1-4F76-4700-A5BF-7FEB5338A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36" name="Picture 2217" descr="_">
          <a:extLst>
            <a:ext uri="{FF2B5EF4-FFF2-40B4-BE49-F238E27FC236}">
              <a16:creationId xmlns:a16="http://schemas.microsoft.com/office/drawing/2014/main" id="{E649671D-5AEE-4777-B612-F473B808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37" name="Picture 2218" descr="_">
          <a:extLst>
            <a:ext uri="{FF2B5EF4-FFF2-40B4-BE49-F238E27FC236}">
              <a16:creationId xmlns:a16="http://schemas.microsoft.com/office/drawing/2014/main" id="{52F28E00-F97E-445D-863A-CF9A0862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38" name="Picture 2217" descr="_">
          <a:extLst>
            <a:ext uri="{FF2B5EF4-FFF2-40B4-BE49-F238E27FC236}">
              <a16:creationId xmlns:a16="http://schemas.microsoft.com/office/drawing/2014/main" id="{D36A59DC-6826-4B70-8549-AB819804A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39" name="Picture 2218" descr="_">
          <a:extLst>
            <a:ext uri="{FF2B5EF4-FFF2-40B4-BE49-F238E27FC236}">
              <a16:creationId xmlns:a16="http://schemas.microsoft.com/office/drawing/2014/main" id="{00E9B1D5-AEF9-4A1B-ACB8-07A9A7144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40" name="Picture 2217" descr="_">
          <a:extLst>
            <a:ext uri="{FF2B5EF4-FFF2-40B4-BE49-F238E27FC236}">
              <a16:creationId xmlns:a16="http://schemas.microsoft.com/office/drawing/2014/main" id="{09BE331F-3B9A-4A2D-86E1-E30118BCA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41" name="Picture 2218" descr="_">
          <a:extLst>
            <a:ext uri="{FF2B5EF4-FFF2-40B4-BE49-F238E27FC236}">
              <a16:creationId xmlns:a16="http://schemas.microsoft.com/office/drawing/2014/main" id="{DE3E98AA-9137-46EE-9469-72ADA294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42" name="Picture 2217" descr="_">
          <a:extLst>
            <a:ext uri="{FF2B5EF4-FFF2-40B4-BE49-F238E27FC236}">
              <a16:creationId xmlns:a16="http://schemas.microsoft.com/office/drawing/2014/main" id="{9075A554-3FAC-49CA-8747-0D9EA464D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43" name="Picture 2218" descr="_">
          <a:extLst>
            <a:ext uri="{FF2B5EF4-FFF2-40B4-BE49-F238E27FC236}">
              <a16:creationId xmlns:a16="http://schemas.microsoft.com/office/drawing/2014/main" id="{392251AA-4DAE-49A1-8EDD-85FD003D3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44" name="Picture 2217" descr="_">
          <a:extLst>
            <a:ext uri="{FF2B5EF4-FFF2-40B4-BE49-F238E27FC236}">
              <a16:creationId xmlns:a16="http://schemas.microsoft.com/office/drawing/2014/main" id="{2E6926F3-DE50-48CA-857F-6278E67A1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45" name="Picture 2218" descr="_">
          <a:extLst>
            <a:ext uri="{FF2B5EF4-FFF2-40B4-BE49-F238E27FC236}">
              <a16:creationId xmlns:a16="http://schemas.microsoft.com/office/drawing/2014/main" id="{CFCF4281-3239-4C0E-B6AD-1B101A82A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46" name="Picture 2217" descr="_">
          <a:extLst>
            <a:ext uri="{FF2B5EF4-FFF2-40B4-BE49-F238E27FC236}">
              <a16:creationId xmlns:a16="http://schemas.microsoft.com/office/drawing/2014/main" id="{CDC8CE9F-3851-455D-9698-ED783C79F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47" name="Picture 2218" descr="_">
          <a:extLst>
            <a:ext uri="{FF2B5EF4-FFF2-40B4-BE49-F238E27FC236}">
              <a16:creationId xmlns:a16="http://schemas.microsoft.com/office/drawing/2014/main" id="{6A7BE2F6-F84E-4B0E-AB4A-2F3D27CBB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48" name="Picture 2217" descr="_">
          <a:extLst>
            <a:ext uri="{FF2B5EF4-FFF2-40B4-BE49-F238E27FC236}">
              <a16:creationId xmlns:a16="http://schemas.microsoft.com/office/drawing/2014/main" id="{F091825E-CEE7-457B-8434-5772BC890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49" name="Picture 2218" descr="_">
          <a:extLst>
            <a:ext uri="{FF2B5EF4-FFF2-40B4-BE49-F238E27FC236}">
              <a16:creationId xmlns:a16="http://schemas.microsoft.com/office/drawing/2014/main" id="{6EED2A18-4947-46FB-A9A1-959C3E4BA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50" name="Picture 2217" descr="_">
          <a:extLst>
            <a:ext uri="{FF2B5EF4-FFF2-40B4-BE49-F238E27FC236}">
              <a16:creationId xmlns:a16="http://schemas.microsoft.com/office/drawing/2014/main" id="{16DD0BF0-DF11-4E40-872E-32181231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51" name="Picture 2218" descr="_">
          <a:extLst>
            <a:ext uri="{FF2B5EF4-FFF2-40B4-BE49-F238E27FC236}">
              <a16:creationId xmlns:a16="http://schemas.microsoft.com/office/drawing/2014/main" id="{B9B90738-CD92-4CD9-A3C9-8E7D0E1D3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52" name="Picture 2217" descr="_">
          <a:extLst>
            <a:ext uri="{FF2B5EF4-FFF2-40B4-BE49-F238E27FC236}">
              <a16:creationId xmlns:a16="http://schemas.microsoft.com/office/drawing/2014/main" id="{BF2FC660-D8FC-4260-91EF-1257E556A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53" name="Picture 2218" descr="_">
          <a:extLst>
            <a:ext uri="{FF2B5EF4-FFF2-40B4-BE49-F238E27FC236}">
              <a16:creationId xmlns:a16="http://schemas.microsoft.com/office/drawing/2014/main" id="{7BCFE8D9-B6A5-47ED-A711-C0EDA6F84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54" name="Picture 2217" descr="_">
          <a:extLst>
            <a:ext uri="{FF2B5EF4-FFF2-40B4-BE49-F238E27FC236}">
              <a16:creationId xmlns:a16="http://schemas.microsoft.com/office/drawing/2014/main" id="{B2C6A4E0-6DB4-4127-B2A9-B34E55B2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55" name="Picture 2218" descr="_">
          <a:extLst>
            <a:ext uri="{FF2B5EF4-FFF2-40B4-BE49-F238E27FC236}">
              <a16:creationId xmlns:a16="http://schemas.microsoft.com/office/drawing/2014/main" id="{C56362A5-639C-4307-BCA4-414F2F707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56" name="Picture 2217" descr="_">
          <a:extLst>
            <a:ext uri="{FF2B5EF4-FFF2-40B4-BE49-F238E27FC236}">
              <a16:creationId xmlns:a16="http://schemas.microsoft.com/office/drawing/2014/main" id="{726D303F-0452-4989-9D39-57279F029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57" name="Picture 2218" descr="_">
          <a:extLst>
            <a:ext uri="{FF2B5EF4-FFF2-40B4-BE49-F238E27FC236}">
              <a16:creationId xmlns:a16="http://schemas.microsoft.com/office/drawing/2014/main" id="{A5FB7281-D3EB-40F0-A08D-B03960001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58" name="Picture 2217" descr="_">
          <a:extLst>
            <a:ext uri="{FF2B5EF4-FFF2-40B4-BE49-F238E27FC236}">
              <a16:creationId xmlns:a16="http://schemas.microsoft.com/office/drawing/2014/main" id="{33AE9CBD-3474-4A22-BC94-1C323AE6E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59" name="Picture 2218" descr="_">
          <a:extLst>
            <a:ext uri="{FF2B5EF4-FFF2-40B4-BE49-F238E27FC236}">
              <a16:creationId xmlns:a16="http://schemas.microsoft.com/office/drawing/2014/main" id="{14CF6822-F0D6-4F93-9BB4-1300C7D9A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60" name="Picture 2217" descr="_">
          <a:extLst>
            <a:ext uri="{FF2B5EF4-FFF2-40B4-BE49-F238E27FC236}">
              <a16:creationId xmlns:a16="http://schemas.microsoft.com/office/drawing/2014/main" id="{6CA53545-B475-48CC-B9DA-DC4B420DF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61" name="Picture 2218" descr="_">
          <a:extLst>
            <a:ext uri="{FF2B5EF4-FFF2-40B4-BE49-F238E27FC236}">
              <a16:creationId xmlns:a16="http://schemas.microsoft.com/office/drawing/2014/main" id="{7266678A-59BB-4340-A4CF-2C451CB9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62" name="Picture 2217" descr="_">
          <a:extLst>
            <a:ext uri="{FF2B5EF4-FFF2-40B4-BE49-F238E27FC236}">
              <a16:creationId xmlns:a16="http://schemas.microsoft.com/office/drawing/2014/main" id="{91A29CCC-26F7-4A4C-9CA2-F700CC1CB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63" name="Picture 2218" descr="_">
          <a:extLst>
            <a:ext uri="{FF2B5EF4-FFF2-40B4-BE49-F238E27FC236}">
              <a16:creationId xmlns:a16="http://schemas.microsoft.com/office/drawing/2014/main" id="{B4E05462-CBD8-462C-B7F6-C18D0F9F8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64" name="Picture 2217" descr="_">
          <a:extLst>
            <a:ext uri="{FF2B5EF4-FFF2-40B4-BE49-F238E27FC236}">
              <a16:creationId xmlns:a16="http://schemas.microsoft.com/office/drawing/2014/main" id="{EDC64661-9E5A-4CF1-A7E4-6D6075EAA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65" name="Picture 2218" descr="_">
          <a:extLst>
            <a:ext uri="{FF2B5EF4-FFF2-40B4-BE49-F238E27FC236}">
              <a16:creationId xmlns:a16="http://schemas.microsoft.com/office/drawing/2014/main" id="{40D5B17B-E6E4-4705-882C-08D4DB04E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66" name="Picture 2217" descr="_">
          <a:extLst>
            <a:ext uri="{FF2B5EF4-FFF2-40B4-BE49-F238E27FC236}">
              <a16:creationId xmlns:a16="http://schemas.microsoft.com/office/drawing/2014/main" id="{F2F2C7D8-C7F8-42F8-BF48-6E05BE0D3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67" name="Picture 2218" descr="_">
          <a:extLst>
            <a:ext uri="{FF2B5EF4-FFF2-40B4-BE49-F238E27FC236}">
              <a16:creationId xmlns:a16="http://schemas.microsoft.com/office/drawing/2014/main" id="{57139DCB-A036-482F-9682-C13DDB27E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68" name="Picture 2217" descr="_">
          <a:extLst>
            <a:ext uri="{FF2B5EF4-FFF2-40B4-BE49-F238E27FC236}">
              <a16:creationId xmlns:a16="http://schemas.microsoft.com/office/drawing/2014/main" id="{3BED3DB7-0868-4C3D-9242-AD51CF094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69" name="Picture 2218" descr="_">
          <a:extLst>
            <a:ext uri="{FF2B5EF4-FFF2-40B4-BE49-F238E27FC236}">
              <a16:creationId xmlns:a16="http://schemas.microsoft.com/office/drawing/2014/main" id="{9EBB5549-73E0-4957-9555-9ED4DD9F1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70" name="Picture 2217" descr="_">
          <a:extLst>
            <a:ext uri="{FF2B5EF4-FFF2-40B4-BE49-F238E27FC236}">
              <a16:creationId xmlns:a16="http://schemas.microsoft.com/office/drawing/2014/main" id="{E8C24EBB-50C0-4467-931B-BE773F01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71" name="Picture 2218" descr="_">
          <a:extLst>
            <a:ext uri="{FF2B5EF4-FFF2-40B4-BE49-F238E27FC236}">
              <a16:creationId xmlns:a16="http://schemas.microsoft.com/office/drawing/2014/main" id="{674CC43A-A8A8-46E4-8170-7D8D7C8B5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72" name="Picture 2217" descr="_">
          <a:extLst>
            <a:ext uri="{FF2B5EF4-FFF2-40B4-BE49-F238E27FC236}">
              <a16:creationId xmlns:a16="http://schemas.microsoft.com/office/drawing/2014/main" id="{5233C78E-F318-4C21-B678-2E808510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73" name="Picture 2218" descr="_">
          <a:extLst>
            <a:ext uri="{FF2B5EF4-FFF2-40B4-BE49-F238E27FC236}">
              <a16:creationId xmlns:a16="http://schemas.microsoft.com/office/drawing/2014/main" id="{F9A0032C-3D1F-4BD8-8AD3-EE254EAB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74" name="Picture 2217" descr="_">
          <a:extLst>
            <a:ext uri="{FF2B5EF4-FFF2-40B4-BE49-F238E27FC236}">
              <a16:creationId xmlns:a16="http://schemas.microsoft.com/office/drawing/2014/main" id="{87C22462-44FD-434D-A339-6BCDEA9BD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75" name="Picture 2218" descr="_">
          <a:extLst>
            <a:ext uri="{FF2B5EF4-FFF2-40B4-BE49-F238E27FC236}">
              <a16:creationId xmlns:a16="http://schemas.microsoft.com/office/drawing/2014/main" id="{01916BC4-6689-4098-9B71-3BB25BC91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76" name="Picture 2217" descr="_">
          <a:extLst>
            <a:ext uri="{FF2B5EF4-FFF2-40B4-BE49-F238E27FC236}">
              <a16:creationId xmlns:a16="http://schemas.microsoft.com/office/drawing/2014/main" id="{C5164F32-A16D-4A2D-8CB4-FEF565473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77" name="Picture 2218" descr="_">
          <a:extLst>
            <a:ext uri="{FF2B5EF4-FFF2-40B4-BE49-F238E27FC236}">
              <a16:creationId xmlns:a16="http://schemas.microsoft.com/office/drawing/2014/main" id="{B80F6F34-62FA-4837-B82D-EA755115D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78" name="Picture 2217" descr="_">
          <a:extLst>
            <a:ext uri="{FF2B5EF4-FFF2-40B4-BE49-F238E27FC236}">
              <a16:creationId xmlns:a16="http://schemas.microsoft.com/office/drawing/2014/main" id="{FBC7B90E-C941-4E33-8851-5083C58FB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79" name="Picture 2218" descr="_">
          <a:extLst>
            <a:ext uri="{FF2B5EF4-FFF2-40B4-BE49-F238E27FC236}">
              <a16:creationId xmlns:a16="http://schemas.microsoft.com/office/drawing/2014/main" id="{6A2118EA-7113-4DAD-BF13-3F68AC5E9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80" name="Picture 2217" descr="_">
          <a:extLst>
            <a:ext uri="{FF2B5EF4-FFF2-40B4-BE49-F238E27FC236}">
              <a16:creationId xmlns:a16="http://schemas.microsoft.com/office/drawing/2014/main" id="{656F68E0-42BA-49B6-BAEF-CCD5E37DD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81" name="Picture 2218" descr="_">
          <a:extLst>
            <a:ext uri="{FF2B5EF4-FFF2-40B4-BE49-F238E27FC236}">
              <a16:creationId xmlns:a16="http://schemas.microsoft.com/office/drawing/2014/main" id="{F1947C35-C974-40B7-B225-4F5D59082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82" name="Picture 2217" descr="_">
          <a:extLst>
            <a:ext uri="{FF2B5EF4-FFF2-40B4-BE49-F238E27FC236}">
              <a16:creationId xmlns:a16="http://schemas.microsoft.com/office/drawing/2014/main" id="{E4C6A85B-1641-465F-A9C7-1E009FFF6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83" name="Picture 2218" descr="_">
          <a:extLst>
            <a:ext uri="{FF2B5EF4-FFF2-40B4-BE49-F238E27FC236}">
              <a16:creationId xmlns:a16="http://schemas.microsoft.com/office/drawing/2014/main" id="{7B72312C-0965-4F56-9331-95B6C4760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84" name="Picture 2217" descr="_">
          <a:extLst>
            <a:ext uri="{FF2B5EF4-FFF2-40B4-BE49-F238E27FC236}">
              <a16:creationId xmlns:a16="http://schemas.microsoft.com/office/drawing/2014/main" id="{6ACFE297-8AAF-4AA0-AE94-16E73ABCF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85" name="Picture 2218" descr="_">
          <a:extLst>
            <a:ext uri="{FF2B5EF4-FFF2-40B4-BE49-F238E27FC236}">
              <a16:creationId xmlns:a16="http://schemas.microsoft.com/office/drawing/2014/main" id="{15466048-4D94-410D-91B9-DF1C6C61C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86" name="Picture 2217" descr="_">
          <a:extLst>
            <a:ext uri="{FF2B5EF4-FFF2-40B4-BE49-F238E27FC236}">
              <a16:creationId xmlns:a16="http://schemas.microsoft.com/office/drawing/2014/main" id="{03F5E293-D02D-4534-B8A2-8E59CACA5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87" name="Picture 2218" descr="_">
          <a:extLst>
            <a:ext uri="{FF2B5EF4-FFF2-40B4-BE49-F238E27FC236}">
              <a16:creationId xmlns:a16="http://schemas.microsoft.com/office/drawing/2014/main" id="{DE0620F9-FAF4-46AA-A057-3B67DD55E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88" name="Picture 2217" descr="_">
          <a:extLst>
            <a:ext uri="{FF2B5EF4-FFF2-40B4-BE49-F238E27FC236}">
              <a16:creationId xmlns:a16="http://schemas.microsoft.com/office/drawing/2014/main" id="{7A98A0D5-F48B-49D3-A4D8-8CCB054B5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89" name="Picture 2218" descr="_">
          <a:extLst>
            <a:ext uri="{FF2B5EF4-FFF2-40B4-BE49-F238E27FC236}">
              <a16:creationId xmlns:a16="http://schemas.microsoft.com/office/drawing/2014/main" id="{EEAF0735-64FD-490D-A9FB-8D27EC15C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90" name="Picture 2217" descr="_">
          <a:extLst>
            <a:ext uri="{FF2B5EF4-FFF2-40B4-BE49-F238E27FC236}">
              <a16:creationId xmlns:a16="http://schemas.microsoft.com/office/drawing/2014/main" id="{2F525C93-5BBB-40E0-978F-967260F7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91" name="Picture 2218" descr="_">
          <a:extLst>
            <a:ext uri="{FF2B5EF4-FFF2-40B4-BE49-F238E27FC236}">
              <a16:creationId xmlns:a16="http://schemas.microsoft.com/office/drawing/2014/main" id="{18E0BE56-7FF3-4118-B26F-2E5E9B671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92" name="Picture 2217" descr="_">
          <a:extLst>
            <a:ext uri="{FF2B5EF4-FFF2-40B4-BE49-F238E27FC236}">
              <a16:creationId xmlns:a16="http://schemas.microsoft.com/office/drawing/2014/main" id="{7F5AD4B7-BE01-40F0-9416-FB2F8E5C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93" name="Picture 2218" descr="_">
          <a:extLst>
            <a:ext uri="{FF2B5EF4-FFF2-40B4-BE49-F238E27FC236}">
              <a16:creationId xmlns:a16="http://schemas.microsoft.com/office/drawing/2014/main" id="{12801640-37FC-45E4-97F6-3F1AE75E3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94" name="Picture 2217" descr="_">
          <a:extLst>
            <a:ext uri="{FF2B5EF4-FFF2-40B4-BE49-F238E27FC236}">
              <a16:creationId xmlns:a16="http://schemas.microsoft.com/office/drawing/2014/main" id="{5F0F251F-F3F4-4AC5-A63D-CFEB81390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95" name="Picture 2218" descr="_">
          <a:extLst>
            <a:ext uri="{FF2B5EF4-FFF2-40B4-BE49-F238E27FC236}">
              <a16:creationId xmlns:a16="http://schemas.microsoft.com/office/drawing/2014/main" id="{C80FE207-DB90-481B-A9B3-2EEB5323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96" name="Picture 2217" descr="_">
          <a:extLst>
            <a:ext uri="{FF2B5EF4-FFF2-40B4-BE49-F238E27FC236}">
              <a16:creationId xmlns:a16="http://schemas.microsoft.com/office/drawing/2014/main" id="{5A3855D2-9BC5-432A-A76B-22DEC9573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597" name="Picture 2218" descr="_">
          <a:extLst>
            <a:ext uri="{FF2B5EF4-FFF2-40B4-BE49-F238E27FC236}">
              <a16:creationId xmlns:a16="http://schemas.microsoft.com/office/drawing/2014/main" id="{F3EF85B8-850A-4233-AFE1-092F96986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98" name="Picture 2217" descr="_">
          <a:extLst>
            <a:ext uri="{FF2B5EF4-FFF2-40B4-BE49-F238E27FC236}">
              <a16:creationId xmlns:a16="http://schemas.microsoft.com/office/drawing/2014/main" id="{34B57B68-F46C-41FC-B358-27AF4FD6E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599" name="Picture 2218" descr="_">
          <a:extLst>
            <a:ext uri="{FF2B5EF4-FFF2-40B4-BE49-F238E27FC236}">
              <a16:creationId xmlns:a16="http://schemas.microsoft.com/office/drawing/2014/main" id="{57034304-6B3E-40AA-AA89-472302B03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00" name="Picture 2217" descr="_">
          <a:extLst>
            <a:ext uri="{FF2B5EF4-FFF2-40B4-BE49-F238E27FC236}">
              <a16:creationId xmlns:a16="http://schemas.microsoft.com/office/drawing/2014/main" id="{88B8BD1F-FC31-4A61-8BE7-E9F70CD05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01" name="Picture 2218" descr="_">
          <a:extLst>
            <a:ext uri="{FF2B5EF4-FFF2-40B4-BE49-F238E27FC236}">
              <a16:creationId xmlns:a16="http://schemas.microsoft.com/office/drawing/2014/main" id="{CFC6724B-C2B7-4E4B-B5FC-D7EF5937A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02" name="Picture 2217" descr="_">
          <a:extLst>
            <a:ext uri="{FF2B5EF4-FFF2-40B4-BE49-F238E27FC236}">
              <a16:creationId xmlns:a16="http://schemas.microsoft.com/office/drawing/2014/main" id="{1520E217-AE8E-459A-9039-06E6978FD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03" name="Picture 2218" descr="_">
          <a:extLst>
            <a:ext uri="{FF2B5EF4-FFF2-40B4-BE49-F238E27FC236}">
              <a16:creationId xmlns:a16="http://schemas.microsoft.com/office/drawing/2014/main" id="{AD42C625-B517-4153-9B2B-43EF1BAB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04" name="Picture 2217" descr="_">
          <a:extLst>
            <a:ext uri="{FF2B5EF4-FFF2-40B4-BE49-F238E27FC236}">
              <a16:creationId xmlns:a16="http://schemas.microsoft.com/office/drawing/2014/main" id="{9EF316FA-7C4D-49FB-BE77-B0FFABC20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05" name="Picture 2218" descr="_">
          <a:extLst>
            <a:ext uri="{FF2B5EF4-FFF2-40B4-BE49-F238E27FC236}">
              <a16:creationId xmlns:a16="http://schemas.microsoft.com/office/drawing/2014/main" id="{54BBDF03-953A-46E0-867D-E14E9398A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06" name="Picture 2217" descr="_">
          <a:extLst>
            <a:ext uri="{FF2B5EF4-FFF2-40B4-BE49-F238E27FC236}">
              <a16:creationId xmlns:a16="http://schemas.microsoft.com/office/drawing/2014/main" id="{07DB0489-08A6-40DB-9FD9-5C0DCC8F9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07" name="Picture 2218" descr="_">
          <a:extLst>
            <a:ext uri="{FF2B5EF4-FFF2-40B4-BE49-F238E27FC236}">
              <a16:creationId xmlns:a16="http://schemas.microsoft.com/office/drawing/2014/main" id="{1F85956F-C4CE-4E6E-8EEF-FED049A82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08" name="Picture 2217" descr="_">
          <a:extLst>
            <a:ext uri="{FF2B5EF4-FFF2-40B4-BE49-F238E27FC236}">
              <a16:creationId xmlns:a16="http://schemas.microsoft.com/office/drawing/2014/main" id="{0331C174-803C-4409-A624-DC93AE3CE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09" name="Picture 2218" descr="_">
          <a:extLst>
            <a:ext uri="{FF2B5EF4-FFF2-40B4-BE49-F238E27FC236}">
              <a16:creationId xmlns:a16="http://schemas.microsoft.com/office/drawing/2014/main" id="{9E8C43B4-1449-4D21-B75C-A8929446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10" name="Picture 2217" descr="_">
          <a:extLst>
            <a:ext uri="{FF2B5EF4-FFF2-40B4-BE49-F238E27FC236}">
              <a16:creationId xmlns:a16="http://schemas.microsoft.com/office/drawing/2014/main" id="{42E67971-FCA0-47CC-ADB6-E24805519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11" name="Picture 2218" descr="_">
          <a:extLst>
            <a:ext uri="{FF2B5EF4-FFF2-40B4-BE49-F238E27FC236}">
              <a16:creationId xmlns:a16="http://schemas.microsoft.com/office/drawing/2014/main" id="{17B96DEE-14D7-404F-B45A-51396460C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12" name="Picture 2217" descr="_">
          <a:extLst>
            <a:ext uri="{FF2B5EF4-FFF2-40B4-BE49-F238E27FC236}">
              <a16:creationId xmlns:a16="http://schemas.microsoft.com/office/drawing/2014/main" id="{F96B5036-F51A-4A3E-9091-D68E863FE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13" name="Picture 2218" descr="_">
          <a:extLst>
            <a:ext uri="{FF2B5EF4-FFF2-40B4-BE49-F238E27FC236}">
              <a16:creationId xmlns:a16="http://schemas.microsoft.com/office/drawing/2014/main" id="{AB959D4A-1849-4799-93EF-5A269CF43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14" name="Picture 2217" descr="_">
          <a:extLst>
            <a:ext uri="{FF2B5EF4-FFF2-40B4-BE49-F238E27FC236}">
              <a16:creationId xmlns:a16="http://schemas.microsoft.com/office/drawing/2014/main" id="{15A22D07-F2A3-45AF-BF11-9A2D33248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15" name="Picture 2218" descr="_">
          <a:extLst>
            <a:ext uri="{FF2B5EF4-FFF2-40B4-BE49-F238E27FC236}">
              <a16:creationId xmlns:a16="http://schemas.microsoft.com/office/drawing/2014/main" id="{0935462B-588F-4220-AECC-F576D336F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16" name="Picture 2217" descr="_">
          <a:extLst>
            <a:ext uri="{FF2B5EF4-FFF2-40B4-BE49-F238E27FC236}">
              <a16:creationId xmlns:a16="http://schemas.microsoft.com/office/drawing/2014/main" id="{0F63D0CC-05BC-4FBA-B2FE-65A92CDD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17" name="Picture 2218" descr="_">
          <a:extLst>
            <a:ext uri="{FF2B5EF4-FFF2-40B4-BE49-F238E27FC236}">
              <a16:creationId xmlns:a16="http://schemas.microsoft.com/office/drawing/2014/main" id="{B11295A3-B8C8-4891-8E9B-CE0DF7CCF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18" name="Picture 2217" descr="_">
          <a:extLst>
            <a:ext uri="{FF2B5EF4-FFF2-40B4-BE49-F238E27FC236}">
              <a16:creationId xmlns:a16="http://schemas.microsoft.com/office/drawing/2014/main" id="{8619CE23-B146-4919-BEB8-89F8A5ABE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19" name="Picture 2218" descr="_">
          <a:extLst>
            <a:ext uri="{FF2B5EF4-FFF2-40B4-BE49-F238E27FC236}">
              <a16:creationId xmlns:a16="http://schemas.microsoft.com/office/drawing/2014/main" id="{5B88F5CE-5F6F-4C76-9974-93E070D60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20" name="Picture 2217" descr="_">
          <a:extLst>
            <a:ext uri="{FF2B5EF4-FFF2-40B4-BE49-F238E27FC236}">
              <a16:creationId xmlns:a16="http://schemas.microsoft.com/office/drawing/2014/main" id="{CF8D256E-C1C2-4F2F-9E1C-84B1251E2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21" name="Picture 2218" descr="_">
          <a:extLst>
            <a:ext uri="{FF2B5EF4-FFF2-40B4-BE49-F238E27FC236}">
              <a16:creationId xmlns:a16="http://schemas.microsoft.com/office/drawing/2014/main" id="{14F2FBDB-AF5E-4576-9618-32F0ABD65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22" name="Picture 2217" descr="_">
          <a:extLst>
            <a:ext uri="{FF2B5EF4-FFF2-40B4-BE49-F238E27FC236}">
              <a16:creationId xmlns:a16="http://schemas.microsoft.com/office/drawing/2014/main" id="{76A69280-B1D8-4C69-B272-25AB40A3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23" name="Picture 2218" descr="_">
          <a:extLst>
            <a:ext uri="{FF2B5EF4-FFF2-40B4-BE49-F238E27FC236}">
              <a16:creationId xmlns:a16="http://schemas.microsoft.com/office/drawing/2014/main" id="{EE2E0B19-36BE-447D-A688-50DCD58BC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24" name="Picture 2217" descr="_">
          <a:extLst>
            <a:ext uri="{FF2B5EF4-FFF2-40B4-BE49-F238E27FC236}">
              <a16:creationId xmlns:a16="http://schemas.microsoft.com/office/drawing/2014/main" id="{B8A61D0B-1F31-4063-83DD-AFAAB6B54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25" name="Picture 2218" descr="_">
          <a:extLst>
            <a:ext uri="{FF2B5EF4-FFF2-40B4-BE49-F238E27FC236}">
              <a16:creationId xmlns:a16="http://schemas.microsoft.com/office/drawing/2014/main" id="{BFA0ECC4-048A-4D05-8E24-44F2A4121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26" name="Picture 2217" descr="_">
          <a:extLst>
            <a:ext uri="{FF2B5EF4-FFF2-40B4-BE49-F238E27FC236}">
              <a16:creationId xmlns:a16="http://schemas.microsoft.com/office/drawing/2014/main" id="{3A0CB9E0-9DFB-4387-8600-76DC69FAF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27" name="Picture 2218" descr="_">
          <a:extLst>
            <a:ext uri="{FF2B5EF4-FFF2-40B4-BE49-F238E27FC236}">
              <a16:creationId xmlns:a16="http://schemas.microsoft.com/office/drawing/2014/main" id="{C7CDFA91-2503-4945-8BDE-ADEFC9FFC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28" name="Picture 2217" descr="_">
          <a:extLst>
            <a:ext uri="{FF2B5EF4-FFF2-40B4-BE49-F238E27FC236}">
              <a16:creationId xmlns:a16="http://schemas.microsoft.com/office/drawing/2014/main" id="{1361D3E5-B67B-4E71-B64E-A72B33070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29" name="Picture 2218" descr="_">
          <a:extLst>
            <a:ext uri="{FF2B5EF4-FFF2-40B4-BE49-F238E27FC236}">
              <a16:creationId xmlns:a16="http://schemas.microsoft.com/office/drawing/2014/main" id="{0F188EFE-9D47-4595-9CC5-735D5C104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30" name="Picture 2217" descr="_">
          <a:extLst>
            <a:ext uri="{FF2B5EF4-FFF2-40B4-BE49-F238E27FC236}">
              <a16:creationId xmlns:a16="http://schemas.microsoft.com/office/drawing/2014/main" id="{C1A56771-52AA-4E68-A3B4-57216F10B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31" name="Picture 2218" descr="_">
          <a:extLst>
            <a:ext uri="{FF2B5EF4-FFF2-40B4-BE49-F238E27FC236}">
              <a16:creationId xmlns:a16="http://schemas.microsoft.com/office/drawing/2014/main" id="{6F8D794E-7D69-4381-AE64-CB7FC1321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32" name="Picture 2217" descr="_">
          <a:extLst>
            <a:ext uri="{FF2B5EF4-FFF2-40B4-BE49-F238E27FC236}">
              <a16:creationId xmlns:a16="http://schemas.microsoft.com/office/drawing/2014/main" id="{FD5716A3-B28C-4E49-8C50-33A07EEA8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33" name="Picture 2218" descr="_">
          <a:extLst>
            <a:ext uri="{FF2B5EF4-FFF2-40B4-BE49-F238E27FC236}">
              <a16:creationId xmlns:a16="http://schemas.microsoft.com/office/drawing/2014/main" id="{74CDA0EC-BEE0-41EB-A1CC-3BFAE41B8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34" name="Picture 2217" descr="_">
          <a:extLst>
            <a:ext uri="{FF2B5EF4-FFF2-40B4-BE49-F238E27FC236}">
              <a16:creationId xmlns:a16="http://schemas.microsoft.com/office/drawing/2014/main" id="{90DAA0AD-E2D9-4C37-9FEA-8125F614D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35" name="Picture 2218" descr="_">
          <a:extLst>
            <a:ext uri="{FF2B5EF4-FFF2-40B4-BE49-F238E27FC236}">
              <a16:creationId xmlns:a16="http://schemas.microsoft.com/office/drawing/2014/main" id="{5D0674DA-4041-48F8-8893-B572CBE08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36" name="Picture 2217" descr="_">
          <a:extLst>
            <a:ext uri="{FF2B5EF4-FFF2-40B4-BE49-F238E27FC236}">
              <a16:creationId xmlns:a16="http://schemas.microsoft.com/office/drawing/2014/main" id="{0926A61C-256A-48DF-A570-38C75ADA8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37" name="Picture 2218" descr="_">
          <a:extLst>
            <a:ext uri="{FF2B5EF4-FFF2-40B4-BE49-F238E27FC236}">
              <a16:creationId xmlns:a16="http://schemas.microsoft.com/office/drawing/2014/main" id="{27474E27-14E6-4EB4-B355-E0FC5A233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38" name="Picture 2217" descr="_">
          <a:extLst>
            <a:ext uri="{FF2B5EF4-FFF2-40B4-BE49-F238E27FC236}">
              <a16:creationId xmlns:a16="http://schemas.microsoft.com/office/drawing/2014/main" id="{8AFB21D6-D95B-4408-AEBC-3C5E34D1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39" name="Picture 2218" descr="_">
          <a:extLst>
            <a:ext uri="{FF2B5EF4-FFF2-40B4-BE49-F238E27FC236}">
              <a16:creationId xmlns:a16="http://schemas.microsoft.com/office/drawing/2014/main" id="{348CBD93-AF04-4F23-8F73-8095E4599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40" name="Picture 2217" descr="_">
          <a:extLst>
            <a:ext uri="{FF2B5EF4-FFF2-40B4-BE49-F238E27FC236}">
              <a16:creationId xmlns:a16="http://schemas.microsoft.com/office/drawing/2014/main" id="{69C6F23A-C073-46B3-96DB-53986E32D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41" name="Picture 2218" descr="_">
          <a:extLst>
            <a:ext uri="{FF2B5EF4-FFF2-40B4-BE49-F238E27FC236}">
              <a16:creationId xmlns:a16="http://schemas.microsoft.com/office/drawing/2014/main" id="{493C0481-C0D6-41DB-9A96-6728B5D9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42" name="Picture 2217" descr="_">
          <a:extLst>
            <a:ext uri="{FF2B5EF4-FFF2-40B4-BE49-F238E27FC236}">
              <a16:creationId xmlns:a16="http://schemas.microsoft.com/office/drawing/2014/main" id="{83E46BE2-A405-4EE5-B79B-AF3DC1444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43" name="Picture 2218" descr="_">
          <a:extLst>
            <a:ext uri="{FF2B5EF4-FFF2-40B4-BE49-F238E27FC236}">
              <a16:creationId xmlns:a16="http://schemas.microsoft.com/office/drawing/2014/main" id="{BB2D4A40-7AF0-4070-8FE0-4EED3D4D2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44" name="Picture 2217" descr="_">
          <a:extLst>
            <a:ext uri="{FF2B5EF4-FFF2-40B4-BE49-F238E27FC236}">
              <a16:creationId xmlns:a16="http://schemas.microsoft.com/office/drawing/2014/main" id="{8E400C45-D025-4DE0-A418-7B4BD6A89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45" name="Picture 2218" descr="_">
          <a:extLst>
            <a:ext uri="{FF2B5EF4-FFF2-40B4-BE49-F238E27FC236}">
              <a16:creationId xmlns:a16="http://schemas.microsoft.com/office/drawing/2014/main" id="{2059607A-E0C3-4CE4-A5E0-FEABB51F8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46" name="Picture 2217" descr="_">
          <a:extLst>
            <a:ext uri="{FF2B5EF4-FFF2-40B4-BE49-F238E27FC236}">
              <a16:creationId xmlns:a16="http://schemas.microsoft.com/office/drawing/2014/main" id="{20FCDA06-712F-40E7-876E-BA491765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15875</xdr:colOff>
      <xdr:row>6</xdr:row>
      <xdr:rowOff>111125</xdr:rowOff>
    </xdr:to>
    <xdr:pic>
      <xdr:nvPicPr>
        <xdr:cNvPr id="7647" name="Picture 2218" descr="_">
          <a:extLst>
            <a:ext uri="{FF2B5EF4-FFF2-40B4-BE49-F238E27FC236}">
              <a16:creationId xmlns:a16="http://schemas.microsoft.com/office/drawing/2014/main" id="{5A979031-170F-4F20-BA8C-01C2196FF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48" name="Picture 2217" descr="_">
          <a:extLst>
            <a:ext uri="{FF2B5EF4-FFF2-40B4-BE49-F238E27FC236}">
              <a16:creationId xmlns:a16="http://schemas.microsoft.com/office/drawing/2014/main" id="{0952A9A2-B0DA-420E-B66C-E91693326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49" name="Picture 2218" descr="_">
          <a:extLst>
            <a:ext uri="{FF2B5EF4-FFF2-40B4-BE49-F238E27FC236}">
              <a16:creationId xmlns:a16="http://schemas.microsoft.com/office/drawing/2014/main" id="{E2777821-945D-400D-B082-2BFFA4A14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15875</xdr:colOff>
      <xdr:row>7</xdr:row>
      <xdr:rowOff>111125</xdr:rowOff>
    </xdr:to>
    <xdr:pic>
      <xdr:nvPicPr>
        <xdr:cNvPr id="7650" name="Picture 2217" descr="_">
          <a:extLst>
            <a:ext uri="{FF2B5EF4-FFF2-40B4-BE49-F238E27FC236}">
              <a16:creationId xmlns:a16="http://schemas.microsoft.com/office/drawing/2014/main" id="{0BE05309-F4FD-4661-9527-0DA8D1F4D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15875</xdr:colOff>
      <xdr:row>7</xdr:row>
      <xdr:rowOff>111125</xdr:rowOff>
    </xdr:to>
    <xdr:pic>
      <xdr:nvPicPr>
        <xdr:cNvPr id="7651" name="Picture 2218" descr="_">
          <a:extLst>
            <a:ext uri="{FF2B5EF4-FFF2-40B4-BE49-F238E27FC236}">
              <a16:creationId xmlns:a16="http://schemas.microsoft.com/office/drawing/2014/main" id="{CFECFAA4-3834-4F2A-840F-9806E05F6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52" name="Picture 2217" descr="_">
          <a:extLst>
            <a:ext uri="{FF2B5EF4-FFF2-40B4-BE49-F238E27FC236}">
              <a16:creationId xmlns:a16="http://schemas.microsoft.com/office/drawing/2014/main" id="{B8B50196-33C1-437E-9816-748E17966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53" name="Picture 2218" descr="_">
          <a:extLst>
            <a:ext uri="{FF2B5EF4-FFF2-40B4-BE49-F238E27FC236}">
              <a16:creationId xmlns:a16="http://schemas.microsoft.com/office/drawing/2014/main" id="{DB525753-DC77-4140-B014-6D868935F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15875</xdr:colOff>
      <xdr:row>7</xdr:row>
      <xdr:rowOff>111125</xdr:rowOff>
    </xdr:to>
    <xdr:pic>
      <xdr:nvPicPr>
        <xdr:cNvPr id="7654" name="Picture 2217" descr="_">
          <a:extLst>
            <a:ext uri="{FF2B5EF4-FFF2-40B4-BE49-F238E27FC236}">
              <a16:creationId xmlns:a16="http://schemas.microsoft.com/office/drawing/2014/main" id="{EB46F21D-D7FE-454C-B1AA-5A49829D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15875</xdr:colOff>
      <xdr:row>7</xdr:row>
      <xdr:rowOff>111125</xdr:rowOff>
    </xdr:to>
    <xdr:pic>
      <xdr:nvPicPr>
        <xdr:cNvPr id="7655" name="Picture 2218" descr="_">
          <a:extLst>
            <a:ext uri="{FF2B5EF4-FFF2-40B4-BE49-F238E27FC236}">
              <a16:creationId xmlns:a16="http://schemas.microsoft.com/office/drawing/2014/main" id="{B24870EA-6C56-4C5A-9911-00C867CE2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670300"/>
          <a:ext cx="15875" cy="11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56" name="Picture 2217" descr="_">
          <a:extLst>
            <a:ext uri="{FF2B5EF4-FFF2-40B4-BE49-F238E27FC236}">
              <a16:creationId xmlns:a16="http://schemas.microsoft.com/office/drawing/2014/main" id="{63F99445-F6B9-4369-8B8F-573F78397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15240</xdr:colOff>
      <xdr:row>6</xdr:row>
      <xdr:rowOff>109855</xdr:rowOff>
    </xdr:to>
    <xdr:pic>
      <xdr:nvPicPr>
        <xdr:cNvPr id="7657" name="Picture 2218" descr="_">
          <a:extLst>
            <a:ext uri="{FF2B5EF4-FFF2-40B4-BE49-F238E27FC236}">
              <a16:creationId xmlns:a16="http://schemas.microsoft.com/office/drawing/2014/main" id="{C4E2A18A-DB65-4EDD-AE83-919ACB44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3486150"/>
          <a:ext cx="15240" cy="109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zoomScale="75" workbookViewId="0">
      <pane ySplit="2" topLeftCell="A3" activePane="bottomLeft" state="frozen"/>
      <selection activeCell="I22" sqref="I22"/>
      <selection pane="bottomLeft" activeCell="B11" sqref="B11"/>
    </sheetView>
  </sheetViews>
  <sheetFormatPr defaultColWidth="9.1796875" defaultRowHeight="14" x14ac:dyDescent="0.3"/>
  <cols>
    <col min="1" max="1" width="9.1796875" style="19"/>
    <col min="2" max="2" width="10" style="24" customWidth="1"/>
    <col min="3" max="3" width="17.54296875" style="27" customWidth="1"/>
    <col min="4" max="4" width="76" style="3" customWidth="1"/>
    <col min="5" max="5" width="9.1796875" style="3"/>
    <col min="6" max="6" width="12.26953125" style="3" customWidth="1"/>
    <col min="7" max="7" width="11.81640625" style="3" customWidth="1"/>
    <col min="8" max="16384" width="9.1796875" style="3"/>
  </cols>
  <sheetData>
    <row r="1" spans="1:8" ht="19.5" customHeight="1" x14ac:dyDescent="0.25">
      <c r="A1" s="16" t="s">
        <v>0</v>
      </c>
      <c r="B1" s="20" t="s">
        <v>1</v>
      </c>
      <c r="C1" s="25" t="s">
        <v>2</v>
      </c>
      <c r="D1" s="28" t="s">
        <v>3</v>
      </c>
      <c r="E1" s="1" t="s">
        <v>4</v>
      </c>
      <c r="F1" s="2" t="s">
        <v>5</v>
      </c>
      <c r="G1" s="2" t="s">
        <v>6</v>
      </c>
    </row>
    <row r="2" spans="1:8" x14ac:dyDescent="0.3">
      <c r="A2" s="17"/>
      <c r="B2" s="21"/>
      <c r="C2" s="26"/>
      <c r="D2" s="29" t="s">
        <v>7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5" customHeight="1" x14ac:dyDescent="0.25">
      <c r="A3" s="15"/>
      <c r="B3" s="22"/>
      <c r="C3" s="6" t="str">
        <f>IF(A3=""," ",VLOOKUP(A3,'01.01.2026 - 24.01.2026'!A:H,2,FALSE))</f>
        <v xml:space="preserve"> </v>
      </c>
      <c r="D3" s="30" t="str">
        <f>IF(A3=""," ",VLOOKUP(A3,'01.01.2026 - 24.01.2026'!A:H,5,FALSE))</f>
        <v xml:space="preserve"> </v>
      </c>
      <c r="E3" s="7" t="str">
        <f>IF(A3=""," ",B3*VLOOKUP(A3,'01.01.2026 - 24.01.2026'!A:H,6,FALSE))</f>
        <v xml:space="preserve"> </v>
      </c>
      <c r="F3" s="7" t="str">
        <f>IF(A3=""," ",B3*VLOOKUP(A3,'01.01.2026 - 24.01.2026'!A:H,7,FALSE))</f>
        <v xml:space="preserve"> </v>
      </c>
      <c r="G3" s="7" t="str">
        <f>IF(A3=""," ",B3*VLOOKUP(A3,'01.01.2026 - 24.01.2026'!A:H,8,FALSE))</f>
        <v xml:space="preserve"> </v>
      </c>
    </row>
    <row r="4" spans="1:8" ht="14.15" customHeight="1" x14ac:dyDescent="0.25">
      <c r="A4" s="15"/>
      <c r="B4" s="22"/>
      <c r="C4" s="6" t="str">
        <f>IF(A4=""," ",VLOOKUP(A4,'01.01.2026 - 24.01.2026'!A:H,2,FALSE))</f>
        <v xml:space="preserve"> </v>
      </c>
      <c r="D4" s="30" t="str">
        <f>IF(A4=""," ",VLOOKUP(A4,'01.01.2026 - 24.01.2026'!A:H,5,FALSE))</f>
        <v xml:space="preserve"> </v>
      </c>
      <c r="E4" s="7" t="str">
        <f>IF(A4=""," ",B4*VLOOKUP(A4,'01.01.2026 - 24.01.2026'!A:H,6,FALSE))</f>
        <v xml:space="preserve"> </v>
      </c>
      <c r="F4" s="7" t="str">
        <f>IF(A4=""," ",B4*VLOOKUP(A4,'01.01.2026 - 24.01.2026'!A:H,7,FALSE))</f>
        <v xml:space="preserve"> </v>
      </c>
      <c r="G4" s="7" t="str">
        <f>IF(A4=""," ",B4*VLOOKUP(A4,'01.01.2026 - 24.01.2026'!A:H,8,FALSE))</f>
        <v xml:space="preserve"> </v>
      </c>
    </row>
    <row r="5" spans="1:8" ht="14.15" customHeight="1" x14ac:dyDescent="0.25">
      <c r="A5" s="15"/>
      <c r="B5" s="22"/>
      <c r="C5" s="6" t="str">
        <f>IF(A5=""," ",VLOOKUP(A5,'01.01.2026 - 24.01.2026'!A:H,2,FALSE))</f>
        <v xml:space="preserve"> </v>
      </c>
      <c r="D5" s="30" t="str">
        <f>IF(A5=""," ",VLOOKUP(A5,'01.01.2026 - 24.01.2026'!A:H,5,FALSE))</f>
        <v xml:space="preserve"> </v>
      </c>
      <c r="E5" s="7" t="str">
        <f>IF(A5=""," ",B5*VLOOKUP(A5,'01.01.2026 - 24.01.2026'!A:H,6,FALSE))</f>
        <v xml:space="preserve"> </v>
      </c>
      <c r="F5" s="7" t="str">
        <f>IF(A5=""," ",B5*VLOOKUP(A5,'01.01.2026 - 24.01.2026'!A:H,7,FALSE))</f>
        <v xml:space="preserve"> </v>
      </c>
      <c r="G5" s="7" t="str">
        <f>IF(A5=""," ",B5*VLOOKUP(A5,'01.01.2026 - 24.01.2026'!A:H,8,FALSE))</f>
        <v xml:space="preserve"> </v>
      </c>
    </row>
    <row r="6" spans="1:8" ht="14.15" customHeight="1" x14ac:dyDescent="0.25">
      <c r="A6" s="15"/>
      <c r="B6" s="22"/>
      <c r="C6" s="6" t="str">
        <f>IF(A6=""," ",VLOOKUP(A6,'01.01.2026 - 24.01.2026'!A:H,2,FALSE))</f>
        <v xml:space="preserve"> </v>
      </c>
      <c r="D6" s="30" t="str">
        <f>IF(A6=""," ",VLOOKUP(A6,'01.01.2026 - 24.01.2026'!A:H,5,FALSE))</f>
        <v xml:space="preserve"> </v>
      </c>
      <c r="E6" s="7" t="str">
        <f>IF(A6=""," ",B6*VLOOKUP(A6,'01.01.2026 - 24.01.2026'!A:H,6,FALSE))</f>
        <v xml:space="preserve"> </v>
      </c>
      <c r="F6" s="7" t="str">
        <f>IF(A6=""," ",B6*VLOOKUP(A6,'01.01.2026 - 24.01.2026'!A:H,7,FALSE))</f>
        <v xml:space="preserve"> </v>
      </c>
      <c r="G6" s="7" t="str">
        <f>IF(A6=""," ",B6*VLOOKUP(A6,'01.01.2026 - 24.01.2026'!A:H,8,FALSE))</f>
        <v xml:space="preserve"> </v>
      </c>
    </row>
    <row r="7" spans="1:8" ht="14.15" customHeight="1" x14ac:dyDescent="0.25">
      <c r="A7" s="15"/>
      <c r="B7" s="22"/>
      <c r="C7" s="6" t="str">
        <f>IF(A7=""," ",VLOOKUP(A7,'01.01.2026 - 24.01.2026'!A:H,2,FALSE))</f>
        <v xml:space="preserve"> </v>
      </c>
      <c r="D7" s="30" t="str">
        <f>IF(A7=""," ",VLOOKUP(A7,'01.01.2026 - 24.01.2026'!A:H,5,FALSE))</f>
        <v xml:space="preserve"> </v>
      </c>
      <c r="E7" s="7" t="str">
        <f>IF(A7=""," ",B7*VLOOKUP(A7,'01.01.2026 - 24.01.2026'!A:H,6,FALSE))</f>
        <v xml:space="preserve"> </v>
      </c>
      <c r="F7" s="7" t="str">
        <f>IF(A7=""," ",B7*VLOOKUP(A7,'01.01.2026 - 24.01.2026'!A:H,7,FALSE))</f>
        <v xml:space="preserve"> </v>
      </c>
      <c r="G7" s="7" t="str">
        <f>IF(A7=""," ",B7*VLOOKUP(A7,'01.01.2026 - 24.01.2026'!A:H,8,FALSE))</f>
        <v xml:space="preserve"> </v>
      </c>
    </row>
    <row r="8" spans="1:8" ht="14.15" customHeight="1" x14ac:dyDescent="0.25">
      <c r="A8" s="15"/>
      <c r="B8" s="22"/>
      <c r="C8" s="6" t="str">
        <f>IF(A8=""," ",VLOOKUP(A8,'01.01.2026 - 24.01.2026'!A:H,2,FALSE))</f>
        <v xml:space="preserve"> </v>
      </c>
      <c r="D8" s="30" t="str">
        <f>IF(A8=""," ",VLOOKUP(A8,'01.01.2026 - 24.01.2026'!A:H,5,FALSE))</f>
        <v xml:space="preserve"> </v>
      </c>
      <c r="E8" s="7" t="str">
        <f>IF(A8=""," ",B8*VLOOKUP(A8,'01.01.2026 - 24.01.2026'!A:H,6,FALSE))</f>
        <v xml:space="preserve"> </v>
      </c>
      <c r="F8" s="7" t="str">
        <f>IF(A8=""," ",B8*VLOOKUP(A8,'01.01.2026 - 24.01.2026'!A:H,7,FALSE))</f>
        <v xml:space="preserve"> </v>
      </c>
      <c r="G8" s="7" t="str">
        <f>IF(A8=""," ",B8*VLOOKUP(A8,'01.01.2026 - 24.01.2026'!A:H,8,FALSE))</f>
        <v xml:space="preserve"> </v>
      </c>
    </row>
    <row r="9" spans="1:8" ht="14.15" customHeight="1" x14ac:dyDescent="0.25">
      <c r="A9" s="15"/>
      <c r="B9" s="22"/>
      <c r="C9" s="6" t="str">
        <f>IF(A9=""," ",VLOOKUP(A9,'01.01.2026 - 24.01.2026'!A:H,2,FALSE))</f>
        <v xml:space="preserve"> </v>
      </c>
      <c r="D9" s="30" t="str">
        <f>IF(A9=""," ",VLOOKUP(A9,'01.01.2026 - 24.01.2026'!A:H,5,FALSE))</f>
        <v xml:space="preserve"> </v>
      </c>
      <c r="E9" s="7" t="str">
        <f>IF(A9=""," ",B9*VLOOKUP(A9,'01.01.2026 - 24.01.2026'!A:H,6,FALSE))</f>
        <v xml:space="preserve"> </v>
      </c>
      <c r="F9" s="7" t="str">
        <f>IF(A9=""," ",B9*VLOOKUP(A9,'01.01.2026 - 24.01.2026'!A:H,7,FALSE))</f>
        <v xml:space="preserve"> </v>
      </c>
      <c r="G9" s="7" t="str">
        <f>IF(A9=""," ",B9*VLOOKUP(A9,'01.01.2026 - 24.01.2026'!A:H,8,FALSE))</f>
        <v xml:space="preserve"> </v>
      </c>
    </row>
    <row r="10" spans="1:8" ht="14.15" customHeight="1" x14ac:dyDescent="0.25">
      <c r="A10" s="15"/>
      <c r="B10" s="22"/>
      <c r="C10" s="6" t="str">
        <f>IF(A10=""," ",VLOOKUP(A10,'01.01.2026 - 24.01.2026'!A:H,2,FALSE))</f>
        <v xml:space="preserve"> </v>
      </c>
      <c r="D10" s="30" t="str">
        <f>IF(A10=""," ",VLOOKUP(A10,'01.01.2026 - 24.01.2026'!A:H,5,FALSE))</f>
        <v xml:space="preserve"> </v>
      </c>
      <c r="E10" s="7" t="str">
        <f>IF(A10=""," ",B10*VLOOKUP(A10,'01.01.2026 - 24.01.2026'!A:H,6,FALSE))</f>
        <v xml:space="preserve"> </v>
      </c>
      <c r="F10" s="7" t="str">
        <f>IF(A10=""," ",B10*VLOOKUP(A10,'01.01.2026 - 24.01.2026'!A:H,7,FALSE))</f>
        <v xml:space="preserve"> </v>
      </c>
      <c r="G10" s="7" t="str">
        <f>IF(A10=""," ",B10*VLOOKUP(A10,'01.01.2026 - 24.01.2026'!A:H,8,FALSE))</f>
        <v xml:space="preserve"> </v>
      </c>
    </row>
    <row r="11" spans="1:8" ht="14.15" customHeight="1" x14ac:dyDescent="0.25">
      <c r="A11" s="15"/>
      <c r="B11" s="22"/>
      <c r="C11" s="6" t="str">
        <f>IF(A11=""," ",VLOOKUP(A11,'01.01.2026 - 24.01.2026'!A:H,2,FALSE))</f>
        <v xml:space="preserve"> </v>
      </c>
      <c r="D11" s="30" t="str">
        <f>IF(A11=""," ",VLOOKUP(A11,'01.01.2026 - 24.01.2026'!A:H,5,FALSE))</f>
        <v xml:space="preserve"> </v>
      </c>
      <c r="E11" s="7" t="str">
        <f>IF(A11=""," ",B11*VLOOKUP(A11,'01.01.2026 - 24.01.2026'!A:H,6,FALSE))</f>
        <v xml:space="preserve"> </v>
      </c>
      <c r="F11" s="7" t="str">
        <f>IF(A11=""," ",B11*VLOOKUP(A11,'01.01.2026 - 24.01.2026'!A:H,7,FALSE))</f>
        <v xml:space="preserve"> </v>
      </c>
      <c r="G11" s="7" t="str">
        <f>IF(A11=""," ",B11*VLOOKUP(A11,'01.01.2026 - 24.01.2026'!A:H,8,FALSE))</f>
        <v xml:space="preserve"> </v>
      </c>
    </row>
    <row r="12" spans="1:8" ht="14.15" customHeight="1" x14ac:dyDescent="0.25">
      <c r="A12" s="15"/>
      <c r="B12" s="22"/>
      <c r="C12" s="6" t="str">
        <f>IF(A12=""," ",VLOOKUP(A12,'01.01.2026 - 24.01.2026'!A:H,2,FALSE))</f>
        <v xml:space="preserve"> </v>
      </c>
      <c r="D12" s="30" t="str">
        <f>IF(A12=""," ",VLOOKUP(A12,'01.01.2026 - 24.01.2026'!A:H,5,FALSE))</f>
        <v xml:space="preserve"> </v>
      </c>
      <c r="E12" s="7" t="str">
        <f>IF(A12=""," ",B12*VLOOKUP(A12,'01.01.2026 - 24.01.2026'!A:H,6,FALSE))</f>
        <v xml:space="preserve"> </v>
      </c>
      <c r="F12" s="7" t="str">
        <f>IF(A12=""," ",B12*VLOOKUP(A12,'01.01.2026 - 24.01.2026'!A:H,7,FALSE))</f>
        <v xml:space="preserve"> </v>
      </c>
      <c r="G12" s="7" t="str">
        <f>IF(A12=""," ",B12*VLOOKUP(A12,'01.01.2026 - 24.01.2026'!A:H,8,FALSE))</f>
        <v xml:space="preserve"> </v>
      </c>
    </row>
    <row r="13" spans="1:8" ht="14.15" customHeight="1" x14ac:dyDescent="0.25">
      <c r="A13" s="15"/>
      <c r="B13" s="22"/>
      <c r="C13" s="6" t="str">
        <f>IF(A13=""," ",VLOOKUP(A13,'01.01.2026 - 24.01.2026'!A:H,2,FALSE))</f>
        <v xml:space="preserve"> </v>
      </c>
      <c r="D13" s="30" t="str">
        <f>IF(A13=""," ",VLOOKUP(A13,'01.01.2026 - 24.01.2026'!A:H,5,FALSE))</f>
        <v xml:space="preserve"> </v>
      </c>
      <c r="E13" s="7" t="str">
        <f>IF(A13=""," ",B13*VLOOKUP(A13,'01.01.2026 - 24.01.2026'!A:H,6,FALSE))</f>
        <v xml:space="preserve"> </v>
      </c>
      <c r="F13" s="7" t="str">
        <f>IF(A13=""," ",B13*VLOOKUP(A13,'01.01.2026 - 24.01.2026'!A:H,7,FALSE))</f>
        <v xml:space="preserve"> </v>
      </c>
      <c r="G13" s="7" t="str">
        <f>IF(A13=""," ",B13*VLOOKUP(A13,'01.01.2026 - 24.01.2026'!A:H,8,FALSE))</f>
        <v xml:space="preserve"> </v>
      </c>
    </row>
    <row r="14" spans="1:8" ht="14.15" customHeight="1" x14ac:dyDescent="0.25">
      <c r="A14" s="15"/>
      <c r="B14" s="22"/>
      <c r="C14" s="6" t="str">
        <f>IF(A14=""," ",VLOOKUP(A14,'01.01.2026 - 24.01.2026'!A:H,2,FALSE))</f>
        <v xml:space="preserve"> </v>
      </c>
      <c r="D14" s="30" t="str">
        <f>IF(A14=""," ",VLOOKUP(A14,'01.01.2026 - 24.01.2026'!A:H,5,FALSE))</f>
        <v xml:space="preserve"> </v>
      </c>
      <c r="E14" s="7" t="str">
        <f>IF(A14=""," ",B14*VLOOKUP(A14,'01.01.2026 - 24.01.2026'!A:H,6,FALSE))</f>
        <v xml:space="preserve"> </v>
      </c>
      <c r="F14" s="7" t="str">
        <f>IF(A14=""," ",B14*VLOOKUP(A14,'01.01.2026 - 24.01.2026'!A:H,7,FALSE))</f>
        <v xml:space="preserve"> </v>
      </c>
      <c r="G14" s="7" t="str">
        <f>IF(A14=""," ",B14*VLOOKUP(A14,'01.01.2026 - 24.01.2026'!A:H,8,FALSE))</f>
        <v xml:space="preserve"> </v>
      </c>
    </row>
    <row r="15" spans="1:8" ht="14.15" customHeight="1" x14ac:dyDescent="0.25">
      <c r="A15" s="15"/>
      <c r="B15" s="22"/>
      <c r="C15" s="6" t="str">
        <f>IF(A15=""," ",VLOOKUP(A15,'01.01.2026 - 24.01.2026'!A:H,2,FALSE))</f>
        <v xml:space="preserve"> </v>
      </c>
      <c r="D15" s="30" t="str">
        <f>IF(A15=""," ",VLOOKUP(A15,'01.01.2026 - 24.01.2026'!A:H,5,FALSE))</f>
        <v xml:space="preserve"> </v>
      </c>
      <c r="E15" s="7" t="str">
        <f>IF(A15=""," ",B15*VLOOKUP(A15,'01.01.2026 - 24.01.2026'!A:H,6,FALSE))</f>
        <v xml:space="preserve"> </v>
      </c>
      <c r="F15" s="7" t="str">
        <f>IF(A15=""," ",B15*VLOOKUP(A15,'01.01.2026 - 24.01.2026'!A:H,7,FALSE))</f>
        <v xml:space="preserve"> </v>
      </c>
      <c r="G15" s="7" t="str">
        <f>IF(A15=""," ",B15*VLOOKUP(A15,'01.01.2026 - 24.01.2026'!A:H,8,FALSE))</f>
        <v xml:space="preserve"> </v>
      </c>
    </row>
    <row r="16" spans="1:8" ht="14.15" customHeight="1" x14ac:dyDescent="0.25">
      <c r="A16" s="15"/>
      <c r="B16" s="22"/>
      <c r="C16" s="6" t="str">
        <f>IF(A16=""," ",VLOOKUP(A16,'01.01.2026 - 24.01.2026'!A:H,2,FALSE))</f>
        <v xml:space="preserve"> </v>
      </c>
      <c r="D16" s="30" t="str">
        <f>IF(A16=""," ",VLOOKUP(A16,'01.01.2026 - 24.01.2026'!A:H,5,FALSE))</f>
        <v xml:space="preserve"> </v>
      </c>
      <c r="E16" s="7" t="str">
        <f>IF(A16=""," ",B16*VLOOKUP(A16,'01.01.2026 - 24.01.2026'!A:H,6,FALSE))</f>
        <v xml:space="preserve"> </v>
      </c>
      <c r="F16" s="7" t="str">
        <f>IF(A16=""," ",B16*VLOOKUP(A16,'01.01.2026 - 24.01.2026'!A:H,7,FALSE))</f>
        <v xml:space="preserve"> </v>
      </c>
      <c r="G16" s="7" t="str">
        <f>IF(A16=""," ",B16*VLOOKUP(A16,'01.01.2026 - 24.01.2026'!A:H,8,FALSE))</f>
        <v xml:space="preserve"> </v>
      </c>
    </row>
    <row r="17" spans="1:7" ht="14.15" customHeight="1" x14ac:dyDescent="0.25">
      <c r="A17" s="15"/>
      <c r="B17" s="22"/>
      <c r="C17" s="6" t="str">
        <f>IF(A17=""," ",VLOOKUP(A17,'01.01.2026 - 24.01.2026'!A:H,2,FALSE))</f>
        <v xml:space="preserve"> </v>
      </c>
      <c r="D17" s="30" t="str">
        <f>IF(A17=""," ",VLOOKUP(A17,'01.01.2026 - 24.01.2026'!A:H,5,FALSE))</f>
        <v xml:space="preserve"> </v>
      </c>
      <c r="E17" s="7" t="str">
        <f>IF(A17=""," ",B17*VLOOKUP(A17,'01.01.2026 - 24.01.2026'!A:H,6,FALSE))</f>
        <v xml:space="preserve"> </v>
      </c>
      <c r="F17" s="7" t="str">
        <f>IF(A17=""," ",B17*VLOOKUP(A17,'01.01.2026 - 24.01.2026'!A:H,7,FALSE))</f>
        <v xml:space="preserve"> </v>
      </c>
      <c r="G17" s="7" t="str">
        <f>IF(A17=""," ",B17*VLOOKUP(A17,'01.01.2026 - 24.01.2026'!A:H,8,FALSE))</f>
        <v xml:space="preserve"> </v>
      </c>
    </row>
    <row r="18" spans="1:7" ht="14.15" customHeight="1" x14ac:dyDescent="0.25">
      <c r="A18" s="15"/>
      <c r="B18" s="22"/>
      <c r="C18" s="6" t="str">
        <f>IF(A18=""," ",VLOOKUP(A18,'01.01.2026 - 24.01.2026'!A:H,2,FALSE))</f>
        <v xml:space="preserve"> </v>
      </c>
      <c r="D18" s="30" t="str">
        <f>IF(A18=""," ",VLOOKUP(A18,'01.01.2026 - 24.01.2026'!A:H,5,FALSE))</f>
        <v xml:space="preserve"> </v>
      </c>
      <c r="E18" s="7" t="str">
        <f>IF(A18=""," ",B18*VLOOKUP(A18,'01.01.2026 - 24.01.2026'!A:H,6,FALSE))</f>
        <v xml:space="preserve"> </v>
      </c>
      <c r="F18" s="7" t="str">
        <f>IF(A18=""," ",B18*VLOOKUP(A18,'01.01.2026 - 24.01.2026'!A:H,7,FALSE))</f>
        <v xml:space="preserve"> </v>
      </c>
      <c r="G18" s="7" t="str">
        <f>IF(A18=""," ",B18*VLOOKUP(A18,'01.01.2026 - 24.01.2026'!A:H,8,FALSE))</f>
        <v xml:space="preserve"> </v>
      </c>
    </row>
    <row r="19" spans="1:7" ht="14.15" customHeight="1" x14ac:dyDescent="0.25">
      <c r="A19" s="15"/>
      <c r="B19" s="22"/>
      <c r="C19" s="6" t="str">
        <f>IF(A19=""," ",VLOOKUP(A19,'01.01.2026 - 24.01.2026'!A:H,2,FALSE))</f>
        <v xml:space="preserve"> </v>
      </c>
      <c r="D19" s="30" t="str">
        <f>IF(A19=""," ",VLOOKUP(A19,'01.01.2026 - 24.01.2026'!A:H,5,FALSE))</f>
        <v xml:space="preserve"> </v>
      </c>
      <c r="E19" s="7" t="str">
        <f>IF(A19=""," ",B19*VLOOKUP(A19,'01.01.2026 - 24.01.2026'!A:H,6,FALSE))</f>
        <v xml:space="preserve"> </v>
      </c>
      <c r="F19" s="7" t="str">
        <f>IF(A19=""," ",B19*VLOOKUP(A19,'01.01.2026 - 24.01.2026'!A:H,7,FALSE))</f>
        <v xml:space="preserve"> </v>
      </c>
      <c r="G19" s="7" t="str">
        <f>IF(A19=""," ",B19*VLOOKUP(A19,'01.01.2026 - 24.01.2026'!A:H,8,FALSE))</f>
        <v xml:space="preserve"> </v>
      </c>
    </row>
    <row r="20" spans="1:7" ht="14.15" customHeight="1" x14ac:dyDescent="0.25">
      <c r="A20" s="15"/>
      <c r="B20" s="22"/>
      <c r="C20" s="6" t="str">
        <f>IF(A20=""," ",VLOOKUP(A20,'01.01.2026 - 24.01.2026'!A:H,2,FALSE))</f>
        <v xml:space="preserve"> </v>
      </c>
      <c r="D20" s="30" t="str">
        <f>IF(A20=""," ",VLOOKUP(A20,'01.01.2026 - 24.01.2026'!A:H,5,FALSE))</f>
        <v xml:space="preserve"> </v>
      </c>
      <c r="E20" s="7" t="str">
        <f>IF(A20=""," ",B20*VLOOKUP(A20,'01.01.2026 - 24.01.2026'!A:H,6,FALSE))</f>
        <v xml:space="preserve"> </v>
      </c>
      <c r="F20" s="7" t="str">
        <f>IF(A20=""," ",B20*VLOOKUP(A20,'01.01.2026 - 24.01.2026'!A:H,7,FALSE))</f>
        <v xml:space="preserve"> </v>
      </c>
      <c r="G20" s="7" t="str">
        <f>IF(A20=""," ",B20*VLOOKUP(A20,'01.01.2026 - 24.01.2026'!A:H,8,FALSE))</f>
        <v xml:space="preserve"> </v>
      </c>
    </row>
    <row r="21" spans="1:7" ht="14.15" customHeight="1" x14ac:dyDescent="0.25">
      <c r="A21" s="15"/>
      <c r="B21" s="22"/>
      <c r="C21" s="6" t="str">
        <f>IF(A21=""," ",VLOOKUP(A21,'01.01.2026 - 24.01.2026'!A:H,2,FALSE))</f>
        <v xml:space="preserve"> </v>
      </c>
      <c r="D21" s="30" t="str">
        <f>IF(A21=""," ",VLOOKUP(A21,'01.01.2026 - 24.01.2026'!A:H,5,FALSE))</f>
        <v xml:space="preserve"> </v>
      </c>
      <c r="E21" s="7" t="str">
        <f>IF(A21=""," ",B21*VLOOKUP(A21,'01.01.2026 - 24.01.2026'!A:H,6,FALSE))</f>
        <v xml:space="preserve"> </v>
      </c>
      <c r="F21" s="7" t="str">
        <f>IF(A21=""," ",B21*VLOOKUP(A21,'01.01.2026 - 24.01.2026'!A:H,7,FALSE))</f>
        <v xml:space="preserve"> </v>
      </c>
      <c r="G21" s="7" t="str">
        <f>IF(A21=""," ",B21*VLOOKUP(A21,'01.01.2026 - 24.01.2026'!A:H,8,FALSE))</f>
        <v xml:space="preserve"> </v>
      </c>
    </row>
    <row r="22" spans="1:7" ht="14.15" customHeight="1" x14ac:dyDescent="0.25">
      <c r="A22" s="15"/>
      <c r="B22" s="22"/>
      <c r="C22" s="6" t="str">
        <f>IF(A22=""," ",VLOOKUP(A22,'01.01.2026 - 24.01.2026'!A:H,2,FALSE))</f>
        <v xml:space="preserve"> </v>
      </c>
      <c r="D22" s="30" t="str">
        <f>IF(A22=""," ",VLOOKUP(A22,'01.01.2026 - 24.01.2026'!A:H,5,FALSE))</f>
        <v xml:space="preserve"> </v>
      </c>
      <c r="E22" s="7" t="str">
        <f>IF(A22=""," ",B22*VLOOKUP(A22,'01.01.2026 - 24.01.2026'!A:H,6,FALSE))</f>
        <v xml:space="preserve"> </v>
      </c>
      <c r="F22" s="7" t="str">
        <f>IF(A22=""," ",B22*VLOOKUP(A22,'01.01.2026 - 24.01.2026'!A:H,7,FALSE))</f>
        <v xml:space="preserve"> </v>
      </c>
      <c r="G22" s="7" t="str">
        <f>IF(A22=""," ",B22*VLOOKUP(A22,'01.01.2026 - 24.01.2026'!A:H,8,FALSE))</f>
        <v xml:space="preserve"> </v>
      </c>
    </row>
    <row r="23" spans="1:7" ht="14.15" customHeight="1" x14ac:dyDescent="0.25">
      <c r="A23" s="15"/>
      <c r="B23" s="22"/>
      <c r="C23" s="6" t="str">
        <f>IF(A23=""," ",VLOOKUP(A23,'01.01.2026 - 24.01.2026'!A:H,2,FALSE))</f>
        <v xml:space="preserve"> </v>
      </c>
      <c r="D23" s="30" t="str">
        <f>IF(A23=""," ",VLOOKUP(A23,'01.01.2026 - 24.01.2026'!A:H,5,FALSE))</f>
        <v xml:space="preserve"> </v>
      </c>
      <c r="E23" s="7" t="str">
        <f>IF(A23=""," ",B23*VLOOKUP(A23,'01.01.2026 - 24.01.2026'!A:H,6,FALSE))</f>
        <v xml:space="preserve"> </v>
      </c>
      <c r="F23" s="7" t="str">
        <f>IF(A23=""," ",B23*VLOOKUP(A23,'01.01.2026 - 24.01.2026'!A:H,7,FALSE))</f>
        <v xml:space="preserve"> </v>
      </c>
      <c r="G23" s="7" t="str">
        <f>IF(A23=""," ",B23*VLOOKUP(A23,'01.01.2026 - 24.01.2026'!A:H,8,FALSE))</f>
        <v xml:space="preserve"> </v>
      </c>
    </row>
    <row r="24" spans="1:7" ht="14.15" customHeight="1" x14ac:dyDescent="0.25">
      <c r="A24" s="15"/>
      <c r="B24" s="22"/>
      <c r="C24" s="6" t="str">
        <f>IF(A24=""," ",VLOOKUP(A24,'01.01.2026 - 24.01.2026'!A:H,2,FALSE))</f>
        <v xml:space="preserve"> </v>
      </c>
      <c r="D24" s="30" t="str">
        <f>IF(A24=""," ",VLOOKUP(A24,'01.01.2026 - 24.01.2026'!A:H,5,FALSE))</f>
        <v xml:space="preserve"> </v>
      </c>
      <c r="E24" s="7" t="str">
        <f>IF(A24=""," ",B24*VLOOKUP(A24,'01.01.2026 - 24.01.2026'!A:H,6,FALSE))</f>
        <v xml:space="preserve"> </v>
      </c>
      <c r="F24" s="7" t="str">
        <f>IF(A24=""," ",B24*VLOOKUP(A24,'01.01.2026 - 24.01.2026'!A:H,7,FALSE))</f>
        <v xml:space="preserve"> </v>
      </c>
      <c r="G24" s="7" t="str">
        <f>IF(A24=""," ",B24*VLOOKUP(A24,'01.01.2026 - 24.01.2026'!A:H,8,FALSE))</f>
        <v xml:space="preserve"> </v>
      </c>
    </row>
    <row r="25" spans="1:7" ht="14.15" customHeight="1" x14ac:dyDescent="0.25">
      <c r="A25" s="15"/>
      <c r="B25" s="22"/>
      <c r="C25" s="6" t="str">
        <f>IF(A25=""," ",VLOOKUP(A25,'01.01.2026 - 24.01.2026'!A:H,2,FALSE))</f>
        <v xml:space="preserve"> </v>
      </c>
      <c r="D25" s="30" t="str">
        <f>IF(A25=""," ",VLOOKUP(A25,'01.01.2026 - 24.01.2026'!A:H,5,FALSE))</f>
        <v xml:space="preserve"> </v>
      </c>
      <c r="E25" s="7" t="str">
        <f>IF(A25=""," ",B25*VLOOKUP(A25,'01.01.2026 - 24.01.2026'!A:H,6,FALSE))</f>
        <v xml:space="preserve"> </v>
      </c>
      <c r="F25" s="7" t="str">
        <f>IF(A25=""," ",B25*VLOOKUP(A25,'01.01.2026 - 24.01.2026'!A:H,7,FALSE))</f>
        <v xml:space="preserve"> </v>
      </c>
      <c r="G25" s="7" t="str">
        <f>IF(A25=""," ",B25*VLOOKUP(A25,'01.01.2026 - 24.01.2026'!A:H,8,FALSE))</f>
        <v xml:space="preserve"> </v>
      </c>
    </row>
    <row r="26" spans="1:7" ht="14.15" customHeight="1" x14ac:dyDescent="0.25">
      <c r="A26" s="15"/>
      <c r="B26" s="22"/>
      <c r="C26" s="6" t="str">
        <f>IF(A26=""," ",VLOOKUP(A26,'01.01.2026 - 24.01.2026'!A:H,2,FALSE))</f>
        <v xml:space="preserve"> </v>
      </c>
      <c r="D26" s="30" t="str">
        <f>IF(A26=""," ",VLOOKUP(A26,'01.01.2026 - 24.01.2026'!A:H,5,FALSE))</f>
        <v xml:space="preserve"> </v>
      </c>
      <c r="E26" s="7" t="str">
        <f>IF(A26=""," ",B26*VLOOKUP(A26,'01.01.2026 - 24.01.2026'!A:H,6,FALSE))</f>
        <v xml:space="preserve"> </v>
      </c>
      <c r="F26" s="7" t="str">
        <f>IF(A26=""," ",B26*VLOOKUP(A26,'01.01.2026 - 24.01.2026'!A:H,7,FALSE))</f>
        <v xml:space="preserve"> </v>
      </c>
      <c r="G26" s="7" t="str">
        <f>IF(A26=""," ",B26*VLOOKUP(A26,'01.01.2026 - 24.01.2026'!A:H,8,FALSE))</f>
        <v xml:space="preserve"> </v>
      </c>
    </row>
    <row r="27" spans="1:7" ht="14.15" customHeight="1" x14ac:dyDescent="0.25">
      <c r="A27" s="15"/>
      <c r="B27" s="22"/>
      <c r="C27" s="6" t="str">
        <f>IF(A27=""," ",VLOOKUP(A27,'01.01.2026 - 24.01.2026'!A:H,2,FALSE))</f>
        <v xml:space="preserve"> </v>
      </c>
      <c r="D27" s="30" t="str">
        <f>IF(A27=""," ",VLOOKUP(A27,'01.01.2026 - 24.01.2026'!A:H,5,FALSE))</f>
        <v xml:space="preserve"> </v>
      </c>
      <c r="E27" s="7" t="str">
        <f>IF(A27=""," ",B27*VLOOKUP(A27,'01.01.2026 - 24.01.2026'!A:H,6,FALSE))</f>
        <v xml:space="preserve"> </v>
      </c>
      <c r="F27" s="7" t="str">
        <f>IF(A27=""," ",B27*VLOOKUP(A27,'01.01.2026 - 24.01.2026'!A:H,7,FALSE))</f>
        <v xml:space="preserve"> </v>
      </c>
      <c r="G27" s="7" t="str">
        <f>IF(A27=""," ",B27*VLOOKUP(A27,'01.01.2026 - 24.01.2026'!A:H,8,FALSE))</f>
        <v xml:space="preserve"> </v>
      </c>
    </row>
    <row r="28" spans="1:7" ht="14.15" customHeight="1" x14ac:dyDescent="0.25">
      <c r="A28" s="15"/>
      <c r="B28" s="22"/>
      <c r="C28" s="6" t="str">
        <f>IF(A28=""," ",VLOOKUP(A28,'01.01.2026 - 24.01.2026'!A:H,2,FALSE))</f>
        <v xml:space="preserve"> </v>
      </c>
      <c r="D28" s="30" t="str">
        <f>IF(A28=""," ",VLOOKUP(A28,'01.01.2026 - 24.01.2026'!A:H,5,FALSE))</f>
        <v xml:space="preserve"> </v>
      </c>
      <c r="E28" s="7" t="str">
        <f>IF(A28=""," ",B28*VLOOKUP(A28,'01.01.2026 - 24.01.2026'!A:H,6,FALSE))</f>
        <v xml:space="preserve"> </v>
      </c>
      <c r="F28" s="7" t="str">
        <f>IF(A28=""," ",B28*VLOOKUP(A28,'01.01.2026 - 24.01.2026'!A:H,7,FALSE))</f>
        <v xml:space="preserve"> </v>
      </c>
      <c r="G28" s="7" t="str">
        <f>IF(A28=""," ",B28*VLOOKUP(A28,'01.01.2026 - 24.01.2026'!A:H,8,FALSE))</f>
        <v xml:space="preserve"> </v>
      </c>
    </row>
    <row r="29" spans="1:7" ht="14.15" customHeight="1" x14ac:dyDescent="0.25">
      <c r="A29" s="15"/>
      <c r="B29" s="22"/>
      <c r="C29" s="6" t="str">
        <f>IF(A29=""," ",VLOOKUP(A29,'01.01.2026 - 24.01.2026'!A:H,2,FALSE))</f>
        <v xml:space="preserve"> </v>
      </c>
      <c r="D29" s="30" t="str">
        <f>IF(A29=""," ",VLOOKUP(A29,'01.01.2026 - 24.01.2026'!A:H,5,FALSE))</f>
        <v xml:space="preserve"> </v>
      </c>
      <c r="E29" s="7" t="str">
        <f>IF(A29=""," ",B29*VLOOKUP(A29,'01.01.2026 - 24.01.2026'!A:H,6,FALSE))</f>
        <v xml:space="preserve"> </v>
      </c>
      <c r="F29" s="7" t="str">
        <f>IF(A29=""," ",B29*VLOOKUP(A29,'01.01.2026 - 24.01.2026'!A:H,7,FALSE))</f>
        <v xml:space="preserve"> </v>
      </c>
      <c r="G29" s="7" t="str">
        <f>IF(A29=""," ",B29*VLOOKUP(A29,'01.01.2026 - 24.01.2026'!A:H,8,FALSE))</f>
        <v xml:space="preserve"> </v>
      </c>
    </row>
    <row r="30" spans="1:7" ht="14.15" customHeight="1" x14ac:dyDescent="0.25">
      <c r="A30" s="15"/>
      <c r="B30" s="22"/>
      <c r="C30" s="6" t="str">
        <f>IF(A30=""," ",VLOOKUP(A30,'01.01.2026 - 24.01.2026'!A:H,2,FALSE))</f>
        <v xml:space="preserve"> </v>
      </c>
      <c r="D30" s="30" t="str">
        <f>IF(A30=""," ",VLOOKUP(A30,'01.01.2026 - 24.01.2026'!A:H,5,FALSE))</f>
        <v xml:space="preserve"> </v>
      </c>
      <c r="E30" s="7" t="str">
        <f>IF(A30=""," ",B30*VLOOKUP(A30,'01.01.2026 - 24.01.2026'!A:H,6,FALSE))</f>
        <v xml:space="preserve"> </v>
      </c>
      <c r="F30" s="7" t="str">
        <f>IF(A30=""," ",B30*VLOOKUP(A30,'01.01.2026 - 24.01.2026'!A:H,7,FALSE))</f>
        <v xml:space="preserve"> </v>
      </c>
      <c r="G30" s="7" t="str">
        <f>IF(A30=""," ",B30*VLOOKUP(A30,'01.01.2026 - 24.01.2026'!A:H,8,FALSE))</f>
        <v xml:space="preserve"> </v>
      </c>
    </row>
    <row r="31" spans="1:7" ht="14.15" customHeight="1" x14ac:dyDescent="0.25">
      <c r="A31" s="15"/>
      <c r="B31" s="22"/>
      <c r="C31" s="6" t="str">
        <f>IF(A31=""," ",VLOOKUP(A31,'01.01.2026 - 24.01.2026'!A:H,2,FALSE))</f>
        <v xml:space="preserve"> </v>
      </c>
      <c r="D31" s="30" t="str">
        <f>IF(A31=""," ",VLOOKUP(A31,'01.01.2026 - 24.01.2026'!A:H,5,FALSE))</f>
        <v xml:space="preserve"> </v>
      </c>
      <c r="E31" s="7" t="str">
        <f>IF(A31=""," ",B31*VLOOKUP(A31,'01.01.2026 - 24.01.2026'!A:H,6,FALSE))</f>
        <v xml:space="preserve"> </v>
      </c>
      <c r="F31" s="7" t="str">
        <f>IF(A31=""," ",B31*VLOOKUP(A31,'01.01.2026 - 24.01.2026'!A:H,7,FALSE))</f>
        <v xml:space="preserve"> </v>
      </c>
      <c r="G31" s="7" t="str">
        <f>IF(A31=""," ",B31*VLOOKUP(A31,'01.01.2026 - 24.01.2026'!A:H,8,FALSE))</f>
        <v xml:space="preserve"> </v>
      </c>
    </row>
    <row r="32" spans="1:7" ht="14.15" customHeight="1" x14ac:dyDescent="0.25">
      <c r="A32" s="15"/>
      <c r="B32" s="22"/>
      <c r="C32" s="6" t="str">
        <f>IF(A32=""," ",VLOOKUP(A32,'01.01.2026 - 24.01.2026'!A:H,2,FALSE))</f>
        <v xml:space="preserve"> </v>
      </c>
      <c r="D32" s="30" t="str">
        <f>IF(A32=""," ",VLOOKUP(A32,'01.01.2026 - 24.01.2026'!A:H,5,FALSE))</f>
        <v xml:space="preserve"> </v>
      </c>
      <c r="E32" s="7" t="str">
        <f>IF(A32=""," ",B32*VLOOKUP(A32,'01.01.2026 - 24.01.2026'!A:H,6,FALSE))</f>
        <v xml:space="preserve"> </v>
      </c>
      <c r="F32" s="7" t="str">
        <f>IF(A32=""," ",B32*VLOOKUP(A32,'01.01.2026 - 24.01.2026'!A:H,7,FALSE))</f>
        <v xml:space="preserve"> </v>
      </c>
      <c r="G32" s="7" t="str">
        <f>IF(A32=""," ",B32*VLOOKUP(A32,'01.01.2026 - 24.01.2026'!A:H,8,FALSE))</f>
        <v xml:space="preserve"> </v>
      </c>
    </row>
    <row r="33" spans="1:7" ht="14.15" customHeight="1" x14ac:dyDescent="0.25">
      <c r="A33" s="15"/>
      <c r="B33" s="22"/>
      <c r="C33" s="6" t="str">
        <f>IF(A33=""," ",VLOOKUP(A33,'01.01.2026 - 24.01.2026'!A:H,2,FALSE))</f>
        <v xml:space="preserve"> </v>
      </c>
      <c r="D33" s="30" t="str">
        <f>IF(A33=""," ",VLOOKUP(A33,'01.01.2026 - 24.01.2026'!A:H,5,FALSE))</f>
        <v xml:space="preserve"> </v>
      </c>
      <c r="E33" s="7" t="str">
        <f>IF(A33=""," ",B33*VLOOKUP(A33,'01.01.2026 - 24.01.2026'!A:H,6,FALSE))</f>
        <v xml:space="preserve"> </v>
      </c>
      <c r="F33" s="7" t="str">
        <f>IF(A33=""," ",B33*VLOOKUP(A33,'01.01.2026 - 24.01.2026'!A:H,7,FALSE))</f>
        <v xml:space="preserve"> </v>
      </c>
      <c r="G33" s="7" t="str">
        <f>IF(A33=""," ",B33*VLOOKUP(A33,'01.01.2026 - 24.01.2026'!A:H,8,FALSE))</f>
        <v xml:space="preserve"> </v>
      </c>
    </row>
    <row r="34" spans="1:7" ht="14.15" customHeight="1" x14ac:dyDescent="0.25">
      <c r="A34" s="15"/>
      <c r="B34" s="22"/>
      <c r="C34" s="6" t="str">
        <f>IF(A34=""," ",VLOOKUP(A34,'01.01.2026 - 24.01.2026'!A:H,2,FALSE))</f>
        <v xml:space="preserve"> </v>
      </c>
      <c r="D34" s="30" t="str">
        <f>IF(A34=""," ",VLOOKUP(A34,'01.01.2026 - 24.01.2026'!A:H,5,FALSE))</f>
        <v xml:space="preserve"> </v>
      </c>
      <c r="E34" s="7" t="str">
        <f>IF(A34=""," ",B34*VLOOKUP(A34,'01.01.2026 - 24.01.2026'!A:H,6,FALSE))</f>
        <v xml:space="preserve"> </v>
      </c>
      <c r="F34" s="7" t="str">
        <f>IF(A34=""," ",B34*VLOOKUP(A34,'01.01.2026 - 24.01.2026'!A:H,7,FALSE))</f>
        <v xml:space="preserve"> </v>
      </c>
      <c r="G34" s="7" t="str">
        <f>IF(A34=""," ",B34*VLOOKUP(A34,'01.01.2026 - 24.01.2026'!A:H,8,FALSE))</f>
        <v xml:space="preserve"> </v>
      </c>
    </row>
    <row r="35" spans="1:7" ht="14.15" customHeight="1" x14ac:dyDescent="0.25">
      <c r="A35" s="15"/>
      <c r="B35" s="22"/>
      <c r="C35" s="6" t="str">
        <f>IF(A35=""," ",VLOOKUP(A35,'01.01.2026 - 24.01.2026'!A:H,2,FALSE))</f>
        <v xml:space="preserve"> </v>
      </c>
      <c r="D35" s="30" t="str">
        <f>IF(A35=""," ",VLOOKUP(A35,'01.01.2026 - 24.01.2026'!A:H,5,FALSE))</f>
        <v xml:space="preserve"> </v>
      </c>
      <c r="E35" s="7" t="str">
        <f>IF(A35=""," ",B35*VLOOKUP(A35,'01.01.2026 - 24.01.2026'!A:H,6,FALSE))</f>
        <v xml:space="preserve"> </v>
      </c>
      <c r="F35" s="7" t="str">
        <f>IF(A35=""," ",B35*VLOOKUP(A35,'01.01.2026 - 24.01.2026'!A:H,7,FALSE))</f>
        <v xml:space="preserve"> </v>
      </c>
      <c r="G35" s="7" t="str">
        <f>IF(A35=""," ",B35*VLOOKUP(A35,'01.01.2026 - 24.01.2026'!A:H,8,FALSE))</f>
        <v xml:space="preserve"> </v>
      </c>
    </row>
    <row r="36" spans="1:7" ht="14.15" customHeight="1" x14ac:dyDescent="0.25">
      <c r="A36" s="15"/>
      <c r="B36" s="22"/>
      <c r="C36" s="6" t="str">
        <f>IF(A36=""," ",VLOOKUP(A36,'01.01.2026 - 24.01.2026'!A:H,2,FALSE))</f>
        <v xml:space="preserve"> </v>
      </c>
      <c r="D36" s="30" t="str">
        <f>IF(A36=""," ",VLOOKUP(A36,'01.01.2026 - 24.01.2026'!A:H,5,FALSE))</f>
        <v xml:space="preserve"> </v>
      </c>
      <c r="E36" s="7" t="str">
        <f>IF(A36=""," ",B36*VLOOKUP(A36,'01.01.2026 - 24.01.2026'!A:H,6,FALSE))</f>
        <v xml:space="preserve"> </v>
      </c>
      <c r="F36" s="7" t="str">
        <f>IF(A36=""," ",B36*VLOOKUP(A36,'01.01.2026 - 24.01.2026'!A:H,7,FALSE))</f>
        <v xml:space="preserve"> </v>
      </c>
      <c r="G36" s="7" t="str">
        <f>IF(A36=""," ",B36*VLOOKUP(A36,'01.01.2026 - 24.01.2026'!A:H,8,FALSE))</f>
        <v xml:space="preserve"> </v>
      </c>
    </row>
    <row r="37" spans="1:7" ht="14.15" customHeight="1" x14ac:dyDescent="0.25">
      <c r="A37" s="15"/>
      <c r="B37" s="22"/>
      <c r="C37" s="6" t="str">
        <f>IF(A37=""," ",VLOOKUP(A37,'01.01.2026 - 24.01.2026'!A:H,2,FALSE))</f>
        <v xml:space="preserve"> </v>
      </c>
      <c r="D37" s="30" t="str">
        <f>IF(A37=""," ",VLOOKUP(A37,'01.01.2026 - 24.01.2026'!A:H,5,FALSE))</f>
        <v xml:space="preserve"> </v>
      </c>
      <c r="E37" s="7" t="str">
        <f>IF(A37=""," ",B37*VLOOKUP(A37,'01.01.2026 - 24.01.2026'!A:H,6,FALSE))</f>
        <v xml:space="preserve"> </v>
      </c>
      <c r="F37" s="7" t="str">
        <f>IF(A37=""," ",B37*VLOOKUP(A37,'01.01.2026 - 24.01.2026'!A:H,7,FALSE))</f>
        <v xml:space="preserve"> </v>
      </c>
      <c r="G37" s="7" t="str">
        <f>IF(A37=""," ",B37*VLOOKUP(A37,'01.01.2026 - 24.01.2026'!A:H,8,FALSE))</f>
        <v xml:space="preserve"> </v>
      </c>
    </row>
    <row r="38" spans="1:7" ht="14.15" customHeight="1" x14ac:dyDescent="0.25">
      <c r="A38" s="15"/>
      <c r="B38" s="22"/>
      <c r="C38" s="6" t="str">
        <f>IF(A38=""," ",VLOOKUP(A38,'01.01.2026 - 24.01.2026'!A:H,2,FALSE))</f>
        <v xml:space="preserve"> </v>
      </c>
      <c r="D38" s="30" t="str">
        <f>IF(A38=""," ",VLOOKUP(A38,'01.01.2026 - 24.01.2026'!A:H,5,FALSE))</f>
        <v xml:space="preserve"> </v>
      </c>
      <c r="E38" s="7" t="str">
        <f>IF(A38=""," ",B38*VLOOKUP(A38,'01.01.2026 - 24.01.2026'!A:H,6,FALSE))</f>
        <v xml:space="preserve"> </v>
      </c>
      <c r="F38" s="7" t="str">
        <f>IF(A38=""," ",B38*VLOOKUP(A38,'01.01.2026 - 24.01.2026'!A:H,7,FALSE))</f>
        <v xml:space="preserve"> </v>
      </c>
      <c r="G38" s="7" t="str">
        <f>IF(A38=""," ",B38*VLOOKUP(A38,'01.01.2026 - 24.01.2026'!A:H,8,FALSE))</f>
        <v xml:space="preserve"> </v>
      </c>
    </row>
    <row r="39" spans="1:7" ht="14.15" customHeight="1" x14ac:dyDescent="0.25">
      <c r="A39" s="15"/>
      <c r="B39" s="22"/>
      <c r="C39" s="6" t="str">
        <f>IF(A39=""," ",VLOOKUP(A39,'01.01.2026 - 24.01.2026'!A:H,2,FALSE))</f>
        <v xml:space="preserve"> </v>
      </c>
      <c r="D39" s="30" t="str">
        <f>IF(A39=""," ",VLOOKUP(A39,'01.01.2026 - 24.01.2026'!A:H,5,FALSE))</f>
        <v xml:space="preserve"> </v>
      </c>
      <c r="E39" s="7" t="str">
        <f>IF(A39=""," ",B39*VLOOKUP(A39,'01.01.2026 - 24.01.2026'!A:H,6,FALSE))</f>
        <v xml:space="preserve"> </v>
      </c>
      <c r="F39" s="7" t="str">
        <f>IF(A39=""," ",B39*VLOOKUP(A39,'01.01.2026 - 24.01.2026'!A:H,7,FALSE))</f>
        <v xml:space="preserve"> </v>
      </c>
      <c r="G39" s="7" t="str">
        <f>IF(A39=""," ",B39*VLOOKUP(A39,'01.01.2026 - 24.01.2026'!A:H,8,FALSE))</f>
        <v xml:space="preserve"> </v>
      </c>
    </row>
    <row r="40" spans="1:7" ht="14.15" customHeight="1" x14ac:dyDescent="0.25">
      <c r="A40" s="15"/>
      <c r="B40" s="22"/>
      <c r="C40" s="6" t="str">
        <f>IF(A40=""," ",VLOOKUP(A40,'01.01.2026 - 24.01.2026'!A:H,2,FALSE))</f>
        <v xml:space="preserve"> </v>
      </c>
      <c r="D40" s="30" t="str">
        <f>IF(A40=""," ",VLOOKUP(A40,'01.01.2026 - 24.01.2026'!A:H,5,FALSE))</f>
        <v xml:space="preserve"> </v>
      </c>
      <c r="E40" s="7" t="str">
        <f>IF(A40=""," ",B40*VLOOKUP(A40,'01.01.2026 - 24.01.2026'!A:H,6,FALSE))</f>
        <v xml:space="preserve"> </v>
      </c>
      <c r="F40" s="7" t="str">
        <f>IF(A40=""," ",B40*VLOOKUP(A40,'01.01.2026 - 24.01.2026'!A:H,7,FALSE))</f>
        <v xml:space="preserve"> </v>
      </c>
      <c r="G40" s="7" t="str">
        <f>IF(A40=""," ",B40*VLOOKUP(A40,'01.01.2026 - 24.01.2026'!A:H,8,FALSE))</f>
        <v xml:space="preserve"> </v>
      </c>
    </row>
    <row r="41" spans="1:7" ht="14.15" customHeight="1" x14ac:dyDescent="0.25">
      <c r="A41" s="15"/>
      <c r="B41" s="22"/>
      <c r="C41" s="6" t="str">
        <f>IF(A41=""," ",VLOOKUP(A41,'01.01.2026 - 24.01.2026'!A:H,2,FALSE))</f>
        <v xml:space="preserve"> </v>
      </c>
      <c r="D41" s="30" t="str">
        <f>IF(A41=""," ",VLOOKUP(A41,'01.01.2026 - 24.01.2026'!A:H,5,FALSE))</f>
        <v xml:space="preserve"> </v>
      </c>
      <c r="E41" s="7" t="str">
        <f>IF(A41=""," ",B41*VLOOKUP(A41,'01.01.2026 - 24.01.2026'!A:H,6,FALSE))</f>
        <v xml:space="preserve"> </v>
      </c>
      <c r="F41" s="7" t="str">
        <f>IF(A41=""," ",B41*VLOOKUP(A41,'01.01.2026 - 24.01.2026'!A:H,7,FALSE))</f>
        <v xml:space="preserve"> </v>
      </c>
      <c r="G41" s="7" t="str">
        <f>IF(A41=""," ",B41*VLOOKUP(A41,'01.01.2026 - 24.01.2026'!A:H,8,FALSE))</f>
        <v xml:space="preserve"> </v>
      </c>
    </row>
    <row r="42" spans="1:7" ht="14.15" customHeight="1" x14ac:dyDescent="0.25">
      <c r="A42" s="15"/>
      <c r="B42" s="22"/>
      <c r="C42" s="6" t="str">
        <f>IF(A42=""," ",VLOOKUP(A42,'01.01.2026 - 24.01.2026'!A:H,2,FALSE))</f>
        <v xml:space="preserve"> </v>
      </c>
      <c r="D42" s="30" t="str">
        <f>IF(A42=""," ",VLOOKUP(A42,'01.01.2026 - 24.01.2026'!A:H,5,FALSE))</f>
        <v xml:space="preserve"> </v>
      </c>
      <c r="E42" s="7" t="str">
        <f>IF(A42=""," ",B42*VLOOKUP(A42,'01.01.2026 - 24.01.2026'!A:H,6,FALSE))</f>
        <v xml:space="preserve"> </v>
      </c>
      <c r="F42" s="7" t="str">
        <f>IF(A42=""," ",B42*VLOOKUP(A42,'01.01.2026 - 24.01.2026'!A:H,7,FALSE))</f>
        <v xml:space="preserve"> </v>
      </c>
      <c r="G42" s="7" t="str">
        <f>IF(A42=""," ",B42*VLOOKUP(A42,'01.01.2026 - 24.01.2026'!A:H,8,FALSE))</f>
        <v xml:space="preserve"> </v>
      </c>
    </row>
    <row r="43" spans="1:7" ht="14.15" customHeight="1" x14ac:dyDescent="0.25">
      <c r="A43" s="15"/>
      <c r="B43" s="22"/>
      <c r="C43" s="6" t="str">
        <f>IF(A43=""," ",VLOOKUP(A43,'01.01.2026 - 24.01.2026'!A:H,2,FALSE))</f>
        <v xml:space="preserve"> </v>
      </c>
      <c r="D43" s="30" t="str">
        <f>IF(A43=""," ",VLOOKUP(A43,'01.01.2026 - 24.01.2026'!A:H,5,FALSE))</f>
        <v xml:space="preserve"> </v>
      </c>
      <c r="E43" s="7" t="str">
        <f>IF(A43=""," ",B43*VLOOKUP(A43,'01.01.2026 - 24.01.2026'!A:H,6,FALSE))</f>
        <v xml:space="preserve"> </v>
      </c>
      <c r="F43" s="7" t="str">
        <f>IF(A43=""," ",B43*VLOOKUP(A43,'01.01.2026 - 24.01.2026'!A:H,7,FALSE))</f>
        <v xml:space="preserve"> </v>
      </c>
      <c r="G43" s="7" t="str">
        <f>IF(A43=""," ",B43*VLOOKUP(A43,'01.01.2026 - 24.01.2026'!A:H,8,FALSE))</f>
        <v xml:space="preserve"> </v>
      </c>
    </row>
    <row r="44" spans="1:7" ht="14.15" customHeight="1" x14ac:dyDescent="0.25">
      <c r="A44" s="15"/>
      <c r="B44" s="22"/>
      <c r="C44" s="6" t="str">
        <f>IF(A44=""," ",VLOOKUP(A44,'01.01.2026 - 24.01.2026'!A:H,2,FALSE))</f>
        <v xml:space="preserve"> </v>
      </c>
      <c r="D44" s="30" t="str">
        <f>IF(A44=""," ",VLOOKUP(A44,'01.01.2026 - 24.01.2026'!A:H,5,FALSE))</f>
        <v xml:space="preserve"> </v>
      </c>
      <c r="E44" s="7" t="str">
        <f>IF(A44=""," ",B44*VLOOKUP(A44,'01.01.2026 - 24.01.2026'!A:H,6,FALSE))</f>
        <v xml:space="preserve"> </v>
      </c>
      <c r="F44" s="7" t="str">
        <f>IF(A44=""," ",B44*VLOOKUP(A44,'01.01.2026 - 24.01.2026'!A:H,7,FALSE))</f>
        <v xml:space="preserve"> </v>
      </c>
      <c r="G44" s="7" t="str">
        <f>IF(A44=""," ",B44*VLOOKUP(A44,'01.01.2026 - 24.01.2026'!A:H,8,FALSE))</f>
        <v xml:space="preserve"> </v>
      </c>
    </row>
    <row r="45" spans="1:7" ht="14.15" customHeight="1" x14ac:dyDescent="0.25">
      <c r="A45" s="15"/>
      <c r="B45" s="22"/>
      <c r="C45" s="6" t="str">
        <f>IF(A45=""," ",VLOOKUP(A45,'01.01.2026 - 24.01.2026'!A:H,2,FALSE))</f>
        <v xml:space="preserve"> </v>
      </c>
      <c r="D45" s="30" t="str">
        <f>IF(A45=""," ",VLOOKUP(A45,'01.01.2026 - 24.01.2026'!A:H,5,FALSE))</f>
        <v xml:space="preserve"> </v>
      </c>
      <c r="E45" s="7" t="str">
        <f>IF(A45=""," ",B45*VLOOKUP(A45,'01.01.2026 - 24.01.2026'!A:H,6,FALSE))</f>
        <v xml:space="preserve"> </v>
      </c>
      <c r="F45" s="7" t="str">
        <f>IF(A45=""," ",B45*VLOOKUP(A45,'01.01.2026 - 24.01.2026'!A:H,7,FALSE))</f>
        <v xml:space="preserve"> </v>
      </c>
      <c r="G45" s="7" t="str">
        <f>IF(A45=""," ",B45*VLOOKUP(A45,'01.01.2026 - 24.01.2026'!A:H,8,FALSE))</f>
        <v xml:space="preserve"> </v>
      </c>
    </row>
    <row r="46" spans="1:7" ht="14.15" customHeight="1" x14ac:dyDescent="0.25">
      <c r="A46" s="15"/>
      <c r="B46" s="22"/>
      <c r="C46" s="6" t="str">
        <f>IF(A46=""," ",VLOOKUP(A46,'01.01.2026 - 24.01.2026'!A:H,2,FALSE))</f>
        <v xml:space="preserve"> </v>
      </c>
      <c r="D46" s="30" t="str">
        <f>IF(A46=""," ",VLOOKUP(A46,'01.01.2026 - 24.01.2026'!A:H,5,FALSE))</f>
        <v xml:space="preserve"> </v>
      </c>
      <c r="E46" s="7" t="str">
        <f>IF(A46=""," ",B46*VLOOKUP(A46,'01.01.2026 - 24.01.2026'!A:H,6,FALSE))</f>
        <v xml:space="preserve"> </v>
      </c>
      <c r="F46" s="7" t="str">
        <f>IF(A46=""," ",B46*VLOOKUP(A46,'01.01.2026 - 24.01.2026'!A:H,7,FALSE))</f>
        <v xml:space="preserve"> </v>
      </c>
      <c r="G46" s="7" t="str">
        <f>IF(A46=""," ",B46*VLOOKUP(A46,'01.01.2026 - 24.01.2026'!A:H,8,FALSE))</f>
        <v xml:space="preserve"> </v>
      </c>
    </row>
    <row r="47" spans="1:7" ht="14.15" customHeight="1" x14ac:dyDescent="0.25">
      <c r="A47" s="15"/>
      <c r="B47" s="22"/>
      <c r="C47" s="6" t="str">
        <f>IF(A47=""," ",VLOOKUP(A47,'01.01.2026 - 24.01.2026'!A:H,2,FALSE))</f>
        <v xml:space="preserve"> </v>
      </c>
      <c r="D47" s="30" t="str">
        <f>IF(A47=""," ",VLOOKUP(A47,'01.01.2026 - 24.01.2026'!A:H,5,FALSE))</f>
        <v xml:space="preserve"> </v>
      </c>
      <c r="E47" s="7" t="str">
        <f>IF(A47=""," ",B47*VLOOKUP(A47,'01.01.2026 - 24.01.2026'!A:H,6,FALSE))</f>
        <v xml:space="preserve"> </v>
      </c>
      <c r="F47" s="7" t="str">
        <f>IF(A47=""," ",B47*VLOOKUP(A47,'01.01.2026 - 24.01.2026'!A:H,7,FALSE))</f>
        <v xml:space="preserve"> </v>
      </c>
      <c r="G47" s="7" t="str">
        <f>IF(A47=""," ",B47*VLOOKUP(A47,'01.01.2026 - 24.01.2026'!A:H,8,FALSE))</f>
        <v xml:space="preserve"> </v>
      </c>
    </row>
    <row r="48" spans="1:7" ht="14.15" customHeight="1" x14ac:dyDescent="0.25">
      <c r="A48" s="15"/>
      <c r="B48" s="22"/>
      <c r="C48" s="6" t="str">
        <f>IF(A48=""," ",VLOOKUP(A48,'01.01.2026 - 24.01.2026'!A:H,2,FALSE))</f>
        <v xml:space="preserve"> </v>
      </c>
      <c r="D48" s="30" t="str">
        <f>IF(A48=""," ",VLOOKUP(A48,'01.01.2026 - 24.01.2026'!A:H,5,FALSE))</f>
        <v xml:space="preserve"> </v>
      </c>
      <c r="E48" s="7" t="str">
        <f>IF(A48=""," ",B48*VLOOKUP(A48,'01.01.2026 - 24.01.2026'!A:H,6,FALSE))</f>
        <v xml:space="preserve"> </v>
      </c>
      <c r="F48" s="7" t="str">
        <f>IF(A48=""," ",B48*VLOOKUP(A48,'01.01.2026 - 24.01.2026'!A:H,7,FALSE))</f>
        <v xml:space="preserve"> </v>
      </c>
      <c r="G48" s="7" t="str">
        <f>IF(A48=""," ",B48*VLOOKUP(A48,'01.01.2026 - 24.01.2026'!A:H,8,FALSE))</f>
        <v xml:space="preserve"> </v>
      </c>
    </row>
    <row r="49" spans="1:7" ht="14.15" customHeight="1" x14ac:dyDescent="0.25">
      <c r="A49" s="15"/>
      <c r="B49" s="22"/>
      <c r="C49" s="6" t="str">
        <f>IF(A49=""," ",VLOOKUP(A49,'01.01.2026 - 24.01.2026'!A:H,2,FALSE))</f>
        <v xml:space="preserve"> </v>
      </c>
      <c r="D49" s="30" t="str">
        <f>IF(A49=""," ",VLOOKUP(A49,'01.01.2026 - 24.01.2026'!A:H,5,FALSE))</f>
        <v xml:space="preserve"> </v>
      </c>
      <c r="E49" s="7" t="str">
        <f>IF(A49=""," ",B49*VLOOKUP(A49,'01.01.2026 - 24.01.2026'!A:H,6,FALSE))</f>
        <v xml:space="preserve"> </v>
      </c>
      <c r="F49" s="7" t="str">
        <f>IF(A49=""," ",B49*VLOOKUP(A49,'01.01.2026 - 24.01.2026'!A:H,7,FALSE))</f>
        <v xml:space="preserve"> </v>
      </c>
      <c r="G49" s="7" t="str">
        <f>IF(A49=""," ",B49*VLOOKUP(A49,'01.01.2026 - 24.01.2026'!A:H,8,FALSE))</f>
        <v xml:space="preserve"> </v>
      </c>
    </row>
    <row r="50" spans="1:7" ht="14.15" customHeight="1" x14ac:dyDescent="0.25">
      <c r="A50" s="15"/>
      <c r="B50" s="22"/>
      <c r="C50" s="6" t="str">
        <f>IF(A50=""," ",VLOOKUP(A50,'01.01.2026 - 24.01.2026'!A:H,2,FALSE))</f>
        <v xml:space="preserve"> </v>
      </c>
      <c r="D50" s="30" t="str">
        <f>IF(A50=""," ",VLOOKUP(A50,'01.01.2026 - 24.01.2026'!A:H,5,FALSE))</f>
        <v xml:space="preserve"> </v>
      </c>
      <c r="E50" s="7" t="str">
        <f>IF(A50=""," ",B50*VLOOKUP(A50,'01.01.2026 - 24.01.2026'!A:H,6,FALSE))</f>
        <v xml:space="preserve"> </v>
      </c>
      <c r="F50" s="7" t="str">
        <f>IF(A50=""," ",B50*VLOOKUP(A50,'01.01.2026 - 24.01.2026'!A:H,7,FALSE))</f>
        <v xml:space="preserve"> </v>
      </c>
      <c r="G50" s="7" t="str">
        <f>IF(A50=""," ",B50*VLOOKUP(A50,'01.01.2026 - 24.01.2026'!A:H,8,FALSE))</f>
        <v xml:space="preserve"> </v>
      </c>
    </row>
    <row r="51" spans="1:7" ht="14.15" customHeight="1" x14ac:dyDescent="0.25">
      <c r="A51" s="15"/>
      <c r="B51" s="22"/>
      <c r="C51" s="6" t="str">
        <f>IF(A51=""," ",VLOOKUP(A51,'01.01.2026 - 24.01.2026'!A:H,2,FALSE))</f>
        <v xml:space="preserve"> </v>
      </c>
      <c r="D51" s="30" t="str">
        <f>IF(A51=""," ",VLOOKUP(A51,'01.01.2026 - 24.01.2026'!A:H,5,FALSE))</f>
        <v xml:space="preserve"> </v>
      </c>
      <c r="E51" s="7" t="str">
        <f>IF(A51=""," ",B51*VLOOKUP(A51,'01.01.2026 - 24.01.2026'!A:H,6,FALSE))</f>
        <v xml:space="preserve"> </v>
      </c>
      <c r="F51" s="7" t="str">
        <f>IF(A51=""," ",B51*VLOOKUP(A51,'01.01.2026 - 24.01.2026'!A:H,7,FALSE))</f>
        <v xml:space="preserve"> </v>
      </c>
      <c r="G51" s="7" t="str">
        <f>IF(A51=""," ",B51*VLOOKUP(A51,'01.01.2026 - 24.01.2026'!A:H,8,FALSE))</f>
        <v xml:space="preserve"> </v>
      </c>
    </row>
    <row r="52" spans="1:7" ht="14.15" customHeight="1" x14ac:dyDescent="0.25">
      <c r="A52" s="15"/>
      <c r="B52" s="22"/>
      <c r="C52" s="6" t="str">
        <f>IF(A52=""," ",VLOOKUP(A52,'01.01.2026 - 24.01.2026'!A:H,2,FALSE))</f>
        <v xml:space="preserve"> </v>
      </c>
      <c r="D52" s="30" t="str">
        <f>IF(A52=""," ",VLOOKUP(A52,'01.01.2026 - 24.01.2026'!A:H,5,FALSE))</f>
        <v xml:space="preserve"> </v>
      </c>
      <c r="E52" s="7" t="str">
        <f>IF(A52=""," ",B52*VLOOKUP(A52,'01.01.2026 - 24.01.2026'!A:H,6,FALSE))</f>
        <v xml:space="preserve"> </v>
      </c>
      <c r="F52" s="7" t="str">
        <f>IF(A52=""," ",B52*VLOOKUP(A52,'01.01.2026 - 24.01.2026'!A:H,7,FALSE))</f>
        <v xml:space="preserve"> </v>
      </c>
      <c r="G52" s="7" t="str">
        <f>IF(A52=""," ",B52*VLOOKUP(A52,'01.01.2026 - 24.01.2026'!A:H,8,FALSE))</f>
        <v xml:space="preserve"> </v>
      </c>
    </row>
    <row r="53" spans="1:7" ht="14.15" customHeight="1" x14ac:dyDescent="0.25">
      <c r="A53" s="15"/>
      <c r="B53" s="22"/>
      <c r="C53" s="6" t="str">
        <f>IF(A53=""," ",VLOOKUP(A53,'01.01.2026 - 24.01.2026'!A:H,2,FALSE))</f>
        <v xml:space="preserve"> </v>
      </c>
      <c r="D53" s="30" t="str">
        <f>IF(A53=""," ",VLOOKUP(A53,'01.01.2026 - 24.01.2026'!A:H,5,FALSE))</f>
        <v xml:space="preserve"> </v>
      </c>
      <c r="E53" s="7" t="str">
        <f>IF(A53=""," ",B53*VLOOKUP(A53,'01.01.2026 - 24.01.2026'!A:H,6,FALSE))</f>
        <v xml:space="preserve"> </v>
      </c>
      <c r="F53" s="7" t="str">
        <f>IF(A53=""," ",B53*VLOOKUP(A53,'01.01.2026 - 24.01.2026'!A:H,7,FALSE))</f>
        <v xml:space="preserve"> </v>
      </c>
      <c r="G53" s="7" t="str">
        <f>IF(A53=""," ",B53*VLOOKUP(A53,'01.01.2026 - 24.01.2026'!A:H,8,FALSE))</f>
        <v xml:space="preserve"> </v>
      </c>
    </row>
    <row r="54" spans="1:7" ht="14.15" customHeight="1" x14ac:dyDescent="0.25">
      <c r="A54" s="15"/>
      <c r="B54" s="22"/>
      <c r="C54" s="6" t="str">
        <f>IF(A54=""," ",VLOOKUP(A54,'01.01.2026 - 24.01.2026'!A:H,2,FALSE))</f>
        <v xml:space="preserve"> </v>
      </c>
      <c r="D54" s="30" t="str">
        <f>IF(A54=""," ",VLOOKUP(A54,'01.01.2026 - 24.01.2026'!A:H,5,FALSE))</f>
        <v xml:space="preserve"> </v>
      </c>
      <c r="E54" s="7" t="str">
        <f>IF(A54=""," ",B54*VLOOKUP(A54,'01.01.2026 - 24.01.2026'!A:H,6,FALSE))</f>
        <v xml:space="preserve"> </v>
      </c>
      <c r="F54" s="7" t="str">
        <f>IF(A54=""," ",B54*VLOOKUP(A54,'01.01.2026 - 24.01.2026'!A:H,7,FALSE))</f>
        <v xml:space="preserve"> </v>
      </c>
      <c r="G54" s="7" t="str">
        <f>IF(A54=""," ",B54*VLOOKUP(A54,'01.01.2026 - 24.01.2026'!A:H,8,FALSE))</f>
        <v xml:space="preserve"> </v>
      </c>
    </row>
    <row r="55" spans="1:7" ht="14.15" customHeight="1" x14ac:dyDescent="0.25">
      <c r="A55" s="15"/>
      <c r="B55" s="22"/>
      <c r="C55" s="6" t="str">
        <f>IF(A55=""," ",VLOOKUP(A55,'01.01.2026 - 24.01.2026'!A:H,2,FALSE))</f>
        <v xml:space="preserve"> </v>
      </c>
      <c r="D55" s="30" t="str">
        <f>IF(A55=""," ",VLOOKUP(A55,'01.01.2026 - 24.01.2026'!A:H,5,FALSE))</f>
        <v xml:space="preserve"> </v>
      </c>
      <c r="E55" s="7" t="str">
        <f>IF(A55=""," ",B55*VLOOKUP(A55,'01.01.2026 - 24.01.2026'!A:H,6,FALSE))</f>
        <v xml:space="preserve"> </v>
      </c>
      <c r="F55" s="7" t="str">
        <f>IF(A55=""," ",B55*VLOOKUP(A55,'01.01.2026 - 24.01.2026'!A:H,7,FALSE))</f>
        <v xml:space="preserve"> </v>
      </c>
      <c r="G55" s="7" t="str">
        <f>IF(A55=""," ",B55*VLOOKUP(A55,'01.01.2026 - 24.01.2026'!A:H,8,FALSE))</f>
        <v xml:space="preserve"> </v>
      </c>
    </row>
    <row r="56" spans="1:7" ht="14.15" customHeight="1" x14ac:dyDescent="0.25">
      <c r="A56" s="15"/>
      <c r="B56" s="22"/>
      <c r="C56" s="6" t="str">
        <f>IF(A56=""," ",VLOOKUP(A56,'01.01.2026 - 24.01.2026'!A:H,2,FALSE))</f>
        <v xml:space="preserve"> </v>
      </c>
      <c r="D56" s="30" t="str">
        <f>IF(A56=""," ",VLOOKUP(A56,'01.01.2026 - 24.01.2026'!A:H,5,FALSE))</f>
        <v xml:space="preserve"> </v>
      </c>
      <c r="E56" s="7" t="str">
        <f>IF(A56=""," ",B56*VLOOKUP(A56,'01.01.2026 - 24.01.2026'!A:H,6,FALSE))</f>
        <v xml:space="preserve"> </v>
      </c>
      <c r="F56" s="7" t="str">
        <f>IF(A56=""," ",B56*VLOOKUP(A56,'01.01.2026 - 24.01.2026'!A:H,7,FALSE))</f>
        <v xml:space="preserve"> </v>
      </c>
      <c r="G56" s="7" t="str">
        <f>IF(A56=""," ",B56*VLOOKUP(A56,'01.01.2026 - 24.01.2026'!A:H,8,FALSE))</f>
        <v xml:space="preserve"> </v>
      </c>
    </row>
    <row r="57" spans="1:7" ht="14.15" customHeight="1" x14ac:dyDescent="0.25">
      <c r="A57" s="15"/>
      <c r="B57" s="22"/>
      <c r="C57" s="6" t="str">
        <f>IF(A57=""," ",VLOOKUP(A57,'01.01.2026 - 24.01.2026'!A:H,2,FALSE))</f>
        <v xml:space="preserve"> </v>
      </c>
      <c r="D57" s="30" t="str">
        <f>IF(A57=""," ",VLOOKUP(A57,'01.01.2026 - 24.01.2026'!A:H,5,FALSE))</f>
        <v xml:space="preserve"> </v>
      </c>
      <c r="E57" s="7" t="str">
        <f>IF(A57=""," ",B57*VLOOKUP(A57,'01.01.2026 - 24.01.2026'!A:H,6,FALSE))</f>
        <v xml:space="preserve"> </v>
      </c>
      <c r="F57" s="7" t="str">
        <f>IF(A57=""," ",B57*VLOOKUP(A57,'01.01.2026 - 24.01.2026'!A:H,7,FALSE))</f>
        <v xml:space="preserve"> </v>
      </c>
      <c r="G57" s="7" t="str">
        <f>IF(A57=""," ",B57*VLOOKUP(A57,'01.01.2026 - 24.01.2026'!A:H,8,FALSE))</f>
        <v xml:space="preserve"> </v>
      </c>
    </row>
    <row r="58" spans="1:7" ht="14.15" customHeight="1" x14ac:dyDescent="0.25">
      <c r="A58" s="15"/>
      <c r="B58" s="22"/>
      <c r="C58" s="6" t="str">
        <f>IF(A58=""," ",VLOOKUP(A58,'01.01.2026 - 24.01.2026'!A:H,2,FALSE))</f>
        <v xml:space="preserve"> </v>
      </c>
      <c r="D58" s="30" t="str">
        <f>IF(A58=""," ",VLOOKUP(A58,'01.01.2026 - 24.01.2026'!A:H,5,FALSE))</f>
        <v xml:space="preserve"> </v>
      </c>
      <c r="E58" s="7" t="str">
        <f>IF(A58=""," ",B58*VLOOKUP(A58,'01.01.2026 - 24.01.2026'!A:H,6,FALSE))</f>
        <v xml:space="preserve"> </v>
      </c>
      <c r="F58" s="7" t="str">
        <f>IF(A58=""," ",B58*VLOOKUP(A58,'01.01.2026 - 24.01.2026'!A:H,7,FALSE))</f>
        <v xml:space="preserve"> </v>
      </c>
      <c r="G58" s="7" t="str">
        <f>IF(A58=""," ",B58*VLOOKUP(A58,'01.01.2026 - 24.01.2026'!A:H,8,FALSE))</f>
        <v xml:space="preserve"> </v>
      </c>
    </row>
    <row r="59" spans="1:7" ht="14.15" customHeight="1" x14ac:dyDescent="0.25">
      <c r="A59" s="15"/>
      <c r="B59" s="22"/>
      <c r="C59" s="6" t="str">
        <f>IF(A59=""," ",VLOOKUP(A59,'01.01.2026 - 24.01.2026'!A:H,2,FALSE))</f>
        <v xml:space="preserve"> </v>
      </c>
      <c r="D59" s="30" t="str">
        <f>IF(A59=""," ",VLOOKUP(A59,'01.01.2026 - 24.01.2026'!A:H,5,FALSE))</f>
        <v xml:space="preserve"> </v>
      </c>
      <c r="E59" s="7" t="str">
        <f>IF(A59=""," ",B59*VLOOKUP(A59,'01.01.2026 - 24.01.2026'!A:H,6,FALSE))</f>
        <v xml:space="preserve"> </v>
      </c>
      <c r="F59" s="7" t="str">
        <f>IF(A59=""," ",B59*VLOOKUP(A59,'01.01.2026 - 24.01.2026'!A:H,7,FALSE))</f>
        <v xml:space="preserve"> </v>
      </c>
      <c r="G59" s="7" t="str">
        <f>IF(A59=""," ",B59*VLOOKUP(A59,'01.01.2026 - 24.01.2026'!A:H,8,FALSE))</f>
        <v xml:space="preserve"> </v>
      </c>
    </row>
    <row r="60" spans="1:7" ht="14.15" customHeight="1" x14ac:dyDescent="0.25">
      <c r="A60" s="15"/>
      <c r="B60" s="22"/>
      <c r="C60" s="6" t="str">
        <f>IF(A60=""," ",VLOOKUP(A60,'01.01.2026 - 24.01.2026'!A:H,2,FALSE))</f>
        <v xml:space="preserve"> </v>
      </c>
      <c r="D60" s="30" t="str">
        <f>IF(A60=""," ",VLOOKUP(A60,'01.01.2026 - 24.01.2026'!A:H,5,FALSE))</f>
        <v xml:space="preserve"> </v>
      </c>
      <c r="E60" s="7" t="str">
        <f>IF(A60=""," ",B60*VLOOKUP(A60,'01.01.2026 - 24.01.2026'!A:H,6,FALSE))</f>
        <v xml:space="preserve"> </v>
      </c>
      <c r="F60" s="7" t="str">
        <f>IF(A60=""," ",B60*VLOOKUP(A60,'01.01.2026 - 24.01.2026'!A:H,7,FALSE))</f>
        <v xml:space="preserve"> </v>
      </c>
      <c r="G60" s="7" t="str">
        <f>IF(A60=""," ",B60*VLOOKUP(A60,'01.01.2026 - 24.01.2026'!A:H,8,FALSE))</f>
        <v xml:space="preserve"> </v>
      </c>
    </row>
    <row r="61" spans="1:7" ht="14.15" customHeight="1" x14ac:dyDescent="0.25">
      <c r="A61" s="15"/>
      <c r="B61" s="22"/>
      <c r="C61" s="6" t="str">
        <f>IF(A61=""," ",VLOOKUP(A61,'01.01.2026 - 24.01.2026'!A:H,2,FALSE))</f>
        <v xml:space="preserve"> </v>
      </c>
      <c r="D61" s="30" t="str">
        <f>IF(A61=""," ",VLOOKUP(A61,'01.01.2026 - 24.01.2026'!A:H,5,FALSE))</f>
        <v xml:space="preserve"> </v>
      </c>
      <c r="E61" s="7" t="str">
        <f>IF(A61=""," ",B61*VLOOKUP(A61,'01.01.2026 - 24.01.2026'!A:H,6,FALSE))</f>
        <v xml:space="preserve"> </v>
      </c>
      <c r="F61" s="7" t="str">
        <f>IF(A61=""," ",B61*VLOOKUP(A61,'01.01.2026 - 24.01.2026'!A:H,7,FALSE))</f>
        <v xml:space="preserve"> </v>
      </c>
      <c r="G61" s="7" t="str">
        <f>IF(A61=""," ",B61*VLOOKUP(A61,'01.01.2026 - 24.01.2026'!A:H,8,FALSE))</f>
        <v xml:space="preserve"> </v>
      </c>
    </row>
    <row r="62" spans="1:7" ht="14.15" customHeight="1" x14ac:dyDescent="0.25">
      <c r="A62" s="15"/>
      <c r="B62" s="22"/>
      <c r="C62" s="6" t="str">
        <f>IF(A62=""," ",VLOOKUP(A62,'01.01.2026 - 24.01.2026'!A:H,2,FALSE))</f>
        <v xml:space="preserve"> </v>
      </c>
      <c r="D62" s="30" t="str">
        <f>IF(A62=""," ",VLOOKUP(A62,'01.01.2026 - 24.01.2026'!A:H,5,FALSE))</f>
        <v xml:space="preserve"> </v>
      </c>
      <c r="E62" s="7" t="str">
        <f>IF(A62=""," ",B62*VLOOKUP(A62,'01.01.2026 - 24.01.2026'!A:H,6,FALSE))</f>
        <v xml:space="preserve"> </v>
      </c>
      <c r="F62" s="7" t="str">
        <f>IF(A62=""," ",B62*VLOOKUP(A62,'01.01.2026 - 24.01.2026'!A:H,7,FALSE))</f>
        <v xml:space="preserve"> </v>
      </c>
      <c r="G62" s="7" t="str">
        <f>IF(A62=""," ",B62*VLOOKUP(A62,'01.01.2026 - 24.01.2026'!A:H,8,FALSE))</f>
        <v xml:space="preserve"> </v>
      </c>
    </row>
    <row r="63" spans="1:7" ht="14.15" customHeight="1" x14ac:dyDescent="0.25">
      <c r="A63" s="15"/>
      <c r="B63" s="22"/>
      <c r="C63" s="6" t="str">
        <f>IF(A63=""," ",VLOOKUP(A63,'01.01.2026 - 24.01.2026'!A:H,2,FALSE))</f>
        <v xml:space="preserve"> </v>
      </c>
      <c r="D63" s="30" t="str">
        <f>IF(A63=""," ",VLOOKUP(A63,'01.01.2026 - 24.01.2026'!A:H,5,FALSE))</f>
        <v xml:space="preserve"> </v>
      </c>
      <c r="E63" s="7" t="str">
        <f>IF(A63=""," ",B63*VLOOKUP(A63,'01.01.2026 - 24.01.2026'!A:H,6,FALSE))</f>
        <v xml:space="preserve"> </v>
      </c>
      <c r="F63" s="7" t="str">
        <f>IF(A63=""," ",B63*VLOOKUP(A63,'01.01.2026 - 24.01.2026'!A:H,7,FALSE))</f>
        <v xml:space="preserve"> </v>
      </c>
      <c r="G63" s="7" t="str">
        <f>IF(A63=""," ",B63*VLOOKUP(A63,'01.01.2026 - 24.01.2026'!A:H,8,FALSE))</f>
        <v xml:space="preserve"> </v>
      </c>
    </row>
    <row r="64" spans="1:7" ht="14.15" customHeight="1" x14ac:dyDescent="0.25">
      <c r="A64" s="15"/>
      <c r="B64" s="22"/>
      <c r="C64" s="6" t="str">
        <f>IF(A64=""," ",VLOOKUP(A64,'01.01.2026 - 24.01.2026'!A:H,2,FALSE))</f>
        <v xml:space="preserve"> </v>
      </c>
      <c r="D64" s="30" t="str">
        <f>IF(A64=""," ",VLOOKUP(A64,'01.01.2026 - 24.01.2026'!A:H,5,FALSE))</f>
        <v xml:space="preserve"> </v>
      </c>
      <c r="E64" s="7" t="str">
        <f>IF(A64=""," ",B64*VLOOKUP(A64,'01.01.2026 - 24.01.2026'!A:H,6,FALSE))</f>
        <v xml:space="preserve"> </v>
      </c>
      <c r="F64" s="7" t="str">
        <f>IF(A64=""," ",B64*VLOOKUP(A64,'01.01.2026 - 24.01.2026'!A:H,7,FALSE))</f>
        <v xml:space="preserve"> </v>
      </c>
      <c r="G64" s="7" t="str">
        <f>IF(A64=""," ",B64*VLOOKUP(A64,'01.01.2026 - 24.01.2026'!A:H,8,FALSE))</f>
        <v xml:space="preserve"> </v>
      </c>
    </row>
    <row r="65" spans="1:7" ht="14.15" customHeight="1" x14ac:dyDescent="0.25">
      <c r="A65" s="15"/>
      <c r="B65" s="22"/>
      <c r="C65" s="6" t="str">
        <f>IF(A65=""," ",VLOOKUP(A65,'01.01.2026 - 24.01.2026'!A:H,2,FALSE))</f>
        <v xml:space="preserve"> </v>
      </c>
      <c r="D65" s="30" t="str">
        <f>IF(A65=""," ",VLOOKUP(A65,'01.01.2026 - 24.01.2026'!A:H,5,FALSE))</f>
        <v xml:space="preserve"> </v>
      </c>
      <c r="E65" s="7" t="str">
        <f>IF(A65=""," ",B65*VLOOKUP(A65,'01.01.2026 - 24.01.2026'!A:H,6,FALSE))</f>
        <v xml:space="preserve"> </v>
      </c>
      <c r="F65" s="7" t="str">
        <f>IF(A65=""," ",B65*VLOOKUP(A65,'01.01.2026 - 24.01.2026'!A:H,7,FALSE))</f>
        <v xml:space="preserve"> </v>
      </c>
      <c r="G65" s="7" t="str">
        <f>IF(A65=""," ",B65*VLOOKUP(A65,'01.01.2026 - 24.01.2026'!A:H,8,FALSE))</f>
        <v xml:space="preserve"> </v>
      </c>
    </row>
    <row r="66" spans="1:7" ht="14.15" customHeight="1" x14ac:dyDescent="0.25">
      <c r="A66" s="15"/>
      <c r="B66" s="22"/>
      <c r="C66" s="6" t="str">
        <f>IF(A66=""," ",VLOOKUP(A66,'01.01.2026 - 24.01.2026'!A:H,2,FALSE))</f>
        <v xml:space="preserve"> </v>
      </c>
      <c r="D66" s="30" t="str">
        <f>IF(A66=""," ",VLOOKUP(A66,'01.01.2026 - 24.01.2026'!A:H,5,FALSE))</f>
        <v xml:space="preserve"> </v>
      </c>
      <c r="E66" s="7" t="str">
        <f>IF(A66=""," ",B66*VLOOKUP(A66,'01.01.2026 - 24.01.2026'!A:H,6,FALSE))</f>
        <v xml:space="preserve"> </v>
      </c>
      <c r="F66" s="7" t="str">
        <f>IF(A66=""," ",B66*VLOOKUP(A66,'01.01.2026 - 24.01.2026'!A:H,7,FALSE))</f>
        <v xml:space="preserve"> </v>
      </c>
      <c r="G66" s="7" t="str">
        <f>IF(A66=""," ",B66*VLOOKUP(A66,'01.01.2026 - 24.01.2026'!A:H,8,FALSE))</f>
        <v xml:space="preserve"> </v>
      </c>
    </row>
    <row r="67" spans="1:7" ht="14.15" customHeight="1" x14ac:dyDescent="0.25">
      <c r="A67" s="15"/>
      <c r="B67" s="22"/>
      <c r="C67" s="6" t="str">
        <f>IF(A67=""," ",VLOOKUP(A67,'01.01.2026 - 24.01.2026'!A:H,2,FALSE))</f>
        <v xml:space="preserve"> </v>
      </c>
      <c r="D67" s="30" t="str">
        <f>IF(A67=""," ",VLOOKUP(A67,'01.01.2026 - 24.01.2026'!A:H,5,FALSE))</f>
        <v xml:space="preserve"> </v>
      </c>
      <c r="E67" s="7" t="str">
        <f>IF(A67=""," ",B67*VLOOKUP(A67,'01.01.2026 - 24.01.2026'!A:H,6,FALSE))</f>
        <v xml:space="preserve"> </v>
      </c>
      <c r="F67" s="7" t="str">
        <f>IF(A67=""," ",B67*VLOOKUP(A67,'01.01.2026 - 24.01.2026'!A:H,7,FALSE))</f>
        <v xml:space="preserve"> </v>
      </c>
      <c r="G67" s="7" t="str">
        <f>IF(A67=""," ",B67*VLOOKUP(A67,'01.01.2026 - 24.01.2026'!A:H,8,FALSE))</f>
        <v xml:space="preserve"> </v>
      </c>
    </row>
    <row r="68" spans="1:7" ht="14.15" customHeight="1" x14ac:dyDescent="0.25">
      <c r="A68" s="15"/>
      <c r="B68" s="22"/>
      <c r="C68" s="6" t="str">
        <f>IF(A68=""," ",VLOOKUP(A68,'01.01.2026 - 24.01.2026'!A:H,2,FALSE))</f>
        <v xml:space="preserve"> </v>
      </c>
      <c r="D68" s="30" t="str">
        <f>IF(A68=""," ",VLOOKUP(A68,'01.01.2026 - 24.01.2026'!A:H,5,FALSE))</f>
        <v xml:space="preserve"> </v>
      </c>
      <c r="E68" s="7" t="str">
        <f>IF(A68=""," ",B68*VLOOKUP(A68,'01.01.2026 - 24.01.2026'!A:H,6,FALSE))</f>
        <v xml:space="preserve"> </v>
      </c>
      <c r="F68" s="7" t="str">
        <f>IF(A68=""," ",B68*VLOOKUP(A68,'01.01.2026 - 24.01.2026'!A:H,7,FALSE))</f>
        <v xml:space="preserve"> </v>
      </c>
      <c r="G68" s="7" t="str">
        <f>IF(A68=""," ",B68*VLOOKUP(A68,'01.01.2026 - 24.01.2026'!A:H,8,FALSE))</f>
        <v xml:space="preserve"> </v>
      </c>
    </row>
    <row r="69" spans="1:7" ht="14.15" customHeight="1" x14ac:dyDescent="0.25">
      <c r="A69" s="15"/>
      <c r="B69" s="22"/>
      <c r="C69" s="6" t="str">
        <f>IF(A69=""," ",VLOOKUP(A69,'01.01.2026 - 24.01.2026'!A:H,2,FALSE))</f>
        <v xml:space="preserve"> </v>
      </c>
      <c r="D69" s="30" t="str">
        <f>IF(A69=""," ",VLOOKUP(A69,'01.01.2026 - 24.01.2026'!A:H,5,FALSE))</f>
        <v xml:space="preserve"> </v>
      </c>
      <c r="E69" s="7" t="str">
        <f>IF(A69=""," ",B69*VLOOKUP(A69,'01.01.2026 - 24.01.2026'!A:H,6,FALSE))</f>
        <v xml:space="preserve"> </v>
      </c>
      <c r="F69" s="7" t="str">
        <f>IF(A69=""," ",B69*VLOOKUP(A69,'01.01.2026 - 24.01.2026'!A:H,7,FALSE))</f>
        <v xml:space="preserve"> </v>
      </c>
      <c r="G69" s="7" t="str">
        <f>IF(A69=""," ",B69*VLOOKUP(A69,'01.01.2026 - 24.01.2026'!A:H,8,FALSE))</f>
        <v xml:space="preserve"> </v>
      </c>
    </row>
    <row r="70" spans="1:7" ht="14.15" customHeight="1" x14ac:dyDescent="0.25">
      <c r="A70" s="15"/>
      <c r="B70" s="22"/>
      <c r="C70" s="6" t="str">
        <f>IF(A70=""," ",VLOOKUP(A70,'01.01.2026 - 24.01.2026'!A:H,2,FALSE))</f>
        <v xml:space="preserve"> </v>
      </c>
      <c r="D70" s="30" t="str">
        <f>IF(A70=""," ",VLOOKUP(A70,'01.01.2026 - 24.01.2026'!A:H,5,FALSE))</f>
        <v xml:space="preserve"> </v>
      </c>
      <c r="E70" s="7" t="str">
        <f>IF(A70=""," ",B70*VLOOKUP(A70,'01.01.2026 - 24.01.2026'!A:H,6,FALSE))</f>
        <v xml:space="preserve"> </v>
      </c>
      <c r="F70" s="7" t="str">
        <f>IF(A70=""," ",B70*VLOOKUP(A70,'01.01.2026 - 24.01.2026'!A:H,7,FALSE))</f>
        <v xml:space="preserve"> </v>
      </c>
      <c r="G70" s="7" t="str">
        <f>IF(A70=""," ",B70*VLOOKUP(A70,'01.01.2026 - 24.01.2026'!A:H,8,FALSE))</f>
        <v xml:space="preserve"> </v>
      </c>
    </row>
    <row r="71" spans="1:7" ht="14.15" customHeight="1" x14ac:dyDescent="0.25">
      <c r="A71" s="15"/>
      <c r="B71" s="22"/>
      <c r="C71" s="6" t="str">
        <f>IF(A71=""," ",VLOOKUP(A71,'01.01.2026 - 24.01.2026'!A:H,2,FALSE))</f>
        <v xml:space="preserve"> </v>
      </c>
      <c r="D71" s="30" t="str">
        <f>IF(A71=""," ",VLOOKUP(A71,'01.01.2026 - 24.01.2026'!A:H,5,FALSE))</f>
        <v xml:space="preserve"> </v>
      </c>
      <c r="E71" s="7" t="str">
        <f>IF(A71=""," ",B71*VLOOKUP(A71,'01.01.2026 - 24.01.2026'!A:H,6,FALSE))</f>
        <v xml:space="preserve"> </v>
      </c>
      <c r="F71" s="7" t="str">
        <f>IF(A71=""," ",B71*VLOOKUP(A71,'01.01.2026 - 24.01.2026'!A:H,7,FALSE))</f>
        <v xml:space="preserve"> </v>
      </c>
      <c r="G71" s="7" t="str">
        <f>IF(A71=""," ",B71*VLOOKUP(A71,'01.01.2026 - 24.01.2026'!A:H,8,FALSE))</f>
        <v xml:space="preserve"> </v>
      </c>
    </row>
    <row r="72" spans="1:7" ht="14.15" customHeight="1" x14ac:dyDescent="0.25">
      <c r="A72" s="15"/>
      <c r="B72" s="22"/>
      <c r="C72" s="6" t="str">
        <f>IF(A72=""," ",VLOOKUP(A72,'01.01.2026 - 24.01.2026'!A:H,2,FALSE))</f>
        <v xml:space="preserve"> </v>
      </c>
      <c r="D72" s="30" t="str">
        <f>IF(A72=""," ",VLOOKUP(A72,'01.01.2026 - 24.01.2026'!A:H,5,FALSE))</f>
        <v xml:space="preserve"> </v>
      </c>
      <c r="E72" s="7" t="str">
        <f>IF(A72=""," ",B72*VLOOKUP(A72,'01.01.2026 - 24.01.2026'!A:H,6,FALSE))</f>
        <v xml:space="preserve"> </v>
      </c>
      <c r="F72" s="7" t="str">
        <f>IF(A72=""," ",B72*VLOOKUP(A72,'01.01.2026 - 24.01.2026'!A:H,7,FALSE))</f>
        <v xml:space="preserve"> </v>
      </c>
      <c r="G72" s="7" t="str">
        <f>IF(A72=""," ",B72*VLOOKUP(A72,'01.01.2026 - 24.01.2026'!A:H,8,FALSE))</f>
        <v xml:space="preserve"> </v>
      </c>
    </row>
    <row r="73" spans="1:7" ht="14.15" customHeight="1" x14ac:dyDescent="0.25">
      <c r="A73" s="15"/>
      <c r="B73" s="22"/>
      <c r="C73" s="6" t="str">
        <f>IF(A73=""," ",VLOOKUP(A73,'01.01.2026 - 24.01.2026'!A:H,2,FALSE))</f>
        <v xml:space="preserve"> </v>
      </c>
      <c r="D73" s="30" t="str">
        <f>IF(A73=""," ",VLOOKUP(A73,'01.01.2026 - 24.01.2026'!A:H,5,FALSE))</f>
        <v xml:space="preserve"> </v>
      </c>
      <c r="E73" s="7" t="str">
        <f>IF(A73=""," ",B73*VLOOKUP(A73,'01.01.2026 - 24.01.2026'!A:H,6,FALSE))</f>
        <v xml:space="preserve"> </v>
      </c>
      <c r="F73" s="7" t="str">
        <f>IF(A73=""," ",B73*VLOOKUP(A73,'01.01.2026 - 24.01.2026'!A:H,7,FALSE))</f>
        <v xml:space="preserve"> </v>
      </c>
      <c r="G73" s="7" t="str">
        <f>IF(A73=""," ",B73*VLOOKUP(A73,'01.01.2026 - 24.01.2026'!A:H,8,FALSE))</f>
        <v xml:space="preserve"> </v>
      </c>
    </row>
    <row r="74" spans="1:7" ht="14.15" customHeight="1" x14ac:dyDescent="0.25">
      <c r="A74" s="15"/>
      <c r="B74" s="22"/>
      <c r="C74" s="6" t="str">
        <f>IF(A74=""," ",VLOOKUP(A74,'01.01.2026 - 24.01.2026'!A:H,2,FALSE))</f>
        <v xml:space="preserve"> </v>
      </c>
      <c r="D74" s="30" t="str">
        <f>IF(A74=""," ",VLOOKUP(A74,'01.01.2026 - 24.01.2026'!A:H,5,FALSE))</f>
        <v xml:space="preserve"> </v>
      </c>
      <c r="E74" s="7" t="str">
        <f>IF(A74=""," ",B74*VLOOKUP(A74,'01.01.2026 - 24.01.2026'!A:H,6,FALSE))</f>
        <v xml:space="preserve"> </v>
      </c>
      <c r="F74" s="7" t="str">
        <f>IF(A74=""," ",B74*VLOOKUP(A74,'01.01.2026 - 24.01.2026'!A:H,7,FALSE))</f>
        <v xml:space="preserve"> </v>
      </c>
      <c r="G74" s="7" t="str">
        <f>IF(A74=""," ",B74*VLOOKUP(A74,'01.01.2026 - 24.01.2026'!A:H,8,FALSE))</f>
        <v xml:space="preserve"> </v>
      </c>
    </row>
    <row r="75" spans="1:7" ht="14.15" customHeight="1" x14ac:dyDescent="0.25">
      <c r="A75" s="15"/>
      <c r="B75" s="22"/>
      <c r="C75" s="6" t="str">
        <f>IF(A75=""," ",VLOOKUP(A75,'01.01.2026 - 24.01.2026'!A:H,2,FALSE))</f>
        <v xml:space="preserve"> </v>
      </c>
      <c r="D75" s="30" t="str">
        <f>IF(A75=""," ",VLOOKUP(A75,'01.01.2026 - 24.01.2026'!A:H,5,FALSE))</f>
        <v xml:space="preserve"> </v>
      </c>
      <c r="E75" s="7" t="str">
        <f>IF(A75=""," ",B75*VLOOKUP(A75,'01.01.2026 - 24.01.2026'!A:H,6,FALSE))</f>
        <v xml:space="preserve"> </v>
      </c>
      <c r="F75" s="7" t="str">
        <f>IF(A75=""," ",B75*VLOOKUP(A75,'01.01.2026 - 24.01.2026'!A:H,7,FALSE))</f>
        <v xml:space="preserve"> </v>
      </c>
      <c r="G75" s="7" t="str">
        <f>IF(A75=""," ",B75*VLOOKUP(A75,'01.01.2026 - 24.01.2026'!A:H,8,FALSE))</f>
        <v xml:space="preserve"> </v>
      </c>
    </row>
    <row r="76" spans="1:7" ht="14.15" customHeight="1" x14ac:dyDescent="0.25">
      <c r="A76" s="15"/>
      <c r="B76" s="22"/>
      <c r="C76" s="6" t="str">
        <f>IF(A76=""," ",VLOOKUP(A76,'01.01.2026 - 24.01.2026'!A:H,2,FALSE))</f>
        <v xml:space="preserve"> </v>
      </c>
      <c r="D76" s="30" t="str">
        <f>IF(A76=""," ",VLOOKUP(A76,'01.01.2026 - 24.01.2026'!A:H,5,FALSE))</f>
        <v xml:space="preserve"> </v>
      </c>
      <c r="E76" s="7" t="str">
        <f>IF(A76=""," ",B76*VLOOKUP(A76,'01.01.2026 - 24.01.2026'!A:H,6,FALSE))</f>
        <v xml:space="preserve"> </v>
      </c>
      <c r="F76" s="7" t="str">
        <f>IF(A76=""," ",B76*VLOOKUP(A76,'01.01.2026 - 24.01.2026'!A:H,7,FALSE))</f>
        <v xml:space="preserve"> </v>
      </c>
      <c r="G76" s="7" t="str">
        <f>IF(A76=""," ",B76*VLOOKUP(A76,'01.01.2026 - 24.01.2026'!A:H,8,FALSE))</f>
        <v xml:space="preserve"> </v>
      </c>
    </row>
    <row r="77" spans="1:7" ht="14.15" customHeight="1" x14ac:dyDescent="0.25">
      <c r="A77" s="15"/>
      <c r="B77" s="22"/>
      <c r="C77" s="6" t="str">
        <f>IF(A77=""," ",VLOOKUP(A77,'01.01.2026 - 24.01.2026'!A:H,2,FALSE))</f>
        <v xml:space="preserve"> </v>
      </c>
      <c r="D77" s="30" t="str">
        <f>IF(A77=""," ",VLOOKUP(A77,'01.01.2026 - 24.01.2026'!A:H,5,FALSE))</f>
        <v xml:space="preserve"> </v>
      </c>
      <c r="E77" s="7" t="str">
        <f>IF(A77=""," ",B77*VLOOKUP(A77,'01.01.2026 - 24.01.2026'!A:H,6,FALSE))</f>
        <v xml:space="preserve"> </v>
      </c>
      <c r="F77" s="7" t="str">
        <f>IF(A77=""," ",B77*VLOOKUP(A77,'01.01.2026 - 24.01.2026'!A:H,7,FALSE))</f>
        <v xml:space="preserve"> </v>
      </c>
      <c r="G77" s="7" t="str">
        <f>IF(A77=""," ",B77*VLOOKUP(A77,'01.01.2026 - 24.01.2026'!A:H,8,FALSE))</f>
        <v xml:space="preserve"> </v>
      </c>
    </row>
    <row r="78" spans="1:7" ht="14.15" customHeight="1" x14ac:dyDescent="0.25">
      <c r="A78" s="15"/>
      <c r="B78" s="22"/>
      <c r="C78" s="6" t="str">
        <f>IF(A78=""," ",VLOOKUP(A78,'01.01.2026 - 24.01.2026'!A:H,2,FALSE))</f>
        <v xml:space="preserve"> </v>
      </c>
      <c r="D78" s="30" t="str">
        <f>IF(A78=""," ",VLOOKUP(A78,'01.01.2026 - 24.01.2026'!A:H,5,FALSE))</f>
        <v xml:space="preserve"> </v>
      </c>
      <c r="E78" s="7" t="str">
        <f>IF(A78=""," ",B78*VLOOKUP(A78,'01.01.2026 - 24.01.2026'!A:H,6,FALSE))</f>
        <v xml:space="preserve"> </v>
      </c>
      <c r="F78" s="7" t="str">
        <f>IF(A78=""," ",B78*VLOOKUP(A78,'01.01.2026 - 24.01.2026'!A:H,7,FALSE))</f>
        <v xml:space="preserve"> </v>
      </c>
      <c r="G78" s="7" t="str">
        <f>IF(A78=""," ",B78*VLOOKUP(A78,'01.01.2026 - 24.01.2026'!A:H,8,FALSE))</f>
        <v xml:space="preserve"> </v>
      </c>
    </row>
    <row r="79" spans="1:7" ht="14.15" customHeight="1" x14ac:dyDescent="0.25">
      <c r="A79" s="15"/>
      <c r="B79" s="22"/>
      <c r="C79" s="6" t="str">
        <f>IF(A79=""," ",VLOOKUP(A79,'01.01.2026 - 24.01.2026'!A:H,2,FALSE))</f>
        <v xml:space="preserve"> </v>
      </c>
      <c r="D79" s="30" t="str">
        <f>IF(A79=""," ",VLOOKUP(A79,'01.01.2026 - 24.01.2026'!A:H,5,FALSE))</f>
        <v xml:space="preserve"> </v>
      </c>
      <c r="E79" s="7" t="str">
        <f>IF(A79=""," ",B79*VLOOKUP(A79,'01.01.2026 - 24.01.2026'!A:H,6,FALSE))</f>
        <v xml:space="preserve"> </v>
      </c>
      <c r="F79" s="7" t="str">
        <f>IF(A79=""," ",B79*VLOOKUP(A79,'01.01.2026 - 24.01.2026'!A:H,7,FALSE))</f>
        <v xml:space="preserve"> </v>
      </c>
      <c r="G79" s="7" t="str">
        <f>IF(A79=""," ",B79*VLOOKUP(A79,'01.01.2026 - 24.01.2026'!A:H,8,FALSE))</f>
        <v xml:space="preserve"> </v>
      </c>
    </row>
    <row r="80" spans="1:7" ht="14.15" customHeight="1" x14ac:dyDescent="0.25">
      <c r="A80" s="15"/>
      <c r="B80" s="22"/>
      <c r="C80" s="6" t="str">
        <f>IF(A80=""," ",VLOOKUP(A80,'01.01.2026 - 24.01.2026'!A:H,2,FALSE))</f>
        <v xml:space="preserve"> </v>
      </c>
      <c r="D80" s="30" t="str">
        <f>IF(A80=""," ",VLOOKUP(A80,'01.01.2026 - 24.01.2026'!A:H,5,FALSE))</f>
        <v xml:space="preserve"> </v>
      </c>
      <c r="E80" s="7" t="str">
        <f>IF(A80=""," ",B80*VLOOKUP(A80,'01.01.2026 - 24.01.2026'!A:H,6,FALSE))</f>
        <v xml:space="preserve"> </v>
      </c>
      <c r="F80" s="7" t="str">
        <f>IF(A80=""," ",B80*VLOOKUP(A80,'01.01.2026 - 24.01.2026'!A:H,7,FALSE))</f>
        <v xml:space="preserve"> </v>
      </c>
      <c r="G80" s="7" t="str">
        <f>IF(A80=""," ",B80*VLOOKUP(A80,'01.01.2026 - 24.01.2026'!A:H,8,FALSE))</f>
        <v xml:space="preserve"> </v>
      </c>
    </row>
    <row r="81" spans="1:7" ht="14.15" customHeight="1" x14ac:dyDescent="0.25">
      <c r="A81" s="15"/>
      <c r="B81" s="22"/>
      <c r="C81" s="6" t="str">
        <f>IF(A81=""," ",VLOOKUP(A81,'01.01.2026 - 24.01.2026'!A:H,2,FALSE))</f>
        <v xml:space="preserve"> </v>
      </c>
      <c r="D81" s="30" t="str">
        <f>IF(A81=""," ",VLOOKUP(A81,'01.01.2026 - 24.01.2026'!A:H,5,FALSE))</f>
        <v xml:space="preserve"> </v>
      </c>
      <c r="E81" s="7" t="str">
        <f>IF(A81=""," ",B81*VLOOKUP(A81,'01.01.2026 - 24.01.2026'!A:H,6,FALSE))</f>
        <v xml:space="preserve"> </v>
      </c>
      <c r="F81" s="7" t="str">
        <f>IF(A81=""," ",B81*VLOOKUP(A81,'01.01.2026 - 24.01.2026'!A:H,7,FALSE))</f>
        <v xml:space="preserve"> </v>
      </c>
      <c r="G81" s="7" t="str">
        <f>IF(A81=""," ",B81*VLOOKUP(A81,'01.01.2026 - 24.01.2026'!A:H,8,FALSE))</f>
        <v xml:space="preserve"> </v>
      </c>
    </row>
    <row r="82" spans="1:7" ht="14.15" customHeight="1" x14ac:dyDescent="0.25">
      <c r="A82" s="15"/>
      <c r="B82" s="22"/>
      <c r="C82" s="6" t="str">
        <f>IF(A82=""," ",VLOOKUP(A82,'01.01.2026 - 24.01.2026'!A:H,2,FALSE))</f>
        <v xml:space="preserve"> </v>
      </c>
      <c r="D82" s="30" t="str">
        <f>IF(A82=""," ",VLOOKUP(A82,'01.01.2026 - 24.01.2026'!A:H,5,FALSE))</f>
        <v xml:space="preserve"> </v>
      </c>
      <c r="E82" s="7" t="str">
        <f>IF(A82=""," ",B82*VLOOKUP(A82,'01.01.2026 - 24.01.2026'!A:H,6,FALSE))</f>
        <v xml:space="preserve"> </v>
      </c>
      <c r="F82" s="7" t="str">
        <f>IF(A82=""," ",B82*VLOOKUP(A82,'01.01.2026 - 24.01.2026'!A:H,7,FALSE))</f>
        <v xml:space="preserve"> </v>
      </c>
      <c r="G82" s="7" t="str">
        <f>IF(A82=""," ",B82*VLOOKUP(A82,'01.01.2026 - 24.01.2026'!A:H,8,FALSE))</f>
        <v xml:space="preserve"> </v>
      </c>
    </row>
    <row r="83" spans="1:7" ht="14.15" customHeight="1" x14ac:dyDescent="0.25">
      <c r="A83" s="15"/>
      <c r="B83" s="22"/>
      <c r="C83" s="6" t="str">
        <f>IF(A83=""," ",VLOOKUP(A83,'01.01.2026 - 24.01.2026'!A:H,2,FALSE))</f>
        <v xml:space="preserve"> </v>
      </c>
      <c r="D83" s="30" t="str">
        <f>IF(A83=""," ",VLOOKUP(A83,'01.01.2026 - 24.01.2026'!A:H,5,FALSE))</f>
        <v xml:space="preserve"> </v>
      </c>
      <c r="E83" s="7" t="str">
        <f>IF(A83=""," ",B83*VLOOKUP(A83,'01.01.2026 - 24.01.2026'!A:H,6,FALSE))</f>
        <v xml:space="preserve"> </v>
      </c>
      <c r="F83" s="7" t="str">
        <f>IF(A83=""," ",B83*VLOOKUP(A83,'01.01.2026 - 24.01.2026'!A:H,7,FALSE))</f>
        <v xml:space="preserve"> </v>
      </c>
      <c r="G83" s="7" t="str">
        <f>IF(A83=""," ",B83*VLOOKUP(A83,'01.01.2026 - 24.01.2026'!A:H,8,FALSE))</f>
        <v xml:space="preserve"> </v>
      </c>
    </row>
    <row r="84" spans="1:7" ht="14.15" customHeight="1" x14ac:dyDescent="0.25">
      <c r="A84" s="15"/>
      <c r="B84" s="22"/>
      <c r="C84" s="6" t="str">
        <f>IF(A84=""," ",VLOOKUP(A84,'01.01.2026 - 24.01.2026'!A:H,2,FALSE))</f>
        <v xml:space="preserve"> </v>
      </c>
      <c r="D84" s="30" t="str">
        <f>IF(A84=""," ",VLOOKUP(A84,'01.01.2026 - 24.01.2026'!A:H,5,FALSE))</f>
        <v xml:space="preserve"> </v>
      </c>
      <c r="E84" s="7" t="str">
        <f>IF(A84=""," ",B84*VLOOKUP(A84,'01.01.2026 - 24.01.2026'!A:H,6,FALSE))</f>
        <v xml:space="preserve"> </v>
      </c>
      <c r="F84" s="7" t="str">
        <f>IF(A84=""," ",B84*VLOOKUP(A84,'01.01.2026 - 24.01.2026'!A:H,7,FALSE))</f>
        <v xml:space="preserve"> </v>
      </c>
      <c r="G84" s="7" t="str">
        <f>IF(A84=""," ",B84*VLOOKUP(A84,'01.01.2026 - 24.01.2026'!A:H,8,FALSE))</f>
        <v xml:space="preserve"> </v>
      </c>
    </row>
    <row r="85" spans="1:7" ht="14.15" customHeight="1" x14ac:dyDescent="0.25">
      <c r="A85" s="15"/>
      <c r="B85" s="22"/>
      <c r="C85" s="6" t="str">
        <f>IF(A85=""," ",VLOOKUP(A85,'01.01.2026 - 24.01.2026'!A:H,2,FALSE))</f>
        <v xml:space="preserve"> </v>
      </c>
      <c r="D85" s="30" t="str">
        <f>IF(A85=""," ",VLOOKUP(A85,'01.01.2026 - 24.01.2026'!A:H,5,FALSE))</f>
        <v xml:space="preserve"> </v>
      </c>
      <c r="E85" s="7" t="str">
        <f>IF(A85=""," ",B85*VLOOKUP(A85,'01.01.2026 - 24.01.2026'!A:H,6,FALSE))</f>
        <v xml:space="preserve"> </v>
      </c>
      <c r="F85" s="7" t="str">
        <f>IF(A85=""," ",B85*VLOOKUP(A85,'01.01.2026 - 24.01.2026'!A:H,7,FALSE))</f>
        <v xml:space="preserve"> </v>
      </c>
      <c r="G85" s="7" t="str">
        <f>IF(A85=""," ",B85*VLOOKUP(A85,'01.01.2026 - 24.01.2026'!A:H,8,FALSE))</f>
        <v xml:space="preserve"> </v>
      </c>
    </row>
    <row r="86" spans="1:7" ht="14.15" customHeight="1" x14ac:dyDescent="0.25">
      <c r="A86" s="15"/>
      <c r="B86" s="22"/>
      <c r="C86" s="6" t="str">
        <f>IF(A86=""," ",VLOOKUP(A86,'01.01.2026 - 24.01.2026'!A:H,2,FALSE))</f>
        <v xml:space="preserve"> </v>
      </c>
      <c r="D86" s="30" t="str">
        <f>IF(A86=""," ",VLOOKUP(A86,'01.01.2026 - 24.01.2026'!A:H,5,FALSE))</f>
        <v xml:space="preserve"> </v>
      </c>
      <c r="E86" s="7" t="str">
        <f>IF(A86=""," ",B86*VLOOKUP(A86,'01.01.2026 - 24.01.2026'!A:H,6,FALSE))</f>
        <v xml:space="preserve"> </v>
      </c>
      <c r="F86" s="7" t="str">
        <f>IF(A86=""," ",B86*VLOOKUP(A86,'01.01.2026 - 24.01.2026'!A:H,7,FALSE))</f>
        <v xml:space="preserve"> </v>
      </c>
      <c r="G86" s="7" t="str">
        <f>IF(A86=""," ",B86*VLOOKUP(A86,'01.01.2026 - 24.01.2026'!A:H,8,FALSE))</f>
        <v xml:space="preserve"> </v>
      </c>
    </row>
    <row r="87" spans="1:7" ht="14.15" customHeight="1" x14ac:dyDescent="0.25">
      <c r="A87" s="15"/>
      <c r="B87" s="22"/>
      <c r="C87" s="6" t="str">
        <f>IF(A87=""," ",VLOOKUP(A87,'01.01.2026 - 24.01.2026'!A:H,2,FALSE))</f>
        <v xml:space="preserve"> </v>
      </c>
      <c r="D87" s="30" t="str">
        <f>IF(A87=""," ",VLOOKUP(A87,'01.01.2026 - 24.01.2026'!A:H,5,FALSE))</f>
        <v xml:space="preserve"> </v>
      </c>
      <c r="E87" s="7" t="str">
        <f>IF(A87=""," ",B87*VLOOKUP(A87,'01.01.2026 - 24.01.2026'!A:H,6,FALSE))</f>
        <v xml:space="preserve"> </v>
      </c>
      <c r="F87" s="7" t="str">
        <f>IF(A87=""," ",B87*VLOOKUP(A87,'01.01.2026 - 24.01.2026'!A:H,7,FALSE))</f>
        <v xml:space="preserve"> </v>
      </c>
      <c r="G87" s="7" t="str">
        <f>IF(A87=""," ",B87*VLOOKUP(A87,'01.01.2026 - 24.01.2026'!A:H,8,FALSE))</f>
        <v xml:space="preserve"> </v>
      </c>
    </row>
    <row r="88" spans="1:7" ht="14.15" customHeight="1" x14ac:dyDescent="0.25">
      <c r="A88" s="15"/>
      <c r="B88" s="22"/>
      <c r="C88" s="6" t="str">
        <f>IF(A88=""," ",VLOOKUP(A88,'01.01.2026 - 24.01.2026'!A:H,2,FALSE))</f>
        <v xml:space="preserve"> </v>
      </c>
      <c r="D88" s="30" t="str">
        <f>IF(A88=""," ",VLOOKUP(A88,'01.01.2026 - 24.01.2026'!A:H,5,FALSE))</f>
        <v xml:space="preserve"> </v>
      </c>
      <c r="E88" s="7" t="str">
        <f>IF(A88=""," ",B88*VLOOKUP(A88,'01.01.2026 - 24.01.2026'!A:H,6,FALSE))</f>
        <v xml:space="preserve"> </v>
      </c>
      <c r="F88" s="7" t="str">
        <f>IF(A88=""," ",B88*VLOOKUP(A88,'01.01.2026 - 24.01.2026'!A:H,7,FALSE))</f>
        <v xml:space="preserve"> </v>
      </c>
      <c r="G88" s="7" t="str">
        <f>IF(A88=""," ",B88*VLOOKUP(A88,'01.01.2026 - 24.01.2026'!A:H,8,FALSE))</f>
        <v xml:space="preserve"> </v>
      </c>
    </row>
    <row r="89" spans="1:7" ht="14.15" customHeight="1" x14ac:dyDescent="0.25">
      <c r="A89" s="15"/>
      <c r="B89" s="22"/>
      <c r="C89" s="6" t="str">
        <f>IF(A89=""," ",VLOOKUP(A89,'01.01.2026 - 24.01.2026'!A:H,2,FALSE))</f>
        <v xml:space="preserve"> </v>
      </c>
      <c r="D89" s="30" t="str">
        <f>IF(A89=""," ",VLOOKUP(A89,'01.01.2026 - 24.01.2026'!A:H,5,FALSE))</f>
        <v xml:space="preserve"> </v>
      </c>
      <c r="E89" s="7" t="str">
        <f>IF(A89=""," ",B89*VLOOKUP(A89,'01.01.2026 - 24.01.2026'!A:H,6,FALSE))</f>
        <v xml:space="preserve"> </v>
      </c>
      <c r="F89" s="7" t="str">
        <f>IF(A89=""," ",B89*VLOOKUP(A89,'01.01.2026 - 24.01.2026'!A:H,7,FALSE))</f>
        <v xml:space="preserve"> </v>
      </c>
      <c r="G89" s="7" t="str">
        <f>IF(A89=""," ",B89*VLOOKUP(A89,'01.01.2026 - 24.01.2026'!A:H,8,FALSE))</f>
        <v xml:space="preserve"> </v>
      </c>
    </row>
    <row r="90" spans="1:7" ht="14.15" customHeight="1" x14ac:dyDescent="0.25">
      <c r="A90" s="15"/>
      <c r="B90" s="22"/>
      <c r="C90" s="6" t="str">
        <f>IF(A90=""," ",VLOOKUP(A90,'01.01.2026 - 24.01.2026'!A:H,2,FALSE))</f>
        <v xml:space="preserve"> </v>
      </c>
      <c r="D90" s="30" t="str">
        <f>IF(A90=""," ",VLOOKUP(A90,'01.01.2026 - 24.01.2026'!A:H,5,FALSE))</f>
        <v xml:space="preserve"> </v>
      </c>
      <c r="E90" s="7" t="str">
        <f>IF(A90=""," ",B90*VLOOKUP(A90,'01.01.2026 - 24.01.2026'!A:H,6,FALSE))</f>
        <v xml:space="preserve"> </v>
      </c>
      <c r="F90" s="7" t="str">
        <f>IF(A90=""," ",B90*VLOOKUP(A90,'01.01.2026 - 24.01.2026'!A:H,7,FALSE))</f>
        <v xml:space="preserve"> </v>
      </c>
      <c r="G90" s="7" t="str">
        <f>IF(A90=""," ",B90*VLOOKUP(A90,'01.01.2026 - 24.01.2026'!A:H,8,FALSE))</f>
        <v xml:space="preserve"> </v>
      </c>
    </row>
    <row r="91" spans="1:7" ht="14.15" customHeight="1" x14ac:dyDescent="0.25">
      <c r="A91" s="15"/>
      <c r="B91" s="22"/>
      <c r="C91" s="6" t="str">
        <f>IF(A91=""," ",VLOOKUP(A91,'01.01.2026 - 24.01.2026'!A:H,2,FALSE))</f>
        <v xml:space="preserve"> </v>
      </c>
      <c r="D91" s="30" t="str">
        <f>IF(A91=""," ",VLOOKUP(A91,'01.01.2026 - 24.01.2026'!A:H,5,FALSE))</f>
        <v xml:space="preserve"> </v>
      </c>
      <c r="E91" s="7" t="str">
        <f>IF(A91=""," ",B91*VLOOKUP(A91,'01.01.2026 - 24.01.2026'!A:H,6,FALSE))</f>
        <v xml:space="preserve"> </v>
      </c>
      <c r="F91" s="7" t="str">
        <f>IF(A91=""," ",B91*VLOOKUP(A91,'01.01.2026 - 24.01.2026'!A:H,7,FALSE))</f>
        <v xml:space="preserve"> </v>
      </c>
      <c r="G91" s="7" t="str">
        <f>IF(A91=""," ",B91*VLOOKUP(A91,'01.01.2026 - 24.01.2026'!A:H,8,FALSE))</f>
        <v xml:space="preserve"> </v>
      </c>
    </row>
    <row r="92" spans="1:7" ht="14.15" customHeight="1" x14ac:dyDescent="0.25">
      <c r="A92" s="15"/>
      <c r="B92" s="22"/>
      <c r="C92" s="6" t="str">
        <f>IF(A92=""," ",VLOOKUP(A92,'01.01.2026 - 24.01.2026'!A:H,2,FALSE))</f>
        <v xml:space="preserve"> </v>
      </c>
      <c r="D92" s="30" t="str">
        <f>IF(A92=""," ",VLOOKUP(A92,'01.01.2026 - 24.01.2026'!A:H,5,FALSE))</f>
        <v xml:space="preserve"> </v>
      </c>
      <c r="E92" s="7" t="str">
        <f>IF(A92=""," ",B92*VLOOKUP(A92,'01.01.2026 - 24.01.2026'!A:H,6,FALSE))</f>
        <v xml:space="preserve"> </v>
      </c>
      <c r="F92" s="7" t="str">
        <f>IF(A92=""," ",B92*VLOOKUP(A92,'01.01.2026 - 24.01.2026'!A:H,7,FALSE))</f>
        <v xml:space="preserve"> </v>
      </c>
      <c r="G92" s="7" t="str">
        <f>IF(A92=""," ",B92*VLOOKUP(A92,'01.01.2026 - 24.01.2026'!A:H,8,FALSE))</f>
        <v xml:space="preserve"> </v>
      </c>
    </row>
    <row r="93" spans="1:7" ht="14.15" customHeight="1" x14ac:dyDescent="0.25">
      <c r="A93" s="15"/>
      <c r="B93" s="22"/>
      <c r="C93" s="6" t="str">
        <f>IF(A93=""," ",VLOOKUP(A93,'01.01.2026 - 24.01.2026'!A:H,2,FALSE))</f>
        <v xml:space="preserve"> </v>
      </c>
      <c r="D93" s="30" t="str">
        <f>IF(A93=""," ",VLOOKUP(A93,'01.01.2026 - 24.01.2026'!A:H,5,FALSE))</f>
        <v xml:space="preserve"> </v>
      </c>
      <c r="E93" s="7" t="str">
        <f>IF(A93=""," ",B93*VLOOKUP(A93,'01.01.2026 - 24.01.2026'!A:H,6,FALSE))</f>
        <v xml:space="preserve"> </v>
      </c>
      <c r="F93" s="7" t="str">
        <f>IF(A93=""," ",B93*VLOOKUP(A93,'01.01.2026 - 24.01.2026'!A:H,7,FALSE))</f>
        <v xml:space="preserve"> </v>
      </c>
      <c r="G93" s="7" t="str">
        <f>IF(A93=""," ",B93*VLOOKUP(A93,'01.01.2026 - 24.01.2026'!A:H,8,FALSE))</f>
        <v xml:space="preserve"> </v>
      </c>
    </row>
    <row r="94" spans="1:7" ht="14.15" customHeight="1" x14ac:dyDescent="0.25">
      <c r="A94" s="15"/>
      <c r="B94" s="22"/>
      <c r="C94" s="6" t="str">
        <f>IF(A94=""," ",VLOOKUP(A94,'01.01.2026 - 24.01.2026'!A:H,2,FALSE))</f>
        <v xml:space="preserve"> </v>
      </c>
      <c r="D94" s="30" t="str">
        <f>IF(A94=""," ",VLOOKUP(A94,'01.01.2026 - 24.01.2026'!A:H,5,FALSE))</f>
        <v xml:space="preserve"> </v>
      </c>
      <c r="E94" s="7" t="str">
        <f>IF(A94=""," ",B94*VLOOKUP(A94,'01.01.2026 - 24.01.2026'!A:H,6,FALSE))</f>
        <v xml:space="preserve"> </v>
      </c>
      <c r="F94" s="7" t="str">
        <f>IF(A94=""," ",B94*VLOOKUP(A94,'01.01.2026 - 24.01.2026'!A:H,7,FALSE))</f>
        <v xml:space="preserve"> </v>
      </c>
      <c r="G94" s="7" t="str">
        <f>IF(A94=""," ",B94*VLOOKUP(A94,'01.01.2026 - 24.01.2026'!A:H,8,FALSE))</f>
        <v xml:space="preserve"> </v>
      </c>
    </row>
    <row r="95" spans="1:7" ht="14.15" customHeight="1" x14ac:dyDescent="0.25">
      <c r="A95" s="15"/>
      <c r="B95" s="22"/>
      <c r="C95" s="6" t="str">
        <f>IF(A95=""," ",VLOOKUP(A95,'01.01.2026 - 24.01.2026'!A:H,2,FALSE))</f>
        <v xml:space="preserve"> </v>
      </c>
      <c r="D95" s="30" t="str">
        <f>IF(A95=""," ",VLOOKUP(A95,'01.01.2026 - 24.01.2026'!A:H,5,FALSE))</f>
        <v xml:space="preserve"> </v>
      </c>
      <c r="E95" s="7" t="str">
        <f>IF(A95=""," ",B95*VLOOKUP(A95,'01.01.2026 - 24.01.2026'!A:H,6,FALSE))</f>
        <v xml:space="preserve"> </v>
      </c>
      <c r="F95" s="7" t="str">
        <f>IF(A95=""," ",B95*VLOOKUP(A95,'01.01.2026 - 24.01.2026'!A:H,7,FALSE))</f>
        <v xml:space="preserve"> </v>
      </c>
      <c r="G95" s="7" t="str">
        <f>IF(A95=""," ",B95*VLOOKUP(A95,'01.01.2026 - 24.01.2026'!A:H,8,FALSE))</f>
        <v xml:space="preserve"> </v>
      </c>
    </row>
    <row r="96" spans="1:7" ht="14.15" customHeight="1" x14ac:dyDescent="0.25">
      <c r="A96" s="15"/>
      <c r="B96" s="22"/>
      <c r="C96" s="6" t="str">
        <f>IF(A96=""," ",VLOOKUP(A96,'01.01.2026 - 24.01.2026'!A:H,2,FALSE))</f>
        <v xml:space="preserve"> </v>
      </c>
      <c r="D96" s="30" t="str">
        <f>IF(A96=""," ",VLOOKUP(A96,'01.01.2026 - 24.01.2026'!A:H,5,FALSE))</f>
        <v xml:space="preserve"> </v>
      </c>
      <c r="E96" s="7" t="str">
        <f>IF(A96=""," ",B96*VLOOKUP(A96,'01.01.2026 - 24.01.2026'!A:H,6,FALSE))</f>
        <v xml:space="preserve"> </v>
      </c>
      <c r="F96" s="7" t="str">
        <f>IF(A96=""," ",B96*VLOOKUP(A96,'01.01.2026 - 24.01.2026'!A:H,7,FALSE))</f>
        <v xml:space="preserve"> </v>
      </c>
      <c r="G96" s="7" t="str">
        <f>IF(A96=""," ",B96*VLOOKUP(A96,'01.01.2026 - 24.01.2026'!A:H,8,FALSE))</f>
        <v xml:space="preserve"> </v>
      </c>
    </row>
    <row r="97" spans="1:7" ht="14.15" customHeight="1" x14ac:dyDescent="0.25">
      <c r="A97" s="15"/>
      <c r="B97" s="22"/>
      <c r="C97" s="6" t="str">
        <f>IF(A97=""," ",VLOOKUP(A97,'01.01.2026 - 24.01.2026'!A:H,2,FALSE))</f>
        <v xml:space="preserve"> </v>
      </c>
      <c r="D97" s="30" t="str">
        <f>IF(A97=""," ",VLOOKUP(A97,'01.01.2026 - 24.01.2026'!A:H,5,FALSE))</f>
        <v xml:space="preserve"> </v>
      </c>
      <c r="E97" s="7" t="str">
        <f>IF(A97=""," ",B97*VLOOKUP(A97,'01.01.2026 - 24.01.2026'!A:H,6,FALSE))</f>
        <v xml:space="preserve"> </v>
      </c>
      <c r="F97" s="7" t="str">
        <f>IF(A97=""," ",B97*VLOOKUP(A97,'01.01.2026 - 24.01.2026'!A:H,7,FALSE))</f>
        <v xml:space="preserve"> </v>
      </c>
      <c r="G97" s="7" t="str">
        <f>IF(A97=""," ",B97*VLOOKUP(A97,'01.01.2026 - 24.01.2026'!A:H,8,FALSE))</f>
        <v xml:space="preserve"> </v>
      </c>
    </row>
    <row r="98" spans="1:7" ht="14.15" customHeight="1" x14ac:dyDescent="0.25">
      <c r="A98" s="15"/>
      <c r="B98" s="22"/>
      <c r="C98" s="6" t="str">
        <f>IF(A98=""," ",VLOOKUP(A98,'01.01.2026 - 24.01.2026'!A:H,2,FALSE))</f>
        <v xml:space="preserve"> </v>
      </c>
      <c r="D98" s="30" t="str">
        <f>IF(A98=""," ",VLOOKUP(A98,'01.01.2026 - 24.01.2026'!A:H,5,FALSE))</f>
        <v xml:space="preserve"> </v>
      </c>
      <c r="E98" s="7" t="str">
        <f>IF(A98=""," ",B98*VLOOKUP(A98,'01.01.2026 - 24.01.2026'!A:H,6,FALSE))</f>
        <v xml:space="preserve"> </v>
      </c>
      <c r="F98" s="7" t="str">
        <f>IF(A98=""," ",B98*VLOOKUP(A98,'01.01.2026 - 24.01.2026'!A:H,7,FALSE))</f>
        <v xml:space="preserve"> </v>
      </c>
      <c r="G98" s="7" t="str">
        <f>IF(A98=""," ",B98*VLOOKUP(A98,'01.01.2026 - 24.01.2026'!A:H,8,FALSE))</f>
        <v xml:space="preserve"> </v>
      </c>
    </row>
    <row r="99" spans="1:7" ht="14.15" customHeight="1" x14ac:dyDescent="0.25">
      <c r="A99" s="15"/>
      <c r="B99" s="22"/>
      <c r="C99" s="6" t="str">
        <f>IF(A99=""," ",VLOOKUP(A99,'01.01.2026 - 24.01.2026'!A:H,2,FALSE))</f>
        <v xml:space="preserve"> </v>
      </c>
      <c r="D99" s="30" t="str">
        <f>IF(A99=""," ",VLOOKUP(A99,'01.01.2026 - 24.01.2026'!A:H,5,FALSE))</f>
        <v xml:space="preserve"> </v>
      </c>
      <c r="E99" s="7" t="str">
        <f>IF(A99=""," ",B99*VLOOKUP(A99,'01.01.2026 - 24.01.2026'!A:H,6,FALSE))</f>
        <v xml:space="preserve"> </v>
      </c>
      <c r="F99" s="7" t="str">
        <f>IF(A99=""," ",B99*VLOOKUP(A99,'01.01.2026 - 24.01.2026'!A:H,7,FALSE))</f>
        <v xml:space="preserve"> </v>
      </c>
      <c r="G99" s="7" t="str">
        <f>IF(A99=""," ",B99*VLOOKUP(A99,'01.01.2026 - 24.01.2026'!A:H,8,FALSE))</f>
        <v xml:space="preserve"> </v>
      </c>
    </row>
    <row r="100" spans="1:7" ht="14.15" customHeight="1" x14ac:dyDescent="0.25">
      <c r="A100" s="15"/>
      <c r="B100" s="22"/>
      <c r="C100" s="6" t="str">
        <f>IF(A100=""," ",VLOOKUP(A100,'01.01.2026 - 24.01.2026'!A:H,2,FALSE))</f>
        <v xml:space="preserve"> </v>
      </c>
      <c r="D100" s="30" t="str">
        <f>IF(A100=""," ",VLOOKUP(A100,'01.01.2026 - 24.01.2026'!A:H,5,FALSE))</f>
        <v xml:space="preserve"> </v>
      </c>
      <c r="E100" s="7" t="str">
        <f>IF(A100=""," ",B100*VLOOKUP(A100,'01.01.2026 - 24.01.2026'!A:H,6,FALSE))</f>
        <v xml:space="preserve"> </v>
      </c>
      <c r="F100" s="7" t="str">
        <f>IF(A100=""," ",B100*VLOOKUP(A100,'01.01.2026 - 24.01.2026'!A:H,7,FALSE))</f>
        <v xml:space="preserve"> </v>
      </c>
      <c r="G100" s="7" t="str">
        <f>IF(A100=""," ",B100*VLOOKUP(A100,'01.01.2026 - 24.01.2026'!A:H,8,FALSE))</f>
        <v xml:space="preserve"> </v>
      </c>
    </row>
    <row r="101" spans="1:7" ht="14.15" customHeight="1" x14ac:dyDescent="0.25">
      <c r="A101" s="15"/>
      <c r="B101" s="22"/>
      <c r="C101" s="6" t="str">
        <f>IF(A101=""," ",VLOOKUP(A101,'01.01.2026 - 24.01.2026'!A:H,2,FALSE))</f>
        <v xml:space="preserve"> </v>
      </c>
      <c r="D101" s="30" t="str">
        <f>IF(A101=""," ",VLOOKUP(A101,'01.01.2026 - 24.01.2026'!A:H,5,FALSE))</f>
        <v xml:space="preserve"> </v>
      </c>
      <c r="E101" s="7" t="str">
        <f>IF(A101=""," ",B101*VLOOKUP(A101,'01.01.2026 - 24.01.2026'!A:H,6,FALSE))</f>
        <v xml:space="preserve"> </v>
      </c>
      <c r="F101" s="7" t="str">
        <f>IF(A101=""," ",B101*VLOOKUP(A101,'01.01.2026 - 24.01.2026'!A:H,7,FALSE))</f>
        <v xml:space="preserve"> </v>
      </c>
      <c r="G101" s="7" t="str">
        <f>IF(A101=""," ",B101*VLOOKUP(A101,'01.01.2026 - 24.01.2026'!A:H,8,FALSE))</f>
        <v xml:space="preserve"> </v>
      </c>
    </row>
    <row r="102" spans="1:7" ht="14.15" customHeight="1" x14ac:dyDescent="0.25">
      <c r="A102" s="15"/>
      <c r="B102" s="22"/>
      <c r="C102" s="6" t="str">
        <f>IF(A102=""," ",VLOOKUP(A102,'01.01.2026 - 24.01.2026'!A:H,2,FALSE))</f>
        <v xml:space="preserve"> </v>
      </c>
      <c r="D102" s="30" t="str">
        <f>IF(A102=""," ",VLOOKUP(A102,'01.01.2026 - 24.01.2026'!A:H,5,FALSE))</f>
        <v xml:space="preserve"> </v>
      </c>
      <c r="E102" s="7" t="str">
        <f>IF(A102=""," ",B102*VLOOKUP(A102,'01.01.2026 - 24.01.2026'!A:H,6,FALSE))</f>
        <v xml:space="preserve"> </v>
      </c>
      <c r="F102" s="7" t="str">
        <f>IF(A102=""," ",B102*VLOOKUP(A102,'01.01.2026 - 24.01.2026'!A:H,7,FALSE))</f>
        <v xml:space="preserve"> </v>
      </c>
      <c r="G102" s="7" t="str">
        <f>IF(A102=""," ",B102*VLOOKUP(A102,'01.01.2026 - 24.01.2026'!A:H,8,FALSE))</f>
        <v xml:space="preserve"> </v>
      </c>
    </row>
    <row r="103" spans="1:7" ht="14.15" customHeight="1" x14ac:dyDescent="0.25">
      <c r="A103" s="15"/>
      <c r="B103" s="22"/>
      <c r="C103" s="6" t="str">
        <f>IF(A103=""," ",VLOOKUP(A103,'01.01.2026 - 24.01.2026'!A:H,2,FALSE))</f>
        <v xml:space="preserve"> </v>
      </c>
      <c r="D103" s="30" t="str">
        <f>IF(A103=""," ",VLOOKUP(A103,'01.01.2026 - 24.01.2026'!A:H,5,FALSE))</f>
        <v xml:space="preserve"> </v>
      </c>
      <c r="E103" s="7" t="str">
        <f>IF(A103=""," ",B103*VLOOKUP(A103,'01.01.2026 - 24.01.2026'!A:H,6,FALSE))</f>
        <v xml:space="preserve"> </v>
      </c>
      <c r="F103" s="7" t="str">
        <f>IF(A103=""," ",B103*VLOOKUP(A103,'01.01.2026 - 24.01.2026'!A:H,7,FALSE))</f>
        <v xml:space="preserve"> </v>
      </c>
      <c r="G103" s="7" t="str">
        <f>IF(A103=""," ",B103*VLOOKUP(A103,'01.01.2026 - 24.01.2026'!A:H,8,FALSE))</f>
        <v xml:space="preserve"> </v>
      </c>
    </row>
    <row r="104" spans="1:7" ht="14.15" customHeight="1" x14ac:dyDescent="0.25">
      <c r="A104" s="15"/>
      <c r="B104" s="22"/>
      <c r="C104" s="6" t="str">
        <f>IF(A104=""," ",VLOOKUP(A104,'01.01.2026 - 24.01.2026'!A:H,2,FALSE))</f>
        <v xml:space="preserve"> </v>
      </c>
      <c r="D104" s="30" t="str">
        <f>IF(A104=""," ",VLOOKUP(A104,'01.01.2026 - 24.01.2026'!A:H,5,FALSE))</f>
        <v xml:space="preserve"> </v>
      </c>
      <c r="E104" s="7" t="str">
        <f>IF(A104=""," ",B104*VLOOKUP(A104,'01.01.2026 - 24.01.2026'!A:H,6,FALSE))</f>
        <v xml:space="preserve"> </v>
      </c>
      <c r="F104" s="7" t="str">
        <f>IF(A104=""," ",B104*VLOOKUP(A104,'01.01.2026 - 24.01.2026'!A:H,7,FALSE))</f>
        <v xml:space="preserve"> </v>
      </c>
      <c r="G104" s="7" t="str">
        <f>IF(A104=""," ",B104*VLOOKUP(A104,'01.01.2026 - 24.01.2026'!A:H,8,FALSE))</f>
        <v xml:space="preserve"> </v>
      </c>
    </row>
    <row r="105" spans="1:7" ht="14.15" customHeight="1" x14ac:dyDescent="0.25">
      <c r="A105" s="15"/>
      <c r="B105" s="22"/>
      <c r="C105" s="6" t="str">
        <f>IF(A105=""," ",VLOOKUP(A105,'01.01.2026 - 24.01.2026'!A:H,2,FALSE))</f>
        <v xml:space="preserve"> </v>
      </c>
      <c r="D105" s="30" t="str">
        <f>IF(A105=""," ",VLOOKUP(A105,'01.01.2026 - 24.01.2026'!A:H,5,FALSE))</f>
        <v xml:space="preserve"> </v>
      </c>
      <c r="E105" s="7" t="str">
        <f>IF(A105=""," ",B105*VLOOKUP(A105,'01.01.2026 - 24.01.2026'!A:H,6,FALSE))</f>
        <v xml:space="preserve"> </v>
      </c>
      <c r="F105" s="7" t="str">
        <f>IF(A105=""," ",B105*VLOOKUP(A105,'01.01.2026 - 24.01.2026'!A:H,7,FALSE))</f>
        <v xml:space="preserve"> </v>
      </c>
      <c r="G105" s="7" t="str">
        <f>IF(A105=""," ",B105*VLOOKUP(A105,'01.01.2026 - 24.01.2026'!A:H,8,FALSE))</f>
        <v xml:space="preserve"> </v>
      </c>
    </row>
    <row r="106" spans="1:7" ht="14.15" customHeight="1" x14ac:dyDescent="0.25">
      <c r="A106" s="15"/>
      <c r="B106" s="22"/>
      <c r="C106" s="6" t="str">
        <f>IF(A106=""," ",VLOOKUP(A106,'01.01.2026 - 24.01.2026'!A:H,2,FALSE))</f>
        <v xml:space="preserve"> </v>
      </c>
      <c r="D106" s="30" t="str">
        <f>IF(A106=""," ",VLOOKUP(A106,'01.01.2026 - 24.01.2026'!A:H,5,FALSE))</f>
        <v xml:space="preserve"> </v>
      </c>
      <c r="E106" s="7" t="str">
        <f>IF(A106=""," ",B106*VLOOKUP(A106,'01.01.2026 - 24.01.2026'!A:H,6,FALSE))</f>
        <v xml:space="preserve"> </v>
      </c>
      <c r="F106" s="7" t="str">
        <f>IF(A106=""," ",B106*VLOOKUP(A106,'01.01.2026 - 24.01.2026'!A:H,7,FALSE))</f>
        <v xml:space="preserve"> </v>
      </c>
      <c r="G106" s="7" t="str">
        <f>IF(A106=""," ",B106*VLOOKUP(A106,'01.01.2026 - 24.01.2026'!A:H,8,FALSE))</f>
        <v xml:space="preserve"> </v>
      </c>
    </row>
    <row r="107" spans="1:7" ht="14.15" customHeight="1" x14ac:dyDescent="0.25">
      <c r="A107" s="15"/>
      <c r="B107" s="22"/>
      <c r="C107" s="6" t="str">
        <f>IF(A107=""," ",VLOOKUP(A107,'01.01.2026 - 24.01.2026'!A:H,2,FALSE))</f>
        <v xml:space="preserve"> </v>
      </c>
      <c r="D107" s="30" t="str">
        <f>IF(A107=""," ",VLOOKUP(A107,'01.01.2026 - 24.01.2026'!A:H,5,FALSE))</f>
        <v xml:space="preserve"> </v>
      </c>
      <c r="E107" s="7" t="str">
        <f>IF(A107=""," ",B107*VLOOKUP(A107,'01.01.2026 - 24.01.2026'!A:H,6,FALSE))</f>
        <v xml:space="preserve"> </v>
      </c>
      <c r="F107" s="7" t="str">
        <f>IF(A107=""," ",B107*VLOOKUP(A107,'01.01.2026 - 24.01.2026'!A:H,7,FALSE))</f>
        <v xml:space="preserve"> </v>
      </c>
      <c r="G107" s="7" t="str">
        <f>IF(A107=""," ",B107*VLOOKUP(A107,'01.01.2026 - 24.01.2026'!A:H,8,FALSE))</f>
        <v xml:space="preserve"> </v>
      </c>
    </row>
    <row r="108" spans="1:7" ht="14.15" customHeight="1" x14ac:dyDescent="0.25">
      <c r="A108" s="15"/>
      <c r="B108" s="22"/>
      <c r="C108" s="6" t="str">
        <f>IF(A108=""," ",VLOOKUP(A108,'01.01.2026 - 24.01.2026'!A:H,2,FALSE))</f>
        <v xml:space="preserve"> </v>
      </c>
      <c r="D108" s="30" t="str">
        <f>IF(A108=""," ",VLOOKUP(A108,'01.01.2026 - 24.01.2026'!A:H,5,FALSE))</f>
        <v xml:space="preserve"> </v>
      </c>
      <c r="E108" s="7" t="str">
        <f>IF(A108=""," ",B108*VLOOKUP(A108,'01.01.2026 - 24.01.2026'!A:H,6,FALSE))</f>
        <v xml:space="preserve"> </v>
      </c>
      <c r="F108" s="7" t="str">
        <f>IF(A108=""," ",B108*VLOOKUP(A108,'01.01.2026 - 24.01.2026'!A:H,7,FALSE))</f>
        <v xml:space="preserve"> </v>
      </c>
      <c r="G108" s="7" t="str">
        <f>IF(A108=""," ",B108*VLOOKUP(A108,'01.01.2026 - 24.01.2026'!A:H,8,FALSE))</f>
        <v xml:space="preserve"> </v>
      </c>
    </row>
    <row r="109" spans="1:7" ht="14.15" customHeight="1" x14ac:dyDescent="0.25">
      <c r="A109" s="15"/>
      <c r="B109" s="22"/>
      <c r="C109" s="6" t="str">
        <f>IF(A109=""," ",VLOOKUP(A109,'01.01.2026 - 24.01.2026'!A:H,2,FALSE))</f>
        <v xml:space="preserve"> </v>
      </c>
      <c r="D109" s="30" t="str">
        <f>IF(A109=""," ",VLOOKUP(A109,'01.01.2026 - 24.01.2026'!A:H,5,FALSE))</f>
        <v xml:space="preserve"> </v>
      </c>
      <c r="E109" s="7" t="str">
        <f>IF(A109=""," ",B109*VLOOKUP(A109,'01.01.2026 - 24.01.2026'!A:H,6,FALSE))</f>
        <v xml:space="preserve"> </v>
      </c>
      <c r="F109" s="7" t="str">
        <f>IF(A109=""," ",B109*VLOOKUP(A109,'01.01.2026 - 24.01.2026'!A:H,7,FALSE))</f>
        <v xml:space="preserve"> </v>
      </c>
      <c r="G109" s="7" t="str">
        <f>IF(A109=""," ",B109*VLOOKUP(A109,'01.01.2026 - 24.01.2026'!A:H,8,FALSE))</f>
        <v xml:space="preserve"> </v>
      </c>
    </row>
    <row r="110" spans="1:7" ht="14.15" customHeight="1" x14ac:dyDescent="0.25">
      <c r="A110" s="15"/>
      <c r="B110" s="22"/>
      <c r="C110" s="6" t="str">
        <f>IF(A110=""," ",VLOOKUP(A110,'01.01.2026 - 24.01.2026'!A:H,2,FALSE))</f>
        <v xml:space="preserve"> </v>
      </c>
      <c r="D110" s="30" t="str">
        <f>IF(A110=""," ",VLOOKUP(A110,'01.01.2026 - 24.01.2026'!A:H,5,FALSE))</f>
        <v xml:space="preserve"> </v>
      </c>
      <c r="E110" s="7" t="str">
        <f>IF(A110=""," ",B110*VLOOKUP(A110,'01.01.2026 - 24.01.2026'!A:H,6,FALSE))</f>
        <v xml:space="preserve"> </v>
      </c>
      <c r="F110" s="7" t="str">
        <f>IF(A110=""," ",B110*VLOOKUP(A110,'01.01.2026 - 24.01.2026'!A:H,7,FALSE))</f>
        <v xml:space="preserve"> </v>
      </c>
      <c r="G110" s="7" t="str">
        <f>IF(A110=""," ",B110*VLOOKUP(A110,'01.01.2026 - 24.01.2026'!A:H,8,FALSE))</f>
        <v xml:space="preserve"> </v>
      </c>
    </row>
    <row r="111" spans="1:7" ht="14.15" customHeight="1" x14ac:dyDescent="0.25">
      <c r="A111" s="15"/>
      <c r="B111" s="22"/>
      <c r="C111" s="6" t="str">
        <f>IF(A111=""," ",VLOOKUP(A111,'01.01.2026 - 24.01.2026'!A:H,2,FALSE))</f>
        <v xml:space="preserve"> </v>
      </c>
      <c r="D111" s="30" t="str">
        <f>IF(A111=""," ",VLOOKUP(A111,'01.01.2026 - 24.01.2026'!A:H,5,FALSE))</f>
        <v xml:space="preserve"> </v>
      </c>
      <c r="E111" s="7" t="str">
        <f>IF(A111=""," ",B111*VLOOKUP(A111,'01.01.2026 - 24.01.2026'!A:H,6,FALSE))</f>
        <v xml:space="preserve"> </v>
      </c>
      <c r="F111" s="7" t="str">
        <f>IF(A111=""," ",B111*VLOOKUP(A111,'01.01.2026 - 24.01.2026'!A:H,7,FALSE))</f>
        <v xml:space="preserve"> </v>
      </c>
      <c r="G111" s="7" t="str">
        <f>IF(A111=""," ",B111*VLOOKUP(A111,'01.01.2026 - 24.01.2026'!A:H,8,FALSE))</f>
        <v xml:space="preserve"> </v>
      </c>
    </row>
    <row r="112" spans="1:7" ht="14.15" customHeight="1" x14ac:dyDescent="0.25">
      <c r="A112" s="15"/>
      <c r="B112" s="22"/>
      <c r="C112" s="6" t="str">
        <f>IF(A112=""," ",VLOOKUP(A112,'01.01.2026 - 24.01.2026'!A:H,2,FALSE))</f>
        <v xml:space="preserve"> </v>
      </c>
      <c r="D112" s="30" t="str">
        <f>IF(A112=""," ",VLOOKUP(A112,'01.01.2026 - 24.01.2026'!A:H,5,FALSE))</f>
        <v xml:space="preserve"> </v>
      </c>
      <c r="E112" s="7" t="str">
        <f>IF(A112=""," ",B112*VLOOKUP(A112,'01.01.2026 - 24.01.2026'!A:H,6,FALSE))</f>
        <v xml:space="preserve"> </v>
      </c>
      <c r="F112" s="7" t="str">
        <f>IF(A112=""," ",B112*VLOOKUP(A112,'01.01.2026 - 24.01.2026'!A:H,7,FALSE))</f>
        <v xml:space="preserve"> </v>
      </c>
      <c r="G112" s="7" t="str">
        <f>IF(A112=""," ",B112*VLOOKUP(A112,'01.01.2026 - 24.01.2026'!A:H,8,FALSE))</f>
        <v xml:space="preserve"> </v>
      </c>
    </row>
    <row r="113" spans="1:7" ht="14.15" customHeight="1" x14ac:dyDescent="0.25">
      <c r="A113" s="15"/>
      <c r="B113" s="22"/>
      <c r="C113" s="6" t="str">
        <f>IF(A113=""," ",VLOOKUP(A113,'01.01.2026 - 24.01.2026'!A:H,2,FALSE))</f>
        <v xml:space="preserve"> </v>
      </c>
      <c r="D113" s="30" t="str">
        <f>IF(A113=""," ",VLOOKUP(A113,'01.01.2026 - 24.01.2026'!A:H,5,FALSE))</f>
        <v xml:space="preserve"> </v>
      </c>
      <c r="E113" s="7" t="str">
        <f>IF(A113=""," ",B113*VLOOKUP(A113,'01.01.2026 - 24.01.2026'!A:H,6,FALSE))</f>
        <v xml:space="preserve"> </v>
      </c>
      <c r="F113" s="7" t="str">
        <f>IF(A113=""," ",B113*VLOOKUP(A113,'01.01.2026 - 24.01.2026'!A:H,7,FALSE))</f>
        <v xml:space="preserve"> </v>
      </c>
      <c r="G113" s="7" t="str">
        <f>IF(A113=""," ",B113*VLOOKUP(A113,'01.01.2026 - 24.01.2026'!A:H,8,FALSE))</f>
        <v xml:space="preserve"> </v>
      </c>
    </row>
    <row r="114" spans="1:7" ht="14.15" customHeight="1" x14ac:dyDescent="0.25">
      <c r="A114" s="15"/>
      <c r="B114" s="22"/>
      <c r="C114" s="6" t="str">
        <f>IF(A114=""," ",VLOOKUP(A114,'01.01.2026 - 24.01.2026'!A:H,2,FALSE))</f>
        <v xml:space="preserve"> </v>
      </c>
      <c r="D114" s="30" t="str">
        <f>IF(A114=""," ",VLOOKUP(A114,'01.01.2026 - 24.01.2026'!A:H,5,FALSE))</f>
        <v xml:space="preserve"> </v>
      </c>
      <c r="E114" s="7" t="str">
        <f>IF(A114=""," ",B114*VLOOKUP(A114,'01.01.2026 - 24.01.2026'!A:H,6,FALSE))</f>
        <v xml:space="preserve"> </v>
      </c>
      <c r="F114" s="7" t="str">
        <f>IF(A114=""," ",B114*VLOOKUP(A114,'01.01.2026 - 24.01.2026'!A:H,7,FALSE))</f>
        <v xml:space="preserve"> </v>
      </c>
      <c r="G114" s="7" t="str">
        <f>IF(A114=""," ",B114*VLOOKUP(A114,'01.01.2026 - 24.01.2026'!A:H,8,FALSE))</f>
        <v xml:space="preserve"> </v>
      </c>
    </row>
    <row r="115" spans="1:7" ht="14.15" customHeight="1" x14ac:dyDescent="0.25">
      <c r="A115" s="15"/>
      <c r="B115" s="22"/>
      <c r="C115" s="6" t="str">
        <f>IF(A115=""," ",VLOOKUP(A115,'01.01.2026 - 24.01.2026'!A:H,2,FALSE))</f>
        <v xml:space="preserve"> </v>
      </c>
      <c r="D115" s="30" t="str">
        <f>IF(A115=""," ",VLOOKUP(A115,'01.01.2026 - 24.01.2026'!A:H,5,FALSE))</f>
        <v xml:space="preserve"> </v>
      </c>
      <c r="E115" s="7" t="str">
        <f>IF(A115=""," ",B115*VLOOKUP(A115,'01.01.2026 - 24.01.2026'!A:H,6,FALSE))</f>
        <v xml:space="preserve"> </v>
      </c>
      <c r="F115" s="7" t="str">
        <f>IF(A115=""," ",B115*VLOOKUP(A115,'01.01.2026 - 24.01.2026'!A:H,7,FALSE))</f>
        <v xml:space="preserve"> </v>
      </c>
      <c r="G115" s="7" t="str">
        <f>IF(A115=""," ",B115*VLOOKUP(A115,'01.01.2026 - 24.01.2026'!A:H,8,FALSE))</f>
        <v xml:space="preserve"> </v>
      </c>
    </row>
    <row r="116" spans="1:7" ht="14.15" customHeight="1" x14ac:dyDescent="0.25">
      <c r="A116" s="15"/>
      <c r="B116" s="22"/>
      <c r="C116" s="6" t="str">
        <f>IF(A116=""," ",VLOOKUP(A116,'01.01.2026 - 24.01.2026'!A:H,2,FALSE))</f>
        <v xml:space="preserve"> </v>
      </c>
      <c r="D116" s="30" t="str">
        <f>IF(A116=""," ",VLOOKUP(A116,'01.01.2026 - 24.01.2026'!A:H,5,FALSE))</f>
        <v xml:space="preserve"> </v>
      </c>
      <c r="E116" s="7" t="str">
        <f>IF(A116=""," ",B116*VLOOKUP(A116,'01.01.2026 - 24.01.2026'!A:H,6,FALSE))</f>
        <v xml:space="preserve"> </v>
      </c>
      <c r="F116" s="7" t="str">
        <f>IF(A116=""," ",B116*VLOOKUP(A116,'01.01.2026 - 24.01.2026'!A:H,7,FALSE))</f>
        <v xml:space="preserve"> </v>
      </c>
      <c r="G116" s="7" t="str">
        <f>IF(A116=""," ",B116*VLOOKUP(A116,'01.01.2026 - 24.01.2026'!A:H,8,FALSE))</f>
        <v xml:space="preserve"> </v>
      </c>
    </row>
    <row r="117" spans="1:7" ht="14.15" customHeight="1" x14ac:dyDescent="0.25">
      <c r="A117" s="15"/>
      <c r="B117" s="22"/>
      <c r="C117" s="6" t="str">
        <f>IF(A117=""," ",VLOOKUP(A117,'01.01.2026 - 24.01.2026'!A:H,2,FALSE))</f>
        <v xml:space="preserve"> </v>
      </c>
      <c r="D117" s="30" t="str">
        <f>IF(A117=""," ",VLOOKUP(A117,'01.01.2026 - 24.01.2026'!A:H,5,FALSE))</f>
        <v xml:space="preserve"> </v>
      </c>
      <c r="E117" s="7" t="str">
        <f>IF(A117=""," ",B117*VLOOKUP(A117,'01.01.2026 - 24.01.2026'!A:H,6,FALSE))</f>
        <v xml:space="preserve"> </v>
      </c>
      <c r="F117" s="7" t="str">
        <f>IF(A117=""," ",B117*VLOOKUP(A117,'01.01.2026 - 24.01.2026'!A:H,7,FALSE))</f>
        <v xml:space="preserve"> </v>
      </c>
      <c r="G117" s="7" t="str">
        <f>IF(A117=""," ",B117*VLOOKUP(A117,'01.01.2026 - 24.01.2026'!A:H,8,FALSE))</f>
        <v xml:space="preserve"> </v>
      </c>
    </row>
    <row r="118" spans="1:7" ht="14.15" customHeight="1" x14ac:dyDescent="0.25">
      <c r="A118" s="15"/>
      <c r="B118" s="22"/>
      <c r="C118" s="6" t="str">
        <f>IF(A118=""," ",VLOOKUP(A118,'01.01.2026 - 24.01.2026'!A:H,2,FALSE))</f>
        <v xml:space="preserve"> </v>
      </c>
      <c r="D118" s="30" t="str">
        <f>IF(A118=""," ",VLOOKUP(A118,'01.01.2026 - 24.01.2026'!A:H,5,FALSE))</f>
        <v xml:space="preserve"> </v>
      </c>
      <c r="E118" s="7" t="str">
        <f>IF(A118=""," ",B118*VLOOKUP(A118,'01.01.2026 - 24.01.2026'!A:H,6,FALSE))</f>
        <v xml:space="preserve"> </v>
      </c>
      <c r="F118" s="7" t="str">
        <f>IF(A118=""," ",B118*VLOOKUP(A118,'01.01.2026 - 24.01.2026'!A:H,7,FALSE))</f>
        <v xml:space="preserve"> </v>
      </c>
      <c r="G118" s="7" t="str">
        <f>IF(A118=""," ",B118*VLOOKUP(A118,'01.01.2026 - 24.01.2026'!A:H,8,FALSE))</f>
        <v xml:space="preserve"> </v>
      </c>
    </row>
    <row r="119" spans="1:7" ht="14.15" customHeight="1" x14ac:dyDescent="0.25">
      <c r="A119" s="15"/>
      <c r="B119" s="22"/>
      <c r="C119" s="6" t="str">
        <f>IF(A119=""," ",VLOOKUP(A119,'01.01.2026 - 24.01.2026'!A:H,2,FALSE))</f>
        <v xml:space="preserve"> </v>
      </c>
      <c r="D119" s="30" t="str">
        <f>IF(A119=""," ",VLOOKUP(A119,'01.01.2026 - 24.01.2026'!A:H,5,FALSE))</f>
        <v xml:space="preserve"> </v>
      </c>
      <c r="E119" s="7" t="str">
        <f>IF(A119=""," ",B119*VLOOKUP(A119,'01.01.2026 - 24.01.2026'!A:H,6,FALSE))</f>
        <v xml:space="preserve"> </v>
      </c>
      <c r="F119" s="7" t="str">
        <f>IF(A119=""," ",B119*VLOOKUP(A119,'01.01.2026 - 24.01.2026'!A:H,7,FALSE))</f>
        <v xml:space="preserve"> </v>
      </c>
      <c r="G119" s="7" t="str">
        <f>IF(A119=""," ",B119*VLOOKUP(A119,'01.01.2026 - 24.01.2026'!A:H,8,FALSE))</f>
        <v xml:space="preserve"> </v>
      </c>
    </row>
    <row r="120" spans="1:7" ht="14.15" customHeight="1" x14ac:dyDescent="0.25">
      <c r="A120" s="15"/>
      <c r="B120" s="22"/>
      <c r="C120" s="6" t="str">
        <f>IF(A120=""," ",VLOOKUP(A120,'01.01.2026 - 24.01.2026'!A:H,2,FALSE))</f>
        <v xml:space="preserve"> </v>
      </c>
      <c r="D120" s="30" t="str">
        <f>IF(A120=""," ",VLOOKUP(A120,'01.01.2026 - 24.01.2026'!A:H,5,FALSE))</f>
        <v xml:space="preserve"> </v>
      </c>
      <c r="E120" s="7" t="str">
        <f>IF(A120=""," ",B120*VLOOKUP(A120,'01.01.2026 - 24.01.2026'!A:H,6,FALSE))</f>
        <v xml:space="preserve"> </v>
      </c>
      <c r="F120" s="7" t="str">
        <f>IF(A120=""," ",B120*VLOOKUP(A120,'01.01.2026 - 24.01.2026'!A:H,7,FALSE))</f>
        <v xml:space="preserve"> </v>
      </c>
      <c r="G120" s="7" t="str">
        <f>IF(A120=""," ",B120*VLOOKUP(A120,'01.01.2026 - 24.01.2026'!A:H,8,FALSE))</f>
        <v xml:space="preserve"> </v>
      </c>
    </row>
    <row r="121" spans="1:7" ht="14.15" customHeight="1" x14ac:dyDescent="0.25">
      <c r="A121" s="15"/>
      <c r="B121" s="22"/>
      <c r="C121" s="6" t="str">
        <f>IF(A121=""," ",VLOOKUP(A121,'01.01.2026 - 24.01.2026'!A:H,2,FALSE))</f>
        <v xml:space="preserve"> </v>
      </c>
      <c r="D121" s="30" t="str">
        <f>IF(A121=""," ",VLOOKUP(A121,'01.01.2026 - 24.01.2026'!A:H,5,FALSE))</f>
        <v xml:space="preserve"> </v>
      </c>
      <c r="E121" s="7" t="str">
        <f>IF(A121=""," ",B121*VLOOKUP(A121,'01.01.2026 - 24.01.2026'!A:H,6,FALSE))</f>
        <v xml:space="preserve"> </v>
      </c>
      <c r="F121" s="7" t="str">
        <f>IF(A121=""," ",B121*VLOOKUP(A121,'01.01.2026 - 24.01.2026'!A:H,7,FALSE))</f>
        <v xml:space="preserve"> </v>
      </c>
      <c r="G121" s="7" t="str">
        <f>IF(A121=""," ",B121*VLOOKUP(A121,'01.01.2026 - 24.01.2026'!A:H,8,FALSE))</f>
        <v xml:space="preserve"> </v>
      </c>
    </row>
    <row r="122" spans="1:7" ht="14.15" customHeight="1" x14ac:dyDescent="0.25">
      <c r="A122" s="15"/>
      <c r="B122" s="22"/>
      <c r="C122" s="6" t="str">
        <f>IF(A122=""," ",VLOOKUP(A122,'01.01.2026 - 24.01.2026'!A:H,2,FALSE))</f>
        <v xml:space="preserve"> </v>
      </c>
      <c r="D122" s="30" t="str">
        <f>IF(A122=""," ",VLOOKUP(A122,'01.01.2026 - 24.01.2026'!A:H,5,FALSE))</f>
        <v xml:space="preserve"> </v>
      </c>
      <c r="E122" s="7" t="str">
        <f>IF(A122=""," ",B122*VLOOKUP(A122,'01.01.2026 - 24.01.2026'!A:H,6,FALSE))</f>
        <v xml:space="preserve"> </v>
      </c>
      <c r="F122" s="7" t="str">
        <f>IF(A122=""," ",B122*VLOOKUP(A122,'01.01.2026 - 24.01.2026'!A:H,7,FALSE))</f>
        <v xml:space="preserve"> </v>
      </c>
      <c r="G122" s="7" t="str">
        <f>IF(A122=""," ",B122*VLOOKUP(A122,'01.01.2026 - 24.01.2026'!A:H,8,FALSE))</f>
        <v xml:space="preserve"> </v>
      </c>
    </row>
    <row r="123" spans="1:7" ht="14.15" customHeight="1" x14ac:dyDescent="0.25">
      <c r="A123" s="15"/>
      <c r="B123" s="22"/>
      <c r="C123" s="6" t="str">
        <f>IF(A123=""," ",VLOOKUP(A123,'01.01.2026 - 24.01.2026'!A:H,2,FALSE))</f>
        <v xml:space="preserve"> </v>
      </c>
      <c r="D123" s="30" t="str">
        <f>IF(A123=""," ",VLOOKUP(A123,'01.01.2026 - 24.01.2026'!A:H,5,FALSE))</f>
        <v xml:space="preserve"> </v>
      </c>
      <c r="E123" s="7" t="str">
        <f>IF(A123=""," ",B123*VLOOKUP(A123,'01.01.2026 - 24.01.2026'!A:H,6,FALSE))</f>
        <v xml:space="preserve"> </v>
      </c>
      <c r="F123" s="7" t="str">
        <f>IF(A123=""," ",B123*VLOOKUP(A123,'01.01.2026 - 24.01.2026'!A:H,7,FALSE))</f>
        <v xml:space="preserve"> </v>
      </c>
      <c r="G123" s="7" t="str">
        <f>IF(A123=""," ",B123*VLOOKUP(A123,'01.01.2026 - 24.01.2026'!A:H,8,FALSE))</f>
        <v xml:space="preserve"> </v>
      </c>
    </row>
    <row r="124" spans="1:7" ht="14.15" customHeight="1" x14ac:dyDescent="0.25">
      <c r="A124" s="15"/>
      <c r="B124" s="22"/>
      <c r="C124" s="6" t="str">
        <f>IF(A124=""," ",VLOOKUP(A124,'01.01.2026 - 24.01.2026'!A:H,2,FALSE))</f>
        <v xml:space="preserve"> </v>
      </c>
      <c r="D124" s="30" t="str">
        <f>IF(A124=""," ",VLOOKUP(A124,'01.01.2026 - 24.01.2026'!A:H,5,FALSE))</f>
        <v xml:space="preserve"> </v>
      </c>
      <c r="E124" s="7" t="str">
        <f>IF(A124=""," ",B124*VLOOKUP(A124,'01.01.2026 - 24.01.2026'!A:H,6,FALSE))</f>
        <v xml:space="preserve"> </v>
      </c>
      <c r="F124" s="7" t="str">
        <f>IF(A124=""," ",B124*VLOOKUP(A124,'01.01.2026 - 24.01.2026'!A:H,7,FALSE))</f>
        <v xml:space="preserve"> </v>
      </c>
      <c r="G124" s="7" t="str">
        <f>IF(A124=""," ",B124*VLOOKUP(A124,'01.01.2026 - 24.01.2026'!A:H,8,FALSE))</f>
        <v xml:space="preserve"> </v>
      </c>
    </row>
    <row r="125" spans="1:7" ht="14.15" customHeight="1" x14ac:dyDescent="0.25">
      <c r="A125" s="15"/>
      <c r="B125" s="22"/>
      <c r="C125" s="6" t="str">
        <f>IF(A125=""," ",VLOOKUP(A125,'01.01.2026 - 24.01.2026'!A:H,2,FALSE))</f>
        <v xml:space="preserve"> </v>
      </c>
      <c r="D125" s="30" t="str">
        <f>IF(A125=""," ",VLOOKUP(A125,'01.01.2026 - 24.01.2026'!A:H,5,FALSE))</f>
        <v xml:space="preserve"> </v>
      </c>
      <c r="E125" s="7" t="str">
        <f>IF(A125=""," ",B125*VLOOKUP(A125,'01.01.2026 - 24.01.2026'!A:H,6,FALSE))</f>
        <v xml:space="preserve"> </v>
      </c>
      <c r="F125" s="7" t="str">
        <f>IF(A125=""," ",B125*VLOOKUP(A125,'01.01.2026 - 24.01.2026'!A:H,7,FALSE))</f>
        <v xml:space="preserve"> </v>
      </c>
      <c r="G125" s="7" t="str">
        <f>IF(A125=""," ",B125*VLOOKUP(A125,'01.01.2026 - 24.01.2026'!A:H,8,FALSE))</f>
        <v xml:space="preserve"> </v>
      </c>
    </row>
    <row r="126" spans="1:7" ht="14.15" customHeight="1" x14ac:dyDescent="0.25">
      <c r="A126" s="15"/>
      <c r="B126" s="22"/>
      <c r="C126" s="6" t="str">
        <f>IF(A126=""," ",VLOOKUP(A126,'01.01.2026 - 24.01.2026'!A:H,2,FALSE))</f>
        <v xml:space="preserve"> </v>
      </c>
      <c r="D126" s="30" t="str">
        <f>IF(A126=""," ",VLOOKUP(A126,'01.01.2026 - 24.01.2026'!A:H,5,FALSE))</f>
        <v xml:space="preserve"> </v>
      </c>
      <c r="E126" s="7" t="str">
        <f>IF(A126=""," ",B126*VLOOKUP(A126,'01.01.2026 - 24.01.2026'!A:H,6,FALSE))</f>
        <v xml:space="preserve"> </v>
      </c>
      <c r="F126" s="7" t="str">
        <f>IF(A126=""," ",B126*VLOOKUP(A126,'01.01.2026 - 24.01.2026'!A:H,7,FALSE))</f>
        <v xml:space="preserve"> </v>
      </c>
      <c r="G126" s="7" t="str">
        <f>IF(A126=""," ",B126*VLOOKUP(A126,'01.01.2026 - 24.01.2026'!A:H,8,FALSE))</f>
        <v xml:space="preserve"> </v>
      </c>
    </row>
    <row r="127" spans="1:7" ht="14.15" customHeight="1" x14ac:dyDescent="0.25">
      <c r="A127" s="15"/>
      <c r="B127" s="22"/>
      <c r="C127" s="6" t="str">
        <f>IF(A127=""," ",VLOOKUP(A127,'01.01.2026 - 24.01.2026'!A:H,2,FALSE))</f>
        <v xml:space="preserve"> </v>
      </c>
      <c r="D127" s="30" t="str">
        <f>IF(A127=""," ",VLOOKUP(A127,'01.01.2026 - 24.01.2026'!A:H,5,FALSE))</f>
        <v xml:space="preserve"> </v>
      </c>
      <c r="E127" s="7" t="str">
        <f>IF(A127=""," ",B127*VLOOKUP(A127,'01.01.2026 - 24.01.2026'!A:H,6,FALSE))</f>
        <v xml:space="preserve"> </v>
      </c>
      <c r="F127" s="7" t="str">
        <f>IF(A127=""," ",B127*VLOOKUP(A127,'01.01.2026 - 24.01.2026'!A:H,7,FALSE))</f>
        <v xml:space="preserve"> </v>
      </c>
      <c r="G127" s="7" t="str">
        <f>IF(A127=""," ",B127*VLOOKUP(A127,'01.01.2026 - 24.01.2026'!A:H,8,FALSE))</f>
        <v xml:space="preserve"> </v>
      </c>
    </row>
    <row r="128" spans="1:7" ht="14.15" customHeight="1" x14ac:dyDescent="0.25">
      <c r="A128" s="15"/>
      <c r="B128" s="22"/>
      <c r="C128" s="6" t="str">
        <f>IF(A128=""," ",VLOOKUP(A128,'01.01.2026 - 24.01.2026'!A:H,2,FALSE))</f>
        <v xml:space="preserve"> </v>
      </c>
      <c r="D128" s="30" t="str">
        <f>IF(A128=""," ",VLOOKUP(A128,'01.01.2026 - 24.01.2026'!A:H,5,FALSE))</f>
        <v xml:space="preserve"> </v>
      </c>
      <c r="E128" s="7" t="str">
        <f>IF(A128=""," ",B128*VLOOKUP(A128,'01.01.2026 - 24.01.2026'!A:H,6,FALSE))</f>
        <v xml:space="preserve"> </v>
      </c>
      <c r="F128" s="7" t="str">
        <f>IF(A128=""," ",B128*VLOOKUP(A128,'01.01.2026 - 24.01.2026'!A:H,7,FALSE))</f>
        <v xml:space="preserve"> </v>
      </c>
      <c r="G128" s="7" t="str">
        <f>IF(A128=""," ",B128*VLOOKUP(A128,'01.01.2026 - 24.01.2026'!A:H,8,FALSE))</f>
        <v xml:space="preserve"> </v>
      </c>
    </row>
    <row r="129" spans="1:7" ht="14.15" customHeight="1" x14ac:dyDescent="0.25">
      <c r="A129" s="15"/>
      <c r="B129" s="22"/>
      <c r="C129" s="6" t="str">
        <f>IF(A129=""," ",VLOOKUP(A129,'01.01.2026 - 24.01.2026'!A:H,2,FALSE))</f>
        <v xml:space="preserve"> </v>
      </c>
      <c r="D129" s="30" t="str">
        <f>IF(A129=""," ",VLOOKUP(A129,'01.01.2026 - 24.01.2026'!A:H,5,FALSE))</f>
        <v xml:space="preserve"> </v>
      </c>
      <c r="E129" s="7" t="str">
        <f>IF(A129=""," ",B129*VLOOKUP(A129,'01.01.2026 - 24.01.2026'!A:H,6,FALSE))</f>
        <v xml:space="preserve"> </v>
      </c>
      <c r="F129" s="7" t="str">
        <f>IF(A129=""," ",B129*VLOOKUP(A129,'01.01.2026 - 24.01.2026'!A:H,7,FALSE))</f>
        <v xml:space="preserve"> </v>
      </c>
      <c r="G129" s="7" t="str">
        <f>IF(A129=""," ",B129*VLOOKUP(A129,'01.01.2026 - 24.01.2026'!A:H,8,FALSE))</f>
        <v xml:space="preserve"> </v>
      </c>
    </row>
    <row r="130" spans="1:7" ht="14.15" customHeight="1" x14ac:dyDescent="0.25">
      <c r="A130" s="15"/>
      <c r="B130" s="22"/>
      <c r="C130" s="6" t="str">
        <f>IF(A130=""," ",VLOOKUP(A130,'01.01.2026 - 24.01.2026'!A:H,2,FALSE))</f>
        <v xml:space="preserve"> </v>
      </c>
      <c r="D130" s="30" t="str">
        <f>IF(A130=""," ",VLOOKUP(A130,'01.01.2026 - 24.01.2026'!A:H,5,FALSE))</f>
        <v xml:space="preserve"> </v>
      </c>
      <c r="E130" s="7" t="str">
        <f>IF(A130=""," ",B130*VLOOKUP(A130,'01.01.2026 - 24.01.2026'!A:H,6,FALSE))</f>
        <v xml:space="preserve"> </v>
      </c>
      <c r="F130" s="7" t="str">
        <f>IF(A130=""," ",B130*VLOOKUP(A130,'01.01.2026 - 24.01.2026'!A:H,7,FALSE))</f>
        <v xml:space="preserve"> </v>
      </c>
      <c r="G130" s="7" t="str">
        <f>IF(A130=""," ",B130*VLOOKUP(A130,'01.01.2026 - 24.01.2026'!A:H,8,FALSE))</f>
        <v xml:space="preserve"> </v>
      </c>
    </row>
    <row r="131" spans="1:7" ht="14.15" customHeight="1" x14ac:dyDescent="0.25">
      <c r="A131" s="15"/>
      <c r="B131" s="22"/>
      <c r="C131" s="6" t="str">
        <f>IF(A131=""," ",VLOOKUP(A131,'01.01.2026 - 24.01.2026'!A:H,2,FALSE))</f>
        <v xml:space="preserve"> </v>
      </c>
      <c r="D131" s="30" t="str">
        <f>IF(A131=""," ",VLOOKUP(A131,'01.01.2026 - 24.01.2026'!A:H,5,FALSE))</f>
        <v xml:space="preserve"> </v>
      </c>
      <c r="E131" s="7" t="str">
        <f>IF(A131=""," ",B131*VLOOKUP(A131,'01.01.2026 - 24.01.2026'!A:H,6,FALSE))</f>
        <v xml:space="preserve"> </v>
      </c>
      <c r="F131" s="7" t="str">
        <f>IF(A131=""," ",B131*VLOOKUP(A131,'01.01.2026 - 24.01.2026'!A:H,7,FALSE))</f>
        <v xml:space="preserve"> </v>
      </c>
      <c r="G131" s="7" t="str">
        <f>IF(A131=""," ",B131*VLOOKUP(A131,'01.01.2026 - 24.01.2026'!A:H,8,FALSE))</f>
        <v xml:space="preserve"> </v>
      </c>
    </row>
    <row r="132" spans="1:7" ht="14.15" customHeight="1" x14ac:dyDescent="0.25">
      <c r="A132" s="15"/>
      <c r="B132" s="22"/>
      <c r="C132" s="6" t="str">
        <f>IF(A132=""," ",VLOOKUP(A132,'01.01.2026 - 24.01.2026'!A:H,2,FALSE))</f>
        <v xml:space="preserve"> </v>
      </c>
      <c r="D132" s="30" t="str">
        <f>IF(A132=""," ",VLOOKUP(A132,'01.01.2026 - 24.01.2026'!A:H,5,FALSE))</f>
        <v xml:space="preserve"> </v>
      </c>
      <c r="E132" s="7" t="str">
        <f>IF(A132=""," ",B132*VLOOKUP(A132,'01.01.2026 - 24.01.2026'!A:H,6,FALSE))</f>
        <v xml:space="preserve"> </v>
      </c>
      <c r="F132" s="7" t="str">
        <f>IF(A132=""," ",B132*VLOOKUP(A132,'01.01.2026 - 24.01.2026'!A:H,7,FALSE))</f>
        <v xml:space="preserve"> </v>
      </c>
      <c r="G132" s="7" t="str">
        <f>IF(A132=""," ",B132*VLOOKUP(A132,'01.01.2026 - 24.01.2026'!A:H,8,FALSE))</f>
        <v xml:space="preserve"> </v>
      </c>
    </row>
    <row r="133" spans="1:7" ht="14.15" customHeight="1" x14ac:dyDescent="0.25">
      <c r="A133" s="15"/>
      <c r="B133" s="22"/>
      <c r="C133" s="6" t="str">
        <f>IF(A133=""," ",VLOOKUP(A133,'01.01.2026 - 24.01.2026'!A:H,2,FALSE))</f>
        <v xml:space="preserve"> </v>
      </c>
      <c r="D133" s="30" t="str">
        <f>IF(A133=""," ",VLOOKUP(A133,'01.01.2026 - 24.01.2026'!A:H,5,FALSE))</f>
        <v xml:space="preserve"> </v>
      </c>
      <c r="E133" s="7" t="str">
        <f>IF(A133=""," ",B133*VLOOKUP(A133,'01.01.2026 - 24.01.2026'!A:H,6,FALSE))</f>
        <v xml:space="preserve"> </v>
      </c>
      <c r="F133" s="7" t="str">
        <f>IF(A133=""," ",B133*VLOOKUP(A133,'01.01.2026 - 24.01.2026'!A:H,7,FALSE))</f>
        <v xml:space="preserve"> </v>
      </c>
      <c r="G133" s="7" t="str">
        <f>IF(A133=""," ",B133*VLOOKUP(A133,'01.01.2026 - 24.01.2026'!A:H,8,FALSE))</f>
        <v xml:space="preserve"> </v>
      </c>
    </row>
    <row r="134" spans="1:7" ht="14.15" customHeight="1" x14ac:dyDescent="0.25">
      <c r="A134" s="15"/>
      <c r="B134" s="22"/>
      <c r="C134" s="6" t="str">
        <f>IF(A134=""," ",VLOOKUP(A134,'01.01.2026 - 24.01.2026'!A:H,2,FALSE))</f>
        <v xml:space="preserve"> </v>
      </c>
      <c r="D134" s="30" t="str">
        <f>IF(A134=""," ",VLOOKUP(A134,'01.01.2026 - 24.01.2026'!A:H,5,FALSE))</f>
        <v xml:space="preserve"> </v>
      </c>
      <c r="E134" s="7" t="str">
        <f>IF(A134=""," ",B134*VLOOKUP(A134,'01.01.2026 - 24.01.2026'!A:H,6,FALSE))</f>
        <v xml:space="preserve"> </v>
      </c>
      <c r="F134" s="7" t="str">
        <f>IF(A134=""," ",B134*VLOOKUP(A134,'01.01.2026 - 24.01.2026'!A:H,7,FALSE))</f>
        <v xml:space="preserve"> </v>
      </c>
      <c r="G134" s="7" t="str">
        <f>IF(A134=""," ",B134*VLOOKUP(A134,'01.01.2026 - 24.01.2026'!A:H,8,FALSE))</f>
        <v xml:space="preserve"> </v>
      </c>
    </row>
    <row r="135" spans="1:7" ht="14.15" customHeight="1" x14ac:dyDescent="0.25">
      <c r="A135" s="15"/>
      <c r="B135" s="22"/>
      <c r="C135" s="6" t="str">
        <f>IF(A135=""," ",VLOOKUP(A135,'01.01.2026 - 24.01.2026'!A:H,2,FALSE))</f>
        <v xml:space="preserve"> </v>
      </c>
      <c r="D135" s="30" t="str">
        <f>IF(A135=""," ",VLOOKUP(A135,'01.01.2026 - 24.01.2026'!A:H,5,FALSE))</f>
        <v xml:space="preserve"> </v>
      </c>
      <c r="E135" s="7" t="str">
        <f>IF(A135=""," ",B135*VLOOKUP(A135,'01.01.2026 - 24.01.2026'!A:H,6,FALSE))</f>
        <v xml:space="preserve"> </v>
      </c>
      <c r="F135" s="7" t="str">
        <f>IF(A135=""," ",B135*VLOOKUP(A135,'01.01.2026 - 24.01.2026'!A:H,7,FALSE))</f>
        <v xml:space="preserve"> </v>
      </c>
      <c r="G135" s="7" t="str">
        <f>IF(A135=""," ",B135*VLOOKUP(A135,'01.01.2026 - 24.01.2026'!A:H,8,FALSE))</f>
        <v xml:space="preserve"> </v>
      </c>
    </row>
    <row r="136" spans="1:7" ht="14.15" customHeight="1" x14ac:dyDescent="0.25">
      <c r="A136" s="15"/>
      <c r="B136" s="22"/>
      <c r="C136" s="6" t="str">
        <f>IF(A136=""," ",VLOOKUP(A136,'01.01.2026 - 24.01.2026'!A:H,2,FALSE))</f>
        <v xml:space="preserve"> </v>
      </c>
      <c r="D136" s="30" t="str">
        <f>IF(A136=""," ",VLOOKUP(A136,'01.01.2026 - 24.01.2026'!A:H,5,FALSE))</f>
        <v xml:space="preserve"> </v>
      </c>
      <c r="E136" s="7" t="str">
        <f>IF(A136=""," ",B136*VLOOKUP(A136,'01.01.2026 - 24.01.2026'!A:H,6,FALSE))</f>
        <v xml:space="preserve"> </v>
      </c>
      <c r="F136" s="7" t="str">
        <f>IF(A136=""," ",B136*VLOOKUP(A136,'01.01.2026 - 24.01.2026'!A:H,7,FALSE))</f>
        <v xml:space="preserve"> </v>
      </c>
      <c r="G136" s="7" t="str">
        <f>IF(A136=""," ",B136*VLOOKUP(A136,'01.01.2026 - 24.01.2026'!A:H,8,FALSE))</f>
        <v xml:space="preserve"> </v>
      </c>
    </row>
    <row r="137" spans="1:7" ht="14.15" customHeight="1" x14ac:dyDescent="0.25">
      <c r="A137" s="15"/>
      <c r="B137" s="22"/>
      <c r="C137" s="6" t="str">
        <f>IF(A137=""," ",VLOOKUP(A137,'01.01.2026 - 24.01.2026'!A:H,2,FALSE))</f>
        <v xml:space="preserve"> </v>
      </c>
      <c r="D137" s="30" t="str">
        <f>IF(A137=""," ",VLOOKUP(A137,'01.01.2026 - 24.01.2026'!A:H,5,FALSE))</f>
        <v xml:space="preserve"> </v>
      </c>
      <c r="E137" s="7" t="str">
        <f>IF(A137=""," ",B137*VLOOKUP(A137,'01.01.2026 - 24.01.2026'!A:H,6,FALSE))</f>
        <v xml:space="preserve"> </v>
      </c>
      <c r="F137" s="7" t="str">
        <f>IF(A137=""," ",B137*VLOOKUP(A137,'01.01.2026 - 24.01.2026'!A:H,7,FALSE))</f>
        <v xml:space="preserve"> </v>
      </c>
      <c r="G137" s="7" t="str">
        <f>IF(A137=""," ",B137*VLOOKUP(A137,'01.01.2026 - 24.01.2026'!A:H,8,FALSE))</f>
        <v xml:space="preserve"> </v>
      </c>
    </row>
    <row r="138" spans="1:7" ht="14.15" customHeight="1" x14ac:dyDescent="0.25">
      <c r="A138" s="15"/>
      <c r="B138" s="22"/>
      <c r="C138" s="6" t="str">
        <f>IF(A138=""," ",VLOOKUP(A138,'01.01.2026 - 24.01.2026'!A:H,2,FALSE))</f>
        <v xml:space="preserve"> </v>
      </c>
      <c r="D138" s="30" t="str">
        <f>IF(A138=""," ",VLOOKUP(A138,'01.01.2026 - 24.01.2026'!A:H,5,FALSE))</f>
        <v xml:space="preserve"> </v>
      </c>
      <c r="E138" s="7" t="str">
        <f>IF(A138=""," ",B138*VLOOKUP(A138,'01.01.2026 - 24.01.2026'!A:H,6,FALSE))</f>
        <v xml:space="preserve"> </v>
      </c>
      <c r="F138" s="7" t="str">
        <f>IF(A138=""," ",B138*VLOOKUP(A138,'01.01.2026 - 24.01.2026'!A:H,7,FALSE))</f>
        <v xml:space="preserve"> </v>
      </c>
      <c r="G138" s="7" t="str">
        <f>IF(A138=""," ",B138*VLOOKUP(A138,'01.01.2026 - 24.01.2026'!A:H,8,FALSE))</f>
        <v xml:space="preserve"> </v>
      </c>
    </row>
    <row r="139" spans="1:7" ht="14.15" customHeight="1" x14ac:dyDescent="0.25">
      <c r="A139" s="15"/>
      <c r="B139" s="22"/>
      <c r="C139" s="6" t="str">
        <f>IF(A139=""," ",VLOOKUP(A139,'01.01.2026 - 24.01.2026'!A:H,2,FALSE))</f>
        <v xml:space="preserve"> </v>
      </c>
      <c r="D139" s="30" t="str">
        <f>IF(A139=""," ",VLOOKUP(A139,'01.01.2026 - 24.01.2026'!A:H,5,FALSE))</f>
        <v xml:space="preserve"> </v>
      </c>
      <c r="E139" s="7" t="str">
        <f>IF(A139=""," ",B139*VLOOKUP(A139,'01.01.2026 - 24.01.2026'!A:H,6,FALSE))</f>
        <v xml:space="preserve"> </v>
      </c>
      <c r="F139" s="7" t="str">
        <f>IF(A139=""," ",B139*VLOOKUP(A139,'01.01.2026 - 24.01.2026'!A:H,7,FALSE))</f>
        <v xml:space="preserve"> </v>
      </c>
      <c r="G139" s="7" t="str">
        <f>IF(A139=""," ",B139*VLOOKUP(A139,'01.01.2026 - 24.01.2026'!A:H,8,FALSE))</f>
        <v xml:space="preserve"> </v>
      </c>
    </row>
    <row r="140" spans="1:7" ht="14.15" customHeight="1" x14ac:dyDescent="0.25">
      <c r="A140" s="15"/>
      <c r="B140" s="22"/>
      <c r="C140" s="6" t="str">
        <f>IF(A140=""," ",VLOOKUP(A140,'01.01.2026 - 24.01.2026'!A:H,2,FALSE))</f>
        <v xml:space="preserve"> </v>
      </c>
      <c r="D140" s="30" t="str">
        <f>IF(A140=""," ",VLOOKUP(A140,'01.01.2026 - 24.01.2026'!A:H,5,FALSE))</f>
        <v xml:space="preserve"> </v>
      </c>
      <c r="E140" s="7" t="str">
        <f>IF(A140=""," ",B140*VLOOKUP(A140,'01.01.2026 - 24.01.2026'!A:H,6,FALSE))</f>
        <v xml:space="preserve"> </v>
      </c>
      <c r="F140" s="7" t="str">
        <f>IF(A140=""," ",B140*VLOOKUP(A140,'01.01.2026 - 24.01.2026'!A:H,7,FALSE))</f>
        <v xml:space="preserve"> </v>
      </c>
      <c r="G140" s="7" t="str">
        <f>IF(A140=""," ",B140*VLOOKUP(A140,'01.01.2026 - 24.01.2026'!A:H,8,FALSE))</f>
        <v xml:space="preserve"> </v>
      </c>
    </row>
    <row r="141" spans="1:7" ht="14.15" customHeight="1" x14ac:dyDescent="0.25">
      <c r="A141" s="15"/>
      <c r="B141" s="22"/>
      <c r="C141" s="6" t="str">
        <f>IF(A141=""," ",VLOOKUP(A141,'01.01.2026 - 24.01.2026'!A:H,2,FALSE))</f>
        <v xml:space="preserve"> </v>
      </c>
      <c r="D141" s="30" t="str">
        <f>IF(A141=""," ",VLOOKUP(A141,'01.01.2026 - 24.01.2026'!A:H,5,FALSE))</f>
        <v xml:space="preserve"> </v>
      </c>
      <c r="E141" s="7" t="str">
        <f>IF(A141=""," ",B141*VLOOKUP(A141,'01.01.2026 - 24.01.2026'!A:H,6,FALSE))</f>
        <v xml:space="preserve"> </v>
      </c>
      <c r="F141" s="7" t="str">
        <f>IF(A141=""," ",B141*VLOOKUP(A141,'01.01.2026 - 24.01.2026'!A:H,7,FALSE))</f>
        <v xml:space="preserve"> </v>
      </c>
      <c r="G141" s="7" t="str">
        <f>IF(A141=""," ",B141*VLOOKUP(A141,'01.01.2026 - 24.01.2026'!A:H,8,FALSE))</f>
        <v xml:space="preserve"> </v>
      </c>
    </row>
    <row r="142" spans="1:7" ht="14.15" customHeight="1" x14ac:dyDescent="0.25">
      <c r="A142" s="15"/>
      <c r="B142" s="22"/>
      <c r="C142" s="6" t="str">
        <f>IF(A142=""," ",VLOOKUP(A142,'01.01.2026 - 24.01.2026'!A:H,2,FALSE))</f>
        <v xml:space="preserve"> </v>
      </c>
      <c r="D142" s="30" t="str">
        <f>IF(A142=""," ",VLOOKUP(A142,'01.01.2026 - 24.01.2026'!A:H,5,FALSE))</f>
        <v xml:space="preserve"> </v>
      </c>
      <c r="E142" s="7" t="str">
        <f>IF(A142=""," ",B142*VLOOKUP(A142,'01.01.2026 - 24.01.2026'!A:H,6,FALSE))</f>
        <v xml:space="preserve"> </v>
      </c>
      <c r="F142" s="7" t="str">
        <f>IF(A142=""," ",B142*VLOOKUP(A142,'01.01.2026 - 24.01.2026'!A:H,7,FALSE))</f>
        <v xml:space="preserve"> </v>
      </c>
      <c r="G142" s="7" t="str">
        <f>IF(A142=""," ",B142*VLOOKUP(A142,'01.01.2026 - 24.01.2026'!A:H,8,FALSE))</f>
        <v xml:space="preserve"> </v>
      </c>
    </row>
    <row r="143" spans="1:7" ht="14.15" customHeight="1" x14ac:dyDescent="0.25">
      <c r="A143" s="15"/>
      <c r="B143" s="22"/>
      <c r="C143" s="6" t="str">
        <f>IF(A143=""," ",VLOOKUP(A143,'01.01.2026 - 24.01.2026'!A:H,2,FALSE))</f>
        <v xml:space="preserve"> </v>
      </c>
      <c r="D143" s="30" t="str">
        <f>IF(A143=""," ",VLOOKUP(A143,'01.01.2026 - 24.01.2026'!A:H,5,FALSE))</f>
        <v xml:space="preserve"> </v>
      </c>
      <c r="E143" s="7" t="str">
        <f>IF(A143=""," ",B143*VLOOKUP(A143,'01.01.2026 - 24.01.2026'!A:H,6,FALSE))</f>
        <v xml:space="preserve"> </v>
      </c>
      <c r="F143" s="7" t="str">
        <f>IF(A143=""," ",B143*VLOOKUP(A143,'01.01.2026 - 24.01.2026'!A:H,7,FALSE))</f>
        <v xml:space="preserve"> </v>
      </c>
      <c r="G143" s="7" t="str">
        <f>IF(A143=""," ",B143*VLOOKUP(A143,'01.01.2026 - 24.01.2026'!A:H,8,FALSE))</f>
        <v xml:space="preserve"> </v>
      </c>
    </row>
    <row r="144" spans="1:7" ht="14.15" customHeight="1" x14ac:dyDescent="0.25">
      <c r="A144" s="15"/>
      <c r="B144" s="22"/>
      <c r="C144" s="6" t="str">
        <f>IF(A144=""," ",VLOOKUP(A144,'01.01.2026 - 24.01.2026'!A:H,2,FALSE))</f>
        <v xml:space="preserve"> </v>
      </c>
      <c r="D144" s="30" t="str">
        <f>IF(A144=""," ",VLOOKUP(A144,'01.01.2026 - 24.01.2026'!A:H,5,FALSE))</f>
        <v xml:space="preserve"> </v>
      </c>
      <c r="E144" s="7" t="str">
        <f>IF(A144=""," ",B144*VLOOKUP(A144,'01.01.2026 - 24.01.2026'!A:H,6,FALSE))</f>
        <v xml:space="preserve"> </v>
      </c>
      <c r="F144" s="7" t="str">
        <f>IF(A144=""," ",B144*VLOOKUP(A144,'01.01.2026 - 24.01.2026'!A:H,7,FALSE))</f>
        <v xml:space="preserve"> </v>
      </c>
      <c r="G144" s="7" t="str">
        <f>IF(A144=""," ",B144*VLOOKUP(A144,'01.01.2026 - 24.01.2026'!A:H,8,FALSE))</f>
        <v xml:space="preserve"> </v>
      </c>
    </row>
    <row r="145" spans="1:7" ht="14.15" customHeight="1" x14ac:dyDescent="0.25">
      <c r="A145" s="15"/>
      <c r="B145" s="22"/>
      <c r="C145" s="6" t="str">
        <f>IF(A145=""," ",VLOOKUP(A145,'01.01.2026 - 24.01.2026'!A:H,2,FALSE))</f>
        <v xml:space="preserve"> </v>
      </c>
      <c r="D145" s="30" t="str">
        <f>IF(A145=""," ",VLOOKUP(A145,'01.01.2026 - 24.01.2026'!A:H,5,FALSE))</f>
        <v xml:space="preserve"> </v>
      </c>
      <c r="E145" s="7" t="str">
        <f>IF(A145=""," ",B145*VLOOKUP(A145,'01.01.2026 - 24.01.2026'!A:H,6,FALSE))</f>
        <v xml:space="preserve"> </v>
      </c>
      <c r="F145" s="7" t="str">
        <f>IF(A145=""," ",B145*VLOOKUP(A145,'01.01.2026 - 24.01.2026'!A:H,7,FALSE))</f>
        <v xml:space="preserve"> </v>
      </c>
      <c r="G145" s="7" t="str">
        <f>IF(A145=""," ",B145*VLOOKUP(A145,'01.01.2026 - 24.01.2026'!A:H,8,FALSE))</f>
        <v xml:space="preserve"> </v>
      </c>
    </row>
    <row r="146" spans="1:7" ht="14.15" customHeight="1" x14ac:dyDescent="0.25">
      <c r="A146" s="15"/>
      <c r="B146" s="22"/>
      <c r="C146" s="6" t="str">
        <f>IF(A146=""," ",VLOOKUP(A146,'01.01.2026 - 24.01.2026'!A:H,2,FALSE))</f>
        <v xml:space="preserve"> </v>
      </c>
      <c r="D146" s="30" t="str">
        <f>IF(A146=""," ",VLOOKUP(A146,'01.01.2026 - 24.01.2026'!A:H,5,FALSE))</f>
        <v xml:space="preserve"> </v>
      </c>
      <c r="E146" s="7" t="str">
        <f>IF(A146=""," ",B146*VLOOKUP(A146,'01.01.2026 - 24.01.2026'!A:H,6,FALSE))</f>
        <v xml:space="preserve"> </v>
      </c>
      <c r="F146" s="7" t="str">
        <f>IF(A146=""," ",B146*VLOOKUP(A146,'01.01.2026 - 24.01.2026'!A:H,7,FALSE))</f>
        <v xml:space="preserve"> </v>
      </c>
      <c r="G146" s="7" t="str">
        <f>IF(A146=""," ",B146*VLOOKUP(A146,'01.01.2026 - 24.01.2026'!A:H,8,FALSE))</f>
        <v xml:space="preserve"> </v>
      </c>
    </row>
    <row r="147" spans="1:7" ht="14.15" customHeight="1" x14ac:dyDescent="0.25">
      <c r="A147" s="15"/>
      <c r="B147" s="22"/>
      <c r="C147" s="6" t="str">
        <f>IF(A147=""," ",VLOOKUP(A147,'01.01.2026 - 24.01.2026'!A:H,2,FALSE))</f>
        <v xml:space="preserve"> </v>
      </c>
      <c r="D147" s="30" t="str">
        <f>IF(A147=""," ",VLOOKUP(A147,'01.01.2026 - 24.01.2026'!A:H,5,FALSE))</f>
        <v xml:space="preserve"> </v>
      </c>
      <c r="E147" s="7" t="str">
        <f>IF(A147=""," ",B147*VLOOKUP(A147,'01.01.2026 - 24.01.2026'!A:H,6,FALSE))</f>
        <v xml:space="preserve"> </v>
      </c>
      <c r="F147" s="7" t="str">
        <f>IF(A147=""," ",B147*VLOOKUP(A147,'01.01.2026 - 24.01.2026'!A:H,7,FALSE))</f>
        <v xml:space="preserve"> </v>
      </c>
      <c r="G147" s="7" t="str">
        <f>IF(A147=""," ",B147*VLOOKUP(A147,'01.01.2026 - 24.01.2026'!A:H,8,FALSE))</f>
        <v xml:space="preserve"> </v>
      </c>
    </row>
    <row r="148" spans="1:7" ht="14.15" customHeight="1" x14ac:dyDescent="0.25">
      <c r="A148" s="15"/>
      <c r="B148" s="22"/>
      <c r="C148" s="6" t="str">
        <f>IF(A148=""," ",VLOOKUP(A148,'01.01.2026 - 24.01.2026'!A:H,2,FALSE))</f>
        <v xml:space="preserve"> </v>
      </c>
      <c r="D148" s="30" t="str">
        <f>IF(A148=""," ",VLOOKUP(A148,'01.01.2026 - 24.01.2026'!A:H,5,FALSE))</f>
        <v xml:space="preserve"> </v>
      </c>
      <c r="E148" s="7" t="str">
        <f>IF(A148=""," ",B148*VLOOKUP(A148,'01.01.2026 - 24.01.2026'!A:H,6,FALSE))</f>
        <v xml:space="preserve"> </v>
      </c>
      <c r="F148" s="7" t="str">
        <f>IF(A148=""," ",B148*VLOOKUP(A148,'01.01.2026 - 24.01.2026'!A:H,7,FALSE))</f>
        <v xml:space="preserve"> </v>
      </c>
      <c r="G148" s="7" t="str">
        <f>IF(A148=""," ",B148*VLOOKUP(A148,'01.01.2026 - 24.01.2026'!A:H,8,FALSE))</f>
        <v xml:space="preserve"> </v>
      </c>
    </row>
    <row r="149" spans="1:7" ht="14.15" customHeight="1" x14ac:dyDescent="0.25">
      <c r="A149" s="15"/>
      <c r="B149" s="22"/>
      <c r="C149" s="6" t="str">
        <f>IF(A149=""," ",VLOOKUP(A149,'01.01.2026 - 24.01.2026'!A:H,2,FALSE))</f>
        <v xml:space="preserve"> </v>
      </c>
      <c r="D149" s="30" t="str">
        <f>IF(A149=""," ",VLOOKUP(A149,'01.01.2026 - 24.01.2026'!A:H,5,FALSE))</f>
        <v xml:space="preserve"> </v>
      </c>
      <c r="E149" s="7" t="str">
        <f>IF(A149=""," ",B149*VLOOKUP(A149,'01.01.2026 - 24.01.2026'!A:H,6,FALSE))</f>
        <v xml:space="preserve"> </v>
      </c>
      <c r="F149" s="7" t="str">
        <f>IF(A149=""," ",B149*VLOOKUP(A149,'01.01.2026 - 24.01.2026'!A:H,7,FALSE))</f>
        <v xml:space="preserve"> </v>
      </c>
      <c r="G149" s="7" t="str">
        <f>IF(A149=""," ",B149*VLOOKUP(A149,'01.01.2026 - 24.01.2026'!A:H,8,FALSE))</f>
        <v xml:space="preserve"> </v>
      </c>
    </row>
    <row r="150" spans="1:7" ht="14.15" customHeight="1" x14ac:dyDescent="0.25">
      <c r="A150" s="15"/>
      <c r="B150" s="22"/>
      <c r="C150" s="6" t="str">
        <f>IF(A150=""," ",VLOOKUP(A150,'01.01.2026 - 24.01.2026'!A:H,2,FALSE))</f>
        <v xml:space="preserve"> </v>
      </c>
      <c r="D150" s="30" t="str">
        <f>IF(A150=""," ",VLOOKUP(A150,'01.01.2026 - 24.01.2026'!A:H,5,FALSE))</f>
        <v xml:space="preserve"> </v>
      </c>
      <c r="E150" s="7" t="str">
        <f>IF(A150=""," ",B150*VLOOKUP(A150,'01.01.2026 - 24.01.2026'!A:H,6,FALSE))</f>
        <v xml:space="preserve"> </v>
      </c>
      <c r="F150" s="7" t="str">
        <f>IF(A150=""," ",B150*VLOOKUP(A150,'01.01.2026 - 24.01.2026'!A:H,7,FALSE))</f>
        <v xml:space="preserve"> </v>
      </c>
      <c r="G150" s="7" t="str">
        <f>IF(A150=""," ",B150*VLOOKUP(A150,'01.01.2026 - 24.01.2026'!A:H,8,FALSE))</f>
        <v xml:space="preserve"> </v>
      </c>
    </row>
    <row r="151" spans="1:7" ht="14.15" customHeight="1" x14ac:dyDescent="0.25">
      <c r="A151" s="15"/>
      <c r="B151" s="22"/>
      <c r="C151" s="6" t="str">
        <f>IF(A151=""," ",VLOOKUP(A151,'01.01.2026 - 24.01.2026'!A:H,2,FALSE))</f>
        <v xml:space="preserve"> </v>
      </c>
      <c r="D151" s="30" t="str">
        <f>IF(A151=""," ",VLOOKUP(A151,'01.01.2026 - 24.01.2026'!A:H,5,FALSE))</f>
        <v xml:space="preserve"> </v>
      </c>
      <c r="E151" s="7" t="str">
        <f>IF(A151=""," ",B151*VLOOKUP(A151,'01.01.2026 - 24.01.2026'!A:H,6,FALSE))</f>
        <v xml:space="preserve"> </v>
      </c>
      <c r="F151" s="7" t="str">
        <f>IF(A151=""," ",B151*VLOOKUP(A151,'01.01.2026 - 24.01.2026'!A:H,7,FALSE))</f>
        <v xml:space="preserve"> </v>
      </c>
      <c r="G151" s="7" t="str">
        <f>IF(A151=""," ",B151*VLOOKUP(A151,'01.01.2026 - 24.01.2026'!A:H,8,FALSE))</f>
        <v xml:space="preserve"> </v>
      </c>
    </row>
    <row r="152" spans="1:7" ht="14.15" customHeight="1" x14ac:dyDescent="0.25">
      <c r="A152" s="15"/>
      <c r="B152" s="22"/>
      <c r="C152" s="6" t="str">
        <f>IF(A152=""," ",VLOOKUP(A152,'01.01.2026 - 24.01.2026'!A:H,2,FALSE))</f>
        <v xml:space="preserve"> </v>
      </c>
      <c r="D152" s="30" t="str">
        <f>IF(A152=""," ",VLOOKUP(A152,'01.01.2026 - 24.01.2026'!A:H,5,FALSE))</f>
        <v xml:space="preserve"> </v>
      </c>
      <c r="E152" s="7" t="str">
        <f>IF(A152=""," ",B152*VLOOKUP(A152,'01.01.2026 - 24.01.2026'!A:H,6,FALSE))</f>
        <v xml:space="preserve"> </v>
      </c>
      <c r="F152" s="7" t="str">
        <f>IF(A152=""," ",B152*VLOOKUP(A152,'01.01.2026 - 24.01.2026'!A:H,7,FALSE))</f>
        <v xml:space="preserve"> </v>
      </c>
      <c r="G152" s="7" t="str">
        <f>IF(A152=""," ",B152*VLOOKUP(A152,'01.01.2026 - 24.01.2026'!A:H,8,FALSE))</f>
        <v xml:space="preserve"> </v>
      </c>
    </row>
    <row r="153" spans="1:7" ht="14.15" customHeight="1" x14ac:dyDescent="0.25">
      <c r="A153" s="15"/>
      <c r="B153" s="22"/>
      <c r="C153" s="6" t="str">
        <f>IF(A153=""," ",VLOOKUP(A153,'01.01.2026 - 24.01.2026'!A:H,2,FALSE))</f>
        <v xml:space="preserve"> </v>
      </c>
      <c r="D153" s="30" t="str">
        <f>IF(A153=""," ",VLOOKUP(A153,'01.01.2026 - 24.01.2026'!A:H,5,FALSE))</f>
        <v xml:space="preserve"> </v>
      </c>
      <c r="E153" s="7" t="str">
        <f>IF(A153=""," ",B153*VLOOKUP(A153,'01.01.2026 - 24.01.2026'!A:H,6,FALSE))</f>
        <v xml:space="preserve"> </v>
      </c>
      <c r="F153" s="7" t="str">
        <f>IF(A153=""," ",B153*VLOOKUP(A153,'01.01.2026 - 24.01.2026'!A:H,7,FALSE))</f>
        <v xml:space="preserve"> </v>
      </c>
      <c r="G153" s="7" t="str">
        <f>IF(A153=""," ",B153*VLOOKUP(A153,'01.01.2026 - 24.01.2026'!A:H,8,FALSE))</f>
        <v xml:space="preserve"> </v>
      </c>
    </row>
    <row r="154" spans="1:7" ht="14.15" customHeight="1" x14ac:dyDescent="0.25">
      <c r="A154" s="15"/>
      <c r="B154" s="22"/>
      <c r="C154" s="6" t="str">
        <f>IF(A154=""," ",VLOOKUP(A154,'01.01.2026 - 24.01.2026'!A:H,2,FALSE))</f>
        <v xml:space="preserve"> </v>
      </c>
      <c r="D154" s="30" t="str">
        <f>IF(A154=""," ",VLOOKUP(A154,'01.01.2026 - 24.01.2026'!A:H,5,FALSE))</f>
        <v xml:space="preserve"> </v>
      </c>
      <c r="E154" s="7" t="str">
        <f>IF(A154=""," ",B154*VLOOKUP(A154,'01.01.2026 - 24.01.2026'!A:H,6,FALSE))</f>
        <v xml:space="preserve"> </v>
      </c>
      <c r="F154" s="7" t="str">
        <f>IF(A154=""," ",B154*VLOOKUP(A154,'01.01.2026 - 24.01.2026'!A:H,7,FALSE))</f>
        <v xml:space="preserve"> </v>
      </c>
      <c r="G154" s="7" t="str">
        <f>IF(A154=""," ",B154*VLOOKUP(A154,'01.01.2026 - 24.01.2026'!A:H,8,FALSE))</f>
        <v xml:space="preserve"> </v>
      </c>
    </row>
    <row r="155" spans="1:7" ht="14.15" customHeight="1" x14ac:dyDescent="0.25">
      <c r="A155" s="15"/>
      <c r="B155" s="22"/>
      <c r="C155" s="6" t="str">
        <f>IF(A155=""," ",VLOOKUP(A155,'01.01.2026 - 24.01.2026'!A:H,2,FALSE))</f>
        <v xml:space="preserve"> </v>
      </c>
      <c r="D155" s="30" t="str">
        <f>IF(A155=""," ",VLOOKUP(A155,'01.01.2026 - 24.01.2026'!A:H,5,FALSE))</f>
        <v xml:space="preserve"> </v>
      </c>
      <c r="E155" s="7" t="str">
        <f>IF(A155=""," ",B155*VLOOKUP(A155,'01.01.2026 - 24.01.2026'!A:H,6,FALSE))</f>
        <v xml:space="preserve"> </v>
      </c>
      <c r="F155" s="7" t="str">
        <f>IF(A155=""," ",B155*VLOOKUP(A155,'01.01.2026 - 24.01.2026'!A:H,7,FALSE))</f>
        <v xml:space="preserve"> </v>
      </c>
      <c r="G155" s="7" t="str">
        <f>IF(A155=""," ",B155*VLOOKUP(A155,'01.01.2026 - 24.01.2026'!A:H,8,FALSE))</f>
        <v xml:space="preserve"> </v>
      </c>
    </row>
    <row r="156" spans="1:7" ht="14.15" customHeight="1" x14ac:dyDescent="0.25">
      <c r="A156" s="15"/>
      <c r="B156" s="22"/>
      <c r="C156" s="6" t="str">
        <f>IF(A156=""," ",VLOOKUP(A156,'01.01.2026 - 24.01.2026'!A:H,2,FALSE))</f>
        <v xml:space="preserve"> </v>
      </c>
      <c r="D156" s="30" t="str">
        <f>IF(A156=""," ",VLOOKUP(A156,'01.01.2026 - 24.01.2026'!A:H,5,FALSE))</f>
        <v xml:space="preserve"> </v>
      </c>
      <c r="E156" s="7" t="str">
        <f>IF(A156=""," ",B156*VLOOKUP(A156,'01.01.2026 - 24.01.2026'!A:H,6,FALSE))</f>
        <v xml:space="preserve"> </v>
      </c>
      <c r="F156" s="7" t="str">
        <f>IF(A156=""," ",B156*VLOOKUP(A156,'01.01.2026 - 24.01.2026'!A:H,7,FALSE))</f>
        <v xml:space="preserve"> </v>
      </c>
      <c r="G156" s="7" t="str">
        <f>IF(A156=""," ",B156*VLOOKUP(A156,'01.01.2026 - 24.01.2026'!A:H,8,FALSE))</f>
        <v xml:space="preserve"> </v>
      </c>
    </row>
    <row r="157" spans="1:7" ht="14.15" customHeight="1" x14ac:dyDescent="0.25">
      <c r="A157" s="15"/>
      <c r="B157" s="22"/>
      <c r="C157" s="6" t="str">
        <f>IF(A157=""," ",VLOOKUP(A157,'01.01.2026 - 24.01.2026'!A:H,2,FALSE))</f>
        <v xml:space="preserve"> </v>
      </c>
      <c r="D157" s="30" t="str">
        <f>IF(A157=""," ",VLOOKUP(A157,'01.01.2026 - 24.01.2026'!A:H,5,FALSE))</f>
        <v xml:space="preserve"> </v>
      </c>
      <c r="E157" s="7" t="str">
        <f>IF(A157=""," ",B157*VLOOKUP(A157,'01.01.2026 - 24.01.2026'!A:H,6,FALSE))</f>
        <v xml:space="preserve"> </v>
      </c>
      <c r="F157" s="7" t="str">
        <f>IF(A157=""," ",B157*VLOOKUP(A157,'01.01.2026 - 24.01.2026'!A:H,7,FALSE))</f>
        <v xml:space="preserve"> </v>
      </c>
      <c r="G157" s="7" t="str">
        <f>IF(A157=""," ",B157*VLOOKUP(A157,'01.01.2026 - 24.01.2026'!A:H,8,FALSE))</f>
        <v xml:space="preserve"> </v>
      </c>
    </row>
    <row r="158" spans="1:7" ht="14.15" customHeight="1" x14ac:dyDescent="0.25">
      <c r="A158" s="15"/>
      <c r="B158" s="22"/>
      <c r="C158" s="6" t="str">
        <f>IF(A158=""," ",VLOOKUP(A158,'01.01.2026 - 24.01.2026'!A:H,2,FALSE))</f>
        <v xml:space="preserve"> </v>
      </c>
      <c r="D158" s="30" t="str">
        <f>IF(A158=""," ",VLOOKUP(A158,'01.01.2026 - 24.01.2026'!A:H,5,FALSE))</f>
        <v xml:space="preserve"> </v>
      </c>
      <c r="E158" s="7" t="str">
        <f>IF(A158=""," ",B158*VLOOKUP(A158,'01.01.2026 - 24.01.2026'!A:H,6,FALSE))</f>
        <v xml:space="preserve"> </v>
      </c>
      <c r="F158" s="7" t="str">
        <f>IF(A158=""," ",B158*VLOOKUP(A158,'01.01.2026 - 24.01.2026'!A:H,7,FALSE))</f>
        <v xml:space="preserve"> </v>
      </c>
      <c r="G158" s="7" t="str">
        <f>IF(A158=""," ",B158*VLOOKUP(A158,'01.01.2026 - 24.01.2026'!A:H,8,FALSE))</f>
        <v xml:space="preserve"> </v>
      </c>
    </row>
    <row r="159" spans="1:7" ht="14.15" customHeight="1" x14ac:dyDescent="0.25">
      <c r="A159" s="15"/>
      <c r="B159" s="22"/>
      <c r="C159" s="6" t="str">
        <f>IF(A159=""," ",VLOOKUP(A159,'01.01.2026 - 24.01.2026'!A:H,2,FALSE))</f>
        <v xml:space="preserve"> </v>
      </c>
      <c r="D159" s="30" t="str">
        <f>IF(A159=""," ",VLOOKUP(A159,'01.01.2026 - 24.01.2026'!A:H,5,FALSE))</f>
        <v xml:space="preserve"> </v>
      </c>
      <c r="E159" s="7" t="str">
        <f>IF(A159=""," ",B159*VLOOKUP(A159,'01.01.2026 - 24.01.2026'!A:H,6,FALSE))</f>
        <v xml:space="preserve"> </v>
      </c>
      <c r="F159" s="7" t="str">
        <f>IF(A159=""," ",B159*VLOOKUP(A159,'01.01.2026 - 24.01.2026'!A:H,7,FALSE))</f>
        <v xml:space="preserve"> </v>
      </c>
      <c r="G159" s="7" t="str">
        <f>IF(A159=""," ",B159*VLOOKUP(A159,'01.01.2026 - 24.01.2026'!A:H,8,FALSE))</f>
        <v xml:space="preserve"> </v>
      </c>
    </row>
    <row r="160" spans="1:7" ht="14.15" customHeight="1" x14ac:dyDescent="0.25">
      <c r="A160" s="15"/>
      <c r="B160" s="22"/>
      <c r="C160" s="6" t="str">
        <f>IF(A160=""," ",VLOOKUP(A160,'01.01.2026 - 24.01.2026'!A:H,2,FALSE))</f>
        <v xml:space="preserve"> </v>
      </c>
      <c r="D160" s="30" t="str">
        <f>IF(A160=""," ",VLOOKUP(A160,'01.01.2026 - 24.01.2026'!A:H,5,FALSE))</f>
        <v xml:space="preserve"> </v>
      </c>
      <c r="E160" s="7" t="str">
        <f>IF(A160=""," ",B160*VLOOKUP(A160,'01.01.2026 - 24.01.2026'!A:H,6,FALSE))</f>
        <v xml:space="preserve"> </v>
      </c>
      <c r="F160" s="7" t="str">
        <f>IF(A160=""," ",B160*VLOOKUP(A160,'01.01.2026 - 24.01.2026'!A:H,7,FALSE))</f>
        <v xml:space="preserve"> </v>
      </c>
      <c r="G160" s="7" t="str">
        <f>IF(A160=""," ",B160*VLOOKUP(A160,'01.01.2026 - 24.01.2026'!A:H,8,FALSE))</f>
        <v xml:space="preserve"> </v>
      </c>
    </row>
    <row r="161" spans="1:7" ht="14.15" customHeight="1" x14ac:dyDescent="0.25">
      <c r="A161" s="15"/>
      <c r="B161" s="22"/>
      <c r="C161" s="6" t="str">
        <f>IF(A161=""," ",VLOOKUP(A161,'01.01.2026 - 24.01.2026'!A:H,2,FALSE))</f>
        <v xml:space="preserve"> </v>
      </c>
      <c r="D161" s="30" t="str">
        <f>IF(A161=""," ",VLOOKUP(A161,'01.01.2026 - 24.01.2026'!A:H,5,FALSE))</f>
        <v xml:space="preserve"> </v>
      </c>
      <c r="E161" s="7" t="str">
        <f>IF(A161=""," ",B161*VLOOKUP(A161,'01.01.2026 - 24.01.2026'!A:H,6,FALSE))</f>
        <v xml:space="preserve"> </v>
      </c>
      <c r="F161" s="7" t="str">
        <f>IF(A161=""," ",B161*VLOOKUP(A161,'01.01.2026 - 24.01.2026'!A:H,7,FALSE))</f>
        <v xml:space="preserve"> </v>
      </c>
      <c r="G161" s="7" t="str">
        <f>IF(A161=""," ",B161*VLOOKUP(A161,'01.01.2026 - 24.01.2026'!A:H,8,FALSE))</f>
        <v xml:space="preserve"> </v>
      </c>
    </row>
    <row r="162" spans="1:7" ht="14.15" customHeight="1" x14ac:dyDescent="0.25">
      <c r="A162" s="15"/>
      <c r="B162" s="22"/>
      <c r="C162" s="6" t="str">
        <f>IF(A162=""," ",VLOOKUP(A162,'01.01.2026 - 24.01.2026'!A:H,2,FALSE))</f>
        <v xml:space="preserve"> </v>
      </c>
      <c r="D162" s="30" t="str">
        <f>IF(A162=""," ",VLOOKUP(A162,'01.01.2026 - 24.01.2026'!A:H,5,FALSE))</f>
        <v xml:space="preserve"> </v>
      </c>
      <c r="E162" s="7" t="str">
        <f>IF(A162=""," ",B162*VLOOKUP(A162,'01.01.2026 - 24.01.2026'!A:H,6,FALSE))</f>
        <v xml:space="preserve"> </v>
      </c>
      <c r="F162" s="7" t="str">
        <f>IF(A162=""," ",B162*VLOOKUP(A162,'01.01.2026 - 24.01.2026'!A:H,7,FALSE))</f>
        <v xml:space="preserve"> </v>
      </c>
      <c r="G162" s="7" t="str">
        <f>IF(A162=""," ",B162*VLOOKUP(A162,'01.01.2026 - 24.01.2026'!A:H,8,FALSE))</f>
        <v xml:space="preserve"> </v>
      </c>
    </row>
    <row r="163" spans="1:7" ht="14.15" customHeight="1" x14ac:dyDescent="0.25">
      <c r="A163" s="15"/>
      <c r="B163" s="22"/>
      <c r="C163" s="6" t="str">
        <f>IF(A163=""," ",VLOOKUP(A163,'01.01.2026 - 24.01.2026'!A:H,2,FALSE))</f>
        <v xml:space="preserve"> </v>
      </c>
      <c r="D163" s="30" t="str">
        <f>IF(A163=""," ",VLOOKUP(A163,'01.01.2026 - 24.01.2026'!A:H,5,FALSE))</f>
        <v xml:space="preserve"> </v>
      </c>
      <c r="E163" s="7" t="str">
        <f>IF(A163=""," ",B163*VLOOKUP(A163,'01.01.2026 - 24.01.2026'!A:H,6,FALSE))</f>
        <v xml:space="preserve"> </v>
      </c>
      <c r="F163" s="7" t="str">
        <f>IF(A163=""," ",B163*VLOOKUP(A163,'01.01.2026 - 24.01.2026'!A:H,7,FALSE))</f>
        <v xml:space="preserve"> </v>
      </c>
      <c r="G163" s="7" t="str">
        <f>IF(A163=""," ",B163*VLOOKUP(A163,'01.01.2026 - 24.01.2026'!A:H,8,FALSE))</f>
        <v xml:space="preserve"> </v>
      </c>
    </row>
    <row r="164" spans="1:7" ht="14.15" customHeight="1" x14ac:dyDescent="0.25">
      <c r="A164" s="15"/>
      <c r="B164" s="22"/>
      <c r="C164" s="6" t="str">
        <f>IF(A164=""," ",VLOOKUP(A164,'01.01.2026 - 24.01.2026'!A:H,2,FALSE))</f>
        <v xml:space="preserve"> </v>
      </c>
      <c r="D164" s="30" t="str">
        <f>IF(A164=""," ",VLOOKUP(A164,'01.01.2026 - 24.01.2026'!A:H,5,FALSE))</f>
        <v xml:space="preserve"> </v>
      </c>
      <c r="E164" s="7" t="str">
        <f>IF(A164=""," ",B164*VLOOKUP(A164,'01.01.2026 - 24.01.2026'!A:H,6,FALSE))</f>
        <v xml:space="preserve"> </v>
      </c>
      <c r="F164" s="7" t="str">
        <f>IF(A164=""," ",B164*VLOOKUP(A164,'01.01.2026 - 24.01.2026'!A:H,7,FALSE))</f>
        <v xml:space="preserve"> </v>
      </c>
      <c r="G164" s="7" t="str">
        <f>IF(A164=""," ",B164*VLOOKUP(A164,'01.01.2026 - 24.01.2026'!A:H,8,FALSE))</f>
        <v xml:space="preserve"> </v>
      </c>
    </row>
    <row r="165" spans="1:7" ht="14.15" customHeight="1" x14ac:dyDescent="0.25">
      <c r="A165" s="15"/>
      <c r="B165" s="22"/>
      <c r="C165" s="6" t="str">
        <f>IF(A165=""," ",VLOOKUP(A165,'01.01.2026 - 24.01.2026'!A:H,2,FALSE))</f>
        <v xml:space="preserve"> </v>
      </c>
      <c r="D165" s="30" t="str">
        <f>IF(A165=""," ",VLOOKUP(A165,'01.01.2026 - 24.01.2026'!A:H,5,FALSE))</f>
        <v xml:space="preserve"> </v>
      </c>
      <c r="E165" s="7" t="str">
        <f>IF(A165=""," ",B165*VLOOKUP(A165,'01.01.2026 - 24.01.2026'!A:H,6,FALSE))</f>
        <v xml:space="preserve"> </v>
      </c>
      <c r="F165" s="7" t="str">
        <f>IF(A165=""," ",B165*VLOOKUP(A165,'01.01.2026 - 24.01.2026'!A:H,7,FALSE))</f>
        <v xml:space="preserve"> </v>
      </c>
      <c r="G165" s="7" t="str">
        <f>IF(A165=""," ",B165*VLOOKUP(A165,'01.01.2026 - 24.01.2026'!A:H,8,FALSE))</f>
        <v xml:space="preserve"> </v>
      </c>
    </row>
    <row r="166" spans="1:7" ht="14.15" customHeight="1" x14ac:dyDescent="0.25">
      <c r="A166" s="15"/>
      <c r="B166" s="22"/>
      <c r="C166" s="6" t="str">
        <f>IF(A166=""," ",VLOOKUP(A166,'01.01.2026 - 24.01.2026'!A:H,2,FALSE))</f>
        <v xml:space="preserve"> </v>
      </c>
      <c r="D166" s="30" t="str">
        <f>IF(A166=""," ",VLOOKUP(A166,'01.01.2026 - 24.01.2026'!A:H,5,FALSE))</f>
        <v xml:space="preserve"> </v>
      </c>
      <c r="E166" s="7" t="str">
        <f>IF(A166=""," ",B166*VLOOKUP(A166,'01.01.2026 - 24.01.2026'!A:H,6,FALSE))</f>
        <v xml:space="preserve"> </v>
      </c>
      <c r="F166" s="7" t="str">
        <f>IF(A166=""," ",B166*VLOOKUP(A166,'01.01.2026 - 24.01.2026'!A:H,7,FALSE))</f>
        <v xml:space="preserve"> </v>
      </c>
      <c r="G166" s="7" t="str">
        <f>IF(A166=""," ",B166*VLOOKUP(A166,'01.01.2026 - 24.01.2026'!A:H,8,FALSE))</f>
        <v xml:space="preserve"> </v>
      </c>
    </row>
    <row r="167" spans="1:7" ht="14.15" customHeight="1" x14ac:dyDescent="0.25">
      <c r="A167" s="15"/>
      <c r="B167" s="22"/>
      <c r="C167" s="6" t="str">
        <f>IF(A167=""," ",VLOOKUP(A167,'01.01.2026 - 24.01.2026'!A:H,2,FALSE))</f>
        <v xml:space="preserve"> </v>
      </c>
      <c r="D167" s="30" t="str">
        <f>IF(A167=""," ",VLOOKUP(A167,'01.01.2026 - 24.01.2026'!A:H,5,FALSE))</f>
        <v xml:space="preserve"> </v>
      </c>
      <c r="E167" s="7" t="str">
        <f>IF(A167=""," ",B167*VLOOKUP(A167,'01.01.2026 - 24.01.2026'!A:H,6,FALSE))</f>
        <v xml:space="preserve"> </v>
      </c>
      <c r="F167" s="7" t="str">
        <f>IF(A167=""," ",B167*VLOOKUP(A167,'01.01.2026 - 24.01.2026'!A:H,7,FALSE))</f>
        <v xml:space="preserve"> </v>
      </c>
      <c r="G167" s="7" t="str">
        <f>IF(A167=""," ",B167*VLOOKUP(A167,'01.01.2026 - 24.01.2026'!A:H,8,FALSE))</f>
        <v xml:space="preserve"> </v>
      </c>
    </row>
    <row r="168" spans="1:7" ht="14.15" customHeight="1" x14ac:dyDescent="0.25">
      <c r="A168" s="15"/>
      <c r="B168" s="22"/>
      <c r="C168" s="6" t="str">
        <f>IF(A168=""," ",VLOOKUP(A168,'01.01.2026 - 24.01.2026'!A:H,2,FALSE))</f>
        <v xml:space="preserve"> </v>
      </c>
      <c r="D168" s="30" t="str">
        <f>IF(A168=""," ",VLOOKUP(A168,'01.01.2026 - 24.01.2026'!A:H,5,FALSE))</f>
        <v xml:space="preserve"> </v>
      </c>
      <c r="E168" s="7" t="str">
        <f>IF(A168=""," ",B168*VLOOKUP(A168,'01.01.2026 - 24.01.2026'!A:H,6,FALSE))</f>
        <v xml:space="preserve"> </v>
      </c>
      <c r="F168" s="7" t="str">
        <f>IF(A168=""," ",B168*VLOOKUP(A168,'01.01.2026 - 24.01.2026'!A:H,7,FALSE))</f>
        <v xml:space="preserve"> </v>
      </c>
      <c r="G168" s="7" t="str">
        <f>IF(A168=""," ",B168*VLOOKUP(A168,'01.01.2026 - 24.01.2026'!A:H,8,FALSE))</f>
        <v xml:space="preserve"> </v>
      </c>
    </row>
    <row r="169" spans="1:7" ht="14.15" customHeight="1" x14ac:dyDescent="0.25">
      <c r="A169" s="15"/>
      <c r="B169" s="22"/>
      <c r="C169" s="6" t="str">
        <f>IF(A169=""," ",VLOOKUP(A169,'01.01.2026 - 24.01.2026'!A:H,2,FALSE))</f>
        <v xml:space="preserve"> </v>
      </c>
      <c r="D169" s="30" t="str">
        <f>IF(A169=""," ",VLOOKUP(A169,'01.01.2026 - 24.01.2026'!A:H,5,FALSE))</f>
        <v xml:space="preserve"> </v>
      </c>
      <c r="E169" s="7" t="str">
        <f>IF(A169=""," ",B169*VLOOKUP(A169,'01.01.2026 - 24.01.2026'!A:H,6,FALSE))</f>
        <v xml:space="preserve"> </v>
      </c>
      <c r="F169" s="7" t="str">
        <f>IF(A169=""," ",B169*VLOOKUP(A169,'01.01.2026 - 24.01.2026'!A:H,7,FALSE))</f>
        <v xml:space="preserve"> </v>
      </c>
      <c r="G169" s="7" t="str">
        <f>IF(A169=""," ",B169*VLOOKUP(A169,'01.01.2026 - 24.01.2026'!A:H,8,FALSE))</f>
        <v xml:space="preserve"> </v>
      </c>
    </row>
    <row r="170" spans="1:7" ht="14.15" customHeight="1" x14ac:dyDescent="0.25">
      <c r="A170" s="15"/>
      <c r="B170" s="22"/>
      <c r="C170" s="6" t="str">
        <f>IF(A170=""," ",VLOOKUP(A170,'01.01.2026 - 24.01.2026'!A:H,2,FALSE))</f>
        <v xml:space="preserve"> </v>
      </c>
      <c r="D170" s="30" t="str">
        <f>IF(A170=""," ",VLOOKUP(A170,'01.01.2026 - 24.01.2026'!A:H,5,FALSE))</f>
        <v xml:space="preserve"> </v>
      </c>
      <c r="E170" s="7" t="str">
        <f>IF(A170=""," ",B170*VLOOKUP(A170,'01.01.2026 - 24.01.2026'!A:H,6,FALSE))</f>
        <v xml:space="preserve"> </v>
      </c>
      <c r="F170" s="7" t="str">
        <f>IF(A170=""," ",B170*VLOOKUP(A170,'01.01.2026 - 24.01.2026'!A:H,7,FALSE))</f>
        <v xml:space="preserve"> </v>
      </c>
      <c r="G170" s="7" t="str">
        <f>IF(A170=""," ",B170*VLOOKUP(A170,'01.01.2026 - 24.01.2026'!A:H,8,FALSE))</f>
        <v xml:space="preserve"> </v>
      </c>
    </row>
    <row r="171" spans="1:7" ht="14.15" customHeight="1" x14ac:dyDescent="0.25">
      <c r="A171" s="15"/>
      <c r="B171" s="22"/>
      <c r="C171" s="6" t="str">
        <f>IF(A171=""," ",VLOOKUP(A171,'01.01.2026 - 24.01.2026'!A:H,2,FALSE))</f>
        <v xml:space="preserve"> </v>
      </c>
      <c r="D171" s="30" t="str">
        <f>IF(A171=""," ",VLOOKUP(A171,'01.01.2026 - 24.01.2026'!A:H,5,FALSE))</f>
        <v xml:space="preserve"> </v>
      </c>
      <c r="E171" s="7" t="str">
        <f>IF(A171=""," ",B171*VLOOKUP(A171,'01.01.2026 - 24.01.2026'!A:H,6,FALSE))</f>
        <v xml:space="preserve"> </v>
      </c>
      <c r="F171" s="7" t="str">
        <f>IF(A171=""," ",B171*VLOOKUP(A171,'01.01.2026 - 24.01.2026'!A:H,7,FALSE))</f>
        <v xml:space="preserve"> </v>
      </c>
      <c r="G171" s="7" t="str">
        <f>IF(A171=""," ",B171*VLOOKUP(A171,'01.01.2026 - 24.01.2026'!A:H,8,FALSE))</f>
        <v xml:space="preserve"> </v>
      </c>
    </row>
    <row r="172" spans="1:7" ht="14.15" customHeight="1" x14ac:dyDescent="0.25">
      <c r="A172" s="15"/>
      <c r="B172" s="22"/>
      <c r="C172" s="6" t="str">
        <f>IF(A172=""," ",VLOOKUP(A172,'01.01.2026 - 24.01.2026'!A:H,2,FALSE))</f>
        <v xml:space="preserve"> </v>
      </c>
      <c r="D172" s="30" t="str">
        <f>IF(A172=""," ",VLOOKUP(A172,'01.01.2026 - 24.01.2026'!A:H,5,FALSE))</f>
        <v xml:space="preserve"> </v>
      </c>
      <c r="E172" s="7" t="str">
        <f>IF(A172=""," ",B172*VLOOKUP(A172,'01.01.2026 - 24.01.2026'!A:H,6,FALSE))</f>
        <v xml:space="preserve"> </v>
      </c>
      <c r="F172" s="7" t="str">
        <f>IF(A172=""," ",B172*VLOOKUP(A172,'01.01.2026 - 24.01.2026'!A:H,7,FALSE))</f>
        <v xml:space="preserve"> </v>
      </c>
      <c r="G172" s="7" t="str">
        <f>IF(A172=""," ",B172*VLOOKUP(A172,'01.01.2026 - 24.01.2026'!A:H,8,FALSE))</f>
        <v xml:space="preserve"> </v>
      </c>
    </row>
    <row r="173" spans="1:7" ht="14.15" customHeight="1" x14ac:dyDescent="0.25">
      <c r="A173" s="15"/>
      <c r="B173" s="22"/>
      <c r="C173" s="6" t="str">
        <f>IF(A173=""," ",VLOOKUP(A173,'01.01.2026 - 24.01.2026'!A:H,2,FALSE))</f>
        <v xml:space="preserve"> </v>
      </c>
      <c r="D173" s="30" t="str">
        <f>IF(A173=""," ",VLOOKUP(A173,'01.01.2026 - 24.01.2026'!A:H,5,FALSE))</f>
        <v xml:space="preserve"> </v>
      </c>
      <c r="E173" s="7" t="str">
        <f>IF(A173=""," ",B173*VLOOKUP(A173,'01.01.2026 - 24.01.2026'!A:H,6,FALSE))</f>
        <v xml:space="preserve"> </v>
      </c>
      <c r="F173" s="7" t="str">
        <f>IF(A173=""," ",B173*VLOOKUP(A173,'01.01.2026 - 24.01.2026'!A:H,7,FALSE))</f>
        <v xml:space="preserve"> </v>
      </c>
      <c r="G173" s="7" t="str">
        <f>IF(A173=""," ",B173*VLOOKUP(A173,'01.01.2026 - 24.01.2026'!A:H,8,FALSE))</f>
        <v xml:space="preserve"> </v>
      </c>
    </row>
    <row r="174" spans="1:7" ht="14.15" customHeight="1" x14ac:dyDescent="0.25">
      <c r="A174" s="15"/>
      <c r="B174" s="22"/>
      <c r="C174" s="6" t="str">
        <f>IF(A174=""," ",VLOOKUP(A174,'01.01.2026 - 24.01.2026'!A:H,2,FALSE))</f>
        <v xml:space="preserve"> </v>
      </c>
      <c r="D174" s="30" t="str">
        <f>IF(A174=""," ",VLOOKUP(A174,'01.01.2026 - 24.01.2026'!A:H,5,FALSE))</f>
        <v xml:space="preserve"> </v>
      </c>
      <c r="E174" s="7" t="str">
        <f>IF(A174=""," ",B174*VLOOKUP(A174,'01.01.2026 - 24.01.2026'!A:H,6,FALSE))</f>
        <v xml:space="preserve"> </v>
      </c>
      <c r="F174" s="7" t="str">
        <f>IF(A174=""," ",B174*VLOOKUP(A174,'01.01.2026 - 24.01.2026'!A:H,7,FALSE))</f>
        <v xml:space="preserve"> </v>
      </c>
      <c r="G174" s="7" t="str">
        <f>IF(A174=""," ",B174*VLOOKUP(A174,'01.01.2026 - 24.01.2026'!A:H,8,FALSE))</f>
        <v xml:space="preserve"> </v>
      </c>
    </row>
    <row r="175" spans="1:7" ht="14.15" customHeight="1" x14ac:dyDescent="0.25">
      <c r="A175" s="15"/>
      <c r="B175" s="22"/>
      <c r="C175" s="6" t="str">
        <f>IF(A175=""," ",VLOOKUP(A175,'01.01.2026 - 24.01.2026'!A:H,2,FALSE))</f>
        <v xml:space="preserve"> </v>
      </c>
      <c r="D175" s="30" t="str">
        <f>IF(A175=""," ",VLOOKUP(A175,'01.01.2026 - 24.01.2026'!A:H,5,FALSE))</f>
        <v xml:space="preserve"> </v>
      </c>
      <c r="E175" s="7" t="str">
        <f>IF(A175=""," ",B175*VLOOKUP(A175,'01.01.2026 - 24.01.2026'!A:H,6,FALSE))</f>
        <v xml:space="preserve"> </v>
      </c>
      <c r="F175" s="7" t="str">
        <f>IF(A175=""," ",B175*VLOOKUP(A175,'01.01.2026 - 24.01.2026'!A:H,7,FALSE))</f>
        <v xml:space="preserve"> </v>
      </c>
      <c r="G175" s="7" t="str">
        <f>IF(A175=""," ",B175*VLOOKUP(A175,'01.01.2026 - 24.01.2026'!A:H,8,FALSE))</f>
        <v xml:space="preserve"> </v>
      </c>
    </row>
    <row r="176" spans="1:7" ht="14.15" customHeight="1" x14ac:dyDescent="0.25">
      <c r="A176" s="15"/>
      <c r="B176" s="22"/>
      <c r="C176" s="6" t="str">
        <f>IF(A176=""," ",VLOOKUP(A176,'01.01.2026 - 24.01.2026'!A:H,2,FALSE))</f>
        <v xml:space="preserve"> </v>
      </c>
      <c r="D176" s="30" t="str">
        <f>IF(A176=""," ",VLOOKUP(A176,'01.01.2026 - 24.01.2026'!A:H,5,FALSE))</f>
        <v xml:space="preserve"> </v>
      </c>
      <c r="E176" s="7" t="str">
        <f>IF(A176=""," ",B176*VLOOKUP(A176,'01.01.2026 - 24.01.2026'!A:H,6,FALSE))</f>
        <v xml:space="preserve"> </v>
      </c>
      <c r="F176" s="7" t="str">
        <f>IF(A176=""," ",B176*VLOOKUP(A176,'01.01.2026 - 24.01.2026'!A:H,7,FALSE))</f>
        <v xml:space="preserve"> </v>
      </c>
      <c r="G176" s="7" t="str">
        <f>IF(A176=""," ",B176*VLOOKUP(A176,'01.01.2026 - 24.01.2026'!A:H,8,FALSE))</f>
        <v xml:space="preserve"> </v>
      </c>
    </row>
    <row r="177" spans="1:7" ht="14.15" customHeight="1" x14ac:dyDescent="0.25">
      <c r="A177" s="15"/>
      <c r="B177" s="22"/>
      <c r="C177" s="6" t="str">
        <f>IF(A177=""," ",VLOOKUP(A177,'01.01.2026 - 24.01.2026'!A:H,2,FALSE))</f>
        <v xml:space="preserve"> </v>
      </c>
      <c r="D177" s="30" t="str">
        <f>IF(A177=""," ",VLOOKUP(A177,'01.01.2026 - 24.01.2026'!A:H,5,FALSE))</f>
        <v xml:space="preserve"> </v>
      </c>
      <c r="E177" s="7" t="str">
        <f>IF(A177=""," ",B177*VLOOKUP(A177,'01.01.2026 - 24.01.2026'!A:H,6,FALSE))</f>
        <v xml:space="preserve"> </v>
      </c>
      <c r="F177" s="7" t="str">
        <f>IF(A177=""," ",B177*VLOOKUP(A177,'01.01.2026 - 24.01.2026'!A:H,7,FALSE))</f>
        <v xml:space="preserve"> </v>
      </c>
      <c r="G177" s="7" t="str">
        <f>IF(A177=""," ",B177*VLOOKUP(A177,'01.01.2026 - 24.01.2026'!A:H,8,FALSE))</f>
        <v xml:space="preserve"> </v>
      </c>
    </row>
    <row r="178" spans="1:7" ht="14.15" customHeight="1" x14ac:dyDescent="0.25">
      <c r="A178" s="15"/>
      <c r="B178" s="22"/>
      <c r="C178" s="6" t="str">
        <f>IF(A178=""," ",VLOOKUP(A178,'01.01.2026 - 24.01.2026'!A:H,2,FALSE))</f>
        <v xml:space="preserve"> </v>
      </c>
      <c r="D178" s="30" t="str">
        <f>IF(A178=""," ",VLOOKUP(A178,'01.01.2026 - 24.01.2026'!A:H,5,FALSE))</f>
        <v xml:space="preserve"> </v>
      </c>
      <c r="E178" s="7" t="str">
        <f>IF(A178=""," ",B178*VLOOKUP(A178,'01.01.2026 - 24.01.2026'!A:H,6,FALSE))</f>
        <v xml:space="preserve"> </v>
      </c>
      <c r="F178" s="7" t="str">
        <f>IF(A178=""," ",B178*VLOOKUP(A178,'01.01.2026 - 24.01.2026'!A:H,7,FALSE))</f>
        <v xml:space="preserve"> </v>
      </c>
      <c r="G178" s="7" t="str">
        <f>IF(A178=""," ",B178*VLOOKUP(A178,'01.01.2026 - 24.01.2026'!A:H,8,FALSE))</f>
        <v xml:space="preserve"> </v>
      </c>
    </row>
    <row r="179" spans="1:7" ht="14.15" customHeight="1" x14ac:dyDescent="0.25">
      <c r="A179" s="15"/>
      <c r="B179" s="22"/>
      <c r="C179" s="6" t="str">
        <f>IF(A179=""," ",VLOOKUP(A179,'01.01.2026 - 24.01.2026'!A:H,2,FALSE))</f>
        <v xml:space="preserve"> </v>
      </c>
      <c r="D179" s="30" t="str">
        <f>IF(A179=""," ",VLOOKUP(A179,'01.01.2026 - 24.01.2026'!A:H,5,FALSE))</f>
        <v xml:space="preserve"> </v>
      </c>
      <c r="E179" s="7" t="str">
        <f>IF(A179=""," ",B179*VLOOKUP(A179,'01.01.2026 - 24.01.2026'!A:H,6,FALSE))</f>
        <v xml:space="preserve"> </v>
      </c>
      <c r="F179" s="7" t="str">
        <f>IF(A179=""," ",B179*VLOOKUP(A179,'01.01.2026 - 24.01.2026'!A:H,7,FALSE))</f>
        <v xml:space="preserve"> </v>
      </c>
      <c r="G179" s="7" t="str">
        <f>IF(A179=""," ",B179*VLOOKUP(A179,'01.01.2026 - 24.01.2026'!A:H,8,FALSE))</f>
        <v xml:space="preserve"> </v>
      </c>
    </row>
    <row r="180" spans="1:7" ht="14.15" customHeight="1" x14ac:dyDescent="0.25">
      <c r="A180" s="15"/>
      <c r="B180" s="22"/>
      <c r="C180" s="6" t="str">
        <f>IF(A180=""," ",VLOOKUP(A180,'01.01.2026 - 24.01.2026'!A:H,2,FALSE))</f>
        <v xml:space="preserve"> </v>
      </c>
      <c r="D180" s="30" t="str">
        <f>IF(A180=""," ",VLOOKUP(A180,'01.01.2026 - 24.01.2026'!A:H,5,FALSE))</f>
        <v xml:space="preserve"> </v>
      </c>
      <c r="E180" s="7" t="str">
        <f>IF(A180=""," ",B180*VLOOKUP(A180,'01.01.2026 - 24.01.2026'!A:H,6,FALSE))</f>
        <v xml:space="preserve"> </v>
      </c>
      <c r="F180" s="7" t="str">
        <f>IF(A180=""," ",B180*VLOOKUP(A180,'01.01.2026 - 24.01.2026'!A:H,7,FALSE))</f>
        <v xml:space="preserve"> </v>
      </c>
      <c r="G180" s="7" t="str">
        <f>IF(A180=""," ",B180*VLOOKUP(A180,'01.01.2026 - 24.01.2026'!A:H,8,FALSE))</f>
        <v xml:space="preserve"> </v>
      </c>
    </row>
    <row r="181" spans="1:7" ht="14.15" customHeight="1" x14ac:dyDescent="0.25">
      <c r="A181" s="15"/>
      <c r="B181" s="22"/>
      <c r="C181" s="6" t="str">
        <f>IF(A181=""," ",VLOOKUP(A181,'01.01.2026 - 24.01.2026'!A:H,2,FALSE))</f>
        <v xml:space="preserve"> </v>
      </c>
      <c r="D181" s="30" t="str">
        <f>IF(A181=""," ",VLOOKUP(A181,'01.01.2026 - 24.01.2026'!A:H,5,FALSE))</f>
        <v xml:space="preserve"> </v>
      </c>
      <c r="E181" s="7" t="str">
        <f>IF(A181=""," ",B181*VLOOKUP(A181,'01.01.2026 - 24.01.2026'!A:H,6,FALSE))</f>
        <v xml:space="preserve"> </v>
      </c>
      <c r="F181" s="7" t="str">
        <f>IF(A181=""," ",B181*VLOOKUP(A181,'01.01.2026 - 24.01.2026'!A:H,7,FALSE))</f>
        <v xml:space="preserve"> </v>
      </c>
      <c r="G181" s="7" t="str">
        <f>IF(A181=""," ",B181*VLOOKUP(A181,'01.01.2026 - 24.01.2026'!A:H,8,FALSE))</f>
        <v xml:space="preserve"> </v>
      </c>
    </row>
    <row r="182" spans="1:7" ht="14.15" customHeight="1" x14ac:dyDescent="0.25">
      <c r="A182" s="15"/>
      <c r="B182" s="22"/>
      <c r="C182" s="6" t="str">
        <f>IF(A182=""," ",VLOOKUP(A182,'01.01.2026 - 24.01.2026'!A:H,2,FALSE))</f>
        <v xml:space="preserve"> </v>
      </c>
      <c r="D182" s="30" t="str">
        <f>IF(A182=""," ",VLOOKUP(A182,'01.01.2026 - 24.01.2026'!A:H,5,FALSE))</f>
        <v xml:space="preserve"> </v>
      </c>
      <c r="E182" s="7" t="str">
        <f>IF(A182=""," ",B182*VLOOKUP(A182,'01.01.2026 - 24.01.2026'!A:H,6,FALSE))</f>
        <v xml:space="preserve"> </v>
      </c>
      <c r="F182" s="7" t="str">
        <f>IF(A182=""," ",B182*VLOOKUP(A182,'01.01.2026 - 24.01.2026'!A:H,7,FALSE))</f>
        <v xml:space="preserve"> </v>
      </c>
      <c r="G182" s="7" t="str">
        <f>IF(A182=""," ",B182*VLOOKUP(A182,'01.01.2026 - 24.01.2026'!A:H,8,FALSE))</f>
        <v xml:space="preserve"> </v>
      </c>
    </row>
    <row r="183" spans="1:7" ht="14.15" customHeight="1" x14ac:dyDescent="0.25">
      <c r="A183" s="15"/>
      <c r="B183" s="22"/>
      <c r="C183" s="6" t="str">
        <f>IF(A183=""," ",VLOOKUP(A183,'01.01.2026 - 24.01.2026'!A:H,2,FALSE))</f>
        <v xml:space="preserve"> </v>
      </c>
      <c r="D183" s="30" t="str">
        <f>IF(A183=""," ",VLOOKUP(A183,'01.01.2026 - 24.01.2026'!A:H,5,FALSE))</f>
        <v xml:space="preserve"> </v>
      </c>
      <c r="E183" s="7" t="str">
        <f>IF(A183=""," ",B183*VLOOKUP(A183,'01.01.2026 - 24.01.2026'!A:H,6,FALSE))</f>
        <v xml:space="preserve"> </v>
      </c>
      <c r="F183" s="7" t="str">
        <f>IF(A183=""," ",B183*VLOOKUP(A183,'01.01.2026 - 24.01.2026'!A:H,7,FALSE))</f>
        <v xml:space="preserve"> </v>
      </c>
      <c r="G183" s="7" t="str">
        <f>IF(A183=""," ",B183*VLOOKUP(A183,'01.01.2026 - 24.01.2026'!A:H,8,FALSE))</f>
        <v xml:space="preserve"> </v>
      </c>
    </row>
    <row r="184" spans="1:7" ht="14.15" customHeight="1" x14ac:dyDescent="0.25">
      <c r="A184" s="15"/>
      <c r="B184" s="22"/>
      <c r="C184" s="6" t="str">
        <f>IF(A184=""," ",VLOOKUP(A184,'01.01.2026 - 24.01.2026'!A:H,2,FALSE))</f>
        <v xml:space="preserve"> </v>
      </c>
      <c r="D184" s="30" t="str">
        <f>IF(A184=""," ",VLOOKUP(A184,'01.01.2026 - 24.01.2026'!A:H,5,FALSE))</f>
        <v xml:space="preserve"> </v>
      </c>
      <c r="E184" s="7" t="str">
        <f>IF(A184=""," ",B184*VLOOKUP(A184,'01.01.2026 - 24.01.2026'!A:H,6,FALSE))</f>
        <v xml:space="preserve"> </v>
      </c>
      <c r="F184" s="7" t="str">
        <f>IF(A184=""," ",B184*VLOOKUP(A184,'01.01.2026 - 24.01.2026'!A:H,7,FALSE))</f>
        <v xml:space="preserve"> </v>
      </c>
      <c r="G184" s="7" t="str">
        <f>IF(A184=""," ",B184*VLOOKUP(A184,'01.01.2026 - 24.01.2026'!A:H,8,FALSE))</f>
        <v xml:space="preserve"> </v>
      </c>
    </row>
    <row r="185" spans="1:7" ht="14.15" customHeight="1" x14ac:dyDescent="0.25">
      <c r="A185" s="15"/>
      <c r="B185" s="22"/>
      <c r="C185" s="6" t="str">
        <f>IF(A185=""," ",VLOOKUP(A185,'01.01.2026 - 24.01.2026'!A:H,2,FALSE))</f>
        <v xml:space="preserve"> </v>
      </c>
      <c r="D185" s="30" t="str">
        <f>IF(A185=""," ",VLOOKUP(A185,'01.01.2026 - 24.01.2026'!A:H,5,FALSE))</f>
        <v xml:space="preserve"> </v>
      </c>
      <c r="E185" s="7" t="str">
        <f>IF(A185=""," ",B185*VLOOKUP(A185,'01.01.2026 - 24.01.2026'!A:H,6,FALSE))</f>
        <v xml:space="preserve"> </v>
      </c>
      <c r="F185" s="7" t="str">
        <f>IF(A185=""," ",B185*VLOOKUP(A185,'01.01.2026 - 24.01.2026'!A:H,7,FALSE))</f>
        <v xml:space="preserve"> </v>
      </c>
      <c r="G185" s="7" t="str">
        <f>IF(A185=""," ",B185*VLOOKUP(A185,'01.01.2026 - 24.01.2026'!A:H,8,FALSE))</f>
        <v xml:space="preserve"> </v>
      </c>
    </row>
    <row r="186" spans="1:7" ht="14.15" customHeight="1" x14ac:dyDescent="0.25">
      <c r="A186" s="15"/>
      <c r="B186" s="22"/>
      <c r="C186" s="6" t="str">
        <f>IF(A186=""," ",VLOOKUP(A186,'01.01.2026 - 24.01.2026'!A:H,2,FALSE))</f>
        <v xml:space="preserve"> </v>
      </c>
      <c r="D186" s="30" t="str">
        <f>IF(A186=""," ",VLOOKUP(A186,'01.01.2026 - 24.01.2026'!A:H,5,FALSE))</f>
        <v xml:space="preserve"> </v>
      </c>
      <c r="E186" s="7" t="str">
        <f>IF(A186=""," ",B186*VLOOKUP(A186,'01.01.2026 - 24.01.2026'!A:H,6,FALSE))</f>
        <v xml:space="preserve"> </v>
      </c>
      <c r="F186" s="7" t="str">
        <f>IF(A186=""," ",B186*VLOOKUP(A186,'01.01.2026 - 24.01.2026'!A:H,7,FALSE))</f>
        <v xml:space="preserve"> </v>
      </c>
      <c r="G186" s="7" t="str">
        <f>IF(A186=""," ",B186*VLOOKUP(A186,'01.01.2026 - 24.01.2026'!A:H,8,FALSE))</f>
        <v xml:space="preserve"> </v>
      </c>
    </row>
    <row r="187" spans="1:7" ht="14.15" customHeight="1" x14ac:dyDescent="0.25">
      <c r="A187" s="15"/>
      <c r="B187" s="22"/>
      <c r="C187" s="6" t="str">
        <f>IF(A187=""," ",VLOOKUP(A187,'01.01.2026 - 24.01.2026'!A:H,2,FALSE))</f>
        <v xml:space="preserve"> </v>
      </c>
      <c r="D187" s="30" t="str">
        <f>IF(A187=""," ",VLOOKUP(A187,'01.01.2026 - 24.01.2026'!A:H,5,FALSE))</f>
        <v xml:space="preserve"> </v>
      </c>
      <c r="E187" s="7" t="str">
        <f>IF(A187=""," ",B187*VLOOKUP(A187,'01.01.2026 - 24.01.2026'!A:H,6,FALSE))</f>
        <v xml:space="preserve"> </v>
      </c>
      <c r="F187" s="7" t="str">
        <f>IF(A187=""," ",B187*VLOOKUP(A187,'01.01.2026 - 24.01.2026'!A:H,7,FALSE))</f>
        <v xml:space="preserve"> </v>
      </c>
      <c r="G187" s="7" t="str">
        <f>IF(A187=""," ",B187*VLOOKUP(A187,'01.01.2026 - 24.01.2026'!A:H,8,FALSE))</f>
        <v xml:space="preserve"> </v>
      </c>
    </row>
    <row r="188" spans="1:7" ht="14.15" customHeight="1" x14ac:dyDescent="0.25">
      <c r="A188" s="15"/>
      <c r="B188" s="22"/>
      <c r="C188" s="6" t="str">
        <f>IF(A188=""," ",VLOOKUP(A188,'01.01.2026 - 24.01.2026'!A:H,2,FALSE))</f>
        <v xml:space="preserve"> </v>
      </c>
      <c r="D188" s="30" t="str">
        <f>IF(A188=""," ",VLOOKUP(A188,'01.01.2026 - 24.01.2026'!A:H,5,FALSE))</f>
        <v xml:space="preserve"> </v>
      </c>
      <c r="E188" s="7" t="str">
        <f>IF(A188=""," ",B188*VLOOKUP(A188,'01.01.2026 - 24.01.2026'!A:H,6,FALSE))</f>
        <v xml:space="preserve"> </v>
      </c>
      <c r="F188" s="7" t="str">
        <f>IF(A188=""," ",B188*VLOOKUP(A188,'01.01.2026 - 24.01.2026'!A:H,7,FALSE))</f>
        <v xml:space="preserve"> </v>
      </c>
      <c r="G188" s="7" t="str">
        <f>IF(A188=""," ",B188*VLOOKUP(A188,'01.01.2026 - 24.01.2026'!A:H,8,FALSE))</f>
        <v xml:space="preserve"> </v>
      </c>
    </row>
    <row r="189" spans="1:7" ht="14.15" customHeight="1" x14ac:dyDescent="0.25">
      <c r="A189" s="15"/>
      <c r="B189" s="22"/>
      <c r="C189" s="6" t="str">
        <f>IF(A189=""," ",VLOOKUP(A189,'01.01.2026 - 24.01.2026'!A:H,2,FALSE))</f>
        <v xml:space="preserve"> </v>
      </c>
      <c r="D189" s="30" t="str">
        <f>IF(A189=""," ",VLOOKUP(A189,'01.01.2026 - 24.01.2026'!A:H,5,FALSE))</f>
        <v xml:space="preserve"> </v>
      </c>
      <c r="E189" s="7" t="str">
        <f>IF(A189=""," ",B189*VLOOKUP(A189,'01.01.2026 - 24.01.2026'!A:H,6,FALSE))</f>
        <v xml:space="preserve"> </v>
      </c>
      <c r="F189" s="7" t="str">
        <f>IF(A189=""," ",B189*VLOOKUP(A189,'01.01.2026 - 24.01.2026'!A:H,7,FALSE))</f>
        <v xml:space="preserve"> </v>
      </c>
      <c r="G189" s="7" t="str">
        <f>IF(A189=""," ",B189*VLOOKUP(A189,'01.01.2026 - 24.01.2026'!A:H,8,FALSE))</f>
        <v xml:space="preserve"> </v>
      </c>
    </row>
    <row r="190" spans="1:7" ht="14.15" customHeight="1" x14ac:dyDescent="0.25">
      <c r="A190" s="15"/>
      <c r="B190" s="22"/>
      <c r="C190" s="6" t="str">
        <f>IF(A190=""," ",VLOOKUP(A190,'01.01.2026 - 24.01.2026'!A:H,2,FALSE))</f>
        <v xml:space="preserve"> </v>
      </c>
      <c r="D190" s="30" t="str">
        <f>IF(A190=""," ",VLOOKUP(A190,'01.01.2026 - 24.01.2026'!A:H,5,FALSE))</f>
        <v xml:space="preserve"> </v>
      </c>
      <c r="E190" s="7" t="str">
        <f>IF(A190=""," ",B190*VLOOKUP(A190,'01.01.2026 - 24.01.2026'!A:H,6,FALSE))</f>
        <v xml:space="preserve"> </v>
      </c>
      <c r="F190" s="7" t="str">
        <f>IF(A190=""," ",B190*VLOOKUP(A190,'01.01.2026 - 24.01.2026'!A:H,7,FALSE))</f>
        <v xml:space="preserve"> </v>
      </c>
      <c r="G190" s="7" t="str">
        <f>IF(A190=""," ",B190*VLOOKUP(A190,'01.01.2026 - 24.01.2026'!A:H,8,FALSE))</f>
        <v xml:space="preserve"> </v>
      </c>
    </row>
    <row r="191" spans="1:7" ht="14.15" customHeight="1" x14ac:dyDescent="0.25">
      <c r="A191" s="15"/>
      <c r="B191" s="22"/>
      <c r="C191" s="6" t="str">
        <f>IF(A191=""," ",VLOOKUP(A191,'01.01.2026 - 24.01.2026'!A:H,2,FALSE))</f>
        <v xml:space="preserve"> </v>
      </c>
      <c r="D191" s="30" t="str">
        <f>IF(A191=""," ",VLOOKUP(A191,'01.01.2026 - 24.01.2026'!A:H,5,FALSE))</f>
        <v xml:space="preserve"> </v>
      </c>
      <c r="E191" s="7" t="str">
        <f>IF(A191=""," ",B191*VLOOKUP(A191,'01.01.2026 - 24.01.2026'!A:H,6,FALSE))</f>
        <v xml:space="preserve"> </v>
      </c>
      <c r="F191" s="7" t="str">
        <f>IF(A191=""," ",B191*VLOOKUP(A191,'01.01.2026 - 24.01.2026'!A:H,7,FALSE))</f>
        <v xml:space="preserve"> </v>
      </c>
      <c r="G191" s="7" t="str">
        <f>IF(A191=""," ",B191*VLOOKUP(A191,'01.01.2026 - 24.01.2026'!A:H,8,FALSE))</f>
        <v xml:space="preserve"> </v>
      </c>
    </row>
    <row r="192" spans="1:7" ht="14.15" customHeight="1" x14ac:dyDescent="0.25">
      <c r="A192" s="15"/>
      <c r="B192" s="22"/>
      <c r="C192" s="6" t="str">
        <f>IF(A192=""," ",VLOOKUP(A192,'01.01.2026 - 24.01.2026'!A:H,2,FALSE))</f>
        <v xml:space="preserve"> </v>
      </c>
      <c r="D192" s="30" t="str">
        <f>IF(A192=""," ",VLOOKUP(A192,'01.01.2026 - 24.01.2026'!A:H,5,FALSE))</f>
        <v xml:space="preserve"> </v>
      </c>
      <c r="E192" s="7" t="str">
        <f>IF(A192=""," ",B192*VLOOKUP(A192,'01.01.2026 - 24.01.2026'!A:H,6,FALSE))</f>
        <v xml:space="preserve"> </v>
      </c>
      <c r="F192" s="7" t="str">
        <f>IF(A192=""," ",B192*VLOOKUP(A192,'01.01.2026 - 24.01.2026'!A:H,7,FALSE))</f>
        <v xml:space="preserve"> </v>
      </c>
      <c r="G192" s="7" t="str">
        <f>IF(A192=""," ",B192*VLOOKUP(A192,'01.01.2026 - 24.01.2026'!A:H,8,FALSE))</f>
        <v xml:space="preserve"> </v>
      </c>
    </row>
    <row r="193" spans="1:7" ht="14.15" customHeight="1" x14ac:dyDescent="0.25">
      <c r="A193" s="15"/>
      <c r="B193" s="22"/>
      <c r="C193" s="6" t="str">
        <f>IF(A193=""," ",VLOOKUP(A193,'01.01.2026 - 24.01.2026'!A:H,2,FALSE))</f>
        <v xml:space="preserve"> </v>
      </c>
      <c r="D193" s="30" t="str">
        <f>IF(A193=""," ",VLOOKUP(A193,'01.01.2026 - 24.01.2026'!A:H,5,FALSE))</f>
        <v xml:space="preserve"> </v>
      </c>
      <c r="E193" s="7" t="str">
        <f>IF(A193=""," ",B193*VLOOKUP(A193,'01.01.2026 - 24.01.2026'!A:H,6,FALSE))</f>
        <v xml:space="preserve"> </v>
      </c>
      <c r="F193" s="7" t="str">
        <f>IF(A193=""," ",B193*VLOOKUP(A193,'01.01.2026 - 24.01.2026'!A:H,7,FALSE))</f>
        <v xml:space="preserve"> </v>
      </c>
      <c r="G193" s="7" t="str">
        <f>IF(A193=""," ",B193*VLOOKUP(A193,'01.01.2026 - 24.01.2026'!A:H,8,FALSE))</f>
        <v xml:space="preserve"> </v>
      </c>
    </row>
    <row r="194" spans="1:7" ht="14.15" customHeight="1" x14ac:dyDescent="0.25">
      <c r="A194" s="15"/>
      <c r="B194" s="22"/>
      <c r="C194" s="6" t="str">
        <f>IF(A194=""," ",VLOOKUP(A194,'01.01.2026 - 24.01.2026'!A:H,2,FALSE))</f>
        <v xml:space="preserve"> </v>
      </c>
      <c r="D194" s="30" t="str">
        <f>IF(A194=""," ",VLOOKUP(A194,'01.01.2026 - 24.01.2026'!A:H,5,FALSE))</f>
        <v xml:space="preserve"> </v>
      </c>
      <c r="E194" s="7" t="str">
        <f>IF(A194=""," ",B194*VLOOKUP(A194,'01.01.2026 - 24.01.2026'!A:H,6,FALSE))</f>
        <v xml:space="preserve"> </v>
      </c>
      <c r="F194" s="7" t="str">
        <f>IF(A194=""," ",B194*VLOOKUP(A194,'01.01.2026 - 24.01.2026'!A:H,7,FALSE))</f>
        <v xml:space="preserve"> </v>
      </c>
      <c r="G194" s="7" t="str">
        <f>IF(A194=""," ",B194*VLOOKUP(A194,'01.01.2026 - 24.01.2026'!A:H,8,FALSE))</f>
        <v xml:space="preserve"> </v>
      </c>
    </row>
    <row r="195" spans="1:7" ht="14.15" customHeight="1" x14ac:dyDescent="0.25">
      <c r="A195" s="15"/>
      <c r="B195" s="22"/>
      <c r="C195" s="6" t="str">
        <f>IF(A195=""," ",VLOOKUP(A195,'01.01.2026 - 24.01.2026'!A:H,2,FALSE))</f>
        <v xml:space="preserve"> </v>
      </c>
      <c r="D195" s="30" t="str">
        <f>IF(A195=""," ",VLOOKUP(A195,'01.01.2026 - 24.01.2026'!A:H,5,FALSE))</f>
        <v xml:space="preserve"> </v>
      </c>
      <c r="E195" s="7" t="str">
        <f>IF(A195=""," ",B195*VLOOKUP(A195,'01.01.2026 - 24.01.2026'!A:H,6,FALSE))</f>
        <v xml:space="preserve"> </v>
      </c>
      <c r="F195" s="7" t="str">
        <f>IF(A195=""," ",B195*VLOOKUP(A195,'01.01.2026 - 24.01.2026'!A:H,7,FALSE))</f>
        <v xml:space="preserve"> </v>
      </c>
      <c r="G195" s="7" t="str">
        <f>IF(A195=""," ",B195*VLOOKUP(A195,'01.01.2026 - 24.01.2026'!A:H,8,FALSE))</f>
        <v xml:space="preserve"> </v>
      </c>
    </row>
    <row r="196" spans="1:7" ht="14.15" customHeight="1" x14ac:dyDescent="0.25">
      <c r="A196" s="15"/>
      <c r="B196" s="22"/>
      <c r="C196" s="6" t="str">
        <f>IF(A196=""," ",VLOOKUP(A196,'01.01.2026 - 24.01.2026'!A:H,2,FALSE))</f>
        <v xml:space="preserve"> </v>
      </c>
      <c r="D196" s="30" t="str">
        <f>IF(A196=""," ",VLOOKUP(A196,'01.01.2026 - 24.01.2026'!A:H,5,FALSE))</f>
        <v xml:space="preserve"> </v>
      </c>
      <c r="E196" s="7" t="str">
        <f>IF(A196=""," ",B196*VLOOKUP(A196,'01.01.2026 - 24.01.2026'!A:H,6,FALSE))</f>
        <v xml:space="preserve"> </v>
      </c>
      <c r="F196" s="7" t="str">
        <f>IF(A196=""," ",B196*VLOOKUP(A196,'01.01.2026 - 24.01.2026'!A:H,7,FALSE))</f>
        <v xml:space="preserve"> </v>
      </c>
      <c r="G196" s="7" t="str">
        <f>IF(A196=""," ",B196*VLOOKUP(A196,'01.01.2026 - 24.01.2026'!A:H,8,FALSE))</f>
        <v xml:space="preserve"> </v>
      </c>
    </row>
    <row r="197" spans="1:7" ht="14.15" customHeight="1" x14ac:dyDescent="0.25">
      <c r="A197" s="15"/>
      <c r="B197" s="22"/>
      <c r="C197" s="6" t="str">
        <f>IF(A197=""," ",VLOOKUP(A197,'01.01.2026 - 24.01.2026'!A:H,2,FALSE))</f>
        <v xml:space="preserve"> </v>
      </c>
      <c r="D197" s="30" t="str">
        <f>IF(A197=""," ",VLOOKUP(A197,'01.01.2026 - 24.01.2026'!A:H,5,FALSE))</f>
        <v xml:space="preserve"> </v>
      </c>
      <c r="E197" s="7" t="str">
        <f>IF(A197=""," ",B197*VLOOKUP(A197,'01.01.2026 - 24.01.2026'!A:H,6,FALSE))</f>
        <v xml:space="preserve"> </v>
      </c>
      <c r="F197" s="7" t="str">
        <f>IF(A197=""," ",B197*VLOOKUP(A197,'01.01.2026 - 24.01.2026'!A:H,7,FALSE))</f>
        <v xml:space="preserve"> </v>
      </c>
      <c r="G197" s="7" t="str">
        <f>IF(A197=""," ",B197*VLOOKUP(A197,'01.01.2026 - 24.01.2026'!A:H,8,FALSE))</f>
        <v xml:space="preserve"> </v>
      </c>
    </row>
    <row r="198" spans="1:7" ht="14.15" customHeight="1" x14ac:dyDescent="0.25">
      <c r="A198" s="15"/>
      <c r="B198" s="22"/>
      <c r="C198" s="6" t="str">
        <f>IF(A198=""," ",VLOOKUP(A198,'01.01.2026 - 24.01.2026'!A:H,2,FALSE))</f>
        <v xml:space="preserve"> </v>
      </c>
      <c r="D198" s="30" t="str">
        <f>IF(A198=""," ",VLOOKUP(A198,'01.01.2026 - 24.01.2026'!A:H,5,FALSE))</f>
        <v xml:space="preserve"> </v>
      </c>
      <c r="E198" s="7" t="str">
        <f>IF(A198=""," ",B198*VLOOKUP(A198,'01.01.2026 - 24.01.2026'!A:H,6,FALSE))</f>
        <v xml:space="preserve"> </v>
      </c>
      <c r="F198" s="7" t="str">
        <f>IF(A198=""," ",B198*VLOOKUP(A198,'01.01.2026 - 24.01.2026'!A:H,7,FALSE))</f>
        <v xml:space="preserve"> </v>
      </c>
      <c r="G198" s="7" t="str">
        <f>IF(A198=""," ",B198*VLOOKUP(A198,'01.01.2026 - 24.01.2026'!A:H,8,FALSE))</f>
        <v xml:space="preserve"> </v>
      </c>
    </row>
    <row r="199" spans="1:7" ht="14.15" customHeight="1" x14ac:dyDescent="0.25">
      <c r="A199" s="15"/>
      <c r="B199" s="22"/>
      <c r="C199" s="6" t="str">
        <f>IF(A199=""," ",VLOOKUP(A199,'01.01.2026 - 24.01.2026'!A:H,2,FALSE))</f>
        <v xml:space="preserve"> </v>
      </c>
      <c r="D199" s="30" t="str">
        <f>IF(A199=""," ",VLOOKUP(A199,'01.01.2026 - 24.01.2026'!A:H,5,FALSE))</f>
        <v xml:space="preserve"> </v>
      </c>
      <c r="E199" s="7" t="str">
        <f>IF(A199=""," ",B199*VLOOKUP(A199,'01.01.2026 - 24.01.2026'!A:H,6,FALSE))</f>
        <v xml:space="preserve"> </v>
      </c>
      <c r="F199" s="7" t="str">
        <f>IF(A199=""," ",B199*VLOOKUP(A199,'01.01.2026 - 24.01.2026'!A:H,7,FALSE))</f>
        <v xml:space="preserve"> </v>
      </c>
      <c r="G199" s="7" t="str">
        <f>IF(A199=""," ",B199*VLOOKUP(A199,'01.01.2026 - 24.01.2026'!A:H,8,FALSE))</f>
        <v xml:space="preserve"> </v>
      </c>
    </row>
    <row r="200" spans="1:7" ht="14.15" customHeight="1" x14ac:dyDescent="0.25">
      <c r="A200" s="15"/>
      <c r="B200" s="22"/>
      <c r="C200" s="6" t="str">
        <f>IF(A200=""," ",VLOOKUP(A200,'01.01.2026 - 24.01.2026'!A:H,2,FALSE))</f>
        <v xml:space="preserve"> </v>
      </c>
      <c r="D200" s="30" t="str">
        <f>IF(A200=""," ",VLOOKUP(A200,'01.01.2026 - 24.01.2026'!A:H,5,FALSE))</f>
        <v xml:space="preserve"> </v>
      </c>
      <c r="E200" s="7" t="str">
        <f>IF(A200=""," ",B200*VLOOKUP(A200,'01.01.2026 - 24.01.2026'!A:H,6,FALSE))</f>
        <v xml:space="preserve"> </v>
      </c>
      <c r="F200" s="7" t="str">
        <f>IF(A200=""," ",B200*VLOOKUP(A200,'01.01.2026 - 24.01.2026'!A:H,7,FALSE))</f>
        <v xml:space="preserve"> </v>
      </c>
      <c r="G200" s="7" t="str">
        <f>IF(A200=""," ",B200*VLOOKUP(A200,'01.01.2026 - 24.01.2026'!A:H,8,FALSE))</f>
        <v xml:space="preserve"> </v>
      </c>
    </row>
    <row r="201" spans="1:7" ht="14.15" customHeight="1" x14ac:dyDescent="0.25">
      <c r="A201" s="15"/>
      <c r="B201" s="22"/>
      <c r="C201" s="6" t="str">
        <f>IF(A201=""," ",VLOOKUP(A201,'01.01.2026 - 24.01.2026'!A:H,2,FALSE))</f>
        <v xml:space="preserve"> </v>
      </c>
      <c r="D201" s="30" t="str">
        <f>IF(A201=""," ",VLOOKUP(A201,'01.01.2026 - 24.01.2026'!A:H,5,FALSE))</f>
        <v xml:space="preserve"> </v>
      </c>
      <c r="E201" s="7" t="str">
        <f>IF(A201=""," ",B201*VLOOKUP(A201,'01.01.2026 - 24.01.2026'!A:H,6,FALSE))</f>
        <v xml:space="preserve"> </v>
      </c>
      <c r="F201" s="7" t="str">
        <f>IF(A201=""," ",B201*VLOOKUP(A201,'01.01.2026 - 24.01.2026'!A:H,7,FALSE))</f>
        <v xml:space="preserve"> </v>
      </c>
      <c r="G201" s="7" t="str">
        <f>IF(A201=""," ",B201*VLOOKUP(A201,'01.01.2026 - 24.01.2026'!A:H,8,FALSE))</f>
        <v xml:space="preserve"> </v>
      </c>
    </row>
    <row r="202" spans="1:7" ht="14.15" customHeight="1" x14ac:dyDescent="0.25">
      <c r="A202" s="15"/>
      <c r="B202" s="22"/>
      <c r="C202" s="6" t="str">
        <f>IF(A202=""," ",VLOOKUP(A202,'01.01.2026 - 24.01.2026'!A:H,2,FALSE))</f>
        <v xml:space="preserve"> </v>
      </c>
      <c r="D202" s="30" t="str">
        <f>IF(A202=""," ",VLOOKUP(A202,'01.01.2026 - 24.01.2026'!A:H,5,FALSE))</f>
        <v xml:space="preserve"> </v>
      </c>
      <c r="E202" s="7" t="str">
        <f>IF(A202=""," ",B202*VLOOKUP(A202,'01.01.2026 - 24.01.2026'!A:H,6,FALSE))</f>
        <v xml:space="preserve"> </v>
      </c>
      <c r="F202" s="7" t="str">
        <f>IF(A202=""," ",B202*VLOOKUP(A202,'01.01.2026 - 24.01.2026'!A:H,7,FALSE))</f>
        <v xml:space="preserve"> </v>
      </c>
      <c r="G202" s="7" t="str">
        <f>IF(A202=""," ",B202*VLOOKUP(A202,'01.01.2026 - 24.01.2026'!A:H,8,FALSE))</f>
        <v xml:space="preserve"> </v>
      </c>
    </row>
    <row r="203" spans="1:7" ht="14.15" customHeight="1" x14ac:dyDescent="0.25">
      <c r="A203" s="15"/>
      <c r="B203" s="22"/>
      <c r="C203" s="6" t="str">
        <f>IF(A203=""," ",VLOOKUP(A203,'01.01.2026 - 24.01.2026'!A:H,2,FALSE))</f>
        <v xml:space="preserve"> </v>
      </c>
      <c r="D203" s="30" t="str">
        <f>IF(A203=""," ",VLOOKUP(A203,'01.01.2026 - 24.01.2026'!A:H,5,FALSE))</f>
        <v xml:space="preserve"> </v>
      </c>
      <c r="E203" s="7" t="str">
        <f>IF(A203=""," ",B203*VLOOKUP(A203,'01.01.2026 - 24.01.2026'!A:H,6,FALSE))</f>
        <v xml:space="preserve"> </v>
      </c>
      <c r="F203" s="7" t="str">
        <f>IF(A203=""," ",B203*VLOOKUP(A203,'01.01.2026 - 24.01.2026'!A:H,7,FALSE))</f>
        <v xml:space="preserve"> </v>
      </c>
      <c r="G203" s="7" t="str">
        <f>IF(A203=""," ",B203*VLOOKUP(A203,'01.01.2026 - 24.01.2026'!A:H,8,FALSE))</f>
        <v xml:space="preserve"> </v>
      </c>
    </row>
    <row r="204" spans="1:7" ht="14.15" customHeight="1" x14ac:dyDescent="0.25">
      <c r="A204" s="15"/>
      <c r="B204" s="22"/>
      <c r="C204" s="6" t="str">
        <f>IF(A204=""," ",VLOOKUP(A204,'01.01.2026 - 24.01.2026'!A:H,2,FALSE))</f>
        <v xml:space="preserve"> </v>
      </c>
      <c r="D204" s="30" t="str">
        <f>IF(A204=""," ",VLOOKUP(A204,'01.01.2026 - 24.01.2026'!A:H,5,FALSE))</f>
        <v xml:space="preserve"> </v>
      </c>
      <c r="E204" s="7" t="str">
        <f>IF(A204=""," ",B204*VLOOKUP(A204,'01.01.2026 - 24.01.2026'!A:H,6,FALSE))</f>
        <v xml:space="preserve"> </v>
      </c>
      <c r="F204" s="7" t="str">
        <f>IF(A204=""," ",B204*VLOOKUP(A204,'01.01.2026 - 24.01.2026'!A:H,7,FALSE))</f>
        <v xml:space="preserve"> </v>
      </c>
      <c r="G204" s="7" t="str">
        <f>IF(A204=""," ",B204*VLOOKUP(A204,'01.01.2026 - 24.01.2026'!A:H,8,FALSE))</f>
        <v xml:space="preserve"> </v>
      </c>
    </row>
    <row r="205" spans="1:7" ht="14.15" customHeight="1" x14ac:dyDescent="0.25">
      <c r="A205" s="15"/>
      <c r="B205" s="22"/>
      <c r="C205" s="6" t="str">
        <f>IF(A205=""," ",VLOOKUP(A205,'01.01.2026 - 24.01.2026'!A:H,2,FALSE))</f>
        <v xml:space="preserve"> </v>
      </c>
      <c r="D205" s="30" t="str">
        <f>IF(A205=""," ",VLOOKUP(A205,'01.01.2026 - 24.01.2026'!A:H,5,FALSE))</f>
        <v xml:space="preserve"> </v>
      </c>
      <c r="E205" s="7" t="str">
        <f>IF(A205=""," ",B205*VLOOKUP(A205,'01.01.2026 - 24.01.2026'!A:H,6,FALSE))</f>
        <v xml:space="preserve"> </v>
      </c>
      <c r="F205" s="7" t="str">
        <f>IF(A205=""," ",B205*VLOOKUP(A205,'01.01.2026 - 24.01.2026'!A:H,7,FALSE))</f>
        <v xml:space="preserve"> </v>
      </c>
      <c r="G205" s="7" t="str">
        <f>IF(A205=""," ",B205*VLOOKUP(A205,'01.01.2026 - 24.01.2026'!A:H,8,FALSE))</f>
        <v xml:space="preserve"> </v>
      </c>
    </row>
    <row r="206" spans="1:7" ht="14.15" customHeight="1" x14ac:dyDescent="0.25">
      <c r="A206" s="15"/>
      <c r="B206" s="22"/>
      <c r="C206" s="6" t="str">
        <f>IF(A206=""," ",VLOOKUP(A206,'01.01.2026 - 24.01.2026'!A:H,2,FALSE))</f>
        <v xml:space="preserve"> </v>
      </c>
      <c r="D206" s="30" t="str">
        <f>IF(A206=""," ",VLOOKUP(A206,'01.01.2026 - 24.01.2026'!A:H,5,FALSE))</f>
        <v xml:space="preserve"> </v>
      </c>
      <c r="E206" s="7" t="str">
        <f>IF(A206=""," ",B206*VLOOKUP(A206,'01.01.2026 - 24.01.2026'!A:H,6,FALSE))</f>
        <v xml:space="preserve"> </v>
      </c>
      <c r="F206" s="7" t="str">
        <f>IF(A206=""," ",B206*VLOOKUP(A206,'01.01.2026 - 24.01.2026'!A:H,7,FALSE))</f>
        <v xml:space="preserve"> </v>
      </c>
      <c r="G206" s="7" t="str">
        <f>IF(A206=""," ",B206*VLOOKUP(A206,'01.01.2026 - 24.01.2026'!A:H,8,FALSE))</f>
        <v xml:space="preserve"> </v>
      </c>
    </row>
    <row r="207" spans="1:7" ht="14.15" customHeight="1" x14ac:dyDescent="0.25">
      <c r="A207" s="15"/>
      <c r="B207" s="22"/>
      <c r="C207" s="6" t="str">
        <f>IF(A207=""," ",VLOOKUP(A207,'01.01.2026 - 24.01.2026'!A:H,2,FALSE))</f>
        <v xml:space="preserve"> </v>
      </c>
      <c r="D207" s="30" t="str">
        <f>IF(A207=""," ",VLOOKUP(A207,'01.01.2026 - 24.01.2026'!A:H,5,FALSE))</f>
        <v xml:space="preserve"> </v>
      </c>
      <c r="E207" s="7" t="str">
        <f>IF(A207=""," ",B207*VLOOKUP(A207,'01.01.2026 - 24.01.2026'!A:H,6,FALSE))</f>
        <v xml:space="preserve"> </v>
      </c>
      <c r="F207" s="7" t="str">
        <f>IF(A207=""," ",B207*VLOOKUP(A207,'01.01.2026 - 24.01.2026'!A:H,7,FALSE))</f>
        <v xml:space="preserve"> </v>
      </c>
      <c r="G207" s="7" t="str">
        <f>IF(A207=""," ",B207*VLOOKUP(A207,'01.01.2026 - 24.01.2026'!A:H,8,FALSE))</f>
        <v xml:space="preserve"> </v>
      </c>
    </row>
    <row r="208" spans="1:7" ht="14.15" customHeight="1" x14ac:dyDescent="0.25">
      <c r="A208" s="15"/>
      <c r="B208" s="22"/>
      <c r="C208" s="6" t="str">
        <f>IF(A208=""," ",VLOOKUP(A208,'01.01.2026 - 24.01.2026'!A:H,2,FALSE))</f>
        <v xml:space="preserve"> </v>
      </c>
      <c r="D208" s="30" t="str">
        <f>IF(A208=""," ",VLOOKUP(A208,'01.01.2026 - 24.01.2026'!A:H,5,FALSE))</f>
        <v xml:space="preserve"> </v>
      </c>
      <c r="E208" s="7" t="str">
        <f>IF(A208=""," ",B208*VLOOKUP(A208,'01.01.2026 - 24.01.2026'!A:H,6,FALSE))</f>
        <v xml:space="preserve"> </v>
      </c>
      <c r="F208" s="7" t="str">
        <f>IF(A208=""," ",B208*VLOOKUP(A208,'01.01.2026 - 24.01.2026'!A:H,7,FALSE))</f>
        <v xml:space="preserve"> </v>
      </c>
      <c r="G208" s="7" t="str">
        <f>IF(A208=""," ",B208*VLOOKUP(A208,'01.01.2026 - 24.01.2026'!A:H,8,FALSE))</f>
        <v xml:space="preserve"> </v>
      </c>
    </row>
    <row r="209" spans="1:7" ht="14.15" customHeight="1" x14ac:dyDescent="0.25">
      <c r="A209" s="15"/>
      <c r="B209" s="22"/>
      <c r="C209" s="6" t="str">
        <f>IF(A209=""," ",VLOOKUP(A209,'01.01.2026 - 24.01.2026'!A:H,2,FALSE))</f>
        <v xml:space="preserve"> </v>
      </c>
      <c r="D209" s="30" t="str">
        <f>IF(A209=""," ",VLOOKUP(A209,'01.01.2026 - 24.01.2026'!A:H,5,FALSE))</f>
        <v xml:space="preserve"> </v>
      </c>
      <c r="E209" s="7" t="str">
        <f>IF(A209=""," ",B209*VLOOKUP(A209,'01.01.2026 - 24.01.2026'!A:H,6,FALSE))</f>
        <v xml:space="preserve"> </v>
      </c>
      <c r="F209" s="7" t="str">
        <f>IF(A209=""," ",B209*VLOOKUP(A209,'01.01.2026 - 24.01.2026'!A:H,7,FALSE))</f>
        <v xml:space="preserve"> </v>
      </c>
      <c r="G209" s="7" t="str">
        <f>IF(A209=""," ",B209*VLOOKUP(A209,'01.01.2026 - 24.01.2026'!A:H,8,FALSE))</f>
        <v xml:space="preserve"> </v>
      </c>
    </row>
    <row r="210" spans="1:7" ht="14.15" customHeight="1" x14ac:dyDescent="0.25">
      <c r="A210" s="15"/>
      <c r="B210" s="22"/>
      <c r="C210" s="6" t="str">
        <f>IF(A210=""," ",VLOOKUP(A210,'01.01.2026 - 24.01.2026'!A:H,2,FALSE))</f>
        <v xml:space="preserve"> </v>
      </c>
      <c r="D210" s="30" t="str">
        <f>IF(A210=""," ",VLOOKUP(A210,'01.01.2026 - 24.01.2026'!A:H,5,FALSE))</f>
        <v xml:space="preserve"> </v>
      </c>
      <c r="E210" s="7" t="str">
        <f>IF(A210=""," ",B210*VLOOKUP(A210,'01.01.2026 - 24.01.2026'!A:H,6,FALSE))</f>
        <v xml:space="preserve"> </v>
      </c>
      <c r="F210" s="7" t="str">
        <f>IF(A210=""," ",B210*VLOOKUP(A210,'01.01.2026 - 24.01.2026'!A:H,7,FALSE))</f>
        <v xml:space="preserve"> </v>
      </c>
      <c r="G210" s="7" t="str">
        <f>IF(A210=""," ",B210*VLOOKUP(A210,'01.01.2026 - 24.01.2026'!A:H,8,FALSE))</f>
        <v xml:space="preserve"> </v>
      </c>
    </row>
    <row r="211" spans="1:7" ht="14.15" customHeight="1" x14ac:dyDescent="0.25">
      <c r="A211" s="15"/>
      <c r="B211" s="22"/>
      <c r="C211" s="6" t="str">
        <f>IF(A211=""," ",VLOOKUP(A211,'01.01.2026 - 24.01.2026'!A:H,2,FALSE))</f>
        <v xml:space="preserve"> </v>
      </c>
      <c r="D211" s="30" t="str">
        <f>IF(A211=""," ",VLOOKUP(A211,'01.01.2026 - 24.01.2026'!A:H,5,FALSE))</f>
        <v xml:space="preserve"> </v>
      </c>
      <c r="E211" s="7" t="str">
        <f>IF(A211=""," ",B211*VLOOKUP(A211,'01.01.2026 - 24.01.2026'!A:H,6,FALSE))</f>
        <v xml:space="preserve"> </v>
      </c>
      <c r="F211" s="7" t="str">
        <f>IF(A211=""," ",B211*VLOOKUP(A211,'01.01.2026 - 24.01.2026'!A:H,7,FALSE))</f>
        <v xml:space="preserve"> </v>
      </c>
      <c r="G211" s="7" t="str">
        <f>IF(A211=""," ",B211*VLOOKUP(A211,'01.01.2026 - 24.01.2026'!A:H,8,FALSE))</f>
        <v xml:space="preserve"> </v>
      </c>
    </row>
    <row r="212" spans="1:7" ht="14.15" customHeight="1" x14ac:dyDescent="0.25">
      <c r="A212" s="15"/>
      <c r="B212" s="22"/>
      <c r="C212" s="6" t="str">
        <f>IF(A212=""," ",VLOOKUP(A212,'01.01.2026 - 24.01.2026'!A:H,2,FALSE))</f>
        <v xml:space="preserve"> </v>
      </c>
      <c r="D212" s="30" t="str">
        <f>IF(A212=""," ",VLOOKUP(A212,'01.01.2026 - 24.01.2026'!A:H,5,FALSE))</f>
        <v xml:space="preserve"> </v>
      </c>
      <c r="E212" s="7" t="str">
        <f>IF(A212=""," ",B212*VLOOKUP(A212,'01.01.2026 - 24.01.2026'!A:H,6,FALSE))</f>
        <v xml:space="preserve"> </v>
      </c>
      <c r="F212" s="7" t="str">
        <f>IF(A212=""," ",B212*VLOOKUP(A212,'01.01.2026 - 24.01.2026'!A:H,7,FALSE))</f>
        <v xml:space="preserve"> </v>
      </c>
      <c r="G212" s="7" t="str">
        <f>IF(A212=""," ",B212*VLOOKUP(A212,'01.01.2026 - 24.01.2026'!A:H,8,FALSE))</f>
        <v xml:space="preserve"> </v>
      </c>
    </row>
    <row r="213" spans="1:7" ht="14.15" customHeight="1" x14ac:dyDescent="0.25">
      <c r="A213" s="15"/>
      <c r="B213" s="22"/>
      <c r="C213" s="6" t="str">
        <f>IF(A213=""," ",VLOOKUP(A213,'01.01.2026 - 24.01.2026'!A:H,2,FALSE))</f>
        <v xml:space="preserve"> </v>
      </c>
      <c r="D213" s="30" t="str">
        <f>IF(A213=""," ",VLOOKUP(A213,'01.01.2026 - 24.01.2026'!A:H,5,FALSE))</f>
        <v xml:space="preserve"> </v>
      </c>
      <c r="E213" s="7" t="str">
        <f>IF(A213=""," ",B213*VLOOKUP(A213,'01.01.2026 - 24.01.2026'!A:H,6,FALSE))</f>
        <v xml:space="preserve"> </v>
      </c>
      <c r="F213" s="7" t="str">
        <f>IF(A213=""," ",B213*VLOOKUP(A213,'01.01.2026 - 24.01.2026'!A:H,7,FALSE))</f>
        <v xml:space="preserve"> </v>
      </c>
      <c r="G213" s="7" t="str">
        <f>IF(A213=""," ",B213*VLOOKUP(A213,'01.01.2026 - 24.01.2026'!A:H,8,FALSE))</f>
        <v xml:space="preserve"> </v>
      </c>
    </row>
    <row r="214" spans="1:7" ht="14.15" customHeight="1" x14ac:dyDescent="0.25">
      <c r="A214" s="15"/>
      <c r="B214" s="22"/>
      <c r="C214" s="6" t="str">
        <f>IF(A214=""," ",VLOOKUP(A214,'01.01.2026 - 24.01.2026'!A:H,2,FALSE))</f>
        <v xml:space="preserve"> </v>
      </c>
      <c r="D214" s="30" t="str">
        <f>IF(A214=""," ",VLOOKUP(A214,'01.01.2026 - 24.01.2026'!A:H,5,FALSE))</f>
        <v xml:space="preserve"> </v>
      </c>
      <c r="E214" s="7" t="str">
        <f>IF(A214=""," ",B214*VLOOKUP(A214,'01.01.2026 - 24.01.2026'!A:H,6,FALSE))</f>
        <v xml:space="preserve"> </v>
      </c>
      <c r="F214" s="7" t="str">
        <f>IF(A214=""," ",B214*VLOOKUP(A214,'01.01.2026 - 24.01.2026'!A:H,7,FALSE))</f>
        <v xml:space="preserve"> </v>
      </c>
      <c r="G214" s="7" t="str">
        <f>IF(A214=""," ",B214*VLOOKUP(A214,'01.01.2026 - 24.01.2026'!A:H,8,FALSE))</f>
        <v xml:space="preserve"> </v>
      </c>
    </row>
    <row r="215" spans="1:7" ht="14.15" customHeight="1" x14ac:dyDescent="0.25">
      <c r="A215" s="15"/>
      <c r="B215" s="22"/>
      <c r="C215" s="6" t="str">
        <f>IF(A215=""," ",VLOOKUP(A215,'01.01.2026 - 24.01.2026'!A:H,2,FALSE))</f>
        <v xml:space="preserve"> </v>
      </c>
      <c r="D215" s="30" t="str">
        <f>IF(A215=""," ",VLOOKUP(A215,'01.01.2026 - 24.01.2026'!A:H,5,FALSE))</f>
        <v xml:space="preserve"> </v>
      </c>
      <c r="E215" s="7" t="str">
        <f>IF(A215=""," ",B215*VLOOKUP(A215,'01.01.2026 - 24.01.2026'!A:H,6,FALSE))</f>
        <v xml:space="preserve"> </v>
      </c>
      <c r="F215" s="7" t="str">
        <f>IF(A215=""," ",B215*VLOOKUP(A215,'01.01.2026 - 24.01.2026'!A:H,7,FALSE))</f>
        <v xml:space="preserve"> </v>
      </c>
      <c r="G215" s="7" t="str">
        <f>IF(A215=""," ",B215*VLOOKUP(A215,'01.01.2026 - 24.01.2026'!A:H,8,FALSE))</f>
        <v xml:space="preserve"> </v>
      </c>
    </row>
    <row r="216" spans="1:7" ht="14.15" customHeight="1" x14ac:dyDescent="0.25">
      <c r="A216" s="15"/>
      <c r="B216" s="22"/>
      <c r="C216" s="6" t="str">
        <f>IF(A216=""," ",VLOOKUP(A216,'01.01.2026 - 24.01.2026'!A:H,2,FALSE))</f>
        <v xml:space="preserve"> </v>
      </c>
      <c r="D216" s="30" t="str">
        <f>IF(A216=""," ",VLOOKUP(A216,'01.01.2026 - 24.01.2026'!A:H,5,FALSE))</f>
        <v xml:space="preserve"> </v>
      </c>
      <c r="E216" s="7" t="str">
        <f>IF(A216=""," ",B216*VLOOKUP(A216,'01.01.2026 - 24.01.2026'!A:H,6,FALSE))</f>
        <v xml:space="preserve"> </v>
      </c>
      <c r="F216" s="7" t="str">
        <f>IF(A216=""," ",B216*VLOOKUP(A216,'01.01.2026 - 24.01.2026'!A:H,7,FALSE))</f>
        <v xml:space="preserve"> </v>
      </c>
      <c r="G216" s="7" t="str">
        <f>IF(A216=""," ",B216*VLOOKUP(A216,'01.01.2026 - 24.01.2026'!A:H,8,FALSE))</f>
        <v xml:space="preserve"> </v>
      </c>
    </row>
    <row r="217" spans="1:7" ht="14.15" customHeight="1" x14ac:dyDescent="0.25">
      <c r="A217" s="15"/>
      <c r="B217" s="22"/>
      <c r="C217" s="6" t="str">
        <f>IF(A217=""," ",VLOOKUP(A217,'01.01.2026 - 24.01.2026'!A:H,2,FALSE))</f>
        <v xml:space="preserve"> </v>
      </c>
      <c r="D217" s="30" t="str">
        <f>IF(A217=""," ",VLOOKUP(A217,'01.01.2026 - 24.01.2026'!A:H,5,FALSE))</f>
        <v xml:space="preserve"> </v>
      </c>
      <c r="E217" s="7" t="str">
        <f>IF(A217=""," ",B217*VLOOKUP(A217,'01.01.2026 - 24.01.2026'!A:H,6,FALSE))</f>
        <v xml:space="preserve"> </v>
      </c>
      <c r="F217" s="7" t="str">
        <f>IF(A217=""," ",B217*VLOOKUP(A217,'01.01.2026 - 24.01.2026'!A:H,7,FALSE))</f>
        <v xml:space="preserve"> </v>
      </c>
      <c r="G217" s="7" t="str">
        <f>IF(A217=""," ",B217*VLOOKUP(A217,'01.01.2026 - 24.01.2026'!A:H,8,FALSE))</f>
        <v xml:space="preserve"> </v>
      </c>
    </row>
    <row r="218" spans="1:7" ht="14.15" customHeight="1" x14ac:dyDescent="0.25">
      <c r="A218" s="15"/>
      <c r="B218" s="22"/>
      <c r="C218" s="6" t="str">
        <f>IF(A218=""," ",VLOOKUP(A218,'01.01.2026 - 24.01.2026'!A:H,2,FALSE))</f>
        <v xml:space="preserve"> </v>
      </c>
      <c r="D218" s="30" t="str">
        <f>IF(A218=""," ",VLOOKUP(A218,'01.01.2026 - 24.01.2026'!A:H,5,FALSE))</f>
        <v xml:space="preserve"> </v>
      </c>
      <c r="E218" s="7" t="str">
        <f>IF(A218=""," ",B218*VLOOKUP(A218,'01.01.2026 - 24.01.2026'!A:H,6,FALSE))</f>
        <v xml:space="preserve"> </v>
      </c>
      <c r="F218" s="7" t="str">
        <f>IF(A218=""," ",B218*VLOOKUP(A218,'01.01.2026 - 24.01.2026'!A:H,7,FALSE))</f>
        <v xml:space="preserve"> </v>
      </c>
      <c r="G218" s="7" t="str">
        <f>IF(A218=""," ",B218*VLOOKUP(A218,'01.01.2026 - 24.01.2026'!A:H,8,FALSE))</f>
        <v xml:space="preserve"> </v>
      </c>
    </row>
    <row r="219" spans="1:7" ht="14.15" customHeight="1" x14ac:dyDescent="0.25">
      <c r="A219" s="15"/>
      <c r="B219" s="22"/>
      <c r="C219" s="6" t="str">
        <f>IF(A219=""," ",VLOOKUP(A219,'01.01.2026 - 24.01.2026'!A:H,2,FALSE))</f>
        <v xml:space="preserve"> </v>
      </c>
      <c r="D219" s="30" t="str">
        <f>IF(A219=""," ",VLOOKUP(A219,'01.01.2026 - 24.01.2026'!A:H,5,FALSE))</f>
        <v xml:space="preserve"> </v>
      </c>
      <c r="E219" s="7" t="str">
        <f>IF(A219=""," ",B219*VLOOKUP(A219,'01.01.2026 - 24.01.2026'!A:H,6,FALSE))</f>
        <v xml:space="preserve"> </v>
      </c>
      <c r="F219" s="7" t="str">
        <f>IF(A219=""," ",B219*VLOOKUP(A219,'01.01.2026 - 24.01.2026'!A:H,7,FALSE))</f>
        <v xml:space="preserve"> </v>
      </c>
      <c r="G219" s="7" t="str">
        <f>IF(A219=""," ",B219*VLOOKUP(A219,'01.01.2026 - 24.01.2026'!A:H,8,FALSE))</f>
        <v xml:space="preserve"> </v>
      </c>
    </row>
    <row r="220" spans="1:7" ht="14.15" customHeight="1" x14ac:dyDescent="0.25">
      <c r="A220" s="15"/>
      <c r="B220" s="22"/>
      <c r="C220" s="6" t="str">
        <f>IF(A220=""," ",VLOOKUP(A220,'01.01.2026 - 24.01.2026'!A:H,2,FALSE))</f>
        <v xml:space="preserve"> </v>
      </c>
      <c r="D220" s="30" t="str">
        <f>IF(A220=""," ",VLOOKUP(A220,'01.01.2026 - 24.01.2026'!A:H,5,FALSE))</f>
        <v xml:space="preserve"> </v>
      </c>
      <c r="E220" s="7" t="str">
        <f>IF(A220=""," ",B220*VLOOKUP(A220,'01.01.2026 - 24.01.2026'!A:H,6,FALSE))</f>
        <v xml:space="preserve"> </v>
      </c>
      <c r="F220" s="7" t="str">
        <f>IF(A220=""," ",B220*VLOOKUP(A220,'01.01.2026 - 24.01.2026'!A:H,7,FALSE))</f>
        <v xml:space="preserve"> </v>
      </c>
      <c r="G220" s="7" t="str">
        <f>IF(A220=""," ",B220*VLOOKUP(A220,'01.01.2026 - 24.01.2026'!A:H,8,FALSE))</f>
        <v xml:space="preserve"> </v>
      </c>
    </row>
    <row r="221" spans="1:7" ht="14.15" customHeight="1" x14ac:dyDescent="0.25">
      <c r="A221" s="15"/>
      <c r="B221" s="22"/>
      <c r="C221" s="6" t="str">
        <f>IF(A221=""," ",VLOOKUP(A221,'01.01.2026 - 24.01.2026'!A:H,2,FALSE))</f>
        <v xml:space="preserve"> </v>
      </c>
      <c r="D221" s="30" t="str">
        <f>IF(A221=""," ",VLOOKUP(A221,'01.01.2026 - 24.01.2026'!A:H,5,FALSE))</f>
        <v xml:space="preserve"> </v>
      </c>
      <c r="E221" s="7" t="str">
        <f>IF(A221=""," ",B221*VLOOKUP(A221,'01.01.2026 - 24.01.2026'!A:H,6,FALSE))</f>
        <v xml:space="preserve"> </v>
      </c>
      <c r="F221" s="7" t="str">
        <f>IF(A221=""," ",B221*VLOOKUP(A221,'01.01.2026 - 24.01.2026'!A:H,7,FALSE))</f>
        <v xml:space="preserve"> </v>
      </c>
      <c r="G221" s="7" t="str">
        <f>IF(A221=""," ",B221*VLOOKUP(A221,'01.01.2026 - 24.01.2026'!A:H,8,FALSE))</f>
        <v xml:space="preserve"> </v>
      </c>
    </row>
    <row r="222" spans="1:7" ht="14.15" customHeight="1" x14ac:dyDescent="0.25">
      <c r="A222" s="15"/>
      <c r="B222" s="22"/>
      <c r="C222" s="6" t="str">
        <f>IF(A222=""," ",VLOOKUP(A222,'01.01.2026 - 24.01.2026'!A:H,2,FALSE))</f>
        <v xml:space="preserve"> </v>
      </c>
      <c r="D222" s="30" t="str">
        <f>IF(A222=""," ",VLOOKUP(A222,'01.01.2026 - 24.01.2026'!A:H,5,FALSE))</f>
        <v xml:space="preserve"> </v>
      </c>
      <c r="E222" s="7" t="str">
        <f>IF(A222=""," ",B222*VLOOKUP(A222,'01.01.2026 - 24.01.2026'!A:H,6,FALSE))</f>
        <v xml:space="preserve"> </v>
      </c>
      <c r="F222" s="7" t="str">
        <f>IF(A222=""," ",B222*VLOOKUP(A222,'01.01.2026 - 24.01.2026'!A:H,7,FALSE))</f>
        <v xml:space="preserve"> </v>
      </c>
      <c r="G222" s="7" t="str">
        <f>IF(A222=""," ",B222*VLOOKUP(A222,'01.01.2026 - 24.01.2026'!A:H,8,FALSE))</f>
        <v xml:space="preserve"> </v>
      </c>
    </row>
    <row r="223" spans="1:7" ht="14.15" customHeight="1" x14ac:dyDescent="0.25">
      <c r="A223" s="15"/>
      <c r="B223" s="22"/>
      <c r="C223" s="6" t="str">
        <f>IF(A223=""," ",VLOOKUP(A223,'01.01.2026 - 24.01.2026'!A:H,2,FALSE))</f>
        <v xml:space="preserve"> </v>
      </c>
      <c r="D223" s="30" t="str">
        <f>IF(A223=""," ",VLOOKUP(A223,'01.01.2026 - 24.01.2026'!A:H,5,FALSE))</f>
        <v xml:space="preserve"> </v>
      </c>
      <c r="E223" s="7" t="str">
        <f>IF(A223=""," ",B223*VLOOKUP(A223,'01.01.2026 - 24.01.2026'!A:H,6,FALSE))</f>
        <v xml:space="preserve"> </v>
      </c>
      <c r="F223" s="7" t="str">
        <f>IF(A223=""," ",B223*VLOOKUP(A223,'01.01.2026 - 24.01.2026'!A:H,7,FALSE))</f>
        <v xml:space="preserve"> </v>
      </c>
      <c r="G223" s="7" t="str">
        <f>IF(A223=""," ",B223*VLOOKUP(A223,'01.01.2026 - 24.01.2026'!A:H,8,FALSE))</f>
        <v xml:space="preserve"> </v>
      </c>
    </row>
    <row r="224" spans="1:7" ht="14.15" customHeight="1" x14ac:dyDescent="0.25">
      <c r="A224" s="15"/>
      <c r="B224" s="22"/>
      <c r="C224" s="6" t="str">
        <f>IF(A224=""," ",VLOOKUP(A224,'01.01.2026 - 24.01.2026'!A:H,2,FALSE))</f>
        <v xml:space="preserve"> </v>
      </c>
      <c r="D224" s="30" t="str">
        <f>IF(A224=""," ",VLOOKUP(A224,'01.01.2026 - 24.01.2026'!A:H,5,FALSE))</f>
        <v xml:space="preserve"> </v>
      </c>
      <c r="E224" s="7" t="str">
        <f>IF(A224=""," ",B224*VLOOKUP(A224,'01.01.2026 - 24.01.2026'!A:H,6,FALSE))</f>
        <v xml:space="preserve"> </v>
      </c>
      <c r="F224" s="7" t="str">
        <f>IF(A224=""," ",B224*VLOOKUP(A224,'01.01.2026 - 24.01.2026'!A:H,7,FALSE))</f>
        <v xml:space="preserve"> </v>
      </c>
      <c r="G224" s="7" t="str">
        <f>IF(A224=""," ",B224*VLOOKUP(A224,'01.01.2026 - 24.01.2026'!A:H,8,FALSE))</f>
        <v xml:space="preserve"> </v>
      </c>
    </row>
    <row r="225" spans="1:7" ht="14.15" customHeight="1" x14ac:dyDescent="0.25">
      <c r="A225" s="15"/>
      <c r="B225" s="22"/>
      <c r="C225" s="6" t="str">
        <f>IF(A225=""," ",VLOOKUP(A225,'01.01.2026 - 24.01.2026'!A:H,2,FALSE))</f>
        <v xml:space="preserve"> </v>
      </c>
      <c r="D225" s="30" t="str">
        <f>IF(A225=""," ",VLOOKUP(A225,'01.01.2026 - 24.01.2026'!A:H,5,FALSE))</f>
        <v xml:space="preserve"> </v>
      </c>
      <c r="E225" s="7" t="str">
        <f>IF(A225=""," ",B225*VLOOKUP(A225,'01.01.2026 - 24.01.2026'!A:H,6,FALSE))</f>
        <v xml:space="preserve"> </v>
      </c>
      <c r="F225" s="7" t="str">
        <f>IF(A225=""," ",B225*VLOOKUP(A225,'01.01.2026 - 24.01.2026'!A:H,7,FALSE))</f>
        <v xml:space="preserve"> </v>
      </c>
      <c r="G225" s="7" t="str">
        <f>IF(A225=""," ",B225*VLOOKUP(A225,'01.01.2026 - 24.01.2026'!A:H,8,FALSE))</f>
        <v xml:space="preserve"> </v>
      </c>
    </row>
    <row r="226" spans="1:7" ht="14.15" customHeight="1" x14ac:dyDescent="0.25">
      <c r="A226" s="15"/>
      <c r="B226" s="22"/>
      <c r="C226" s="6" t="str">
        <f>IF(A226=""," ",VLOOKUP(A226,'01.01.2026 - 24.01.2026'!A:H,2,FALSE))</f>
        <v xml:space="preserve"> </v>
      </c>
      <c r="D226" s="30" t="str">
        <f>IF(A226=""," ",VLOOKUP(A226,'01.01.2026 - 24.01.2026'!A:H,5,FALSE))</f>
        <v xml:space="preserve"> </v>
      </c>
      <c r="E226" s="7" t="str">
        <f>IF(A226=""," ",B226*VLOOKUP(A226,'01.01.2026 - 24.01.2026'!A:H,6,FALSE))</f>
        <v xml:space="preserve"> </v>
      </c>
      <c r="F226" s="7" t="str">
        <f>IF(A226=""," ",B226*VLOOKUP(A226,'01.01.2026 - 24.01.2026'!A:H,7,FALSE))</f>
        <v xml:space="preserve"> </v>
      </c>
      <c r="G226" s="7" t="str">
        <f>IF(A226=""," ",B226*VLOOKUP(A226,'01.01.2026 - 24.01.2026'!A:H,8,FALSE))</f>
        <v xml:space="preserve"> </v>
      </c>
    </row>
    <row r="227" spans="1:7" ht="14.15" customHeight="1" x14ac:dyDescent="0.25">
      <c r="A227" s="15"/>
      <c r="B227" s="22"/>
      <c r="C227" s="6" t="str">
        <f>IF(A227=""," ",VLOOKUP(A227,'01.01.2026 - 24.01.2026'!A:H,2,FALSE))</f>
        <v xml:space="preserve"> </v>
      </c>
      <c r="D227" s="30" t="str">
        <f>IF(A227=""," ",VLOOKUP(A227,'01.01.2026 - 24.01.2026'!A:H,5,FALSE))</f>
        <v xml:space="preserve"> </v>
      </c>
      <c r="E227" s="7" t="str">
        <f>IF(A227=""," ",B227*VLOOKUP(A227,'01.01.2026 - 24.01.2026'!A:H,6,FALSE))</f>
        <v xml:space="preserve"> </v>
      </c>
      <c r="F227" s="7" t="str">
        <f>IF(A227=""," ",B227*VLOOKUP(A227,'01.01.2026 - 24.01.2026'!A:H,7,FALSE))</f>
        <v xml:space="preserve"> </v>
      </c>
      <c r="G227" s="7" t="str">
        <f>IF(A227=""," ",B227*VLOOKUP(A227,'01.01.2026 - 24.01.2026'!A:H,8,FALSE))</f>
        <v xml:space="preserve"> </v>
      </c>
    </row>
    <row r="228" spans="1:7" ht="14.15" customHeight="1" x14ac:dyDescent="0.25">
      <c r="A228" s="15"/>
      <c r="B228" s="22"/>
      <c r="C228" s="6" t="str">
        <f>IF(A228=""," ",VLOOKUP(A228,'01.01.2026 - 24.01.2026'!A:H,2,FALSE))</f>
        <v xml:space="preserve"> </v>
      </c>
      <c r="D228" s="30" t="str">
        <f>IF(A228=""," ",VLOOKUP(A228,'01.01.2026 - 24.01.2026'!A:H,5,FALSE))</f>
        <v xml:space="preserve"> </v>
      </c>
      <c r="E228" s="7" t="str">
        <f>IF(A228=""," ",B228*VLOOKUP(A228,'01.01.2026 - 24.01.2026'!A:H,6,FALSE))</f>
        <v xml:space="preserve"> </v>
      </c>
      <c r="F228" s="7" t="str">
        <f>IF(A228=""," ",B228*VLOOKUP(A228,'01.01.2026 - 24.01.2026'!A:H,7,FALSE))</f>
        <v xml:space="preserve"> </v>
      </c>
      <c r="G228" s="7" t="str">
        <f>IF(A228=""," ",B228*VLOOKUP(A228,'01.01.2026 - 24.01.2026'!A:H,8,FALSE))</f>
        <v xml:space="preserve"> </v>
      </c>
    </row>
    <row r="229" spans="1:7" ht="14.15" customHeight="1" x14ac:dyDescent="0.25">
      <c r="A229" s="15"/>
      <c r="B229" s="22"/>
      <c r="C229" s="6" t="str">
        <f>IF(A229=""," ",VLOOKUP(A229,'01.01.2026 - 24.01.2026'!A:H,2,FALSE))</f>
        <v xml:space="preserve"> </v>
      </c>
      <c r="D229" s="30" t="str">
        <f>IF(A229=""," ",VLOOKUP(A229,'01.01.2026 - 24.01.2026'!A:H,5,FALSE))</f>
        <v xml:space="preserve"> </v>
      </c>
      <c r="E229" s="7" t="str">
        <f>IF(A229=""," ",B229*VLOOKUP(A229,'01.01.2026 - 24.01.2026'!A:H,6,FALSE))</f>
        <v xml:space="preserve"> </v>
      </c>
      <c r="F229" s="7" t="str">
        <f>IF(A229=""," ",B229*VLOOKUP(A229,'01.01.2026 - 24.01.2026'!A:H,7,FALSE))</f>
        <v xml:space="preserve"> </v>
      </c>
      <c r="G229" s="7" t="str">
        <f>IF(A229=""," ",B229*VLOOKUP(A229,'01.01.2026 - 24.01.2026'!A:H,8,FALSE))</f>
        <v xml:space="preserve"> </v>
      </c>
    </row>
    <row r="230" spans="1:7" ht="14.15" customHeight="1" x14ac:dyDescent="0.25">
      <c r="A230" s="15"/>
      <c r="B230" s="22"/>
      <c r="C230" s="6" t="str">
        <f>IF(A230=""," ",VLOOKUP(A230,'01.01.2026 - 24.01.2026'!A:H,2,FALSE))</f>
        <v xml:space="preserve"> </v>
      </c>
      <c r="D230" s="30" t="str">
        <f>IF(A230=""," ",VLOOKUP(A230,'01.01.2026 - 24.01.2026'!A:H,5,FALSE))</f>
        <v xml:space="preserve"> </v>
      </c>
      <c r="E230" s="7" t="str">
        <f>IF(A230=""," ",B230*VLOOKUP(A230,'01.01.2026 - 24.01.2026'!A:H,6,FALSE))</f>
        <v xml:space="preserve"> </v>
      </c>
      <c r="F230" s="7" t="str">
        <f>IF(A230=""," ",B230*VLOOKUP(A230,'01.01.2026 - 24.01.2026'!A:H,7,FALSE))</f>
        <v xml:space="preserve"> </v>
      </c>
      <c r="G230" s="7" t="str">
        <f>IF(A230=""," ",B230*VLOOKUP(A230,'01.01.2026 - 24.01.2026'!A:H,8,FALSE))</f>
        <v xml:space="preserve"> </v>
      </c>
    </row>
    <row r="231" spans="1:7" ht="14.15" customHeight="1" x14ac:dyDescent="0.25">
      <c r="A231" s="15"/>
      <c r="B231" s="22"/>
      <c r="C231" s="6" t="str">
        <f>IF(A231=""," ",VLOOKUP(A231,'01.01.2026 - 24.01.2026'!A:H,2,FALSE))</f>
        <v xml:space="preserve"> </v>
      </c>
      <c r="D231" s="30" t="str">
        <f>IF(A231=""," ",VLOOKUP(A231,'01.01.2026 - 24.01.2026'!A:H,5,FALSE))</f>
        <v xml:space="preserve"> </v>
      </c>
      <c r="E231" s="7" t="str">
        <f>IF(A231=""," ",B231*VLOOKUP(A231,'01.01.2026 - 24.01.2026'!A:H,6,FALSE))</f>
        <v xml:space="preserve"> </v>
      </c>
      <c r="F231" s="7" t="str">
        <f>IF(A231=""," ",B231*VLOOKUP(A231,'01.01.2026 - 24.01.2026'!A:H,7,FALSE))</f>
        <v xml:space="preserve"> </v>
      </c>
      <c r="G231" s="7" t="str">
        <f>IF(A231=""," ",B231*VLOOKUP(A231,'01.01.2026 - 24.01.2026'!A:H,8,FALSE))</f>
        <v xml:space="preserve"> </v>
      </c>
    </row>
    <row r="232" spans="1:7" ht="14.15" customHeight="1" x14ac:dyDescent="0.25">
      <c r="A232" s="15"/>
      <c r="B232" s="22"/>
      <c r="C232" s="6" t="str">
        <f>IF(A232=""," ",VLOOKUP(A232,'01.01.2026 - 24.01.2026'!A:H,2,FALSE))</f>
        <v xml:space="preserve"> </v>
      </c>
      <c r="D232" s="30" t="str">
        <f>IF(A232=""," ",VLOOKUP(A232,'01.01.2026 - 24.01.2026'!A:H,5,FALSE))</f>
        <v xml:space="preserve"> </v>
      </c>
      <c r="E232" s="7" t="str">
        <f>IF(A232=""," ",B232*VLOOKUP(A232,'01.01.2026 - 24.01.2026'!A:H,6,FALSE))</f>
        <v xml:space="preserve"> </v>
      </c>
      <c r="F232" s="7" t="str">
        <f>IF(A232=""," ",B232*VLOOKUP(A232,'01.01.2026 - 24.01.2026'!A:H,7,FALSE))</f>
        <v xml:space="preserve"> </v>
      </c>
      <c r="G232" s="7" t="str">
        <f>IF(A232=""," ",B232*VLOOKUP(A232,'01.01.2026 - 24.01.2026'!A:H,8,FALSE))</f>
        <v xml:space="preserve"> </v>
      </c>
    </row>
    <row r="233" spans="1:7" ht="14.15" customHeight="1" x14ac:dyDescent="0.25">
      <c r="A233" s="15"/>
      <c r="B233" s="22"/>
      <c r="C233" s="6" t="str">
        <f>IF(A233=""," ",VLOOKUP(A233,'01.01.2026 - 24.01.2026'!A:H,2,FALSE))</f>
        <v xml:space="preserve"> </v>
      </c>
      <c r="D233" s="30" t="str">
        <f>IF(A233=""," ",VLOOKUP(A233,'01.01.2026 - 24.01.2026'!A:H,5,FALSE))</f>
        <v xml:space="preserve"> </v>
      </c>
      <c r="E233" s="7" t="str">
        <f>IF(A233=""," ",B233*VLOOKUP(A233,'01.01.2026 - 24.01.2026'!A:H,6,FALSE))</f>
        <v xml:space="preserve"> </v>
      </c>
      <c r="F233" s="7" t="str">
        <f>IF(A233=""," ",B233*VLOOKUP(A233,'01.01.2026 - 24.01.2026'!A:H,7,FALSE))</f>
        <v xml:space="preserve"> </v>
      </c>
      <c r="G233" s="7" t="str">
        <f>IF(A233=""," ",B233*VLOOKUP(A233,'01.01.2026 - 24.01.2026'!A:H,8,FALSE))</f>
        <v xml:space="preserve"> </v>
      </c>
    </row>
    <row r="234" spans="1:7" ht="14.15" customHeight="1" x14ac:dyDescent="0.25">
      <c r="A234" s="15"/>
      <c r="B234" s="22"/>
      <c r="C234" s="6" t="str">
        <f>IF(A234=""," ",VLOOKUP(A234,'01.01.2026 - 24.01.2026'!A:H,2,FALSE))</f>
        <v xml:space="preserve"> </v>
      </c>
      <c r="D234" s="30" t="str">
        <f>IF(A234=""," ",VLOOKUP(A234,'01.01.2026 - 24.01.2026'!A:H,5,FALSE))</f>
        <v xml:space="preserve"> </v>
      </c>
      <c r="E234" s="7" t="str">
        <f>IF(A234=""," ",B234*VLOOKUP(A234,'01.01.2026 - 24.01.2026'!A:H,6,FALSE))</f>
        <v xml:space="preserve"> </v>
      </c>
      <c r="F234" s="7" t="str">
        <f>IF(A234=""," ",B234*VLOOKUP(A234,'01.01.2026 - 24.01.2026'!A:H,7,FALSE))</f>
        <v xml:space="preserve"> </v>
      </c>
      <c r="G234" s="7" t="str">
        <f>IF(A234=""," ",B234*VLOOKUP(A234,'01.01.2026 - 24.01.2026'!A:H,8,FALSE))</f>
        <v xml:space="preserve"> </v>
      </c>
    </row>
    <row r="235" spans="1:7" ht="14.15" customHeight="1" x14ac:dyDescent="0.25">
      <c r="A235" s="15"/>
      <c r="B235" s="22"/>
      <c r="C235" s="6" t="str">
        <f>IF(A235=""," ",VLOOKUP(A235,'01.01.2026 - 24.01.2026'!A:H,2,FALSE))</f>
        <v xml:space="preserve"> </v>
      </c>
      <c r="D235" s="30" t="str">
        <f>IF(A235=""," ",VLOOKUP(A235,'01.01.2026 - 24.01.2026'!A:H,5,FALSE))</f>
        <v xml:space="preserve"> </v>
      </c>
      <c r="E235" s="7" t="str">
        <f>IF(A235=""," ",B235*VLOOKUP(A235,'01.01.2026 - 24.01.2026'!A:H,6,FALSE))</f>
        <v xml:space="preserve"> </v>
      </c>
      <c r="F235" s="7" t="str">
        <f>IF(A235=""," ",B235*VLOOKUP(A235,'01.01.2026 - 24.01.2026'!A:H,7,FALSE))</f>
        <v xml:space="preserve"> </v>
      </c>
      <c r="G235" s="7" t="str">
        <f>IF(A235=""," ",B235*VLOOKUP(A235,'01.01.2026 - 24.01.2026'!A:H,8,FALSE))</f>
        <v xml:space="preserve"> </v>
      </c>
    </row>
    <row r="236" spans="1:7" ht="14.15" customHeight="1" x14ac:dyDescent="0.25">
      <c r="A236" s="15"/>
      <c r="B236" s="22"/>
      <c r="C236" s="6" t="str">
        <f>IF(A236=""," ",VLOOKUP(A236,'01.01.2026 - 24.01.2026'!A:H,2,FALSE))</f>
        <v xml:space="preserve"> </v>
      </c>
      <c r="D236" s="30" t="str">
        <f>IF(A236=""," ",VLOOKUP(A236,'01.01.2026 - 24.01.2026'!A:H,5,FALSE))</f>
        <v xml:space="preserve"> </v>
      </c>
      <c r="E236" s="7" t="str">
        <f>IF(A236=""," ",B236*VLOOKUP(A236,'01.01.2026 - 24.01.2026'!A:H,6,FALSE))</f>
        <v xml:space="preserve"> </v>
      </c>
      <c r="F236" s="7" t="str">
        <f>IF(A236=""," ",B236*VLOOKUP(A236,'01.01.2026 - 24.01.2026'!A:H,7,FALSE))</f>
        <v xml:space="preserve"> </v>
      </c>
      <c r="G236" s="7" t="str">
        <f>IF(A236=""," ",B236*VLOOKUP(A236,'01.01.2026 - 24.01.2026'!A:H,8,FALSE))</f>
        <v xml:space="preserve"> </v>
      </c>
    </row>
    <row r="237" spans="1:7" ht="14.15" customHeight="1" x14ac:dyDescent="0.25">
      <c r="A237" s="15"/>
      <c r="B237" s="22"/>
      <c r="C237" s="6" t="str">
        <f>IF(A237=""," ",VLOOKUP(A237,'01.01.2026 - 24.01.2026'!A:H,2,FALSE))</f>
        <v xml:space="preserve"> </v>
      </c>
      <c r="D237" s="30" t="str">
        <f>IF(A237=""," ",VLOOKUP(A237,'01.01.2026 - 24.01.2026'!A:H,5,FALSE))</f>
        <v xml:space="preserve"> </v>
      </c>
      <c r="E237" s="7" t="str">
        <f>IF(A237=""," ",B237*VLOOKUP(A237,'01.01.2026 - 24.01.2026'!A:H,6,FALSE))</f>
        <v xml:space="preserve"> </v>
      </c>
      <c r="F237" s="7" t="str">
        <f>IF(A237=""," ",B237*VLOOKUP(A237,'01.01.2026 - 24.01.2026'!A:H,7,FALSE))</f>
        <v xml:space="preserve"> </v>
      </c>
      <c r="G237" s="7" t="str">
        <f>IF(A237=""," ",B237*VLOOKUP(A237,'01.01.2026 - 24.01.2026'!A:H,8,FALSE))</f>
        <v xml:space="preserve"> </v>
      </c>
    </row>
    <row r="238" spans="1:7" ht="14.15" customHeight="1" x14ac:dyDescent="0.25">
      <c r="A238" s="15"/>
      <c r="B238" s="22"/>
      <c r="C238" s="6" t="str">
        <f>IF(A238=""," ",VLOOKUP(A238,'01.01.2026 - 24.01.2026'!A:H,2,FALSE))</f>
        <v xml:space="preserve"> </v>
      </c>
      <c r="D238" s="30" t="str">
        <f>IF(A238=""," ",VLOOKUP(A238,'01.01.2026 - 24.01.2026'!A:H,5,FALSE))</f>
        <v xml:space="preserve"> </v>
      </c>
      <c r="E238" s="7" t="str">
        <f>IF(A238=""," ",B238*VLOOKUP(A238,'01.01.2026 - 24.01.2026'!A:H,6,FALSE))</f>
        <v xml:space="preserve"> </v>
      </c>
      <c r="F238" s="7" t="str">
        <f>IF(A238=""," ",B238*VLOOKUP(A238,'01.01.2026 - 24.01.2026'!A:H,7,FALSE))</f>
        <v xml:space="preserve"> </v>
      </c>
      <c r="G238" s="7" t="str">
        <f>IF(A238=""," ",B238*VLOOKUP(A238,'01.01.2026 - 24.01.2026'!A:H,8,FALSE))</f>
        <v xml:space="preserve"> </v>
      </c>
    </row>
    <row r="239" spans="1:7" ht="14.15" customHeight="1" x14ac:dyDescent="0.25">
      <c r="A239" s="15"/>
      <c r="B239" s="22"/>
      <c r="C239" s="6" t="str">
        <f>IF(A239=""," ",VLOOKUP(A239,'01.01.2026 - 24.01.2026'!A:H,2,FALSE))</f>
        <v xml:space="preserve"> </v>
      </c>
      <c r="D239" s="30" t="str">
        <f>IF(A239=""," ",VLOOKUP(A239,'01.01.2026 - 24.01.2026'!A:H,5,FALSE))</f>
        <v xml:space="preserve"> </v>
      </c>
      <c r="E239" s="7" t="str">
        <f>IF(A239=""," ",B239*VLOOKUP(A239,'01.01.2026 - 24.01.2026'!A:H,6,FALSE))</f>
        <v xml:space="preserve"> </v>
      </c>
      <c r="F239" s="7" t="str">
        <f>IF(A239=""," ",B239*VLOOKUP(A239,'01.01.2026 - 24.01.2026'!A:H,7,FALSE))</f>
        <v xml:space="preserve"> </v>
      </c>
      <c r="G239" s="7" t="str">
        <f>IF(A239=""," ",B239*VLOOKUP(A239,'01.01.2026 - 24.01.2026'!A:H,8,FALSE))</f>
        <v xml:space="preserve"> </v>
      </c>
    </row>
    <row r="240" spans="1:7" ht="14.15" customHeight="1" x14ac:dyDescent="0.25">
      <c r="A240" s="15"/>
      <c r="B240" s="22"/>
      <c r="C240" s="6" t="str">
        <f>IF(A240=""," ",VLOOKUP(A240,'01.01.2026 - 24.01.2026'!A:H,2,FALSE))</f>
        <v xml:space="preserve"> </v>
      </c>
      <c r="D240" s="30" t="str">
        <f>IF(A240=""," ",VLOOKUP(A240,'01.01.2026 - 24.01.2026'!A:H,5,FALSE))</f>
        <v xml:space="preserve"> </v>
      </c>
      <c r="E240" s="7" t="str">
        <f>IF(A240=""," ",B240*VLOOKUP(A240,'01.01.2026 - 24.01.2026'!A:H,6,FALSE))</f>
        <v xml:space="preserve"> </v>
      </c>
      <c r="F240" s="7" t="str">
        <f>IF(A240=""," ",B240*VLOOKUP(A240,'01.01.2026 - 24.01.2026'!A:H,7,FALSE))</f>
        <v xml:space="preserve"> </v>
      </c>
      <c r="G240" s="7" t="str">
        <f>IF(A240=""," ",B240*VLOOKUP(A240,'01.01.2026 - 24.01.2026'!A:H,8,FALSE))</f>
        <v xml:space="preserve"> </v>
      </c>
    </row>
    <row r="241" spans="1:7" ht="14.15" customHeight="1" x14ac:dyDescent="0.25">
      <c r="A241" s="15"/>
      <c r="B241" s="22"/>
      <c r="C241" s="6" t="str">
        <f>IF(A241=""," ",VLOOKUP(A241,'01.01.2026 - 24.01.2026'!A:H,2,FALSE))</f>
        <v xml:space="preserve"> </v>
      </c>
      <c r="D241" s="30" t="str">
        <f>IF(A241=""," ",VLOOKUP(A241,'01.01.2026 - 24.01.2026'!A:H,5,FALSE))</f>
        <v xml:space="preserve"> </v>
      </c>
      <c r="E241" s="7" t="str">
        <f>IF(A241=""," ",B241*VLOOKUP(A241,'01.01.2026 - 24.01.2026'!A:H,6,FALSE))</f>
        <v xml:space="preserve"> </v>
      </c>
      <c r="F241" s="7" t="str">
        <f>IF(A241=""," ",B241*VLOOKUP(A241,'01.01.2026 - 24.01.2026'!A:H,7,FALSE))</f>
        <v xml:space="preserve"> </v>
      </c>
      <c r="G241" s="7" t="str">
        <f>IF(A241=""," ",B241*VLOOKUP(A241,'01.01.2026 - 24.01.2026'!A:H,8,FALSE))</f>
        <v xml:space="preserve"> </v>
      </c>
    </row>
    <row r="242" spans="1:7" ht="14.15" customHeight="1" x14ac:dyDescent="0.25">
      <c r="A242" s="15"/>
      <c r="B242" s="22"/>
      <c r="C242" s="6" t="str">
        <f>IF(A242=""," ",VLOOKUP(A242,'01.01.2026 - 24.01.2026'!A:H,2,FALSE))</f>
        <v xml:space="preserve"> </v>
      </c>
      <c r="D242" s="30" t="str">
        <f>IF(A242=""," ",VLOOKUP(A242,'01.01.2026 - 24.01.2026'!A:H,5,FALSE))</f>
        <v xml:space="preserve"> </v>
      </c>
      <c r="E242" s="7" t="str">
        <f>IF(A242=""," ",B242*VLOOKUP(A242,'01.01.2026 - 24.01.2026'!A:H,6,FALSE))</f>
        <v xml:space="preserve"> </v>
      </c>
      <c r="F242" s="7" t="str">
        <f>IF(A242=""," ",B242*VLOOKUP(A242,'01.01.2026 - 24.01.2026'!A:H,7,FALSE))</f>
        <v xml:space="preserve"> </v>
      </c>
      <c r="G242" s="7" t="str">
        <f>IF(A242=""," ",B242*VLOOKUP(A242,'01.01.2026 - 24.01.2026'!A:H,8,FALSE))</f>
        <v xml:space="preserve"> </v>
      </c>
    </row>
    <row r="243" spans="1:7" ht="14.15" customHeight="1" x14ac:dyDescent="0.25">
      <c r="A243" s="15"/>
      <c r="B243" s="22"/>
      <c r="C243" s="6" t="str">
        <f>IF(A243=""," ",VLOOKUP(A243,'01.01.2026 - 24.01.2026'!A:H,2,FALSE))</f>
        <v xml:space="preserve"> </v>
      </c>
      <c r="D243" s="30" t="str">
        <f>IF(A243=""," ",VLOOKUP(A243,'01.01.2026 - 24.01.2026'!A:H,5,FALSE))</f>
        <v xml:space="preserve"> </v>
      </c>
      <c r="E243" s="7" t="str">
        <f>IF(A243=""," ",B243*VLOOKUP(A243,'01.01.2026 - 24.01.2026'!A:H,6,FALSE))</f>
        <v xml:space="preserve"> </v>
      </c>
      <c r="F243" s="7" t="str">
        <f>IF(A243=""," ",B243*VLOOKUP(A243,'01.01.2026 - 24.01.2026'!A:H,7,FALSE))</f>
        <v xml:space="preserve"> </v>
      </c>
      <c r="G243" s="7" t="str">
        <f>IF(A243=""," ",B243*VLOOKUP(A243,'01.01.2026 - 24.01.2026'!A:H,8,FALSE))</f>
        <v xml:space="preserve"> </v>
      </c>
    </row>
    <row r="244" spans="1:7" ht="14.15" customHeight="1" x14ac:dyDescent="0.25">
      <c r="A244" s="15"/>
      <c r="B244" s="22"/>
      <c r="C244" s="6" t="str">
        <f>IF(A244=""," ",VLOOKUP(A244,'01.01.2026 - 24.01.2026'!A:H,2,FALSE))</f>
        <v xml:space="preserve"> </v>
      </c>
      <c r="D244" s="30" t="str">
        <f>IF(A244=""," ",VLOOKUP(A244,'01.01.2026 - 24.01.2026'!A:H,5,FALSE))</f>
        <v xml:space="preserve"> </v>
      </c>
      <c r="E244" s="7" t="str">
        <f>IF(A244=""," ",B244*VLOOKUP(A244,'01.01.2026 - 24.01.2026'!A:H,6,FALSE))</f>
        <v xml:space="preserve"> </v>
      </c>
      <c r="F244" s="7" t="str">
        <f>IF(A244=""," ",B244*VLOOKUP(A244,'01.01.2026 - 24.01.2026'!A:H,7,FALSE))</f>
        <v xml:space="preserve"> </v>
      </c>
      <c r="G244" s="7" t="str">
        <f>IF(A244=""," ",B244*VLOOKUP(A244,'01.01.2026 - 24.01.2026'!A:H,8,FALSE))</f>
        <v xml:space="preserve"> </v>
      </c>
    </row>
    <row r="245" spans="1:7" ht="14.15" customHeight="1" x14ac:dyDescent="0.25">
      <c r="A245" s="15"/>
      <c r="B245" s="22"/>
      <c r="C245" s="6" t="str">
        <f>IF(A245=""," ",VLOOKUP(A245,'01.01.2026 - 24.01.2026'!A:H,2,FALSE))</f>
        <v xml:space="preserve"> </v>
      </c>
      <c r="D245" s="30" t="str">
        <f>IF(A245=""," ",VLOOKUP(A245,'01.01.2026 - 24.01.2026'!A:H,5,FALSE))</f>
        <v xml:space="preserve"> </v>
      </c>
      <c r="E245" s="7" t="str">
        <f>IF(A245=""," ",B245*VLOOKUP(A245,'01.01.2026 - 24.01.2026'!A:H,6,FALSE))</f>
        <v xml:space="preserve"> </v>
      </c>
      <c r="F245" s="7" t="str">
        <f>IF(A245=""," ",B245*VLOOKUP(A245,'01.01.2026 - 24.01.2026'!A:H,7,FALSE))</f>
        <v xml:space="preserve"> </v>
      </c>
      <c r="G245" s="7" t="str">
        <f>IF(A245=""," ",B245*VLOOKUP(A245,'01.01.2026 - 24.01.2026'!A:H,8,FALSE))</f>
        <v xml:space="preserve"> </v>
      </c>
    </row>
    <row r="246" spans="1:7" ht="14.15" customHeight="1" x14ac:dyDescent="0.25">
      <c r="A246" s="15"/>
      <c r="B246" s="22"/>
      <c r="C246" s="6" t="str">
        <f>IF(A246=""," ",VLOOKUP(A246,'01.01.2026 - 24.01.2026'!A:H,2,FALSE))</f>
        <v xml:space="preserve"> </v>
      </c>
      <c r="D246" s="30" t="str">
        <f>IF(A246=""," ",VLOOKUP(A246,'01.01.2026 - 24.01.2026'!A:H,5,FALSE))</f>
        <v xml:space="preserve"> </v>
      </c>
      <c r="E246" s="7" t="str">
        <f>IF(A246=""," ",B246*VLOOKUP(A246,'01.01.2026 - 24.01.2026'!A:H,6,FALSE))</f>
        <v xml:space="preserve"> </v>
      </c>
      <c r="F246" s="7" t="str">
        <f>IF(A246=""," ",B246*VLOOKUP(A246,'01.01.2026 - 24.01.2026'!A:H,7,FALSE))</f>
        <v xml:space="preserve"> </v>
      </c>
      <c r="G246" s="7" t="str">
        <f>IF(A246=""," ",B246*VLOOKUP(A246,'01.01.2026 - 24.01.2026'!A:H,8,FALSE))</f>
        <v xml:space="preserve"> </v>
      </c>
    </row>
    <row r="247" spans="1:7" ht="14.15" customHeight="1" x14ac:dyDescent="0.25">
      <c r="A247" s="15"/>
      <c r="B247" s="22"/>
      <c r="C247" s="6" t="str">
        <f>IF(A247=""," ",VLOOKUP(A247,'01.01.2026 - 24.01.2026'!A:H,2,FALSE))</f>
        <v xml:space="preserve"> </v>
      </c>
      <c r="D247" s="30" t="str">
        <f>IF(A247=""," ",VLOOKUP(A247,'01.01.2026 - 24.01.2026'!A:H,5,FALSE))</f>
        <v xml:space="preserve"> </v>
      </c>
      <c r="E247" s="7" t="str">
        <f>IF(A247=""," ",B247*VLOOKUP(A247,'01.01.2026 - 24.01.2026'!A:H,6,FALSE))</f>
        <v xml:space="preserve"> </v>
      </c>
      <c r="F247" s="7" t="str">
        <f>IF(A247=""," ",B247*VLOOKUP(A247,'01.01.2026 - 24.01.2026'!A:H,7,FALSE))</f>
        <v xml:space="preserve"> </v>
      </c>
      <c r="G247" s="7" t="str">
        <f>IF(A247=""," ",B247*VLOOKUP(A247,'01.01.2026 - 24.01.2026'!A:H,8,FALSE))</f>
        <v xml:space="preserve"> </v>
      </c>
    </row>
    <row r="248" spans="1:7" ht="14.15" customHeight="1" x14ac:dyDescent="0.25">
      <c r="A248" s="15"/>
      <c r="B248" s="22"/>
      <c r="C248" s="6" t="str">
        <f>IF(A248=""," ",VLOOKUP(A248,'01.01.2026 - 24.01.2026'!A:H,2,FALSE))</f>
        <v xml:space="preserve"> </v>
      </c>
      <c r="D248" s="30" t="str">
        <f>IF(A248=""," ",VLOOKUP(A248,'01.01.2026 - 24.01.2026'!A:H,5,FALSE))</f>
        <v xml:space="preserve"> </v>
      </c>
      <c r="E248" s="7" t="str">
        <f>IF(A248=""," ",B248*VLOOKUP(A248,'01.01.2026 - 24.01.2026'!A:H,6,FALSE))</f>
        <v xml:space="preserve"> </v>
      </c>
      <c r="F248" s="7" t="str">
        <f>IF(A248=""," ",B248*VLOOKUP(A248,'01.01.2026 - 24.01.2026'!A:H,7,FALSE))</f>
        <v xml:space="preserve"> </v>
      </c>
      <c r="G248" s="7" t="str">
        <f>IF(A248=""," ",B248*VLOOKUP(A248,'01.01.2026 - 24.01.2026'!A:H,8,FALSE))</f>
        <v xml:space="preserve"> </v>
      </c>
    </row>
    <row r="249" spans="1:7" ht="14.15" customHeight="1" x14ac:dyDescent="0.25">
      <c r="A249" s="15"/>
      <c r="B249" s="22"/>
      <c r="C249" s="6" t="str">
        <f>IF(A249=""," ",VLOOKUP(A249,'01.01.2026 - 24.01.2026'!A:H,2,FALSE))</f>
        <v xml:space="preserve"> </v>
      </c>
      <c r="D249" s="30" t="str">
        <f>IF(A249=""," ",VLOOKUP(A249,'01.01.2026 - 24.01.2026'!A:H,5,FALSE))</f>
        <v xml:space="preserve"> </v>
      </c>
      <c r="E249" s="7" t="str">
        <f>IF(A249=""," ",B249*VLOOKUP(A249,'01.01.2026 - 24.01.2026'!A:H,6,FALSE))</f>
        <v xml:space="preserve"> </v>
      </c>
      <c r="F249" s="7" t="str">
        <f>IF(A249=""," ",B249*VLOOKUP(A249,'01.01.2026 - 24.01.2026'!A:H,7,FALSE))</f>
        <v xml:space="preserve"> </v>
      </c>
      <c r="G249" s="7" t="str">
        <f>IF(A249=""," ",B249*VLOOKUP(A249,'01.01.2026 - 24.01.2026'!A:H,8,FALSE))</f>
        <v xml:space="preserve"> </v>
      </c>
    </row>
    <row r="250" spans="1:7" ht="14.15" customHeight="1" x14ac:dyDescent="0.25">
      <c r="A250" s="15"/>
      <c r="B250" s="22"/>
      <c r="C250" s="6" t="str">
        <f>IF(A250=""," ",VLOOKUP(A250,'01.01.2026 - 24.01.2026'!A:H,2,FALSE))</f>
        <v xml:space="preserve"> </v>
      </c>
      <c r="D250" s="30" t="str">
        <f>IF(A250=""," ",VLOOKUP(A250,'01.01.2026 - 24.01.2026'!A:H,5,FALSE))</f>
        <v xml:space="preserve"> </v>
      </c>
      <c r="E250" s="7" t="str">
        <f>IF(A250=""," ",B250*VLOOKUP(A250,'01.01.2026 - 24.01.2026'!A:H,6,FALSE))</f>
        <v xml:space="preserve"> </v>
      </c>
      <c r="F250" s="7" t="str">
        <f>IF(A250=""," ",B250*VLOOKUP(A250,'01.01.2026 - 24.01.2026'!A:H,7,FALSE))</f>
        <v xml:space="preserve"> </v>
      </c>
      <c r="G250" s="7" t="str">
        <f>IF(A250=""," ",B250*VLOOKUP(A250,'01.01.2026 - 24.01.2026'!A:H,8,FALSE))</f>
        <v xml:space="preserve"> </v>
      </c>
    </row>
    <row r="251" spans="1:7" ht="14.15" customHeight="1" x14ac:dyDescent="0.25">
      <c r="A251" s="15"/>
      <c r="B251" s="22"/>
      <c r="C251" s="6" t="str">
        <f>IF(A251=""," ",VLOOKUP(A251,'01.01.2026 - 24.01.2026'!A:H,2,FALSE))</f>
        <v xml:space="preserve"> </v>
      </c>
      <c r="D251" s="30" t="str">
        <f>IF(A251=""," ",VLOOKUP(A251,'01.01.2026 - 24.01.2026'!A:H,5,FALSE))</f>
        <v xml:space="preserve"> </v>
      </c>
      <c r="E251" s="7" t="str">
        <f>IF(A251=""," ",B251*VLOOKUP(A251,'01.01.2026 - 24.01.2026'!A:H,6,FALSE))</f>
        <v xml:space="preserve"> </v>
      </c>
      <c r="F251" s="7" t="str">
        <f>IF(A251=""," ",B251*VLOOKUP(A251,'01.01.2026 - 24.01.2026'!A:H,7,FALSE))</f>
        <v xml:space="preserve"> </v>
      </c>
      <c r="G251" s="7" t="str">
        <f>IF(A251=""," ",B251*VLOOKUP(A251,'01.01.2026 - 24.01.2026'!A:H,8,FALSE))</f>
        <v xml:space="preserve"> </v>
      </c>
    </row>
    <row r="252" spans="1:7" ht="14.15" customHeight="1" x14ac:dyDescent="0.25">
      <c r="A252" s="15"/>
      <c r="B252" s="22"/>
      <c r="C252" s="6" t="str">
        <f>IF(A252=""," ",VLOOKUP(A252,'01.01.2026 - 24.01.2026'!A:H,2,FALSE))</f>
        <v xml:space="preserve"> </v>
      </c>
      <c r="D252" s="30" t="str">
        <f>IF(A252=""," ",VLOOKUP(A252,'01.01.2026 - 24.01.2026'!A:H,5,FALSE))</f>
        <v xml:space="preserve"> </v>
      </c>
      <c r="E252" s="7" t="str">
        <f>IF(A252=""," ",B252*VLOOKUP(A252,'01.01.2026 - 24.01.2026'!A:H,6,FALSE))</f>
        <v xml:space="preserve"> </v>
      </c>
      <c r="F252" s="7" t="str">
        <f>IF(A252=""," ",B252*VLOOKUP(A252,'01.01.2026 - 24.01.2026'!A:H,7,FALSE))</f>
        <v xml:space="preserve"> </v>
      </c>
      <c r="G252" s="7" t="str">
        <f>IF(A252=""," ",B252*VLOOKUP(A252,'01.01.2026 - 24.01.2026'!A:H,8,FALSE))</f>
        <v xml:space="preserve"> </v>
      </c>
    </row>
    <row r="253" spans="1:7" ht="14.15" customHeight="1" x14ac:dyDescent="0.25">
      <c r="A253" s="15"/>
      <c r="B253" s="22"/>
      <c r="C253" s="6" t="str">
        <f>IF(A253=""," ",VLOOKUP(A253,'01.01.2026 - 24.01.2026'!A:H,2,FALSE))</f>
        <v xml:space="preserve"> </v>
      </c>
      <c r="D253" s="30" t="str">
        <f>IF(A253=""," ",VLOOKUP(A253,'01.01.2026 - 24.01.2026'!A:H,5,FALSE))</f>
        <v xml:space="preserve"> </v>
      </c>
      <c r="E253" s="7" t="str">
        <f>IF(A253=""," ",B253*VLOOKUP(A253,'01.01.2026 - 24.01.2026'!A:H,6,FALSE))</f>
        <v xml:space="preserve"> </v>
      </c>
      <c r="F253" s="7" t="str">
        <f>IF(A253=""," ",B253*VLOOKUP(A253,'01.01.2026 - 24.01.2026'!A:H,7,FALSE))</f>
        <v xml:space="preserve"> </v>
      </c>
      <c r="G253" s="7" t="str">
        <f>IF(A253=""," ",B253*VLOOKUP(A253,'01.01.2026 - 24.01.2026'!A:H,8,FALSE))</f>
        <v xml:space="preserve"> </v>
      </c>
    </row>
    <row r="254" spans="1:7" ht="14.15" customHeight="1" x14ac:dyDescent="0.25">
      <c r="A254" s="15"/>
      <c r="B254" s="22"/>
      <c r="C254" s="6" t="str">
        <f>IF(A254=""," ",VLOOKUP(A254,'01.01.2026 - 24.01.2026'!A:H,2,FALSE))</f>
        <v xml:space="preserve"> </v>
      </c>
      <c r="D254" s="30" t="str">
        <f>IF(A254=""," ",VLOOKUP(A254,'01.01.2026 - 24.01.2026'!A:H,5,FALSE))</f>
        <v xml:space="preserve"> </v>
      </c>
      <c r="E254" s="7" t="str">
        <f>IF(A254=""," ",B254*VLOOKUP(A254,'01.01.2026 - 24.01.2026'!A:H,6,FALSE))</f>
        <v xml:space="preserve"> </v>
      </c>
      <c r="F254" s="7" t="str">
        <f>IF(A254=""," ",B254*VLOOKUP(A254,'01.01.2026 - 24.01.2026'!A:H,7,FALSE))</f>
        <v xml:space="preserve"> </v>
      </c>
      <c r="G254" s="7" t="str">
        <f>IF(A254=""," ",B254*VLOOKUP(A254,'01.01.2026 - 24.01.2026'!A:H,8,FALSE))</f>
        <v xml:space="preserve"> </v>
      </c>
    </row>
    <row r="255" spans="1:7" ht="14.15" customHeight="1" x14ac:dyDescent="0.25">
      <c r="A255" s="15"/>
      <c r="B255" s="22"/>
      <c r="C255" s="6" t="str">
        <f>IF(A255=""," ",VLOOKUP(A255,'01.01.2026 - 24.01.2026'!A:H,2,FALSE))</f>
        <v xml:space="preserve"> </v>
      </c>
      <c r="D255" s="30" t="str">
        <f>IF(A255=""," ",VLOOKUP(A255,'01.01.2026 - 24.01.2026'!A:H,5,FALSE))</f>
        <v xml:space="preserve"> </v>
      </c>
      <c r="E255" s="7" t="str">
        <f>IF(A255=""," ",B255*VLOOKUP(A255,'01.01.2026 - 24.01.2026'!A:H,6,FALSE))</f>
        <v xml:space="preserve"> </v>
      </c>
      <c r="F255" s="7" t="str">
        <f>IF(A255=""," ",B255*VLOOKUP(A255,'01.01.2026 - 24.01.2026'!A:H,7,FALSE))</f>
        <v xml:space="preserve"> </v>
      </c>
      <c r="G255" s="7" t="str">
        <f>IF(A255=""," ",B255*VLOOKUP(A255,'01.01.2026 - 24.01.2026'!A:H,8,FALSE))</f>
        <v xml:space="preserve"> </v>
      </c>
    </row>
    <row r="256" spans="1:7" ht="14.15" customHeight="1" x14ac:dyDescent="0.25">
      <c r="A256" s="15"/>
      <c r="B256" s="22"/>
      <c r="C256" s="6" t="str">
        <f>IF(A256=""," ",VLOOKUP(A256,'01.01.2026 - 24.01.2026'!A:H,2,FALSE))</f>
        <v xml:space="preserve"> </v>
      </c>
      <c r="D256" s="30" t="str">
        <f>IF(A256=""," ",VLOOKUP(A256,'01.01.2026 - 24.01.2026'!A:H,5,FALSE))</f>
        <v xml:space="preserve"> </v>
      </c>
      <c r="E256" s="7" t="str">
        <f>IF(A256=""," ",B256*VLOOKUP(A256,'01.01.2026 - 24.01.2026'!A:H,6,FALSE))</f>
        <v xml:space="preserve"> </v>
      </c>
      <c r="F256" s="7" t="str">
        <f>IF(A256=""," ",B256*VLOOKUP(A256,'01.01.2026 - 24.01.2026'!A:H,7,FALSE))</f>
        <v xml:space="preserve"> </v>
      </c>
      <c r="G256" s="7" t="str">
        <f>IF(A256=""," ",B256*VLOOKUP(A256,'01.01.2026 - 24.01.2026'!A:H,8,FALSE))</f>
        <v xml:space="preserve"> </v>
      </c>
    </row>
    <row r="257" spans="1:7" ht="14.15" customHeight="1" x14ac:dyDescent="0.25">
      <c r="A257" s="15"/>
      <c r="B257" s="22"/>
      <c r="C257" s="6" t="str">
        <f>IF(A257=""," ",VLOOKUP(A257,'01.01.2026 - 24.01.2026'!A:H,2,FALSE))</f>
        <v xml:space="preserve"> </v>
      </c>
      <c r="D257" s="30" t="str">
        <f>IF(A257=""," ",VLOOKUP(A257,'01.01.2026 - 24.01.2026'!A:H,5,FALSE))</f>
        <v xml:space="preserve"> </v>
      </c>
      <c r="E257" s="7" t="str">
        <f>IF(A257=""," ",B257*VLOOKUP(A257,'01.01.2026 - 24.01.2026'!A:H,6,FALSE))</f>
        <v xml:space="preserve"> </v>
      </c>
      <c r="F257" s="7" t="str">
        <f>IF(A257=""," ",B257*VLOOKUP(A257,'01.01.2026 - 24.01.2026'!A:H,7,FALSE))</f>
        <v xml:space="preserve"> </v>
      </c>
      <c r="G257" s="7" t="str">
        <f>IF(A257=""," ",B257*VLOOKUP(A257,'01.01.2026 - 24.01.2026'!A:H,8,FALSE))</f>
        <v xml:space="preserve"> </v>
      </c>
    </row>
    <row r="258" spans="1:7" ht="14.15" customHeight="1" x14ac:dyDescent="0.25">
      <c r="A258" s="15"/>
      <c r="B258" s="22"/>
      <c r="C258" s="6" t="str">
        <f>IF(A258=""," ",VLOOKUP(A258,'01.01.2026 - 24.01.2026'!A:H,2,FALSE))</f>
        <v xml:space="preserve"> </v>
      </c>
      <c r="D258" s="30" t="str">
        <f>IF(A258=""," ",VLOOKUP(A258,'01.01.2026 - 24.01.2026'!A:H,5,FALSE))</f>
        <v xml:space="preserve"> </v>
      </c>
      <c r="E258" s="7" t="str">
        <f>IF(A258=""," ",B258*VLOOKUP(A258,'01.01.2026 - 24.01.2026'!A:H,6,FALSE))</f>
        <v xml:space="preserve"> </v>
      </c>
      <c r="F258" s="7" t="str">
        <f>IF(A258=""," ",B258*VLOOKUP(A258,'01.01.2026 - 24.01.2026'!A:H,7,FALSE))</f>
        <v xml:space="preserve"> </v>
      </c>
      <c r="G258" s="7" t="str">
        <f>IF(A258=""," ",B258*VLOOKUP(A258,'01.01.2026 - 24.01.2026'!A:H,8,FALSE))</f>
        <v xml:space="preserve"> </v>
      </c>
    </row>
    <row r="259" spans="1:7" ht="14.15" customHeight="1" x14ac:dyDescent="0.25">
      <c r="A259" s="15"/>
      <c r="B259" s="22"/>
      <c r="C259" s="6" t="str">
        <f>IF(A259=""," ",VLOOKUP(A259,'01.01.2026 - 24.01.2026'!A:H,2,FALSE))</f>
        <v xml:space="preserve"> </v>
      </c>
      <c r="D259" s="30" t="str">
        <f>IF(A259=""," ",VLOOKUP(A259,'01.01.2026 - 24.01.2026'!A:H,5,FALSE))</f>
        <v xml:space="preserve"> </v>
      </c>
      <c r="E259" s="7" t="str">
        <f>IF(A259=""," ",B259*VLOOKUP(A259,'01.01.2026 - 24.01.2026'!A:H,6,FALSE))</f>
        <v xml:space="preserve"> </v>
      </c>
      <c r="F259" s="7" t="str">
        <f>IF(A259=""," ",B259*VLOOKUP(A259,'01.01.2026 - 24.01.2026'!A:H,7,FALSE))</f>
        <v xml:space="preserve"> </v>
      </c>
      <c r="G259" s="7" t="str">
        <f>IF(A259=""," ",B259*VLOOKUP(A259,'01.01.2026 - 24.01.2026'!A:H,8,FALSE))</f>
        <v xml:space="preserve"> </v>
      </c>
    </row>
    <row r="260" spans="1:7" ht="14.15" customHeight="1" x14ac:dyDescent="0.25">
      <c r="A260" s="15"/>
      <c r="B260" s="22"/>
      <c r="C260" s="6" t="str">
        <f>IF(A260=""," ",VLOOKUP(A260,'01.01.2026 - 24.01.2026'!A:H,2,FALSE))</f>
        <v xml:space="preserve"> </v>
      </c>
      <c r="D260" s="30" t="str">
        <f>IF(A260=""," ",VLOOKUP(A260,'01.01.2026 - 24.01.2026'!A:H,5,FALSE))</f>
        <v xml:space="preserve"> </v>
      </c>
      <c r="E260" s="7" t="str">
        <f>IF(A260=""," ",B260*VLOOKUP(A260,'01.01.2026 - 24.01.2026'!A:H,6,FALSE))</f>
        <v xml:space="preserve"> </v>
      </c>
      <c r="F260" s="7" t="str">
        <f>IF(A260=""," ",B260*VLOOKUP(A260,'01.01.2026 - 24.01.2026'!A:H,7,FALSE))</f>
        <v xml:space="preserve"> </v>
      </c>
      <c r="G260" s="7" t="str">
        <f>IF(A260=""," ",B260*VLOOKUP(A260,'01.01.2026 - 24.01.2026'!A:H,8,FALSE))</f>
        <v xml:space="preserve"> </v>
      </c>
    </row>
    <row r="261" spans="1:7" ht="14.15" customHeight="1" x14ac:dyDescent="0.25">
      <c r="A261" s="15"/>
      <c r="B261" s="22"/>
      <c r="C261" s="6" t="str">
        <f>IF(A261=""," ",VLOOKUP(A261,'01.01.2026 - 24.01.2026'!A:H,2,FALSE))</f>
        <v xml:space="preserve"> </v>
      </c>
      <c r="D261" s="30" t="str">
        <f>IF(A261=""," ",VLOOKUP(A261,'01.01.2026 - 24.01.2026'!A:H,5,FALSE))</f>
        <v xml:space="preserve"> </v>
      </c>
      <c r="E261" s="7" t="str">
        <f>IF(A261=""," ",B261*VLOOKUP(A261,'01.01.2026 - 24.01.2026'!A:H,6,FALSE))</f>
        <v xml:space="preserve"> </v>
      </c>
      <c r="F261" s="7" t="str">
        <f>IF(A261=""," ",B261*VLOOKUP(A261,'01.01.2026 - 24.01.2026'!A:H,7,FALSE))</f>
        <v xml:space="preserve"> </v>
      </c>
      <c r="G261" s="7" t="str">
        <f>IF(A261=""," ",B261*VLOOKUP(A261,'01.01.2026 - 24.01.2026'!A:H,8,FALSE))</f>
        <v xml:space="preserve"> </v>
      </c>
    </row>
    <row r="262" spans="1:7" ht="14.15" customHeight="1" x14ac:dyDescent="0.25">
      <c r="A262" s="15"/>
      <c r="B262" s="22"/>
      <c r="C262" s="6" t="str">
        <f>IF(A262=""," ",VLOOKUP(A262,'01.01.2026 - 24.01.2026'!A:H,2,FALSE))</f>
        <v xml:space="preserve"> </v>
      </c>
      <c r="D262" s="30" t="str">
        <f>IF(A262=""," ",VLOOKUP(A262,'01.01.2026 - 24.01.2026'!A:H,5,FALSE))</f>
        <v xml:space="preserve"> </v>
      </c>
      <c r="E262" s="7" t="str">
        <f>IF(A262=""," ",B262*VLOOKUP(A262,'01.01.2026 - 24.01.2026'!A:H,6,FALSE))</f>
        <v xml:space="preserve"> </v>
      </c>
      <c r="F262" s="7" t="str">
        <f>IF(A262=""," ",B262*VLOOKUP(A262,'01.01.2026 - 24.01.2026'!A:H,7,FALSE))</f>
        <v xml:space="preserve"> </v>
      </c>
      <c r="G262" s="7" t="str">
        <f>IF(A262=""," ",B262*VLOOKUP(A262,'01.01.2026 - 24.01.2026'!A:H,8,FALSE))</f>
        <v xml:space="preserve"> </v>
      </c>
    </row>
    <row r="263" spans="1:7" ht="14.15" customHeight="1" x14ac:dyDescent="0.25">
      <c r="A263" s="15"/>
      <c r="B263" s="22"/>
      <c r="C263" s="6" t="str">
        <f>IF(A263=""," ",VLOOKUP(A263,'01.01.2026 - 24.01.2026'!A:H,2,FALSE))</f>
        <v xml:space="preserve"> </v>
      </c>
      <c r="D263" s="30" t="str">
        <f>IF(A263=""," ",VLOOKUP(A263,'01.01.2026 - 24.01.2026'!A:H,5,FALSE))</f>
        <v xml:space="preserve"> </v>
      </c>
      <c r="E263" s="7" t="str">
        <f>IF(A263=""," ",B263*VLOOKUP(A263,'01.01.2026 - 24.01.2026'!A:H,6,FALSE))</f>
        <v xml:space="preserve"> </v>
      </c>
      <c r="F263" s="7" t="str">
        <f>IF(A263=""," ",B263*VLOOKUP(A263,'01.01.2026 - 24.01.2026'!A:H,7,FALSE))</f>
        <v xml:space="preserve"> </v>
      </c>
      <c r="G263" s="7" t="str">
        <f>IF(A263=""," ",B263*VLOOKUP(A263,'01.01.2026 - 24.01.2026'!A:H,8,FALSE))</f>
        <v xml:space="preserve"> </v>
      </c>
    </row>
    <row r="264" spans="1:7" ht="14.15" customHeight="1" x14ac:dyDescent="0.25">
      <c r="A264" s="15"/>
      <c r="B264" s="22"/>
      <c r="C264" s="6" t="str">
        <f>IF(A264=""," ",VLOOKUP(A264,'01.01.2026 - 24.01.2026'!A:H,2,FALSE))</f>
        <v xml:space="preserve"> </v>
      </c>
      <c r="D264" s="30" t="str">
        <f>IF(A264=""," ",VLOOKUP(A264,'01.01.2026 - 24.01.2026'!A:H,5,FALSE))</f>
        <v xml:space="preserve"> </v>
      </c>
      <c r="E264" s="7" t="str">
        <f>IF(A264=""," ",B264*VLOOKUP(A264,'01.01.2026 - 24.01.2026'!A:H,6,FALSE))</f>
        <v xml:space="preserve"> </v>
      </c>
      <c r="F264" s="7" t="str">
        <f>IF(A264=""," ",B264*VLOOKUP(A264,'01.01.2026 - 24.01.2026'!A:H,7,FALSE))</f>
        <v xml:space="preserve"> </v>
      </c>
      <c r="G264" s="7" t="str">
        <f>IF(A264=""," ",B264*VLOOKUP(A264,'01.01.2026 - 24.01.2026'!A:H,8,FALSE))</f>
        <v xml:space="preserve"> </v>
      </c>
    </row>
    <row r="265" spans="1:7" ht="14.15" customHeight="1" x14ac:dyDescent="0.25">
      <c r="A265" s="15"/>
      <c r="B265" s="22"/>
      <c r="C265" s="6" t="str">
        <f>IF(A265=""," ",VLOOKUP(A265,'01.01.2026 - 24.01.2026'!A:H,2,FALSE))</f>
        <v xml:space="preserve"> </v>
      </c>
      <c r="D265" s="30" t="str">
        <f>IF(A265=""," ",VLOOKUP(A265,'01.01.2026 - 24.01.2026'!A:H,5,FALSE))</f>
        <v xml:space="preserve"> </v>
      </c>
      <c r="E265" s="7" t="str">
        <f>IF(A265=""," ",B265*VLOOKUP(A265,'01.01.2026 - 24.01.2026'!A:H,6,FALSE))</f>
        <v xml:space="preserve"> </v>
      </c>
      <c r="F265" s="7" t="str">
        <f>IF(A265=""," ",B265*VLOOKUP(A265,'01.01.2026 - 24.01.2026'!A:H,7,FALSE))</f>
        <v xml:space="preserve"> </v>
      </c>
      <c r="G265" s="7" t="str">
        <f>IF(A265=""," ",B265*VLOOKUP(A265,'01.01.2026 - 24.01.2026'!A:H,8,FALSE))</f>
        <v xml:space="preserve"> </v>
      </c>
    </row>
    <row r="266" spans="1:7" ht="14.15" customHeight="1" x14ac:dyDescent="0.25">
      <c r="A266" s="15"/>
      <c r="B266" s="22"/>
      <c r="C266" s="6" t="str">
        <f>IF(A266=""," ",VLOOKUP(A266,'01.01.2026 - 24.01.2026'!A:H,2,FALSE))</f>
        <v xml:space="preserve"> </v>
      </c>
      <c r="D266" s="30" t="str">
        <f>IF(A266=""," ",VLOOKUP(A266,'01.01.2026 - 24.01.2026'!A:H,5,FALSE))</f>
        <v xml:space="preserve"> </v>
      </c>
      <c r="E266" s="7" t="str">
        <f>IF(A266=""," ",B266*VLOOKUP(A266,'01.01.2026 - 24.01.2026'!A:H,6,FALSE))</f>
        <v xml:space="preserve"> </v>
      </c>
      <c r="F266" s="7" t="str">
        <f>IF(A266=""," ",B266*VLOOKUP(A266,'01.01.2026 - 24.01.2026'!A:H,7,FALSE))</f>
        <v xml:space="preserve"> </v>
      </c>
      <c r="G266" s="7" t="str">
        <f>IF(A266=""," ",B266*VLOOKUP(A266,'01.01.2026 - 24.01.2026'!A:H,8,FALSE))</f>
        <v xml:space="preserve"> </v>
      </c>
    </row>
    <row r="267" spans="1:7" ht="14.15" customHeight="1" x14ac:dyDescent="0.25">
      <c r="A267" s="15"/>
      <c r="B267" s="22"/>
      <c r="C267" s="6" t="str">
        <f>IF(A267=""," ",VLOOKUP(A267,'01.01.2026 - 24.01.2026'!A:H,2,FALSE))</f>
        <v xml:space="preserve"> </v>
      </c>
      <c r="D267" s="30" t="str">
        <f>IF(A267=""," ",VLOOKUP(A267,'01.01.2026 - 24.01.2026'!A:H,5,FALSE))</f>
        <v xml:space="preserve"> </v>
      </c>
      <c r="E267" s="7" t="str">
        <f>IF(A267=""," ",B267*VLOOKUP(A267,'01.01.2026 - 24.01.2026'!A:H,6,FALSE))</f>
        <v xml:space="preserve"> </v>
      </c>
      <c r="F267" s="7" t="str">
        <f>IF(A267=""," ",B267*VLOOKUP(A267,'01.01.2026 - 24.01.2026'!A:H,7,FALSE))</f>
        <v xml:space="preserve"> </v>
      </c>
      <c r="G267" s="7" t="str">
        <f>IF(A267=""," ",B267*VLOOKUP(A267,'01.01.2026 - 24.01.2026'!A:H,8,FALSE))</f>
        <v xml:space="preserve"> </v>
      </c>
    </row>
    <row r="268" spans="1:7" ht="14.15" customHeight="1" x14ac:dyDescent="0.25">
      <c r="A268" s="15"/>
      <c r="B268" s="22"/>
      <c r="C268" s="6" t="str">
        <f>IF(A268=""," ",VLOOKUP(A268,'01.01.2026 - 24.01.2026'!A:H,2,FALSE))</f>
        <v xml:space="preserve"> </v>
      </c>
      <c r="D268" s="30" t="str">
        <f>IF(A268=""," ",VLOOKUP(A268,'01.01.2026 - 24.01.2026'!A:H,5,FALSE))</f>
        <v xml:space="preserve"> </v>
      </c>
      <c r="E268" s="7" t="str">
        <f>IF(A268=""," ",B268*VLOOKUP(A268,'01.01.2026 - 24.01.2026'!A:H,6,FALSE))</f>
        <v xml:space="preserve"> </v>
      </c>
      <c r="F268" s="7" t="str">
        <f>IF(A268=""," ",B268*VLOOKUP(A268,'01.01.2026 - 24.01.2026'!A:H,7,FALSE))</f>
        <v xml:space="preserve"> </v>
      </c>
      <c r="G268" s="7" t="str">
        <f>IF(A268=""," ",B268*VLOOKUP(A268,'01.01.2026 - 24.01.2026'!A:H,8,FALSE))</f>
        <v xml:space="preserve"> </v>
      </c>
    </row>
    <row r="269" spans="1:7" ht="14.15" customHeight="1" x14ac:dyDescent="0.25">
      <c r="A269" s="15"/>
      <c r="B269" s="22"/>
      <c r="C269" s="6" t="str">
        <f>IF(A269=""," ",VLOOKUP(A269,'01.01.2026 - 24.01.2026'!A:H,2,FALSE))</f>
        <v xml:space="preserve"> </v>
      </c>
      <c r="D269" s="30" t="str">
        <f>IF(A269=""," ",VLOOKUP(A269,'01.01.2026 - 24.01.2026'!A:H,5,FALSE))</f>
        <v xml:space="preserve"> </v>
      </c>
      <c r="E269" s="7" t="str">
        <f>IF(A269=""," ",B269*VLOOKUP(A269,'01.01.2026 - 24.01.2026'!A:H,6,FALSE))</f>
        <v xml:space="preserve"> </v>
      </c>
      <c r="F269" s="7" t="str">
        <f>IF(A269=""," ",B269*VLOOKUP(A269,'01.01.2026 - 24.01.2026'!A:H,7,FALSE))</f>
        <v xml:space="preserve"> </v>
      </c>
      <c r="G269" s="7" t="str">
        <f>IF(A269=""," ",B269*VLOOKUP(A269,'01.01.2026 - 24.01.2026'!A:H,8,FALSE))</f>
        <v xml:space="preserve"> </v>
      </c>
    </row>
    <row r="270" spans="1:7" ht="14.15" customHeight="1" x14ac:dyDescent="0.25">
      <c r="A270" s="15"/>
      <c r="B270" s="22"/>
      <c r="C270" s="6" t="str">
        <f>IF(A270=""," ",VLOOKUP(A270,'01.01.2026 - 24.01.2026'!A:H,2,FALSE))</f>
        <v xml:space="preserve"> </v>
      </c>
      <c r="D270" s="30" t="str">
        <f>IF(A270=""," ",VLOOKUP(A270,'01.01.2026 - 24.01.2026'!A:H,5,FALSE))</f>
        <v xml:space="preserve"> </v>
      </c>
      <c r="E270" s="7" t="str">
        <f>IF(A270=""," ",B270*VLOOKUP(A270,'01.01.2026 - 24.01.2026'!A:H,6,FALSE))</f>
        <v xml:space="preserve"> </v>
      </c>
      <c r="F270" s="7" t="str">
        <f>IF(A270=""," ",B270*VLOOKUP(A270,'01.01.2026 - 24.01.2026'!A:H,7,FALSE))</f>
        <v xml:space="preserve"> </v>
      </c>
      <c r="G270" s="7" t="str">
        <f>IF(A270=""," ",B270*VLOOKUP(A270,'01.01.2026 - 24.01.2026'!A:H,8,FALSE))</f>
        <v xml:space="preserve"> </v>
      </c>
    </row>
    <row r="271" spans="1:7" ht="14.15" customHeight="1" x14ac:dyDescent="0.25">
      <c r="A271" s="15"/>
      <c r="B271" s="22"/>
      <c r="C271" s="6" t="str">
        <f>IF(A271=""," ",VLOOKUP(A271,'01.01.2026 - 24.01.2026'!A:H,2,FALSE))</f>
        <v xml:space="preserve"> </v>
      </c>
      <c r="D271" s="30" t="str">
        <f>IF(A271=""," ",VLOOKUP(A271,'01.01.2026 - 24.01.2026'!A:H,5,FALSE))</f>
        <v xml:space="preserve"> </v>
      </c>
      <c r="E271" s="7" t="str">
        <f>IF(A271=""," ",B271*VLOOKUP(A271,'01.01.2026 - 24.01.2026'!A:H,6,FALSE))</f>
        <v xml:space="preserve"> </v>
      </c>
      <c r="F271" s="7" t="str">
        <f>IF(A271=""," ",B271*VLOOKUP(A271,'01.01.2026 - 24.01.2026'!A:H,7,FALSE))</f>
        <v xml:space="preserve"> </v>
      </c>
      <c r="G271" s="7" t="str">
        <f>IF(A271=""," ",B271*VLOOKUP(A271,'01.01.2026 - 24.01.2026'!A:H,8,FALSE))</f>
        <v xml:space="preserve"> </v>
      </c>
    </row>
    <row r="272" spans="1:7" ht="14.15" customHeight="1" x14ac:dyDescent="0.25">
      <c r="A272" s="15"/>
      <c r="B272" s="22"/>
      <c r="C272" s="6" t="str">
        <f>IF(A272=""," ",VLOOKUP(A272,'01.01.2026 - 24.01.2026'!A:H,2,FALSE))</f>
        <v xml:space="preserve"> </v>
      </c>
      <c r="D272" s="30" t="str">
        <f>IF(A272=""," ",VLOOKUP(A272,'01.01.2026 - 24.01.2026'!A:H,5,FALSE))</f>
        <v xml:space="preserve"> </v>
      </c>
      <c r="E272" s="7" t="str">
        <f>IF(A272=""," ",B272*VLOOKUP(A272,'01.01.2026 - 24.01.2026'!A:H,6,FALSE))</f>
        <v xml:space="preserve"> </v>
      </c>
      <c r="F272" s="7" t="str">
        <f>IF(A272=""," ",B272*VLOOKUP(A272,'01.01.2026 - 24.01.2026'!A:H,7,FALSE))</f>
        <v xml:space="preserve"> </v>
      </c>
      <c r="G272" s="7" t="str">
        <f>IF(A272=""," ",B272*VLOOKUP(A272,'01.01.2026 - 24.01.2026'!A:H,8,FALSE))</f>
        <v xml:space="preserve"> </v>
      </c>
    </row>
    <row r="273" spans="1:7" ht="14.15" customHeight="1" x14ac:dyDescent="0.25">
      <c r="A273" s="15"/>
      <c r="B273" s="22"/>
      <c r="C273" s="6" t="str">
        <f>IF(A273=""," ",VLOOKUP(A273,'01.01.2026 - 24.01.2026'!A:H,2,FALSE))</f>
        <v xml:space="preserve"> </v>
      </c>
      <c r="D273" s="30" t="str">
        <f>IF(A273=""," ",VLOOKUP(A273,'01.01.2026 - 24.01.2026'!A:H,5,FALSE))</f>
        <v xml:space="preserve"> </v>
      </c>
      <c r="E273" s="7" t="str">
        <f>IF(A273=""," ",B273*VLOOKUP(A273,'01.01.2026 - 24.01.2026'!A:H,6,FALSE))</f>
        <v xml:space="preserve"> </v>
      </c>
      <c r="F273" s="7" t="str">
        <f>IF(A273=""," ",B273*VLOOKUP(A273,'01.01.2026 - 24.01.2026'!A:H,7,FALSE))</f>
        <v xml:space="preserve"> </v>
      </c>
      <c r="G273" s="7" t="str">
        <f>IF(A273=""," ",B273*VLOOKUP(A273,'01.01.2026 - 24.01.2026'!A:H,8,FALSE))</f>
        <v xml:space="preserve"> </v>
      </c>
    </row>
    <row r="274" spans="1:7" ht="14.15" customHeight="1" x14ac:dyDescent="0.25">
      <c r="A274" s="15"/>
      <c r="B274" s="22"/>
      <c r="C274" s="6" t="str">
        <f>IF(A274=""," ",VLOOKUP(A274,'01.01.2026 - 24.01.2026'!A:H,2,FALSE))</f>
        <v xml:space="preserve"> </v>
      </c>
      <c r="D274" s="30" t="str">
        <f>IF(A274=""," ",VLOOKUP(A274,'01.01.2026 - 24.01.2026'!A:H,5,FALSE))</f>
        <v xml:space="preserve"> </v>
      </c>
      <c r="E274" s="7" t="str">
        <f>IF(A274=""," ",B274*VLOOKUP(A274,'01.01.2026 - 24.01.2026'!A:H,6,FALSE))</f>
        <v xml:space="preserve"> </v>
      </c>
      <c r="F274" s="7" t="str">
        <f>IF(A274=""," ",B274*VLOOKUP(A274,'01.01.2026 - 24.01.2026'!A:H,7,FALSE))</f>
        <v xml:space="preserve"> </v>
      </c>
      <c r="G274" s="7" t="str">
        <f>IF(A274=""," ",B274*VLOOKUP(A274,'01.01.2026 - 24.01.2026'!A:H,8,FALSE))</f>
        <v xml:space="preserve"> </v>
      </c>
    </row>
    <row r="275" spans="1:7" ht="14.15" customHeight="1" x14ac:dyDescent="0.25">
      <c r="A275" s="15"/>
      <c r="B275" s="22"/>
      <c r="C275" s="6" t="str">
        <f>IF(A275=""," ",VLOOKUP(A275,'01.01.2026 - 24.01.2026'!A:H,2,FALSE))</f>
        <v xml:space="preserve"> </v>
      </c>
      <c r="D275" s="30" t="str">
        <f>IF(A275=""," ",VLOOKUP(A275,'01.01.2026 - 24.01.2026'!A:H,5,FALSE))</f>
        <v xml:space="preserve"> </v>
      </c>
      <c r="E275" s="7" t="str">
        <f>IF(A275=""," ",B275*VLOOKUP(A275,'01.01.2026 - 24.01.2026'!A:H,6,FALSE))</f>
        <v xml:space="preserve"> </v>
      </c>
      <c r="F275" s="7" t="str">
        <f>IF(A275=""," ",B275*VLOOKUP(A275,'01.01.2026 - 24.01.2026'!A:H,7,FALSE))</f>
        <v xml:space="preserve"> </v>
      </c>
      <c r="G275" s="7" t="str">
        <f>IF(A275=""," ",B275*VLOOKUP(A275,'01.01.2026 - 24.01.2026'!A:H,8,FALSE))</f>
        <v xml:space="preserve"> </v>
      </c>
    </row>
    <row r="276" spans="1:7" ht="14.15" customHeight="1" x14ac:dyDescent="0.25">
      <c r="A276" s="15"/>
      <c r="B276" s="22"/>
      <c r="C276" s="6" t="str">
        <f>IF(A276=""," ",VLOOKUP(A276,'01.01.2026 - 24.01.2026'!A:H,2,FALSE))</f>
        <v xml:space="preserve"> </v>
      </c>
      <c r="D276" s="30" t="str">
        <f>IF(A276=""," ",VLOOKUP(A276,'01.01.2026 - 24.01.2026'!A:H,5,FALSE))</f>
        <v xml:space="preserve"> </v>
      </c>
      <c r="E276" s="7" t="str">
        <f>IF(A276=""," ",B276*VLOOKUP(A276,'01.01.2026 - 24.01.2026'!A:H,6,FALSE))</f>
        <v xml:space="preserve"> </v>
      </c>
      <c r="F276" s="7" t="str">
        <f>IF(A276=""," ",B276*VLOOKUP(A276,'01.01.2026 - 24.01.2026'!A:H,7,FALSE))</f>
        <v xml:space="preserve"> </v>
      </c>
      <c r="G276" s="7" t="str">
        <f>IF(A276=""," ",B276*VLOOKUP(A276,'01.01.2026 - 24.01.2026'!A:H,8,FALSE))</f>
        <v xml:space="preserve"> </v>
      </c>
    </row>
    <row r="277" spans="1:7" ht="14.15" customHeight="1" x14ac:dyDescent="0.25">
      <c r="A277" s="15"/>
      <c r="B277" s="22"/>
      <c r="C277" s="6" t="str">
        <f>IF(A277=""," ",VLOOKUP(A277,'01.01.2026 - 24.01.2026'!A:H,2,FALSE))</f>
        <v xml:space="preserve"> </v>
      </c>
      <c r="D277" s="30" t="str">
        <f>IF(A277=""," ",VLOOKUP(A277,'01.01.2026 - 24.01.2026'!A:H,5,FALSE))</f>
        <v xml:space="preserve"> </v>
      </c>
      <c r="E277" s="7" t="str">
        <f>IF(A277=""," ",B277*VLOOKUP(A277,'01.01.2026 - 24.01.2026'!A:H,6,FALSE))</f>
        <v xml:space="preserve"> </v>
      </c>
      <c r="F277" s="7" t="str">
        <f>IF(A277=""," ",B277*VLOOKUP(A277,'01.01.2026 - 24.01.2026'!A:H,7,FALSE))</f>
        <v xml:space="preserve"> </v>
      </c>
      <c r="G277" s="7" t="str">
        <f>IF(A277=""," ",B277*VLOOKUP(A277,'01.01.2026 - 24.01.2026'!A:H,8,FALSE))</f>
        <v xml:space="preserve"> </v>
      </c>
    </row>
    <row r="278" spans="1:7" ht="14.15" customHeight="1" x14ac:dyDescent="0.25">
      <c r="A278" s="15"/>
      <c r="B278" s="22"/>
      <c r="C278" s="6" t="str">
        <f>IF(A278=""," ",VLOOKUP(A278,'01.01.2026 - 24.01.2026'!A:H,2,FALSE))</f>
        <v xml:space="preserve"> </v>
      </c>
      <c r="D278" s="30" t="str">
        <f>IF(A278=""," ",VLOOKUP(A278,'01.01.2026 - 24.01.2026'!A:H,5,FALSE))</f>
        <v xml:space="preserve"> </v>
      </c>
      <c r="E278" s="7" t="str">
        <f>IF(A278=""," ",B278*VLOOKUP(A278,'01.01.2026 - 24.01.2026'!A:H,6,FALSE))</f>
        <v xml:space="preserve"> </v>
      </c>
      <c r="F278" s="7" t="str">
        <f>IF(A278=""," ",B278*VLOOKUP(A278,'01.01.2026 - 24.01.2026'!A:H,7,FALSE))</f>
        <v xml:space="preserve"> </v>
      </c>
      <c r="G278" s="7" t="str">
        <f>IF(A278=""," ",B278*VLOOKUP(A278,'01.01.2026 - 24.01.2026'!A:H,8,FALSE))</f>
        <v xml:space="preserve"> </v>
      </c>
    </row>
    <row r="279" spans="1:7" ht="14.15" customHeight="1" x14ac:dyDescent="0.25">
      <c r="A279" s="15"/>
      <c r="B279" s="22"/>
      <c r="C279" s="6" t="str">
        <f>IF(A279=""," ",VLOOKUP(A279,'01.01.2026 - 24.01.2026'!A:H,2,FALSE))</f>
        <v xml:space="preserve"> </v>
      </c>
      <c r="D279" s="30" t="str">
        <f>IF(A279=""," ",VLOOKUP(A279,'01.01.2026 - 24.01.2026'!A:H,5,FALSE))</f>
        <v xml:space="preserve"> </v>
      </c>
      <c r="E279" s="7" t="str">
        <f>IF(A279=""," ",B279*VLOOKUP(A279,'01.01.2026 - 24.01.2026'!A:H,6,FALSE))</f>
        <v xml:space="preserve"> </v>
      </c>
      <c r="F279" s="7" t="str">
        <f>IF(A279=""," ",B279*VLOOKUP(A279,'01.01.2026 - 24.01.2026'!A:H,7,FALSE))</f>
        <v xml:space="preserve"> </v>
      </c>
      <c r="G279" s="7" t="str">
        <f>IF(A279=""," ",B279*VLOOKUP(A279,'01.01.2026 - 24.01.2026'!A:H,8,FALSE))</f>
        <v xml:space="preserve"> </v>
      </c>
    </row>
    <row r="280" spans="1:7" ht="14.15" customHeight="1" x14ac:dyDescent="0.25">
      <c r="A280" s="15"/>
      <c r="B280" s="22"/>
      <c r="C280" s="6" t="str">
        <f>IF(A280=""," ",VLOOKUP(A280,'01.01.2026 - 24.01.2026'!A:H,2,FALSE))</f>
        <v xml:space="preserve"> </v>
      </c>
      <c r="D280" s="30" t="str">
        <f>IF(A280=""," ",VLOOKUP(A280,'01.01.2026 - 24.01.2026'!A:H,5,FALSE))</f>
        <v xml:space="preserve"> </v>
      </c>
      <c r="E280" s="7" t="str">
        <f>IF(A280=""," ",B280*VLOOKUP(A280,'01.01.2026 - 24.01.2026'!A:H,6,FALSE))</f>
        <v xml:space="preserve"> </v>
      </c>
      <c r="F280" s="7" t="str">
        <f>IF(A280=""," ",B280*VLOOKUP(A280,'01.01.2026 - 24.01.2026'!A:H,7,FALSE))</f>
        <v xml:space="preserve"> </v>
      </c>
      <c r="G280" s="7" t="str">
        <f>IF(A280=""," ",B280*VLOOKUP(A280,'01.01.2026 - 24.01.2026'!A:H,8,FALSE))</f>
        <v xml:space="preserve"> </v>
      </c>
    </row>
    <row r="281" spans="1:7" ht="14.15" customHeight="1" x14ac:dyDescent="0.25">
      <c r="A281" s="15"/>
      <c r="B281" s="22"/>
      <c r="C281" s="6" t="str">
        <f>IF(A281=""," ",VLOOKUP(A281,'01.01.2026 - 24.01.2026'!A:H,2,FALSE))</f>
        <v xml:space="preserve"> </v>
      </c>
      <c r="D281" s="30" t="str">
        <f>IF(A281=""," ",VLOOKUP(A281,'01.01.2026 - 24.01.2026'!A:H,5,FALSE))</f>
        <v xml:space="preserve"> </v>
      </c>
      <c r="E281" s="7" t="str">
        <f>IF(A281=""," ",B281*VLOOKUP(A281,'01.01.2026 - 24.01.2026'!A:H,6,FALSE))</f>
        <v xml:space="preserve"> </v>
      </c>
      <c r="F281" s="7" t="str">
        <f>IF(A281=""," ",B281*VLOOKUP(A281,'01.01.2026 - 24.01.2026'!A:H,7,FALSE))</f>
        <v xml:space="preserve"> </v>
      </c>
      <c r="G281" s="7" t="str">
        <f>IF(A281=""," ",B281*VLOOKUP(A281,'01.01.2026 - 24.01.2026'!A:H,8,FALSE))</f>
        <v xml:space="preserve"> </v>
      </c>
    </row>
    <row r="282" spans="1:7" ht="14.15" customHeight="1" x14ac:dyDescent="0.25">
      <c r="A282" s="15"/>
      <c r="B282" s="22"/>
      <c r="C282" s="6" t="str">
        <f>IF(A282=""," ",VLOOKUP(A282,'01.01.2026 - 24.01.2026'!A:H,2,FALSE))</f>
        <v xml:space="preserve"> </v>
      </c>
      <c r="D282" s="30" t="str">
        <f>IF(A282=""," ",VLOOKUP(A282,'01.01.2026 - 24.01.2026'!A:H,5,FALSE))</f>
        <v xml:space="preserve"> </v>
      </c>
      <c r="E282" s="7" t="str">
        <f>IF(A282=""," ",B282*VLOOKUP(A282,'01.01.2026 - 24.01.2026'!A:H,6,FALSE))</f>
        <v xml:space="preserve"> </v>
      </c>
      <c r="F282" s="7" t="str">
        <f>IF(A282=""," ",B282*VLOOKUP(A282,'01.01.2026 - 24.01.2026'!A:H,7,FALSE))</f>
        <v xml:space="preserve"> </v>
      </c>
      <c r="G282" s="7" t="str">
        <f>IF(A282=""," ",B282*VLOOKUP(A282,'01.01.2026 - 24.01.2026'!A:H,8,FALSE))</f>
        <v xml:space="preserve"> </v>
      </c>
    </row>
    <row r="283" spans="1:7" ht="14.15" customHeight="1" x14ac:dyDescent="0.25">
      <c r="A283" s="15"/>
      <c r="B283" s="22"/>
      <c r="C283" s="6" t="str">
        <f>IF(A283=""," ",VLOOKUP(A283,'01.01.2026 - 24.01.2026'!A:H,2,FALSE))</f>
        <v xml:space="preserve"> </v>
      </c>
      <c r="D283" s="30" t="str">
        <f>IF(A283=""," ",VLOOKUP(A283,'01.01.2026 - 24.01.2026'!A:H,5,FALSE))</f>
        <v xml:space="preserve"> </v>
      </c>
      <c r="E283" s="7" t="str">
        <f>IF(A283=""," ",B283*VLOOKUP(A283,'01.01.2026 - 24.01.2026'!A:H,6,FALSE))</f>
        <v xml:space="preserve"> </v>
      </c>
      <c r="F283" s="7" t="str">
        <f>IF(A283=""," ",B283*VLOOKUP(A283,'01.01.2026 - 24.01.2026'!A:H,7,FALSE))</f>
        <v xml:space="preserve"> </v>
      </c>
      <c r="G283" s="7" t="str">
        <f>IF(A283=""," ",B283*VLOOKUP(A283,'01.01.2026 - 24.01.2026'!A:H,8,FALSE))</f>
        <v xml:space="preserve"> </v>
      </c>
    </row>
    <row r="284" spans="1:7" ht="14.15" customHeight="1" x14ac:dyDescent="0.25">
      <c r="A284" s="15"/>
      <c r="B284" s="22"/>
      <c r="C284" s="6" t="str">
        <f>IF(A284=""," ",VLOOKUP(A284,'01.01.2026 - 24.01.2026'!A:H,2,FALSE))</f>
        <v xml:space="preserve"> </v>
      </c>
      <c r="D284" s="30" t="str">
        <f>IF(A284=""," ",VLOOKUP(A284,'01.01.2026 - 24.01.2026'!A:H,5,FALSE))</f>
        <v xml:space="preserve"> </v>
      </c>
      <c r="E284" s="7" t="str">
        <f>IF(A284=""," ",B284*VLOOKUP(A284,'01.01.2026 - 24.01.2026'!A:H,6,FALSE))</f>
        <v xml:space="preserve"> </v>
      </c>
      <c r="F284" s="7" t="str">
        <f>IF(A284=""," ",B284*VLOOKUP(A284,'01.01.2026 - 24.01.2026'!A:H,7,FALSE))</f>
        <v xml:space="preserve"> </v>
      </c>
      <c r="G284" s="7" t="str">
        <f>IF(A284=""," ",B284*VLOOKUP(A284,'01.01.2026 - 24.01.2026'!A:H,8,FALSE))</f>
        <v xml:space="preserve"> </v>
      </c>
    </row>
    <row r="285" spans="1:7" ht="14.15" customHeight="1" x14ac:dyDescent="0.25">
      <c r="A285" s="15"/>
      <c r="B285" s="22"/>
      <c r="C285" s="6" t="str">
        <f>IF(A285=""," ",VLOOKUP(A285,'01.01.2026 - 24.01.2026'!A:H,2,FALSE))</f>
        <v xml:space="preserve"> </v>
      </c>
      <c r="D285" s="30" t="str">
        <f>IF(A285=""," ",VLOOKUP(A285,'01.01.2026 - 24.01.2026'!A:H,5,FALSE))</f>
        <v xml:space="preserve"> </v>
      </c>
      <c r="E285" s="7" t="str">
        <f>IF(A285=""," ",B285*VLOOKUP(A285,'01.01.2026 - 24.01.2026'!A:H,6,FALSE))</f>
        <v xml:space="preserve"> </v>
      </c>
      <c r="F285" s="7" t="str">
        <f>IF(A285=""," ",B285*VLOOKUP(A285,'01.01.2026 - 24.01.2026'!A:H,7,FALSE))</f>
        <v xml:space="preserve"> </v>
      </c>
      <c r="G285" s="7" t="str">
        <f>IF(A285=""," ",B285*VLOOKUP(A285,'01.01.2026 - 24.01.2026'!A:H,8,FALSE))</f>
        <v xml:space="preserve"> </v>
      </c>
    </row>
    <row r="286" spans="1:7" ht="14.15" customHeight="1" x14ac:dyDescent="0.25">
      <c r="A286" s="15"/>
      <c r="B286" s="22"/>
      <c r="C286" s="6" t="str">
        <f>IF(A286=""," ",VLOOKUP(A286,'01.01.2026 - 24.01.2026'!A:H,2,FALSE))</f>
        <v xml:space="preserve"> </v>
      </c>
      <c r="D286" s="30" t="str">
        <f>IF(A286=""," ",VLOOKUP(A286,'01.01.2026 - 24.01.2026'!A:H,5,FALSE))</f>
        <v xml:space="preserve"> </v>
      </c>
      <c r="E286" s="7" t="str">
        <f>IF(A286=""," ",B286*VLOOKUP(A286,'01.01.2026 - 24.01.2026'!A:H,6,FALSE))</f>
        <v xml:space="preserve"> </v>
      </c>
      <c r="F286" s="7" t="str">
        <f>IF(A286=""," ",B286*VLOOKUP(A286,'01.01.2026 - 24.01.2026'!A:H,7,FALSE))</f>
        <v xml:space="preserve"> </v>
      </c>
      <c r="G286" s="7" t="str">
        <f>IF(A286=""," ",B286*VLOOKUP(A286,'01.01.2026 - 24.01.2026'!A:H,8,FALSE))</f>
        <v xml:space="preserve"> </v>
      </c>
    </row>
    <row r="287" spans="1:7" ht="14.15" customHeight="1" x14ac:dyDescent="0.25">
      <c r="A287" s="15"/>
      <c r="B287" s="22"/>
      <c r="C287" s="6" t="str">
        <f>IF(A287=""," ",VLOOKUP(A287,'01.01.2026 - 24.01.2026'!A:H,2,FALSE))</f>
        <v xml:space="preserve"> </v>
      </c>
      <c r="D287" s="30" t="str">
        <f>IF(A287=""," ",VLOOKUP(A287,'01.01.2026 - 24.01.2026'!A:H,5,FALSE))</f>
        <v xml:space="preserve"> </v>
      </c>
      <c r="E287" s="7" t="str">
        <f>IF(A287=""," ",B287*VLOOKUP(A287,'01.01.2026 - 24.01.2026'!A:H,6,FALSE))</f>
        <v xml:space="preserve"> </v>
      </c>
      <c r="F287" s="7" t="str">
        <f>IF(A287=""," ",B287*VLOOKUP(A287,'01.01.2026 - 24.01.2026'!A:H,7,FALSE))</f>
        <v xml:space="preserve"> </v>
      </c>
      <c r="G287" s="7" t="str">
        <f>IF(A287=""," ",B287*VLOOKUP(A287,'01.01.2026 - 24.01.2026'!A:H,8,FALSE))</f>
        <v xml:space="preserve"> </v>
      </c>
    </row>
    <row r="288" spans="1:7" ht="14.15" customHeight="1" x14ac:dyDescent="0.25">
      <c r="A288" s="15"/>
      <c r="B288" s="22"/>
      <c r="C288" s="6" t="str">
        <f>IF(A288=""," ",VLOOKUP(A288,'01.01.2026 - 24.01.2026'!A:H,2,FALSE))</f>
        <v xml:space="preserve"> </v>
      </c>
      <c r="D288" s="30" t="str">
        <f>IF(A288=""," ",VLOOKUP(A288,'01.01.2026 - 24.01.2026'!A:H,5,FALSE))</f>
        <v xml:space="preserve"> </v>
      </c>
      <c r="E288" s="7" t="str">
        <f>IF(A288=""," ",B288*VLOOKUP(A288,'01.01.2026 - 24.01.2026'!A:H,6,FALSE))</f>
        <v xml:space="preserve"> </v>
      </c>
      <c r="F288" s="7" t="str">
        <f>IF(A288=""," ",B288*VLOOKUP(A288,'01.01.2026 - 24.01.2026'!A:H,7,FALSE))</f>
        <v xml:space="preserve"> </v>
      </c>
      <c r="G288" s="7" t="str">
        <f>IF(A288=""," ",B288*VLOOKUP(A288,'01.01.2026 - 24.01.2026'!A:H,8,FALSE))</f>
        <v xml:space="preserve"> </v>
      </c>
    </row>
    <row r="289" spans="1:7" ht="14.15" customHeight="1" x14ac:dyDescent="0.25">
      <c r="A289" s="15"/>
      <c r="B289" s="22"/>
      <c r="C289" s="6" t="str">
        <f>IF(A289=""," ",VLOOKUP(A289,'01.01.2026 - 24.01.2026'!A:H,2,FALSE))</f>
        <v xml:space="preserve"> </v>
      </c>
      <c r="D289" s="30" t="str">
        <f>IF(A289=""," ",VLOOKUP(A289,'01.01.2026 - 24.01.2026'!A:H,5,FALSE))</f>
        <v xml:space="preserve"> </v>
      </c>
      <c r="E289" s="7" t="str">
        <f>IF(A289=""," ",B289*VLOOKUP(A289,'01.01.2026 - 24.01.2026'!A:H,6,FALSE))</f>
        <v xml:space="preserve"> </v>
      </c>
      <c r="F289" s="7" t="str">
        <f>IF(A289=""," ",B289*VLOOKUP(A289,'01.01.2026 - 24.01.2026'!A:H,7,FALSE))</f>
        <v xml:space="preserve"> </v>
      </c>
      <c r="G289" s="7" t="str">
        <f>IF(A289=""," ",B289*VLOOKUP(A289,'01.01.2026 - 24.01.2026'!A:H,8,FALSE))</f>
        <v xml:space="preserve"> </v>
      </c>
    </row>
    <row r="290" spans="1:7" ht="14.15" customHeight="1" x14ac:dyDescent="0.25">
      <c r="A290" s="15"/>
      <c r="B290" s="22"/>
      <c r="C290" s="6" t="str">
        <f>IF(A290=""," ",VLOOKUP(A290,'01.01.2026 - 24.01.2026'!A:H,2,FALSE))</f>
        <v xml:space="preserve"> </v>
      </c>
      <c r="D290" s="30" t="str">
        <f>IF(A290=""," ",VLOOKUP(A290,'01.01.2026 - 24.01.2026'!A:H,5,FALSE))</f>
        <v xml:space="preserve"> </v>
      </c>
      <c r="E290" s="7" t="str">
        <f>IF(A290=""," ",B290*VLOOKUP(A290,'01.01.2026 - 24.01.2026'!A:H,6,FALSE))</f>
        <v xml:space="preserve"> </v>
      </c>
      <c r="F290" s="7" t="str">
        <f>IF(A290=""," ",B290*VLOOKUP(A290,'01.01.2026 - 24.01.2026'!A:H,7,FALSE))</f>
        <v xml:space="preserve"> </v>
      </c>
      <c r="G290" s="7" t="str">
        <f>IF(A290=""," ",B290*VLOOKUP(A290,'01.01.2026 - 24.01.2026'!A:H,8,FALSE))</f>
        <v xml:space="preserve"> </v>
      </c>
    </row>
    <row r="291" spans="1:7" ht="14.15" customHeight="1" x14ac:dyDescent="0.25">
      <c r="A291" s="15"/>
      <c r="B291" s="22"/>
      <c r="C291" s="6" t="str">
        <f>IF(A291=""," ",VLOOKUP(A291,'01.01.2026 - 24.01.2026'!A:H,2,FALSE))</f>
        <v xml:space="preserve"> </v>
      </c>
      <c r="D291" s="30" t="str">
        <f>IF(A291=""," ",VLOOKUP(A291,'01.01.2026 - 24.01.2026'!A:H,5,FALSE))</f>
        <v xml:space="preserve"> </v>
      </c>
      <c r="E291" s="7" t="str">
        <f>IF(A291=""," ",B291*VLOOKUP(A291,'01.01.2026 - 24.01.2026'!A:H,6,FALSE))</f>
        <v xml:space="preserve"> </v>
      </c>
      <c r="F291" s="7" t="str">
        <f>IF(A291=""," ",B291*VLOOKUP(A291,'01.01.2026 - 24.01.2026'!A:H,7,FALSE))</f>
        <v xml:space="preserve"> </v>
      </c>
      <c r="G291" s="7" t="str">
        <f>IF(A291=""," ",B291*VLOOKUP(A291,'01.01.2026 - 24.01.2026'!A:H,8,FALSE))</f>
        <v xml:space="preserve"> </v>
      </c>
    </row>
    <row r="292" spans="1:7" ht="14.15" customHeight="1" x14ac:dyDescent="0.25">
      <c r="A292" s="15"/>
      <c r="B292" s="22"/>
      <c r="C292" s="6" t="str">
        <f>IF(A292=""," ",VLOOKUP(A292,'01.01.2026 - 24.01.2026'!A:H,2,FALSE))</f>
        <v xml:space="preserve"> </v>
      </c>
      <c r="D292" s="30" t="str">
        <f>IF(A292=""," ",VLOOKUP(A292,'01.01.2026 - 24.01.2026'!A:H,5,FALSE))</f>
        <v xml:space="preserve"> </v>
      </c>
      <c r="E292" s="7" t="str">
        <f>IF(A292=""," ",B292*VLOOKUP(A292,'01.01.2026 - 24.01.2026'!A:H,6,FALSE))</f>
        <v xml:space="preserve"> </v>
      </c>
      <c r="F292" s="7" t="str">
        <f>IF(A292=""," ",B292*VLOOKUP(A292,'01.01.2026 - 24.01.2026'!A:H,7,FALSE))</f>
        <v xml:space="preserve"> </v>
      </c>
      <c r="G292" s="7" t="str">
        <f>IF(A292=""," ",B292*VLOOKUP(A292,'01.01.2026 - 24.01.2026'!A:H,8,FALSE))</f>
        <v xml:space="preserve"> </v>
      </c>
    </row>
    <row r="293" spans="1:7" ht="14.15" customHeight="1" x14ac:dyDescent="0.25">
      <c r="A293" s="15"/>
      <c r="B293" s="22"/>
      <c r="C293" s="6" t="str">
        <f>IF(A293=""," ",VLOOKUP(A293,'01.01.2026 - 24.01.2026'!A:H,2,FALSE))</f>
        <v xml:space="preserve"> </v>
      </c>
      <c r="D293" s="30" t="str">
        <f>IF(A293=""," ",VLOOKUP(A293,'01.01.2026 - 24.01.2026'!A:H,5,FALSE))</f>
        <v xml:space="preserve"> </v>
      </c>
      <c r="E293" s="7" t="str">
        <f>IF(A293=""," ",B293*VLOOKUP(A293,'01.01.2026 - 24.01.2026'!A:H,6,FALSE))</f>
        <v xml:space="preserve"> </v>
      </c>
      <c r="F293" s="7" t="str">
        <f>IF(A293=""," ",B293*VLOOKUP(A293,'01.01.2026 - 24.01.2026'!A:H,7,FALSE))</f>
        <v xml:space="preserve"> </v>
      </c>
      <c r="G293" s="7" t="str">
        <f>IF(A293=""," ",B293*VLOOKUP(A293,'01.01.2026 - 24.01.2026'!A:H,8,FALSE))</f>
        <v xml:space="preserve"> </v>
      </c>
    </row>
    <row r="294" spans="1:7" ht="14.15" customHeight="1" x14ac:dyDescent="0.25">
      <c r="A294" s="15"/>
      <c r="B294" s="22"/>
      <c r="C294" s="6" t="str">
        <f>IF(A294=""," ",VLOOKUP(A294,'01.01.2026 - 24.01.2026'!A:H,2,FALSE))</f>
        <v xml:space="preserve"> </v>
      </c>
      <c r="D294" s="30" t="str">
        <f>IF(A294=""," ",VLOOKUP(A294,'01.01.2026 - 24.01.2026'!A:H,5,FALSE))</f>
        <v xml:space="preserve"> </v>
      </c>
      <c r="E294" s="7" t="str">
        <f>IF(A294=""," ",B294*VLOOKUP(A294,'01.01.2026 - 24.01.2026'!A:H,6,FALSE))</f>
        <v xml:space="preserve"> </v>
      </c>
      <c r="F294" s="7" t="str">
        <f>IF(A294=""," ",B294*VLOOKUP(A294,'01.01.2026 - 24.01.2026'!A:H,7,FALSE))</f>
        <v xml:space="preserve"> </v>
      </c>
      <c r="G294" s="7" t="str">
        <f>IF(A294=""," ",B294*VLOOKUP(A294,'01.01.2026 - 24.01.2026'!A:H,8,FALSE))</f>
        <v xml:space="preserve"> </v>
      </c>
    </row>
    <row r="295" spans="1:7" ht="14.15" customHeight="1" x14ac:dyDescent="0.25">
      <c r="A295" s="15"/>
      <c r="B295" s="22"/>
      <c r="C295" s="6" t="str">
        <f>IF(A295=""," ",VLOOKUP(A295,'01.01.2026 - 24.01.2026'!A:H,2,FALSE))</f>
        <v xml:space="preserve"> </v>
      </c>
      <c r="D295" s="30" t="str">
        <f>IF(A295=""," ",VLOOKUP(A295,'01.01.2026 - 24.01.2026'!A:H,5,FALSE))</f>
        <v xml:space="preserve"> </v>
      </c>
      <c r="E295" s="7" t="str">
        <f>IF(A295=""," ",B295*VLOOKUP(A295,'01.01.2026 - 24.01.2026'!A:H,6,FALSE))</f>
        <v xml:space="preserve"> </v>
      </c>
      <c r="F295" s="7" t="str">
        <f>IF(A295=""," ",B295*VLOOKUP(A295,'01.01.2026 - 24.01.2026'!A:H,7,FALSE))</f>
        <v xml:space="preserve"> </v>
      </c>
      <c r="G295" s="7" t="str">
        <f>IF(A295=""," ",B295*VLOOKUP(A295,'01.01.2026 - 24.01.2026'!A:H,8,FALSE))</f>
        <v xml:space="preserve"> </v>
      </c>
    </row>
    <row r="296" spans="1:7" ht="14.15" customHeight="1" x14ac:dyDescent="0.25">
      <c r="A296" s="15"/>
      <c r="B296" s="22"/>
      <c r="C296" s="6" t="str">
        <f>IF(A296=""," ",VLOOKUP(A296,'01.01.2026 - 24.01.2026'!A:H,2,FALSE))</f>
        <v xml:space="preserve"> </v>
      </c>
      <c r="D296" s="30" t="str">
        <f>IF(A296=""," ",VLOOKUP(A296,'01.01.2026 - 24.01.2026'!A:H,5,FALSE))</f>
        <v xml:space="preserve"> </v>
      </c>
      <c r="E296" s="7" t="str">
        <f>IF(A296=""," ",B296*VLOOKUP(A296,'01.01.2026 - 24.01.2026'!A:H,6,FALSE))</f>
        <v xml:space="preserve"> </v>
      </c>
      <c r="F296" s="7" t="str">
        <f>IF(A296=""," ",B296*VLOOKUP(A296,'01.01.2026 - 24.01.2026'!A:H,7,FALSE))</f>
        <v xml:space="preserve"> </v>
      </c>
      <c r="G296" s="7" t="str">
        <f>IF(A296=""," ",B296*VLOOKUP(A296,'01.01.2026 - 24.01.2026'!A:H,8,FALSE))</f>
        <v xml:space="preserve"> </v>
      </c>
    </row>
    <row r="297" spans="1:7" ht="14.15" customHeight="1" x14ac:dyDescent="0.25">
      <c r="A297" s="15"/>
      <c r="B297" s="22"/>
      <c r="C297" s="6" t="str">
        <f>IF(A297=""," ",VLOOKUP(A297,'01.01.2026 - 24.01.2026'!A:H,2,FALSE))</f>
        <v xml:space="preserve"> </v>
      </c>
      <c r="D297" s="30" t="str">
        <f>IF(A297=""," ",VLOOKUP(A297,'01.01.2026 - 24.01.2026'!A:H,5,FALSE))</f>
        <v xml:space="preserve"> </v>
      </c>
      <c r="E297" s="7" t="str">
        <f>IF(A297=""," ",B297*VLOOKUP(A297,'01.01.2026 - 24.01.2026'!A:H,6,FALSE))</f>
        <v xml:space="preserve"> </v>
      </c>
      <c r="F297" s="7" t="str">
        <f>IF(A297=""," ",B297*VLOOKUP(A297,'01.01.2026 - 24.01.2026'!A:H,7,FALSE))</f>
        <v xml:space="preserve"> </v>
      </c>
      <c r="G297" s="7" t="str">
        <f>IF(A297=""," ",B297*VLOOKUP(A297,'01.01.2026 - 24.01.2026'!A:H,8,FALSE))</f>
        <v xml:space="preserve"> </v>
      </c>
    </row>
    <row r="298" spans="1:7" x14ac:dyDescent="0.3">
      <c r="A298" s="18"/>
      <c r="B298" s="23"/>
      <c r="C298" s="6" t="str">
        <f>IF(A298=""," ",VLOOKUP(A298,'01.01.2026 - 24.01.2026'!A:H,2,FALSE))</f>
        <v xml:space="preserve"> </v>
      </c>
      <c r="D298" s="30" t="str">
        <f>IF(A298=""," ",VLOOKUP(A298,'01.01.2026 - 24.01.2026'!A:H,5,FALSE))</f>
        <v xml:space="preserve"> </v>
      </c>
      <c r="E298" s="7" t="str">
        <f>IF(A298=""," ",B298*VLOOKUP(A298,'01.01.2026 - 24.01.2026'!A:H,6,FALSE))</f>
        <v xml:space="preserve"> </v>
      </c>
      <c r="F298" s="7" t="str">
        <f>IF(A298=""," ",B298*VLOOKUP(A298,'01.01.2026 - 24.01.2026'!A:H,7,FALSE))</f>
        <v xml:space="preserve"> </v>
      </c>
      <c r="G298" s="7" t="str">
        <f>IF(A298=""," ",B298*VLOOKUP(A298,'01.01.2026 - 24.01.2026'!A:H,8,FALSE))</f>
        <v xml:space="preserve"> </v>
      </c>
    </row>
    <row r="299" spans="1:7" x14ac:dyDescent="0.3">
      <c r="A299" s="18"/>
      <c r="B299" s="23"/>
      <c r="C299" s="6" t="str">
        <f>IF(A299=""," ",VLOOKUP(A299,'01.01.2026 - 24.01.2026'!A:H,2,FALSE))</f>
        <v xml:space="preserve"> </v>
      </c>
      <c r="D299" s="30" t="str">
        <f>IF(A299=""," ",VLOOKUP(A299,'01.01.2026 - 24.01.2026'!A:H,5,FALSE))</f>
        <v xml:space="preserve"> </v>
      </c>
      <c r="E299" s="7" t="str">
        <f>IF(A299=""," ",B299*VLOOKUP(A299,'01.01.2026 - 24.01.2026'!A:H,6,FALSE))</f>
        <v xml:space="preserve"> </v>
      </c>
      <c r="F299" s="7" t="str">
        <f>IF(A299=""," ",B299*VLOOKUP(A299,'01.01.2026 - 24.01.2026'!A:H,7,FALSE))</f>
        <v xml:space="preserve"> </v>
      </c>
      <c r="G299" s="7" t="str">
        <f>IF(A299=""," ",B299*VLOOKUP(A299,'01.01.2026 - 24.01.2026'!A:H,8,FALSE))</f>
        <v xml:space="preserve"> </v>
      </c>
    </row>
    <row r="300" spans="1:7" x14ac:dyDescent="0.3">
      <c r="A300" s="18"/>
      <c r="B300" s="23"/>
      <c r="C300" s="6" t="str">
        <f>IF(A300=""," ",VLOOKUP(A300,'01.01.2026 - 24.01.2026'!A:H,2,FALSE))</f>
        <v xml:space="preserve"> </v>
      </c>
      <c r="D300" s="30" t="str">
        <f>IF(A300=""," ",VLOOKUP(A300,'01.01.2026 - 24.01.2026'!A:H,5,FALSE))</f>
        <v xml:space="preserve"> </v>
      </c>
      <c r="E300" s="7" t="str">
        <f>IF(A300=""," ",B300*VLOOKUP(A300,'01.01.2026 - 24.01.2026'!A:H,6,FALSE))</f>
        <v xml:space="preserve"> </v>
      </c>
      <c r="F300" s="7" t="str">
        <f>IF(A300=""," ",B300*VLOOKUP(A300,'01.01.2026 - 24.01.2026'!A:H,7,FALSE))</f>
        <v xml:space="preserve"> </v>
      </c>
      <c r="G300" s="7" t="str">
        <f>IF(A300=""," ",B300*VLOOKUP(A300,'01.01.2026 - 24.01.2026'!A:H,8,FALSE))</f>
        <v xml:space="preserve"> </v>
      </c>
    </row>
    <row r="301" spans="1:7" x14ac:dyDescent="0.3">
      <c r="A301" s="18"/>
      <c r="B301" s="23"/>
      <c r="C301" s="6" t="str">
        <f>IF(A301=""," ",VLOOKUP(A301,'01.01.2026 - 24.01.2026'!A:H,2,FALSE))</f>
        <v xml:space="preserve"> </v>
      </c>
      <c r="D301" s="30" t="str">
        <f>IF(A301=""," ",VLOOKUP(A301,'01.01.2026 - 24.01.2026'!A:H,5,FALSE))</f>
        <v xml:space="preserve"> </v>
      </c>
      <c r="E301" s="7" t="str">
        <f>IF(A301=""," ",B301*VLOOKUP(A301,'01.01.2026 - 24.01.2026'!A:H,6,FALSE))</f>
        <v xml:space="preserve"> </v>
      </c>
      <c r="F301" s="7" t="str">
        <f>IF(A301=""," ",B301*VLOOKUP(A301,'01.01.2026 - 24.01.2026'!A:H,7,FALSE))</f>
        <v xml:space="preserve"> </v>
      </c>
      <c r="G301" s="7" t="str">
        <f>IF(A301=""," ",B301*VLOOKUP(A301,'01.01.2026 - 24.01.2026'!A:H,8,FALSE))</f>
        <v xml:space="preserve"> </v>
      </c>
    </row>
    <row r="302" spans="1:7" x14ac:dyDescent="0.3">
      <c r="A302" s="18"/>
      <c r="B302" s="23"/>
      <c r="C302" s="6" t="str">
        <f>IF(A302=""," ",VLOOKUP(A302,'01.01.2026 - 24.01.2026'!A:H,2,FALSE))</f>
        <v xml:space="preserve"> </v>
      </c>
      <c r="D302" s="30" t="str">
        <f>IF(A302=""," ",VLOOKUP(A302,'01.01.2026 - 24.01.2026'!A:H,5,FALSE))</f>
        <v xml:space="preserve"> </v>
      </c>
      <c r="E302" s="7" t="str">
        <f>IF(A302=""," ",B302*VLOOKUP(A302,'01.01.2026 - 24.01.2026'!A:H,6,FALSE))</f>
        <v xml:space="preserve"> </v>
      </c>
      <c r="F302" s="7" t="str">
        <f>IF(A302=""," ",B302*VLOOKUP(A302,'01.01.2026 - 24.01.2026'!A:H,7,FALSE))</f>
        <v xml:space="preserve"> </v>
      </c>
      <c r="G302" s="7" t="str">
        <f>IF(A302=""," ",B302*VLOOKUP(A302,'01.01.2026 - 24.01.2026'!A:H,8,FALSE))</f>
        <v xml:space="preserve"> </v>
      </c>
    </row>
    <row r="303" spans="1:7" x14ac:dyDescent="0.3">
      <c r="A303" s="18"/>
      <c r="B303" s="23"/>
      <c r="C303" s="6" t="str">
        <f>IF(A303=""," ",VLOOKUP(A303,'01.01.2026 - 24.01.2026'!A:H,2,FALSE))</f>
        <v xml:space="preserve"> </v>
      </c>
      <c r="D303" s="30" t="str">
        <f>IF(A303=""," ",VLOOKUP(A303,'01.01.2026 - 24.01.2026'!A:H,5,FALSE))</f>
        <v xml:space="preserve"> </v>
      </c>
      <c r="E303" s="7" t="str">
        <f>IF(A303=""," ",B303*VLOOKUP(A303,'01.01.2026 - 24.01.2026'!A:H,6,FALSE))</f>
        <v xml:space="preserve"> </v>
      </c>
      <c r="F303" s="7" t="str">
        <f>IF(A303=""," ",B303*VLOOKUP(A303,'01.01.2026 - 24.01.2026'!A:H,7,FALSE))</f>
        <v xml:space="preserve"> </v>
      </c>
      <c r="G303" s="7" t="str">
        <f>IF(A303=""," ",B303*VLOOKUP(A303,'01.01.2026 - 24.01.2026'!A:H,8,FALSE))</f>
        <v xml:space="preserve"> </v>
      </c>
    </row>
    <row r="304" spans="1:7" x14ac:dyDescent="0.3">
      <c r="A304" s="18"/>
      <c r="B304" s="23"/>
      <c r="C304" s="6" t="str">
        <f>IF(A304=""," ",VLOOKUP(A304,'01.01.2026 - 24.01.2026'!A:H,2,FALSE))</f>
        <v xml:space="preserve"> </v>
      </c>
      <c r="D304" s="30" t="str">
        <f>IF(A304=""," ",VLOOKUP(A304,'01.01.2026 - 24.01.2026'!A:H,5,FALSE))</f>
        <v xml:space="preserve"> </v>
      </c>
      <c r="E304" s="7" t="str">
        <f>IF(A304=""," ",B304*VLOOKUP(A304,'01.01.2026 - 24.01.2026'!A:H,6,FALSE))</f>
        <v xml:space="preserve"> </v>
      </c>
      <c r="F304" s="7" t="str">
        <f>IF(A304=""," ",B304*VLOOKUP(A304,'01.01.2026 - 24.01.2026'!A:H,7,FALSE))</f>
        <v xml:space="preserve"> </v>
      </c>
      <c r="G304" s="7" t="str">
        <f>IF(A304=""," ",B304*VLOOKUP(A304,'01.01.2026 - 24.01.2026'!A:H,8,FALSE))</f>
        <v xml:space="preserve"> </v>
      </c>
    </row>
    <row r="305" spans="1:7" x14ac:dyDescent="0.3">
      <c r="A305" s="18"/>
      <c r="B305" s="23"/>
      <c r="C305" s="6" t="str">
        <f>IF(A305=""," ",VLOOKUP(A305,'01.01.2026 - 24.01.2026'!A:H,2,FALSE))</f>
        <v xml:space="preserve"> </v>
      </c>
      <c r="D305" s="30" t="str">
        <f>IF(A305=""," ",VLOOKUP(A305,'01.01.2026 - 24.01.2026'!A:H,5,FALSE))</f>
        <v xml:space="preserve"> </v>
      </c>
      <c r="E305" s="7" t="str">
        <f>IF(A305=""," ",B305*VLOOKUP(A305,'01.01.2026 - 24.01.2026'!A:H,6,FALSE))</f>
        <v xml:space="preserve"> </v>
      </c>
      <c r="F305" s="7" t="str">
        <f>IF(A305=""," ",B305*VLOOKUP(A305,'01.01.2026 - 24.01.2026'!A:H,7,FALSE))</f>
        <v xml:space="preserve"> </v>
      </c>
      <c r="G305" s="7" t="str">
        <f>IF(A305=""," ",B305*VLOOKUP(A305,'01.01.2026 - 24.01.2026'!A:H,8,FALSE))</f>
        <v xml:space="preserve"> </v>
      </c>
    </row>
    <row r="306" spans="1:7" x14ac:dyDescent="0.3">
      <c r="A306" s="18"/>
      <c r="B306" s="23"/>
      <c r="C306" s="6" t="str">
        <f>IF(A306=""," ",VLOOKUP(A306,'01.01.2026 - 24.01.2026'!A:H,2,FALSE))</f>
        <v xml:space="preserve"> </v>
      </c>
      <c r="D306" s="30" t="str">
        <f>IF(A306=""," ",VLOOKUP(A306,'01.01.2026 - 24.01.2026'!A:H,5,FALSE))</f>
        <v xml:space="preserve"> </v>
      </c>
      <c r="E306" s="7" t="str">
        <f>IF(A306=""," ",B306*VLOOKUP(A306,'01.01.2026 - 24.01.2026'!A:H,6,FALSE))</f>
        <v xml:space="preserve"> </v>
      </c>
      <c r="F306" s="7" t="str">
        <f>IF(A306=""," ",B306*VLOOKUP(A306,'01.01.2026 - 24.01.2026'!A:H,7,FALSE))</f>
        <v xml:space="preserve"> </v>
      </c>
      <c r="G306" s="7" t="str">
        <f>IF(A306=""," ",B306*VLOOKUP(A306,'01.01.2026 - 24.01.2026'!A:H,8,FALSE))</f>
        <v xml:space="preserve"> </v>
      </c>
    </row>
    <row r="307" spans="1:7" x14ac:dyDescent="0.3">
      <c r="A307" s="18"/>
      <c r="B307" s="23"/>
      <c r="C307" s="6" t="str">
        <f>IF(A307=""," ",VLOOKUP(A307,'01.01.2026 - 24.01.2026'!A:H,2,FALSE))</f>
        <v xml:space="preserve"> </v>
      </c>
      <c r="D307" s="30" t="str">
        <f>IF(A307=""," ",VLOOKUP(A307,'01.01.2026 - 24.01.2026'!A:H,5,FALSE))</f>
        <v xml:space="preserve"> </v>
      </c>
      <c r="E307" s="7" t="str">
        <f>IF(A307=""," ",B307*VLOOKUP(A307,'01.01.2026 - 24.01.2026'!A:H,6,FALSE))</f>
        <v xml:space="preserve"> </v>
      </c>
      <c r="F307" s="7" t="str">
        <f>IF(A307=""," ",B307*VLOOKUP(A307,'01.01.2026 - 24.01.2026'!A:H,7,FALSE))</f>
        <v xml:space="preserve"> </v>
      </c>
      <c r="G307" s="7" t="str">
        <f>IF(A307=""," ",B307*VLOOKUP(A307,'01.01.2026 - 24.01.2026'!A:H,8,FALSE))</f>
        <v xml:space="preserve"> </v>
      </c>
    </row>
    <row r="308" spans="1:7" x14ac:dyDescent="0.3">
      <c r="A308" s="18"/>
      <c r="B308" s="23"/>
      <c r="C308" s="6" t="str">
        <f>IF(A308=""," ",VLOOKUP(A308,'01.01.2026 - 24.01.2026'!A:H,2,FALSE))</f>
        <v xml:space="preserve"> </v>
      </c>
      <c r="D308" s="30" t="str">
        <f>IF(A308=""," ",VLOOKUP(A308,'01.01.2026 - 24.01.2026'!A:H,5,FALSE))</f>
        <v xml:space="preserve"> </v>
      </c>
      <c r="E308" s="7" t="str">
        <f>IF(A308=""," ",B308*VLOOKUP(A308,'01.01.2026 - 24.01.2026'!A:H,6,FALSE))</f>
        <v xml:space="preserve"> </v>
      </c>
      <c r="F308" s="7" t="str">
        <f>IF(A308=""," ",B308*VLOOKUP(A308,'01.01.2026 - 24.01.2026'!A:H,7,FALSE))</f>
        <v xml:space="preserve"> </v>
      </c>
      <c r="G308" s="7" t="str">
        <f>IF(A308=""," ",B308*VLOOKUP(A308,'01.01.2026 - 24.01.2026'!A:H,8,FALSE))</f>
        <v xml:space="preserve"> </v>
      </c>
    </row>
    <row r="309" spans="1:7" x14ac:dyDescent="0.3">
      <c r="A309" s="18"/>
      <c r="B309" s="23"/>
      <c r="C309" s="6" t="str">
        <f>IF(A309=""," ",VLOOKUP(A309,'01.01.2026 - 24.01.2026'!A:H,2,FALSE))</f>
        <v xml:space="preserve"> </v>
      </c>
      <c r="D309" s="30" t="str">
        <f>IF(A309=""," ",VLOOKUP(A309,'01.01.2026 - 24.01.2026'!A:H,5,FALSE))</f>
        <v xml:space="preserve"> </v>
      </c>
      <c r="E309" s="7" t="str">
        <f>IF(A309=""," ",B309*VLOOKUP(A309,'01.01.2026 - 24.01.2026'!A:H,6,FALSE))</f>
        <v xml:space="preserve"> </v>
      </c>
      <c r="F309" s="7" t="str">
        <f>IF(A309=""," ",B309*VLOOKUP(A309,'01.01.2026 - 24.01.2026'!A:H,7,FALSE))</f>
        <v xml:space="preserve"> </v>
      </c>
      <c r="G309" s="7" t="str">
        <f>IF(A309=""," ",B309*VLOOKUP(A309,'01.01.2026 - 24.01.2026'!A:H,8,FALSE))</f>
        <v xml:space="preserve"> </v>
      </c>
    </row>
    <row r="310" spans="1:7" x14ac:dyDescent="0.3">
      <c r="A310" s="18"/>
      <c r="B310" s="23"/>
      <c r="C310" s="6" t="str">
        <f>IF(A310=""," ",VLOOKUP(A310,'01.01.2026 - 24.01.2026'!A:H,2,FALSE))</f>
        <v xml:space="preserve"> </v>
      </c>
      <c r="D310" s="30" t="str">
        <f>IF(A310=""," ",VLOOKUP(A310,'01.01.2026 - 24.01.2026'!A:H,5,FALSE))</f>
        <v xml:space="preserve"> </v>
      </c>
      <c r="E310" s="7" t="str">
        <f>IF(A310=""," ",B310*VLOOKUP(A310,'01.01.2026 - 24.01.2026'!A:H,6,FALSE))</f>
        <v xml:space="preserve"> </v>
      </c>
      <c r="F310" s="7" t="str">
        <f>IF(A310=""," ",B310*VLOOKUP(A310,'01.01.2026 - 24.01.2026'!A:H,7,FALSE))</f>
        <v xml:space="preserve"> </v>
      </c>
      <c r="G310" s="7" t="str">
        <f>IF(A310=""," ",B310*VLOOKUP(A310,'01.01.2026 - 24.01.2026'!A:H,8,FALSE))</f>
        <v xml:space="preserve"> </v>
      </c>
    </row>
    <row r="311" spans="1:7" x14ac:dyDescent="0.3">
      <c r="A311" s="18"/>
      <c r="B311" s="23"/>
      <c r="C311" s="6" t="str">
        <f>IF(A311=""," ",VLOOKUP(A311,'01.01.2026 - 24.01.2026'!A:H,2,FALSE))</f>
        <v xml:space="preserve"> </v>
      </c>
      <c r="D311" s="30" t="str">
        <f>IF(A311=""," ",VLOOKUP(A311,'01.01.2026 - 24.01.2026'!A:H,5,FALSE))</f>
        <v xml:space="preserve"> </v>
      </c>
      <c r="E311" s="7" t="str">
        <f>IF(A311=""," ",B311*VLOOKUP(A311,'01.01.2026 - 24.01.2026'!A:H,6,FALSE))</f>
        <v xml:space="preserve"> </v>
      </c>
      <c r="F311" s="7" t="str">
        <f>IF(A311=""," ",B311*VLOOKUP(A311,'01.01.2026 - 24.01.2026'!A:H,7,FALSE))</f>
        <v xml:space="preserve"> </v>
      </c>
      <c r="G311" s="7" t="str">
        <f>IF(A311=""," ",B311*VLOOKUP(A311,'01.01.2026 - 24.01.2026'!A:H,8,FALSE))</f>
        <v xml:space="preserve"> </v>
      </c>
    </row>
    <row r="312" spans="1:7" x14ac:dyDescent="0.3">
      <c r="A312" s="18"/>
      <c r="B312" s="23"/>
      <c r="C312" s="6" t="str">
        <f>IF(A312=""," ",VLOOKUP(A312,'01.01.2026 - 24.01.2026'!A:H,2,FALSE))</f>
        <v xml:space="preserve"> </v>
      </c>
      <c r="D312" s="30" t="str">
        <f>IF(A312=""," ",VLOOKUP(A312,'01.01.2026 - 24.01.2026'!A:H,5,FALSE))</f>
        <v xml:space="preserve"> </v>
      </c>
      <c r="E312" s="7" t="str">
        <f>IF(A312=""," ",B312*VLOOKUP(A312,'01.01.2026 - 24.01.2026'!A:H,6,FALSE))</f>
        <v xml:space="preserve"> </v>
      </c>
      <c r="F312" s="7" t="str">
        <f>IF(A312=""," ",B312*VLOOKUP(A312,'01.01.2026 - 24.01.2026'!A:H,7,FALSE))</f>
        <v xml:space="preserve"> </v>
      </c>
      <c r="G312" s="7" t="str">
        <f>IF(A312=""," ",B312*VLOOKUP(A312,'01.01.2026 - 24.01.2026'!A:H,8,FALSE))</f>
        <v xml:space="preserve"> </v>
      </c>
    </row>
    <row r="313" spans="1:7" x14ac:dyDescent="0.3">
      <c r="A313" s="18"/>
      <c r="B313" s="23"/>
      <c r="C313" s="6" t="str">
        <f>IF(A313=""," ",VLOOKUP(A313,'01.01.2026 - 24.01.2026'!A:H,2,FALSE))</f>
        <v xml:space="preserve"> </v>
      </c>
      <c r="D313" s="30" t="str">
        <f>IF(A313=""," ",VLOOKUP(A313,'01.01.2026 - 24.01.2026'!A:H,5,FALSE))</f>
        <v xml:space="preserve"> </v>
      </c>
      <c r="E313" s="7" t="str">
        <f>IF(A313=""," ",B313*VLOOKUP(A313,'01.01.2026 - 24.01.2026'!A:H,6,FALSE))</f>
        <v xml:space="preserve"> </v>
      </c>
      <c r="F313" s="7" t="str">
        <f>IF(A313=""," ",B313*VLOOKUP(A313,'01.01.2026 - 24.01.2026'!A:H,7,FALSE))</f>
        <v xml:space="preserve"> </v>
      </c>
      <c r="G313" s="7" t="str">
        <f>IF(A313=""," ",B313*VLOOKUP(A313,'01.01.2026 - 24.01.2026'!A:H,8,FALSE))</f>
        <v xml:space="preserve"> </v>
      </c>
    </row>
    <row r="314" spans="1:7" x14ac:dyDescent="0.3">
      <c r="A314" s="18"/>
      <c r="B314" s="23"/>
      <c r="C314" s="6" t="str">
        <f>IF(A314=""," ",VLOOKUP(A314,'01.01.2026 - 24.01.2026'!A:H,2,FALSE))</f>
        <v xml:space="preserve"> </v>
      </c>
      <c r="D314" s="30" t="str">
        <f>IF(A314=""," ",VLOOKUP(A314,'01.01.2026 - 24.01.2026'!A:H,5,FALSE))</f>
        <v xml:space="preserve"> </v>
      </c>
      <c r="E314" s="7" t="str">
        <f>IF(A314=""," ",B314*VLOOKUP(A314,'01.01.2026 - 24.01.2026'!A:H,6,FALSE))</f>
        <v xml:space="preserve"> </v>
      </c>
      <c r="F314" s="7" t="str">
        <f>IF(A314=""," ",B314*VLOOKUP(A314,'01.01.2026 - 24.01.2026'!A:H,7,FALSE))</f>
        <v xml:space="preserve"> </v>
      </c>
      <c r="G314" s="7" t="str">
        <f>IF(A314=""," ",B314*VLOOKUP(A314,'01.01.2026 - 24.01.2026'!A:H,8,FALSE))</f>
        <v xml:space="preserve"> </v>
      </c>
    </row>
    <row r="315" spans="1:7" x14ac:dyDescent="0.3">
      <c r="A315" s="18"/>
      <c r="B315" s="23"/>
      <c r="C315" s="6" t="str">
        <f>IF(A315=""," ",VLOOKUP(A315,'01.01.2026 - 24.01.2026'!A:H,2,FALSE))</f>
        <v xml:space="preserve"> </v>
      </c>
      <c r="D315" s="30" t="str">
        <f>IF(A315=""," ",VLOOKUP(A315,'01.01.2026 - 24.01.2026'!A:H,5,FALSE))</f>
        <v xml:space="preserve"> </v>
      </c>
      <c r="E315" s="7" t="str">
        <f>IF(A315=""," ",B315*VLOOKUP(A315,'01.01.2026 - 24.01.2026'!A:H,6,FALSE))</f>
        <v xml:space="preserve"> </v>
      </c>
      <c r="F315" s="7" t="str">
        <f>IF(A315=""," ",B315*VLOOKUP(A315,'01.01.2026 - 24.01.2026'!A:H,7,FALSE))</f>
        <v xml:space="preserve"> </v>
      </c>
      <c r="G315" s="7" t="str">
        <f>IF(A315=""," ",B315*VLOOKUP(A315,'01.01.2026 - 24.01.2026'!A:H,8,FALSE))</f>
        <v xml:space="preserve"> </v>
      </c>
    </row>
    <row r="316" spans="1:7" x14ac:dyDescent="0.3">
      <c r="A316" s="18"/>
      <c r="B316" s="23"/>
      <c r="C316" s="6" t="str">
        <f>IF(A316=""," ",VLOOKUP(A316,'01.01.2026 - 24.01.2026'!A:H,2,FALSE))</f>
        <v xml:space="preserve"> </v>
      </c>
      <c r="D316" s="30" t="str">
        <f>IF(A316=""," ",VLOOKUP(A316,'01.01.2026 - 24.01.2026'!A:H,5,FALSE))</f>
        <v xml:space="preserve"> </v>
      </c>
      <c r="E316" s="7" t="str">
        <f>IF(A316=""," ",B316*VLOOKUP(A316,'01.01.2026 - 24.01.2026'!A:H,6,FALSE))</f>
        <v xml:space="preserve"> </v>
      </c>
      <c r="F316" s="7" t="str">
        <f>IF(A316=""," ",B316*VLOOKUP(A316,'01.01.2026 - 24.01.2026'!A:H,7,FALSE))</f>
        <v xml:space="preserve"> </v>
      </c>
      <c r="G316" s="7" t="str">
        <f>IF(A316=""," ",B316*VLOOKUP(A316,'01.01.2026 - 24.01.2026'!A:H,8,FALSE))</f>
        <v xml:space="preserve"> </v>
      </c>
    </row>
    <row r="317" spans="1:7" x14ac:dyDescent="0.3">
      <c r="A317" s="18"/>
      <c r="B317" s="23"/>
      <c r="C317" s="6" t="str">
        <f>IF(A317=""," ",VLOOKUP(A317,'01.01.2026 - 24.01.2026'!A:H,2,FALSE))</f>
        <v xml:space="preserve"> </v>
      </c>
      <c r="D317" s="30" t="str">
        <f>IF(A317=""," ",VLOOKUP(A317,'01.01.2026 - 24.01.2026'!A:H,5,FALSE))</f>
        <v xml:space="preserve"> </v>
      </c>
      <c r="E317" s="7" t="str">
        <f>IF(A317=""," ",B317*VLOOKUP(A317,'01.01.2026 - 24.01.2026'!A:H,6,FALSE))</f>
        <v xml:space="preserve"> </v>
      </c>
      <c r="F317" s="7" t="str">
        <f>IF(A317=""," ",B317*VLOOKUP(A317,'01.01.2026 - 24.01.2026'!A:H,7,FALSE))</f>
        <v xml:space="preserve"> </v>
      </c>
      <c r="G317" s="7" t="str">
        <f>IF(A317=""," ",B317*VLOOKUP(A317,'01.01.2026 - 24.01.2026'!A:H,8,FALSE))</f>
        <v xml:space="preserve"> </v>
      </c>
    </row>
    <row r="318" spans="1:7" x14ac:dyDescent="0.3">
      <c r="A318" s="18"/>
      <c r="B318" s="23"/>
      <c r="C318" s="6" t="str">
        <f>IF(A318=""," ",VLOOKUP(A318,'01.01.2026 - 24.01.2026'!A:H,2,FALSE))</f>
        <v xml:space="preserve"> </v>
      </c>
      <c r="D318" s="30" t="str">
        <f>IF(A318=""," ",VLOOKUP(A318,'01.01.2026 - 24.01.2026'!A:H,5,FALSE))</f>
        <v xml:space="preserve"> </v>
      </c>
      <c r="E318" s="7" t="str">
        <f>IF(A318=""," ",B318*VLOOKUP(A318,'01.01.2026 - 24.01.2026'!A:H,6,FALSE))</f>
        <v xml:space="preserve"> </v>
      </c>
      <c r="F318" s="7" t="str">
        <f>IF(A318=""," ",B318*VLOOKUP(A318,'01.01.2026 - 24.01.2026'!A:H,7,FALSE))</f>
        <v xml:space="preserve"> </v>
      </c>
      <c r="G318" s="7" t="str">
        <f>IF(A318=""," ",B318*VLOOKUP(A318,'01.01.2026 - 24.01.2026'!A:H,8,FALSE))</f>
        <v xml:space="preserve"> </v>
      </c>
    </row>
    <row r="319" spans="1:7" x14ac:dyDescent="0.3">
      <c r="A319" s="18"/>
      <c r="B319" s="23"/>
      <c r="C319" s="6" t="str">
        <f>IF(A319=""," ",VLOOKUP(A319,'01.01.2026 - 24.01.2026'!A:H,2,FALSE))</f>
        <v xml:space="preserve"> </v>
      </c>
      <c r="D319" s="30" t="str">
        <f>IF(A319=""," ",VLOOKUP(A319,'01.01.2026 - 24.01.2026'!A:H,5,FALSE))</f>
        <v xml:space="preserve"> </v>
      </c>
      <c r="E319" s="7" t="str">
        <f>IF(A319=""," ",B319*VLOOKUP(A319,'01.01.2026 - 24.01.2026'!A:H,6,FALSE))</f>
        <v xml:space="preserve"> </v>
      </c>
      <c r="F319" s="7" t="str">
        <f>IF(A319=""," ",B319*VLOOKUP(A319,'01.01.2026 - 24.01.2026'!A:H,7,FALSE))</f>
        <v xml:space="preserve"> </v>
      </c>
      <c r="G319" s="7" t="str">
        <f>IF(A319=""," ",B319*VLOOKUP(A319,'01.01.2026 - 24.01.2026'!A:H,8,FALSE))</f>
        <v xml:space="preserve"> </v>
      </c>
    </row>
    <row r="320" spans="1:7" x14ac:dyDescent="0.3">
      <c r="A320" s="18"/>
      <c r="B320" s="23"/>
      <c r="C320" s="6" t="str">
        <f>IF(A320=""," ",VLOOKUP(A320,'01.01.2026 - 24.01.2026'!A:H,2,FALSE))</f>
        <v xml:space="preserve"> </v>
      </c>
      <c r="D320" s="30" t="str">
        <f>IF(A320=""," ",VLOOKUP(A320,'01.01.2026 - 24.01.2026'!A:H,5,FALSE))</f>
        <v xml:space="preserve"> </v>
      </c>
      <c r="E320" s="7" t="str">
        <f>IF(A320=""," ",B320*VLOOKUP(A320,'01.01.2026 - 24.01.2026'!A:H,6,FALSE))</f>
        <v xml:space="preserve"> </v>
      </c>
      <c r="F320" s="7" t="str">
        <f>IF(A320=""," ",B320*VLOOKUP(A320,'01.01.2026 - 24.01.2026'!A:H,7,FALSE))</f>
        <v xml:space="preserve"> </v>
      </c>
      <c r="G320" s="7" t="str">
        <f>IF(A320=""," ",B320*VLOOKUP(A320,'01.01.2026 - 24.01.2026'!A:H,8,FALSE))</f>
        <v xml:space="preserve"> </v>
      </c>
    </row>
    <row r="321" spans="1:7" x14ac:dyDescent="0.3">
      <c r="A321" s="18"/>
      <c r="B321" s="23"/>
      <c r="C321" s="6" t="str">
        <f>IF(A321=""," ",VLOOKUP(A321,'01.01.2026 - 24.01.2026'!A:H,2,FALSE))</f>
        <v xml:space="preserve"> </v>
      </c>
      <c r="D321" s="30" t="str">
        <f>IF(A321=""," ",VLOOKUP(A321,'01.01.2026 - 24.01.2026'!A:H,5,FALSE))</f>
        <v xml:space="preserve"> </v>
      </c>
      <c r="E321" s="7" t="str">
        <f>IF(A321=""," ",B321*VLOOKUP(A321,'01.01.2026 - 24.01.2026'!A:H,6,FALSE))</f>
        <v xml:space="preserve"> </v>
      </c>
      <c r="F321" s="7" t="str">
        <f>IF(A321=""," ",B321*VLOOKUP(A321,'01.01.2026 - 24.01.2026'!A:H,7,FALSE))</f>
        <v xml:space="preserve"> </v>
      </c>
      <c r="G321" s="7" t="str">
        <f>IF(A321=""," ",B321*VLOOKUP(A321,'01.01.2026 - 24.01.2026'!A:H,8,FALSE))</f>
        <v xml:space="preserve"> </v>
      </c>
    </row>
    <row r="322" spans="1:7" x14ac:dyDescent="0.3">
      <c r="A322" s="18"/>
      <c r="B322" s="23"/>
      <c r="C322" s="6" t="str">
        <f>IF(A322=""," ",VLOOKUP(A322,'01.01.2026 - 24.01.2026'!A:H,2,FALSE))</f>
        <v xml:space="preserve"> </v>
      </c>
      <c r="D322" s="30" t="str">
        <f>IF(A322=""," ",VLOOKUP(A322,'01.01.2026 - 24.01.2026'!A:H,5,FALSE))</f>
        <v xml:space="preserve"> </v>
      </c>
      <c r="E322" s="7" t="str">
        <f>IF(A322=""," ",B322*VLOOKUP(A322,'01.01.2026 - 24.01.2026'!A:H,6,FALSE))</f>
        <v xml:space="preserve"> </v>
      </c>
      <c r="F322" s="7" t="str">
        <f>IF(A322=""," ",B322*VLOOKUP(A322,'01.01.2026 - 24.01.2026'!A:H,7,FALSE))</f>
        <v xml:space="preserve"> </v>
      </c>
      <c r="G322" s="7" t="str">
        <f>IF(A322=""," ",B322*VLOOKUP(A322,'01.01.2026 - 24.01.2026'!A:H,8,FALSE))</f>
        <v xml:space="preserve"> </v>
      </c>
    </row>
    <row r="323" spans="1:7" x14ac:dyDescent="0.3">
      <c r="A323" s="18"/>
      <c r="B323" s="23"/>
      <c r="C323" s="6" t="str">
        <f>IF(A323=""," ",VLOOKUP(A323,'01.01.2026 - 24.01.2026'!A:H,2,FALSE))</f>
        <v xml:space="preserve"> </v>
      </c>
      <c r="D323" s="30" t="str">
        <f>IF(A323=""," ",VLOOKUP(A323,'01.01.2026 - 24.01.2026'!A:H,5,FALSE))</f>
        <v xml:space="preserve"> </v>
      </c>
      <c r="E323" s="7" t="str">
        <f>IF(A323=""," ",B323*VLOOKUP(A323,'01.01.2026 - 24.01.2026'!A:H,6,FALSE))</f>
        <v xml:space="preserve"> </v>
      </c>
      <c r="F323" s="7" t="str">
        <f>IF(A323=""," ",B323*VLOOKUP(A323,'01.01.2026 - 24.01.2026'!A:H,7,FALSE))</f>
        <v xml:space="preserve"> </v>
      </c>
      <c r="G323" s="7" t="str">
        <f>IF(A323=""," ",B323*VLOOKUP(A323,'01.01.2026 - 24.01.2026'!A:H,8,FALSE))</f>
        <v xml:space="preserve"> </v>
      </c>
    </row>
    <row r="324" spans="1:7" x14ac:dyDescent="0.3">
      <c r="A324" s="18"/>
      <c r="B324" s="23"/>
      <c r="C324" s="6" t="str">
        <f>IF(A324=""," ",VLOOKUP(A324,'01.01.2026 - 24.01.2026'!A:H,2,FALSE))</f>
        <v xml:space="preserve"> </v>
      </c>
      <c r="D324" s="30" t="str">
        <f>IF(A324=""," ",VLOOKUP(A324,'01.01.2026 - 24.01.2026'!A:H,5,FALSE))</f>
        <v xml:space="preserve"> </v>
      </c>
      <c r="E324" s="7" t="str">
        <f>IF(A324=""," ",B324*VLOOKUP(A324,'01.01.2026 - 24.01.2026'!A:H,6,FALSE))</f>
        <v xml:space="preserve"> </v>
      </c>
      <c r="F324" s="7" t="str">
        <f>IF(A324=""," ",B324*VLOOKUP(A324,'01.01.2026 - 24.01.2026'!A:H,7,FALSE))</f>
        <v xml:space="preserve"> </v>
      </c>
      <c r="G324" s="7" t="str">
        <f>IF(A324=""," ",B324*VLOOKUP(A324,'01.01.2026 - 24.01.2026'!A:H,8,FALSE))</f>
        <v xml:space="preserve"> </v>
      </c>
    </row>
    <row r="325" spans="1:7" x14ac:dyDescent="0.3">
      <c r="A325" s="18"/>
      <c r="B325" s="23"/>
      <c r="C325" s="6" t="str">
        <f>IF(A325=""," ",VLOOKUP(A325,'01.01.2026 - 24.01.2026'!A:H,2,FALSE))</f>
        <v xml:space="preserve"> </v>
      </c>
      <c r="D325" s="30" t="str">
        <f>IF(A325=""," ",VLOOKUP(A325,'01.01.2026 - 24.01.2026'!A:H,5,FALSE))</f>
        <v xml:space="preserve"> </v>
      </c>
      <c r="E325" s="7" t="str">
        <f>IF(A325=""," ",B325*VLOOKUP(A325,'01.01.2026 - 24.01.2026'!A:H,6,FALSE))</f>
        <v xml:space="preserve"> </v>
      </c>
      <c r="F325" s="7" t="str">
        <f>IF(A325=""," ",B325*VLOOKUP(A325,'01.01.2026 - 24.01.2026'!A:H,7,FALSE))</f>
        <v xml:space="preserve"> </v>
      </c>
      <c r="G325" s="7" t="str">
        <f>IF(A325=""," ",B325*VLOOKUP(A325,'01.01.2026 - 24.01.2026'!A:H,8,FALSE))</f>
        <v xml:space="preserve"> </v>
      </c>
    </row>
    <row r="326" spans="1:7" x14ac:dyDescent="0.3">
      <c r="A326" s="18"/>
      <c r="B326" s="23"/>
      <c r="C326" s="6" t="str">
        <f>IF(A326=""," ",VLOOKUP(A326,'01.01.2026 - 24.01.2026'!A:H,2,FALSE))</f>
        <v xml:space="preserve"> </v>
      </c>
      <c r="D326" s="30" t="str">
        <f>IF(A326=""," ",VLOOKUP(A326,'01.01.2026 - 24.01.2026'!A:H,5,FALSE))</f>
        <v xml:space="preserve"> </v>
      </c>
      <c r="E326" s="7" t="str">
        <f>IF(A326=""," ",B326*VLOOKUP(A326,'01.01.2026 - 24.01.2026'!A:H,6,FALSE))</f>
        <v xml:space="preserve"> </v>
      </c>
      <c r="F326" s="7" t="str">
        <f>IF(A326=""," ",B326*VLOOKUP(A326,'01.01.2026 - 24.01.2026'!A:H,7,FALSE))</f>
        <v xml:space="preserve"> </v>
      </c>
      <c r="G326" s="7" t="str">
        <f>IF(A326=""," ",B326*VLOOKUP(A326,'01.01.2026 - 24.01.2026'!A:H,8,FALSE))</f>
        <v xml:space="preserve"> </v>
      </c>
    </row>
    <row r="327" spans="1:7" x14ac:dyDescent="0.3">
      <c r="A327" s="18"/>
      <c r="B327" s="23"/>
      <c r="C327" s="6" t="str">
        <f>IF(A327=""," ",VLOOKUP(A327,'01.01.2026 - 24.01.2026'!A:H,2,FALSE))</f>
        <v xml:space="preserve"> </v>
      </c>
      <c r="D327" s="30" t="str">
        <f>IF(A327=""," ",VLOOKUP(A327,'01.01.2026 - 24.01.2026'!A:H,5,FALSE))</f>
        <v xml:space="preserve"> </v>
      </c>
      <c r="E327" s="7" t="str">
        <f>IF(A327=""," ",B327*VLOOKUP(A327,'01.01.2026 - 24.01.2026'!A:H,6,FALSE))</f>
        <v xml:space="preserve"> </v>
      </c>
      <c r="F327" s="7" t="str">
        <f>IF(A327=""," ",B327*VLOOKUP(A327,'01.01.2026 - 24.01.2026'!A:H,7,FALSE))</f>
        <v xml:space="preserve"> </v>
      </c>
      <c r="G327" s="7" t="str">
        <f>IF(A327=""," ",B327*VLOOKUP(A327,'01.01.2026 - 24.01.2026'!A:H,8,FALSE))</f>
        <v xml:space="preserve"> </v>
      </c>
    </row>
    <row r="328" spans="1:7" x14ac:dyDescent="0.3">
      <c r="A328" s="18"/>
      <c r="B328" s="23"/>
      <c r="C328" s="6" t="str">
        <f>IF(A328=""," ",VLOOKUP(A328,'01.01.2026 - 24.01.2026'!A:H,2,FALSE))</f>
        <v xml:space="preserve"> </v>
      </c>
      <c r="D328" s="30" t="str">
        <f>IF(A328=""," ",VLOOKUP(A328,'01.01.2026 - 24.01.2026'!A:H,5,FALSE))</f>
        <v xml:space="preserve"> </v>
      </c>
      <c r="E328" s="7" t="str">
        <f>IF(A328=""," ",B328*VLOOKUP(A328,'01.01.2026 - 24.01.2026'!A:H,6,FALSE))</f>
        <v xml:space="preserve"> </v>
      </c>
      <c r="F328" s="7" t="str">
        <f>IF(A328=""," ",B328*VLOOKUP(A328,'01.01.2026 - 24.01.2026'!A:H,7,FALSE))</f>
        <v xml:space="preserve"> </v>
      </c>
      <c r="G328" s="7" t="str">
        <f>IF(A328=""," ",B328*VLOOKUP(A328,'01.01.2026 - 24.01.2026'!A:H,8,FALSE))</f>
        <v xml:space="preserve"> </v>
      </c>
    </row>
    <row r="329" spans="1:7" x14ac:dyDescent="0.3">
      <c r="A329" s="18"/>
      <c r="B329" s="23"/>
      <c r="C329" s="6" t="str">
        <f>IF(A329=""," ",VLOOKUP(A329,'01.01.2026 - 24.01.2026'!A:H,2,FALSE))</f>
        <v xml:space="preserve"> </v>
      </c>
      <c r="D329" s="30" t="str">
        <f>IF(A329=""," ",VLOOKUP(A329,'01.01.2026 - 24.01.2026'!A:H,5,FALSE))</f>
        <v xml:space="preserve"> </v>
      </c>
      <c r="E329" s="7" t="str">
        <f>IF(A329=""," ",B329*VLOOKUP(A329,'01.01.2026 - 24.01.2026'!A:H,6,FALSE))</f>
        <v xml:space="preserve"> </v>
      </c>
      <c r="F329" s="7" t="str">
        <f>IF(A329=""," ",B329*VLOOKUP(A329,'01.01.2026 - 24.01.2026'!A:H,7,FALSE))</f>
        <v xml:space="preserve"> </v>
      </c>
      <c r="G329" s="7" t="str">
        <f>IF(A329=""," ",B329*VLOOKUP(A329,'01.01.2026 - 24.01.2026'!A:H,8,FALSE))</f>
        <v xml:space="preserve"> </v>
      </c>
    </row>
    <row r="330" spans="1:7" x14ac:dyDescent="0.3">
      <c r="A330" s="18"/>
      <c r="B330" s="23"/>
      <c r="C330" s="6" t="str">
        <f>IF(A330=""," ",VLOOKUP(A330,'01.01.2026 - 24.01.2026'!A:H,2,FALSE))</f>
        <v xml:space="preserve"> </v>
      </c>
      <c r="D330" s="30" t="str">
        <f>IF(A330=""," ",VLOOKUP(A330,'01.01.2026 - 24.01.2026'!A:H,5,FALSE))</f>
        <v xml:space="preserve"> </v>
      </c>
      <c r="E330" s="7" t="str">
        <f>IF(A330=""," ",B330*VLOOKUP(A330,'01.01.2026 - 24.01.2026'!A:H,6,FALSE))</f>
        <v xml:space="preserve"> </v>
      </c>
      <c r="F330" s="7" t="str">
        <f>IF(A330=""," ",B330*VLOOKUP(A330,'01.01.2026 - 24.01.2026'!A:H,7,FALSE))</f>
        <v xml:space="preserve"> </v>
      </c>
      <c r="G330" s="7" t="str">
        <f>IF(A330=""," ",B330*VLOOKUP(A330,'01.01.2026 - 24.01.2026'!A:H,8,FALSE))</f>
        <v xml:space="preserve"> </v>
      </c>
    </row>
    <row r="331" spans="1:7" x14ac:dyDescent="0.3">
      <c r="A331" s="18"/>
      <c r="B331" s="23"/>
      <c r="C331" s="6" t="str">
        <f>IF(A331=""," ",VLOOKUP(A331,'01.01.2026 - 24.01.2026'!A:H,2,FALSE))</f>
        <v xml:space="preserve"> </v>
      </c>
      <c r="D331" s="30" t="str">
        <f>IF(A331=""," ",VLOOKUP(A331,'01.01.2026 - 24.01.2026'!A:H,5,FALSE))</f>
        <v xml:space="preserve"> </v>
      </c>
      <c r="E331" s="7" t="str">
        <f>IF(A331=""," ",B331*VLOOKUP(A331,'01.01.2026 - 24.01.2026'!A:H,6,FALSE))</f>
        <v xml:space="preserve"> </v>
      </c>
      <c r="F331" s="7" t="str">
        <f>IF(A331=""," ",B331*VLOOKUP(A331,'01.01.2026 - 24.01.2026'!A:H,7,FALSE))</f>
        <v xml:space="preserve"> </v>
      </c>
      <c r="G331" s="7" t="str">
        <f>IF(A331=""," ",B331*VLOOKUP(A331,'01.01.2026 - 24.01.2026'!A:H,8,FALSE))</f>
        <v xml:space="preserve"> </v>
      </c>
    </row>
    <row r="332" spans="1:7" x14ac:dyDescent="0.3">
      <c r="A332" s="18"/>
      <c r="B332" s="23"/>
      <c r="C332" s="6" t="str">
        <f>IF(A332=""," ",VLOOKUP(A332,'01.01.2026 - 24.01.2026'!A:H,2,FALSE))</f>
        <v xml:space="preserve"> </v>
      </c>
      <c r="D332" s="30" t="str">
        <f>IF(A332=""," ",VLOOKUP(A332,'01.01.2026 - 24.01.2026'!A:H,5,FALSE))</f>
        <v xml:space="preserve"> </v>
      </c>
      <c r="E332" s="7" t="str">
        <f>IF(A332=""," ",B332*VLOOKUP(A332,'01.01.2026 - 24.01.2026'!A:H,6,FALSE))</f>
        <v xml:space="preserve"> </v>
      </c>
      <c r="F332" s="7" t="str">
        <f>IF(A332=""," ",B332*VLOOKUP(A332,'01.01.2026 - 24.01.2026'!A:H,7,FALSE))</f>
        <v xml:space="preserve"> </v>
      </c>
      <c r="G332" s="7" t="str">
        <f>IF(A332=""," ",B332*VLOOKUP(A332,'01.01.2026 - 24.01.2026'!A:H,8,FALSE))</f>
        <v xml:space="preserve"> </v>
      </c>
    </row>
    <row r="333" spans="1:7" x14ac:dyDescent="0.3">
      <c r="A333" s="18"/>
      <c r="B333" s="23"/>
      <c r="C333" s="6" t="str">
        <f>IF(A333=""," ",VLOOKUP(A333,'01.01.2026 - 24.01.2026'!A:H,2,FALSE))</f>
        <v xml:space="preserve"> </v>
      </c>
      <c r="D333" s="30" t="str">
        <f>IF(A333=""," ",VLOOKUP(A333,'01.01.2026 - 24.01.2026'!A:H,5,FALSE))</f>
        <v xml:space="preserve"> </v>
      </c>
      <c r="E333" s="7" t="str">
        <f>IF(A333=""," ",B333*VLOOKUP(A333,'01.01.2026 - 24.01.2026'!A:H,6,FALSE))</f>
        <v xml:space="preserve"> </v>
      </c>
      <c r="F333" s="7" t="str">
        <f>IF(A333=""," ",B333*VLOOKUP(A333,'01.01.2026 - 24.01.2026'!A:H,7,FALSE))</f>
        <v xml:space="preserve"> </v>
      </c>
      <c r="G333" s="7" t="str">
        <f>IF(A333=""," ",B333*VLOOKUP(A333,'01.01.2026 - 24.01.2026'!A:H,8,FALSE))</f>
        <v xml:space="preserve"> </v>
      </c>
    </row>
    <row r="334" spans="1:7" x14ac:dyDescent="0.3">
      <c r="A334" s="18"/>
      <c r="B334" s="23"/>
      <c r="C334" s="6" t="str">
        <f>IF(A334=""," ",VLOOKUP(A334,'01.01.2026 - 24.01.2026'!A:H,2,FALSE))</f>
        <v xml:space="preserve"> </v>
      </c>
      <c r="D334" s="30" t="str">
        <f>IF(A334=""," ",VLOOKUP(A334,'01.01.2026 - 24.01.2026'!A:H,5,FALSE))</f>
        <v xml:space="preserve"> </v>
      </c>
      <c r="E334" s="7" t="str">
        <f>IF(A334=""," ",B334*VLOOKUP(A334,'01.01.2026 - 24.01.2026'!A:H,6,FALSE))</f>
        <v xml:space="preserve"> </v>
      </c>
      <c r="F334" s="7" t="str">
        <f>IF(A334=""," ",B334*VLOOKUP(A334,'01.01.2026 - 24.01.2026'!A:H,7,FALSE))</f>
        <v xml:space="preserve"> </v>
      </c>
      <c r="G334" s="7" t="str">
        <f>IF(A334=""," ",B334*VLOOKUP(A334,'01.01.2026 - 24.01.2026'!A:H,8,FALSE))</f>
        <v xml:space="preserve"> </v>
      </c>
    </row>
    <row r="335" spans="1:7" x14ac:dyDescent="0.3">
      <c r="A335" s="18"/>
      <c r="B335" s="23"/>
      <c r="C335" s="6" t="str">
        <f>IF(A335=""," ",VLOOKUP(A335,'01.01.2026 - 24.01.2026'!A:H,2,FALSE))</f>
        <v xml:space="preserve"> </v>
      </c>
      <c r="D335" s="30" t="str">
        <f>IF(A335=""," ",VLOOKUP(A335,'01.01.2026 - 24.01.2026'!A:H,5,FALSE))</f>
        <v xml:space="preserve"> </v>
      </c>
      <c r="E335" s="7" t="str">
        <f>IF(A335=""," ",B335*VLOOKUP(A335,'01.01.2026 - 24.01.2026'!A:H,6,FALSE))</f>
        <v xml:space="preserve"> </v>
      </c>
      <c r="F335" s="7" t="str">
        <f>IF(A335=""," ",B335*VLOOKUP(A335,'01.01.2026 - 24.01.2026'!A:H,7,FALSE))</f>
        <v xml:space="preserve"> </v>
      </c>
      <c r="G335" s="7" t="str">
        <f>IF(A335=""," ",B335*VLOOKUP(A335,'01.01.2026 - 24.01.2026'!A:H,8,FALSE))</f>
        <v xml:space="preserve"> </v>
      </c>
    </row>
    <row r="336" spans="1:7" x14ac:dyDescent="0.3">
      <c r="A336" s="18"/>
      <c r="B336" s="23"/>
      <c r="C336" s="6" t="str">
        <f>IF(A336=""," ",VLOOKUP(A336,'01.01.2026 - 24.01.2026'!A:H,2,FALSE))</f>
        <v xml:space="preserve"> </v>
      </c>
      <c r="D336" s="30" t="str">
        <f>IF(A336=""," ",VLOOKUP(A336,'01.01.2026 - 24.01.2026'!A:H,5,FALSE))</f>
        <v xml:space="preserve"> </v>
      </c>
      <c r="E336" s="7" t="str">
        <f>IF(A336=""," ",B336*VLOOKUP(A336,'01.01.2026 - 24.01.2026'!A:H,6,FALSE))</f>
        <v xml:space="preserve"> </v>
      </c>
      <c r="F336" s="7" t="str">
        <f>IF(A336=""," ",B336*VLOOKUP(A336,'01.01.2026 - 24.01.2026'!A:H,7,FALSE))</f>
        <v xml:space="preserve"> </v>
      </c>
      <c r="G336" s="7" t="str">
        <f>IF(A336=""," ",B336*VLOOKUP(A336,'01.01.2026 - 24.01.2026'!A:H,8,FALSE))</f>
        <v xml:space="preserve"> </v>
      </c>
    </row>
    <row r="337" spans="1:7" x14ac:dyDescent="0.3">
      <c r="A337" s="18"/>
      <c r="B337" s="23"/>
      <c r="C337" s="6" t="str">
        <f>IF(A337=""," ",VLOOKUP(A337,'01.01.2026 - 24.01.2026'!A:H,2,FALSE))</f>
        <v xml:space="preserve"> </v>
      </c>
      <c r="D337" s="30" t="str">
        <f>IF(A337=""," ",VLOOKUP(A337,'01.01.2026 - 24.01.2026'!A:H,5,FALSE))</f>
        <v xml:space="preserve"> </v>
      </c>
      <c r="E337" s="7" t="str">
        <f>IF(A337=""," ",B337*VLOOKUP(A337,'01.01.2026 - 24.01.2026'!A:H,6,FALSE))</f>
        <v xml:space="preserve"> </v>
      </c>
      <c r="F337" s="7" t="str">
        <f>IF(A337=""," ",B337*VLOOKUP(A337,'01.01.2026 - 24.01.2026'!A:H,7,FALSE))</f>
        <v xml:space="preserve"> </v>
      </c>
      <c r="G337" s="7" t="str">
        <f>IF(A337=""," ",B337*VLOOKUP(A337,'01.01.2026 - 24.01.2026'!A:H,8,FALSE))</f>
        <v xml:space="preserve"> </v>
      </c>
    </row>
    <row r="338" spans="1:7" x14ac:dyDescent="0.3">
      <c r="A338" s="18"/>
      <c r="B338" s="23"/>
      <c r="C338" s="6" t="str">
        <f>IF(A338=""," ",VLOOKUP(A338,'01.01.2026 - 24.01.2026'!A:H,2,FALSE))</f>
        <v xml:space="preserve"> </v>
      </c>
      <c r="D338" s="30" t="str">
        <f>IF(A338=""," ",VLOOKUP(A338,'01.01.2026 - 24.01.2026'!A:H,5,FALSE))</f>
        <v xml:space="preserve"> </v>
      </c>
      <c r="E338" s="7" t="str">
        <f>IF(A338=""," ",B338*VLOOKUP(A338,'01.01.2026 - 24.01.2026'!A:H,6,FALSE))</f>
        <v xml:space="preserve"> </v>
      </c>
      <c r="F338" s="7" t="str">
        <f>IF(A338=""," ",B338*VLOOKUP(A338,'01.01.2026 - 24.01.2026'!A:H,7,FALSE))</f>
        <v xml:space="preserve"> </v>
      </c>
      <c r="G338" s="7" t="str">
        <f>IF(A338=""," ",B338*VLOOKUP(A338,'01.01.2026 - 24.01.2026'!A:H,8,FALSE))</f>
        <v xml:space="preserve"> </v>
      </c>
    </row>
    <row r="339" spans="1:7" x14ac:dyDescent="0.3">
      <c r="A339" s="18"/>
      <c r="B339" s="23"/>
      <c r="C339" s="6" t="str">
        <f>IF(A339=""," ",VLOOKUP(A339,'01.01.2026 - 24.01.2026'!A:H,2,FALSE))</f>
        <v xml:space="preserve"> </v>
      </c>
      <c r="D339" s="30" t="str">
        <f>IF(A339=""," ",VLOOKUP(A339,'01.01.2026 - 24.01.2026'!A:H,5,FALSE))</f>
        <v xml:space="preserve"> </v>
      </c>
      <c r="E339" s="7" t="str">
        <f>IF(A339=""," ",B339*VLOOKUP(A339,'01.01.2026 - 24.01.2026'!A:H,6,FALSE))</f>
        <v xml:space="preserve"> </v>
      </c>
      <c r="F339" s="7" t="str">
        <f>IF(A339=""," ",B339*VLOOKUP(A339,'01.01.2026 - 24.01.2026'!A:H,7,FALSE))</f>
        <v xml:space="preserve"> </v>
      </c>
      <c r="G339" s="7" t="str">
        <f>IF(A339=""," ",B339*VLOOKUP(A339,'01.01.2026 - 24.01.2026'!A:H,8,FALSE))</f>
        <v xml:space="preserve"> </v>
      </c>
    </row>
    <row r="340" spans="1:7" x14ac:dyDescent="0.3">
      <c r="A340" s="18"/>
      <c r="B340" s="23"/>
      <c r="C340" s="6" t="str">
        <f>IF(A340=""," ",VLOOKUP(A340,'01.01.2026 - 24.01.2026'!A:H,2,FALSE))</f>
        <v xml:space="preserve"> </v>
      </c>
      <c r="D340" s="30" t="str">
        <f>IF(A340=""," ",VLOOKUP(A340,'01.01.2026 - 24.01.2026'!A:H,5,FALSE))</f>
        <v xml:space="preserve"> </v>
      </c>
      <c r="E340" s="7" t="str">
        <f>IF(A340=""," ",B340*VLOOKUP(A340,'01.01.2026 - 24.01.2026'!A:H,6,FALSE))</f>
        <v xml:space="preserve"> </v>
      </c>
      <c r="F340" s="7" t="str">
        <f>IF(A340=""," ",B340*VLOOKUP(A340,'01.01.2026 - 24.01.2026'!A:H,7,FALSE))</f>
        <v xml:space="preserve"> </v>
      </c>
      <c r="G340" s="7" t="str">
        <f>IF(A340=""," ",B340*VLOOKUP(A340,'01.01.2026 - 24.01.2026'!A:H,8,FALSE))</f>
        <v xml:space="preserve"> </v>
      </c>
    </row>
    <row r="341" spans="1:7" x14ac:dyDescent="0.3">
      <c r="A341" s="18"/>
      <c r="B341" s="23"/>
      <c r="C341" s="6" t="str">
        <f>IF(A341=""," ",VLOOKUP(A341,'01.01.2026 - 24.01.2026'!A:H,2,FALSE))</f>
        <v xml:space="preserve"> </v>
      </c>
      <c r="D341" s="30" t="str">
        <f>IF(A341=""," ",VLOOKUP(A341,'01.01.2026 - 24.01.2026'!A:H,5,FALSE))</f>
        <v xml:space="preserve"> </v>
      </c>
      <c r="E341" s="7" t="str">
        <f>IF(A341=""," ",B341*VLOOKUP(A341,'01.01.2026 - 24.01.2026'!A:H,6,FALSE))</f>
        <v xml:space="preserve"> </v>
      </c>
      <c r="F341" s="7" t="str">
        <f>IF(A341=""," ",B341*VLOOKUP(A341,'01.01.2026 - 24.01.2026'!A:H,7,FALSE))</f>
        <v xml:space="preserve"> </v>
      </c>
      <c r="G341" s="7" t="str">
        <f>IF(A341=""," ",B341*VLOOKUP(A341,'01.01.2026 - 24.01.2026'!A:H,8,FALSE))</f>
        <v xml:space="preserve"> </v>
      </c>
    </row>
    <row r="342" spans="1:7" x14ac:dyDescent="0.3">
      <c r="A342" s="18"/>
      <c r="B342" s="23"/>
      <c r="C342" s="6" t="str">
        <f>IF(A342=""," ",VLOOKUP(A342,'01.01.2026 - 24.01.2026'!A:H,2,FALSE))</f>
        <v xml:space="preserve"> </v>
      </c>
      <c r="D342" s="30" t="str">
        <f>IF(A342=""," ",VLOOKUP(A342,'01.01.2026 - 24.01.2026'!A:H,5,FALSE))</f>
        <v xml:space="preserve"> </v>
      </c>
      <c r="E342" s="7" t="str">
        <f>IF(A342=""," ",B342*VLOOKUP(A342,'01.01.2026 - 24.01.2026'!A:H,6,FALSE))</f>
        <v xml:space="preserve"> </v>
      </c>
      <c r="F342" s="7" t="str">
        <f>IF(A342=""," ",B342*VLOOKUP(A342,'01.01.2026 - 24.01.2026'!A:H,7,FALSE))</f>
        <v xml:space="preserve"> </v>
      </c>
      <c r="G342" s="7" t="str">
        <f>IF(A342=""," ",B342*VLOOKUP(A342,'01.01.2026 - 24.01.2026'!A:H,8,FALSE))</f>
        <v xml:space="preserve"> </v>
      </c>
    </row>
    <row r="343" spans="1:7" x14ac:dyDescent="0.3">
      <c r="A343" s="18"/>
      <c r="B343" s="23"/>
      <c r="C343" s="6" t="str">
        <f>IF(A343=""," ",VLOOKUP(A343,'01.01.2026 - 24.01.2026'!A:H,2,FALSE))</f>
        <v xml:space="preserve"> </v>
      </c>
      <c r="D343" s="30" t="str">
        <f>IF(A343=""," ",VLOOKUP(A343,'01.01.2026 - 24.01.2026'!A:H,5,FALSE))</f>
        <v xml:space="preserve"> </v>
      </c>
      <c r="E343" s="7" t="str">
        <f>IF(A343=""," ",B343*VLOOKUP(A343,'01.01.2026 - 24.01.2026'!A:H,6,FALSE))</f>
        <v xml:space="preserve"> </v>
      </c>
      <c r="F343" s="7" t="str">
        <f>IF(A343=""," ",B343*VLOOKUP(A343,'01.01.2026 - 24.01.2026'!A:H,7,FALSE))</f>
        <v xml:space="preserve"> </v>
      </c>
      <c r="G343" s="7" t="str">
        <f>IF(A343=""," ",B343*VLOOKUP(A343,'01.01.2026 - 24.01.2026'!A:H,8,FALSE))</f>
        <v xml:space="preserve"> </v>
      </c>
    </row>
    <row r="344" spans="1:7" x14ac:dyDescent="0.3">
      <c r="A344" s="18"/>
      <c r="B344" s="23"/>
      <c r="C344" s="6" t="str">
        <f>IF(A344=""," ",VLOOKUP(A344,'01.01.2026 - 24.01.2026'!A:H,2,FALSE))</f>
        <v xml:space="preserve"> </v>
      </c>
      <c r="D344" s="30" t="str">
        <f>IF(A344=""," ",VLOOKUP(A344,'01.01.2026 - 24.01.2026'!A:H,5,FALSE))</f>
        <v xml:space="preserve"> </v>
      </c>
      <c r="E344" s="7" t="str">
        <f>IF(A344=""," ",B344*VLOOKUP(A344,'01.01.2026 - 24.01.2026'!A:H,6,FALSE))</f>
        <v xml:space="preserve"> </v>
      </c>
      <c r="F344" s="7" t="str">
        <f>IF(A344=""," ",B344*VLOOKUP(A344,'01.01.2026 - 24.01.2026'!A:H,7,FALSE))</f>
        <v xml:space="preserve"> </v>
      </c>
      <c r="G344" s="7" t="str">
        <f>IF(A344=""," ",B344*VLOOKUP(A344,'01.01.2026 - 24.01.2026'!A:H,8,FALSE))</f>
        <v xml:space="preserve"> </v>
      </c>
    </row>
    <row r="345" spans="1:7" x14ac:dyDescent="0.3">
      <c r="A345" s="18"/>
      <c r="B345" s="23"/>
      <c r="C345" s="6" t="str">
        <f>IF(A345=""," ",VLOOKUP(A345,'01.01.2026 - 24.01.2026'!A:H,2,FALSE))</f>
        <v xml:space="preserve"> </v>
      </c>
      <c r="D345" s="30" t="str">
        <f>IF(A345=""," ",VLOOKUP(A345,'01.01.2026 - 24.01.2026'!A:H,5,FALSE))</f>
        <v xml:space="preserve"> </v>
      </c>
      <c r="E345" s="7" t="str">
        <f>IF(A345=""," ",B345*VLOOKUP(A345,'01.01.2026 - 24.01.2026'!A:H,6,FALSE))</f>
        <v xml:space="preserve"> </v>
      </c>
      <c r="F345" s="7" t="str">
        <f>IF(A345=""," ",B345*VLOOKUP(A345,'01.01.2026 - 24.01.2026'!A:H,7,FALSE))</f>
        <v xml:space="preserve"> </v>
      </c>
      <c r="G345" s="7" t="str">
        <f>IF(A345=""," ",B345*VLOOKUP(A345,'01.01.2026 - 24.01.2026'!A:H,8,FALSE))</f>
        <v xml:space="preserve"> </v>
      </c>
    </row>
    <row r="346" spans="1:7" x14ac:dyDescent="0.3">
      <c r="A346" s="18"/>
      <c r="B346" s="23"/>
      <c r="C346" s="6" t="str">
        <f>IF(A346=""," ",VLOOKUP(A346,'01.01.2026 - 24.01.2026'!A:H,2,FALSE))</f>
        <v xml:space="preserve"> </v>
      </c>
      <c r="D346" s="30" t="str">
        <f>IF(A346=""," ",VLOOKUP(A346,'01.01.2026 - 24.01.2026'!A:H,5,FALSE))</f>
        <v xml:space="preserve"> </v>
      </c>
      <c r="E346" s="7" t="str">
        <f>IF(A346=""," ",B346*VLOOKUP(A346,'01.01.2026 - 24.01.2026'!A:H,6,FALSE))</f>
        <v xml:space="preserve"> </v>
      </c>
      <c r="F346" s="7" t="str">
        <f>IF(A346=""," ",B346*VLOOKUP(A346,'01.01.2026 - 24.01.2026'!A:H,7,FALSE))</f>
        <v xml:space="preserve"> </v>
      </c>
      <c r="G346" s="7" t="str">
        <f>IF(A346=""," ",B346*VLOOKUP(A346,'01.01.2026 - 24.01.2026'!A:H,8,FALSE))</f>
        <v xml:space="preserve"> </v>
      </c>
    </row>
    <row r="347" spans="1:7" x14ac:dyDescent="0.3">
      <c r="A347" s="18"/>
      <c r="B347" s="23"/>
      <c r="C347" s="6" t="str">
        <f>IF(A347=""," ",VLOOKUP(A347,'01.01.2026 - 24.01.2026'!A:H,2,FALSE))</f>
        <v xml:space="preserve"> </v>
      </c>
      <c r="D347" s="30" t="str">
        <f>IF(A347=""," ",VLOOKUP(A347,'01.01.2026 - 24.01.2026'!A:H,5,FALSE))</f>
        <v xml:space="preserve"> </v>
      </c>
      <c r="E347" s="7" t="str">
        <f>IF(A347=""," ",B347*VLOOKUP(A347,'01.01.2026 - 24.01.2026'!A:H,6,FALSE))</f>
        <v xml:space="preserve"> </v>
      </c>
      <c r="F347" s="7" t="str">
        <f>IF(A347=""," ",B347*VLOOKUP(A347,'01.01.2026 - 24.01.2026'!A:H,7,FALSE))</f>
        <v xml:space="preserve"> </v>
      </c>
      <c r="G347" s="7" t="str">
        <f>IF(A347=""," ",B347*VLOOKUP(A347,'01.01.2026 - 24.01.2026'!A:H,8,FALSE))</f>
        <v xml:space="preserve"> </v>
      </c>
    </row>
    <row r="348" spans="1:7" x14ac:dyDescent="0.3">
      <c r="A348" s="18"/>
      <c r="B348" s="23"/>
      <c r="C348" s="6" t="str">
        <f>IF(A348=""," ",VLOOKUP(A348,'01.01.2026 - 24.01.2026'!A:H,2,FALSE))</f>
        <v xml:space="preserve"> </v>
      </c>
      <c r="D348" s="30" t="str">
        <f>IF(A348=""," ",VLOOKUP(A348,'01.01.2026 - 24.01.2026'!A:H,5,FALSE))</f>
        <v xml:space="preserve"> </v>
      </c>
      <c r="E348" s="7" t="str">
        <f>IF(A348=""," ",B348*VLOOKUP(A348,'01.01.2026 - 24.01.2026'!A:H,6,FALSE))</f>
        <v xml:space="preserve"> </v>
      </c>
      <c r="F348" s="7" t="str">
        <f>IF(A348=""," ",B348*VLOOKUP(A348,'01.01.2026 - 24.01.2026'!A:H,7,FALSE))</f>
        <v xml:space="preserve"> </v>
      </c>
      <c r="G348" s="7" t="str">
        <f>IF(A348=""," ",B348*VLOOKUP(A348,'01.01.2026 - 24.01.2026'!A:H,8,FALSE))</f>
        <v xml:space="preserve"> </v>
      </c>
    </row>
    <row r="349" spans="1:7" x14ac:dyDescent="0.3">
      <c r="A349" s="18"/>
      <c r="B349" s="23"/>
      <c r="C349" s="6" t="str">
        <f>IF(A349=""," ",VLOOKUP(A349,'01.01.2026 - 24.01.2026'!A:H,2,FALSE))</f>
        <v xml:space="preserve"> </v>
      </c>
      <c r="D349" s="30" t="str">
        <f>IF(A349=""," ",VLOOKUP(A349,'01.01.2026 - 24.01.2026'!A:H,5,FALSE))</f>
        <v xml:space="preserve"> </v>
      </c>
      <c r="E349" s="7" t="str">
        <f>IF(A349=""," ",B349*VLOOKUP(A349,'01.01.2026 - 24.01.2026'!A:H,6,FALSE))</f>
        <v xml:space="preserve"> </v>
      </c>
      <c r="F349" s="7" t="str">
        <f>IF(A349=""," ",B349*VLOOKUP(A349,'01.01.2026 - 24.01.2026'!A:H,7,FALSE))</f>
        <v xml:space="preserve"> </v>
      </c>
      <c r="G349" s="7" t="str">
        <f>IF(A349=""," ",B349*VLOOKUP(A349,'01.01.2026 - 24.01.2026'!A:H,8,FALSE))</f>
        <v xml:space="preserve"> </v>
      </c>
    </row>
    <row r="350" spans="1:7" x14ac:dyDescent="0.3">
      <c r="A350" s="18"/>
      <c r="B350" s="23"/>
      <c r="C350" s="6" t="str">
        <f>IF(A350=""," ",VLOOKUP(A350,'01.01.2026 - 24.01.2026'!A:H,2,FALSE))</f>
        <v xml:space="preserve"> </v>
      </c>
      <c r="D350" s="30" t="str">
        <f>IF(A350=""," ",VLOOKUP(A350,'01.01.2026 - 24.01.2026'!A:H,5,FALSE))</f>
        <v xml:space="preserve"> </v>
      </c>
      <c r="E350" s="7" t="str">
        <f>IF(A350=""," ",B350*VLOOKUP(A350,'01.01.2026 - 24.01.2026'!A:H,6,FALSE))</f>
        <v xml:space="preserve"> </v>
      </c>
      <c r="F350" s="7" t="str">
        <f>IF(A350=""," ",B350*VLOOKUP(A350,'01.01.2026 - 24.01.2026'!A:H,7,FALSE))</f>
        <v xml:space="preserve"> </v>
      </c>
      <c r="G350" s="7" t="str">
        <f>IF(A350=""," ",B350*VLOOKUP(A350,'01.01.2026 - 24.01.2026'!A:H,8,FALSE))</f>
        <v xml:space="preserve"> </v>
      </c>
    </row>
    <row r="351" spans="1:7" x14ac:dyDescent="0.3">
      <c r="A351" s="18"/>
      <c r="B351" s="23"/>
      <c r="C351" s="6" t="str">
        <f>IF(A351=""," ",VLOOKUP(A351,'01.01.2026 - 24.01.2026'!A:H,2,FALSE))</f>
        <v xml:space="preserve"> </v>
      </c>
      <c r="D351" s="30" t="str">
        <f>IF(A351=""," ",VLOOKUP(A351,'01.01.2026 - 24.01.2026'!A:H,5,FALSE))</f>
        <v xml:space="preserve"> </v>
      </c>
      <c r="E351" s="7" t="str">
        <f>IF(A351=""," ",B351*VLOOKUP(A351,'01.01.2026 - 24.01.2026'!A:H,6,FALSE))</f>
        <v xml:space="preserve"> </v>
      </c>
      <c r="F351" s="7" t="str">
        <f>IF(A351=""," ",B351*VLOOKUP(A351,'01.01.2026 - 24.01.2026'!A:H,7,FALSE))</f>
        <v xml:space="preserve"> </v>
      </c>
      <c r="G351" s="7" t="str">
        <f>IF(A351=""," ",B351*VLOOKUP(A351,'01.01.2026 - 24.01.2026'!A:H,8,FALSE))</f>
        <v xml:space="preserve"> </v>
      </c>
    </row>
    <row r="352" spans="1:7" x14ac:dyDescent="0.3">
      <c r="A352" s="18"/>
      <c r="B352" s="23"/>
      <c r="C352" s="6" t="str">
        <f>IF(A352=""," ",VLOOKUP(A352,'01.01.2026 - 24.01.2026'!A:H,2,FALSE))</f>
        <v xml:space="preserve"> </v>
      </c>
      <c r="D352" s="30" t="str">
        <f>IF(A352=""," ",VLOOKUP(A352,'01.01.2026 - 24.01.2026'!A:H,5,FALSE))</f>
        <v xml:space="preserve"> </v>
      </c>
      <c r="E352" s="7" t="str">
        <f>IF(A352=""," ",B352*VLOOKUP(A352,'01.01.2026 - 24.01.2026'!A:H,6,FALSE))</f>
        <v xml:space="preserve"> </v>
      </c>
      <c r="F352" s="7" t="str">
        <f>IF(A352=""," ",B352*VLOOKUP(A352,'01.01.2026 - 24.01.2026'!A:H,7,FALSE))</f>
        <v xml:space="preserve"> </v>
      </c>
      <c r="G352" s="7" t="str">
        <f>IF(A352=""," ",B352*VLOOKUP(A352,'01.01.2026 - 24.01.2026'!A:H,8,FALSE))</f>
        <v xml:space="preserve"> </v>
      </c>
    </row>
    <row r="353" spans="1:7" x14ac:dyDescent="0.3">
      <c r="A353" s="18"/>
      <c r="B353" s="23"/>
      <c r="C353" s="6" t="str">
        <f>IF(A353=""," ",VLOOKUP(A353,'01.01.2026 - 24.01.2026'!A:H,2,FALSE))</f>
        <v xml:space="preserve"> </v>
      </c>
      <c r="D353" s="30" t="str">
        <f>IF(A353=""," ",VLOOKUP(A353,'01.01.2026 - 24.01.2026'!A:H,5,FALSE))</f>
        <v xml:space="preserve"> </v>
      </c>
      <c r="E353" s="7" t="str">
        <f>IF(A353=""," ",B353*VLOOKUP(A353,'01.01.2026 - 24.01.2026'!A:H,6,FALSE))</f>
        <v xml:space="preserve"> </v>
      </c>
      <c r="F353" s="7" t="str">
        <f>IF(A353=""," ",B353*VLOOKUP(A353,'01.01.2026 - 24.01.2026'!A:H,7,FALSE))</f>
        <v xml:space="preserve"> </v>
      </c>
      <c r="G353" s="7" t="str">
        <f>IF(A353=""," ",B353*VLOOKUP(A353,'01.01.2026 - 24.01.2026'!A:H,8,FALSE))</f>
        <v xml:space="preserve"> </v>
      </c>
    </row>
    <row r="354" spans="1:7" x14ac:dyDescent="0.3">
      <c r="A354" s="18"/>
      <c r="B354" s="23"/>
      <c r="C354" s="6" t="str">
        <f>IF(A354=""," ",VLOOKUP(A354,'01.01.2026 - 24.01.2026'!A:H,2,FALSE))</f>
        <v xml:space="preserve"> </v>
      </c>
      <c r="D354" s="30" t="str">
        <f>IF(A354=""," ",VLOOKUP(A354,'01.01.2026 - 24.01.2026'!A:H,5,FALSE))</f>
        <v xml:space="preserve"> </v>
      </c>
      <c r="E354" s="7" t="str">
        <f>IF(A354=""," ",B354*VLOOKUP(A354,'01.01.2026 - 24.01.2026'!A:H,6,FALSE))</f>
        <v xml:space="preserve"> </v>
      </c>
      <c r="F354" s="7" t="str">
        <f>IF(A354=""," ",B354*VLOOKUP(A354,'01.01.2026 - 24.01.2026'!A:H,7,FALSE))</f>
        <v xml:space="preserve"> </v>
      </c>
      <c r="G354" s="7" t="str">
        <f>IF(A354=""," ",B354*VLOOKUP(A354,'01.01.2026 - 24.01.2026'!A:H,8,FALSE))</f>
        <v xml:space="preserve"> </v>
      </c>
    </row>
    <row r="355" spans="1:7" x14ac:dyDescent="0.3">
      <c r="A355" s="18"/>
      <c r="B355" s="23"/>
      <c r="C355" s="6" t="str">
        <f>IF(A355=""," ",VLOOKUP(A355,'01.01.2026 - 24.01.2026'!A:H,2,FALSE))</f>
        <v xml:space="preserve"> </v>
      </c>
      <c r="D355" s="30" t="str">
        <f>IF(A355=""," ",VLOOKUP(A355,'01.01.2026 - 24.01.2026'!A:H,5,FALSE))</f>
        <v xml:space="preserve"> </v>
      </c>
      <c r="E355" s="7" t="str">
        <f>IF(A355=""," ",B355*VLOOKUP(A355,'01.01.2026 - 24.01.2026'!A:H,6,FALSE))</f>
        <v xml:space="preserve"> </v>
      </c>
      <c r="F355" s="7" t="str">
        <f>IF(A355=""," ",B355*VLOOKUP(A355,'01.01.2026 - 24.01.2026'!A:H,7,FALSE))</f>
        <v xml:space="preserve"> </v>
      </c>
      <c r="G355" s="7" t="str">
        <f>IF(A355=""," ",B355*VLOOKUP(A355,'01.01.2026 - 24.01.2026'!A:H,8,FALSE))</f>
        <v xml:space="preserve"> </v>
      </c>
    </row>
    <row r="356" spans="1:7" x14ac:dyDescent="0.3">
      <c r="A356" s="18"/>
      <c r="B356" s="23"/>
      <c r="C356" s="6" t="str">
        <f>IF(A356=""," ",VLOOKUP(A356,'01.01.2026 - 24.01.2026'!A:H,2,FALSE))</f>
        <v xml:space="preserve"> </v>
      </c>
      <c r="D356" s="30" t="str">
        <f>IF(A356=""," ",VLOOKUP(A356,'01.01.2026 - 24.01.2026'!A:H,5,FALSE))</f>
        <v xml:space="preserve"> </v>
      </c>
      <c r="E356" s="7" t="str">
        <f>IF(A356=""," ",B356*VLOOKUP(A356,'01.01.2026 - 24.01.2026'!A:H,6,FALSE))</f>
        <v xml:space="preserve"> </v>
      </c>
      <c r="F356" s="7" t="str">
        <f>IF(A356=""," ",B356*VLOOKUP(A356,'01.01.2026 - 24.01.2026'!A:H,7,FALSE))</f>
        <v xml:space="preserve"> </v>
      </c>
      <c r="G356" s="7" t="str">
        <f>IF(A356=""," ",B356*VLOOKUP(A356,'01.01.2026 - 24.01.2026'!A:H,8,FALSE))</f>
        <v xml:space="preserve"> </v>
      </c>
    </row>
    <row r="357" spans="1:7" x14ac:dyDescent="0.3">
      <c r="A357" s="18"/>
      <c r="B357" s="23"/>
      <c r="C357" s="6" t="str">
        <f>IF(A357=""," ",VLOOKUP(A357,'01.01.2026 - 24.01.2026'!A:H,2,FALSE))</f>
        <v xml:space="preserve"> </v>
      </c>
      <c r="D357" s="30" t="str">
        <f>IF(A357=""," ",VLOOKUP(A357,'01.01.2026 - 24.01.2026'!A:H,5,FALSE))</f>
        <v xml:space="preserve"> </v>
      </c>
      <c r="E357" s="7" t="str">
        <f>IF(A357=""," ",B357*VLOOKUP(A357,'01.01.2026 - 24.01.2026'!A:H,6,FALSE))</f>
        <v xml:space="preserve"> </v>
      </c>
      <c r="F357" s="7" t="str">
        <f>IF(A357=""," ",B357*VLOOKUP(A357,'01.01.2026 - 24.01.2026'!A:H,7,FALSE))</f>
        <v xml:space="preserve"> </v>
      </c>
      <c r="G357" s="7" t="str">
        <f>IF(A357=""," ",B357*VLOOKUP(A357,'01.01.2026 - 24.01.2026'!A:H,8,FALSE))</f>
        <v xml:space="preserve"> </v>
      </c>
    </row>
    <row r="358" spans="1:7" x14ac:dyDescent="0.3">
      <c r="A358" s="18"/>
      <c r="B358" s="23"/>
      <c r="C358" s="6" t="str">
        <f>IF(A358=""," ",VLOOKUP(A358,'01.01.2026 - 24.01.2026'!A:H,2,FALSE))</f>
        <v xml:space="preserve"> </v>
      </c>
      <c r="D358" s="30" t="str">
        <f>IF(A358=""," ",VLOOKUP(A358,'01.01.2026 - 24.01.2026'!A:H,5,FALSE))</f>
        <v xml:space="preserve"> </v>
      </c>
      <c r="E358" s="7" t="str">
        <f>IF(A358=""," ",B358*VLOOKUP(A358,'01.01.2026 - 24.01.2026'!A:H,6,FALSE))</f>
        <v xml:space="preserve"> </v>
      </c>
      <c r="F358" s="7" t="str">
        <f>IF(A358=""," ",B358*VLOOKUP(A358,'01.01.2026 - 24.01.2026'!A:H,7,FALSE))</f>
        <v xml:space="preserve"> </v>
      </c>
      <c r="G358" s="7" t="str">
        <f>IF(A358=""," ",B358*VLOOKUP(A358,'01.01.2026 - 24.01.2026'!A:H,8,FALSE))</f>
        <v xml:space="preserve"> </v>
      </c>
    </row>
    <row r="359" spans="1:7" x14ac:dyDescent="0.3">
      <c r="A359" s="18"/>
      <c r="B359" s="23"/>
      <c r="C359" s="6" t="str">
        <f>IF(A359=""," ",VLOOKUP(A359,'01.01.2026 - 24.01.2026'!A:H,2,FALSE))</f>
        <v xml:space="preserve"> </v>
      </c>
      <c r="D359" s="30" t="str">
        <f>IF(A359=""," ",VLOOKUP(A359,'01.01.2026 - 24.01.2026'!A:H,5,FALSE))</f>
        <v xml:space="preserve"> </v>
      </c>
      <c r="E359" s="7" t="str">
        <f>IF(A359=""," ",B359*VLOOKUP(A359,'01.01.2026 - 24.01.2026'!A:H,6,FALSE))</f>
        <v xml:space="preserve"> </v>
      </c>
      <c r="F359" s="7" t="str">
        <f>IF(A359=""," ",B359*VLOOKUP(A359,'01.01.2026 - 24.01.2026'!A:H,7,FALSE))</f>
        <v xml:space="preserve"> </v>
      </c>
      <c r="G359" s="7" t="str">
        <f>IF(A359=""," ",B359*VLOOKUP(A359,'01.01.2026 - 24.01.2026'!A:H,8,FALSE))</f>
        <v xml:space="preserve"> </v>
      </c>
    </row>
    <row r="360" spans="1:7" x14ac:dyDescent="0.3">
      <c r="A360" s="18"/>
      <c r="B360" s="23"/>
      <c r="C360" s="6" t="str">
        <f>IF(A360=""," ",VLOOKUP(A360,'01.01.2026 - 24.01.2026'!A:H,2,FALSE))</f>
        <v xml:space="preserve"> </v>
      </c>
      <c r="D360" s="30" t="str">
        <f>IF(A360=""," ",VLOOKUP(A360,'01.01.2026 - 24.01.2026'!A:H,5,FALSE))</f>
        <v xml:space="preserve"> </v>
      </c>
      <c r="E360" s="7" t="str">
        <f>IF(A360=""," ",B360*VLOOKUP(A360,'01.01.2026 - 24.01.2026'!A:H,6,FALSE))</f>
        <v xml:space="preserve"> </v>
      </c>
      <c r="F360" s="7" t="str">
        <f>IF(A360=""," ",B360*VLOOKUP(A360,'01.01.2026 - 24.01.2026'!A:H,7,FALSE))</f>
        <v xml:space="preserve"> </v>
      </c>
      <c r="G360" s="7" t="str">
        <f>IF(A360=""," ",B360*VLOOKUP(A360,'01.01.2026 - 24.01.2026'!A:H,8,FALSE))</f>
        <v xml:space="preserve"> </v>
      </c>
    </row>
    <row r="361" spans="1:7" x14ac:dyDescent="0.3">
      <c r="A361" s="18"/>
      <c r="B361" s="23"/>
      <c r="C361" s="6" t="str">
        <f>IF(A361=""," ",VLOOKUP(A361,'01.01.2026 - 24.01.2026'!A:H,2,FALSE))</f>
        <v xml:space="preserve"> </v>
      </c>
      <c r="D361" s="30" t="str">
        <f>IF(A361=""," ",VLOOKUP(A361,'01.01.2026 - 24.01.2026'!A:H,5,FALSE))</f>
        <v xml:space="preserve"> </v>
      </c>
      <c r="E361" s="7" t="str">
        <f>IF(A361=""," ",B361*VLOOKUP(A361,'01.01.2026 - 24.01.2026'!A:H,6,FALSE))</f>
        <v xml:space="preserve"> </v>
      </c>
      <c r="F361" s="7" t="str">
        <f>IF(A361=""," ",B361*VLOOKUP(A361,'01.01.2026 - 24.01.2026'!A:H,7,FALSE))</f>
        <v xml:space="preserve"> </v>
      </c>
      <c r="G361" s="7" t="str">
        <f>IF(A361=""," ",B361*VLOOKUP(A361,'01.01.2026 - 24.01.2026'!A:H,8,FALSE))</f>
        <v xml:space="preserve"> </v>
      </c>
    </row>
    <row r="362" spans="1:7" x14ac:dyDescent="0.3">
      <c r="A362" s="18"/>
      <c r="B362" s="23"/>
      <c r="C362" s="6" t="str">
        <f>IF(A362=""," ",VLOOKUP(A362,'01.01.2026 - 24.01.2026'!A:H,2,FALSE))</f>
        <v xml:space="preserve"> </v>
      </c>
      <c r="D362" s="30" t="str">
        <f>IF(A362=""," ",VLOOKUP(A362,'01.01.2026 - 24.01.2026'!A:H,5,FALSE))</f>
        <v xml:space="preserve"> </v>
      </c>
      <c r="E362" s="7" t="str">
        <f>IF(A362=""," ",B362*VLOOKUP(A362,'01.01.2026 - 24.01.2026'!A:H,6,FALSE))</f>
        <v xml:space="preserve"> </v>
      </c>
      <c r="F362" s="7" t="str">
        <f>IF(A362=""," ",B362*VLOOKUP(A362,'01.01.2026 - 24.01.2026'!A:H,7,FALSE))</f>
        <v xml:space="preserve"> </v>
      </c>
      <c r="G362" s="7" t="str">
        <f>IF(A362=""," ",B362*VLOOKUP(A362,'01.01.2026 - 24.01.2026'!A:H,8,FALSE))</f>
        <v xml:space="preserve"> </v>
      </c>
    </row>
    <row r="363" spans="1:7" x14ac:dyDescent="0.3">
      <c r="A363" s="18"/>
      <c r="B363" s="23"/>
      <c r="C363" s="6" t="str">
        <f>IF(A363=""," ",VLOOKUP(A363,'01.01.2026 - 24.01.2026'!A:H,2,FALSE))</f>
        <v xml:space="preserve"> </v>
      </c>
      <c r="D363" s="30" t="str">
        <f>IF(A363=""," ",VLOOKUP(A363,'01.01.2026 - 24.01.2026'!A:H,5,FALSE))</f>
        <v xml:space="preserve"> </v>
      </c>
      <c r="E363" s="7" t="str">
        <f>IF(A363=""," ",B363*VLOOKUP(A363,'01.01.2026 - 24.01.2026'!A:H,6,FALSE))</f>
        <v xml:space="preserve"> </v>
      </c>
      <c r="F363" s="7" t="str">
        <f>IF(A363=""," ",B363*VLOOKUP(A363,'01.01.2026 - 24.01.2026'!A:H,7,FALSE))</f>
        <v xml:space="preserve"> </v>
      </c>
      <c r="G363" s="7" t="str">
        <f>IF(A363=""," ",B363*VLOOKUP(A363,'01.01.2026 - 24.01.2026'!A:H,8,FALSE))</f>
        <v xml:space="preserve"> </v>
      </c>
    </row>
    <row r="364" spans="1:7" x14ac:dyDescent="0.3">
      <c r="A364" s="18"/>
      <c r="B364" s="23"/>
      <c r="C364" s="6" t="str">
        <f>IF(A364=""," ",VLOOKUP(A364,'01.01.2026 - 24.01.2026'!A:H,2,FALSE))</f>
        <v xml:space="preserve"> </v>
      </c>
      <c r="D364" s="30" t="str">
        <f>IF(A364=""," ",VLOOKUP(A364,'01.01.2026 - 24.01.2026'!A:H,5,FALSE))</f>
        <v xml:space="preserve"> </v>
      </c>
      <c r="E364" s="7" t="str">
        <f>IF(A364=""," ",B364*VLOOKUP(A364,'01.01.2026 - 24.01.2026'!A:H,6,FALSE))</f>
        <v xml:space="preserve"> </v>
      </c>
      <c r="F364" s="7" t="str">
        <f>IF(A364=""," ",B364*VLOOKUP(A364,'01.01.2026 - 24.01.2026'!A:H,7,FALSE))</f>
        <v xml:space="preserve"> </v>
      </c>
      <c r="G364" s="7" t="str">
        <f>IF(A364=""," ",B364*VLOOKUP(A364,'01.01.2026 - 24.01.2026'!A:H,8,FALSE))</f>
        <v xml:space="preserve"> </v>
      </c>
    </row>
    <row r="365" spans="1:7" x14ac:dyDescent="0.3">
      <c r="A365" s="18"/>
      <c r="B365" s="23"/>
      <c r="C365" s="6" t="str">
        <f>IF(A365=""," ",VLOOKUP(A365,'01.01.2026 - 24.01.2026'!A:H,2,FALSE))</f>
        <v xml:space="preserve"> </v>
      </c>
      <c r="D365" s="30" t="str">
        <f>IF(A365=""," ",VLOOKUP(A365,'01.01.2026 - 24.01.2026'!A:H,5,FALSE))</f>
        <v xml:space="preserve"> </v>
      </c>
      <c r="E365" s="7" t="str">
        <f>IF(A365=""," ",B365*VLOOKUP(A365,'01.01.2026 - 24.01.2026'!A:H,6,FALSE))</f>
        <v xml:space="preserve"> </v>
      </c>
      <c r="F365" s="7" t="str">
        <f>IF(A365=""," ",B365*VLOOKUP(A365,'01.01.2026 - 24.01.2026'!A:H,7,FALSE))</f>
        <v xml:space="preserve"> </v>
      </c>
      <c r="G365" s="7" t="str">
        <f>IF(A365=""," ",B365*VLOOKUP(A365,'01.01.2026 - 24.01.2026'!A:H,8,FALSE))</f>
        <v xml:space="preserve"> </v>
      </c>
    </row>
    <row r="366" spans="1:7" x14ac:dyDescent="0.3">
      <c r="A366" s="18"/>
      <c r="B366" s="23"/>
      <c r="C366" s="6" t="str">
        <f>IF(A366=""," ",VLOOKUP(A366,'01.01.2026 - 24.01.2026'!A:H,2,FALSE))</f>
        <v xml:space="preserve"> </v>
      </c>
      <c r="D366" s="30" t="str">
        <f>IF(A366=""," ",VLOOKUP(A366,'01.01.2026 - 24.01.2026'!A:H,5,FALSE))</f>
        <v xml:space="preserve"> </v>
      </c>
      <c r="E366" s="7" t="str">
        <f>IF(A366=""," ",B366*VLOOKUP(A366,'01.01.2026 - 24.01.2026'!A:H,6,FALSE))</f>
        <v xml:space="preserve"> </v>
      </c>
      <c r="F366" s="7" t="str">
        <f>IF(A366=""," ",B366*VLOOKUP(A366,'01.01.2026 - 24.01.2026'!A:H,7,FALSE))</f>
        <v xml:space="preserve"> </v>
      </c>
      <c r="G366" s="7" t="str">
        <f>IF(A366=""," ",B366*VLOOKUP(A366,'01.01.2026 - 24.01.2026'!A:H,8,FALSE))</f>
        <v xml:space="preserve"> </v>
      </c>
    </row>
    <row r="367" spans="1:7" x14ac:dyDescent="0.3">
      <c r="A367" s="18"/>
      <c r="B367" s="23"/>
      <c r="C367" s="6" t="str">
        <f>IF(A367=""," ",VLOOKUP(A367,'01.01.2026 - 24.01.2026'!A:H,2,FALSE))</f>
        <v xml:space="preserve"> </v>
      </c>
      <c r="D367" s="30" t="str">
        <f>IF(A367=""," ",VLOOKUP(A367,'01.01.2026 - 24.01.2026'!A:H,5,FALSE))</f>
        <v xml:space="preserve"> </v>
      </c>
      <c r="E367" s="7" t="str">
        <f>IF(A367=""," ",B367*VLOOKUP(A367,'01.01.2026 - 24.01.2026'!A:H,6,FALSE))</f>
        <v xml:space="preserve"> </v>
      </c>
      <c r="F367" s="7" t="str">
        <f>IF(A367=""," ",B367*VLOOKUP(A367,'01.01.2026 - 24.01.2026'!A:H,7,FALSE))</f>
        <v xml:space="preserve"> </v>
      </c>
      <c r="G367" s="7" t="str">
        <f>IF(A367=""," ",B367*VLOOKUP(A367,'01.01.2026 - 24.01.2026'!A:H,8,FALSE))</f>
        <v xml:space="preserve"> </v>
      </c>
    </row>
    <row r="368" spans="1:7" x14ac:dyDescent="0.3">
      <c r="A368" s="18"/>
      <c r="B368" s="23"/>
      <c r="C368" s="6" t="str">
        <f>IF(A368=""," ",VLOOKUP(A368,'01.01.2026 - 24.01.2026'!A:H,2,FALSE))</f>
        <v xml:space="preserve"> </v>
      </c>
      <c r="D368" s="30" t="str">
        <f>IF(A368=""," ",VLOOKUP(A368,'01.01.2026 - 24.01.2026'!A:H,5,FALSE))</f>
        <v xml:space="preserve"> </v>
      </c>
      <c r="E368" s="7" t="str">
        <f>IF(A368=""," ",B368*VLOOKUP(A368,'01.01.2026 - 24.01.2026'!A:H,6,FALSE))</f>
        <v xml:space="preserve"> </v>
      </c>
      <c r="F368" s="7" t="str">
        <f>IF(A368=""," ",B368*VLOOKUP(A368,'01.01.2026 - 24.01.2026'!A:H,7,FALSE))</f>
        <v xml:space="preserve"> </v>
      </c>
      <c r="G368" s="7" t="str">
        <f>IF(A368=""," ",B368*VLOOKUP(A368,'01.01.2026 - 24.01.2026'!A:H,8,FALSE))</f>
        <v xml:space="preserve"> </v>
      </c>
    </row>
    <row r="369" spans="1:7" x14ac:dyDescent="0.3">
      <c r="A369" s="18"/>
      <c r="B369" s="23"/>
      <c r="C369" s="6" t="str">
        <f>IF(A369=""," ",VLOOKUP(A369,'01.01.2026 - 24.01.2026'!A:H,2,FALSE))</f>
        <v xml:space="preserve"> </v>
      </c>
      <c r="D369" s="30" t="str">
        <f>IF(A369=""," ",VLOOKUP(A369,'01.01.2026 - 24.01.2026'!A:H,5,FALSE))</f>
        <v xml:space="preserve"> </v>
      </c>
      <c r="E369" s="7" t="str">
        <f>IF(A369=""," ",B369*VLOOKUP(A369,'01.01.2026 - 24.01.2026'!A:H,6,FALSE))</f>
        <v xml:space="preserve"> </v>
      </c>
      <c r="F369" s="7" t="str">
        <f>IF(A369=""," ",B369*VLOOKUP(A369,'01.01.2026 - 24.01.2026'!A:H,7,FALSE))</f>
        <v xml:space="preserve"> </v>
      </c>
      <c r="G369" s="7" t="str">
        <f>IF(A369=""," ",B369*VLOOKUP(A369,'01.01.2026 - 24.01.2026'!A:H,8,FALSE))</f>
        <v xml:space="preserve"> </v>
      </c>
    </row>
    <row r="370" spans="1:7" x14ac:dyDescent="0.3">
      <c r="A370" s="18"/>
      <c r="B370" s="23"/>
      <c r="C370" s="6" t="str">
        <f>IF(A370=""," ",VLOOKUP(A370,'01.01.2026 - 24.01.2026'!A:H,2,FALSE))</f>
        <v xml:space="preserve"> </v>
      </c>
      <c r="D370" s="30" t="str">
        <f>IF(A370=""," ",VLOOKUP(A370,'01.01.2026 - 24.01.2026'!A:H,5,FALSE))</f>
        <v xml:space="preserve"> </v>
      </c>
      <c r="E370" s="7" t="str">
        <f>IF(A370=""," ",B370*VLOOKUP(A370,'01.01.2026 - 24.01.2026'!A:H,6,FALSE))</f>
        <v xml:space="preserve"> </v>
      </c>
      <c r="F370" s="7" t="str">
        <f>IF(A370=""," ",B370*VLOOKUP(A370,'01.01.2026 - 24.01.2026'!A:H,7,FALSE))</f>
        <v xml:space="preserve"> </v>
      </c>
      <c r="G370" s="7" t="str">
        <f>IF(A370=""," ",B370*VLOOKUP(A370,'01.01.2026 - 24.01.2026'!A:H,8,FALSE))</f>
        <v xml:space="preserve"> </v>
      </c>
    </row>
    <row r="371" spans="1:7" x14ac:dyDescent="0.3">
      <c r="A371" s="18"/>
      <c r="B371" s="23"/>
      <c r="C371" s="6" t="str">
        <f>IF(A371=""," ",VLOOKUP(A371,'01.01.2026 - 24.01.2026'!A:H,2,FALSE))</f>
        <v xml:space="preserve"> </v>
      </c>
      <c r="D371" s="30" t="str">
        <f>IF(A371=""," ",VLOOKUP(A371,'01.01.2026 - 24.01.2026'!A:H,5,FALSE))</f>
        <v xml:space="preserve"> </v>
      </c>
      <c r="E371" s="7" t="str">
        <f>IF(A371=""," ",B371*VLOOKUP(A371,'01.01.2026 - 24.01.2026'!A:H,6,FALSE))</f>
        <v xml:space="preserve"> </v>
      </c>
      <c r="F371" s="7" t="str">
        <f>IF(A371=""," ",B371*VLOOKUP(A371,'01.01.2026 - 24.01.2026'!A:H,7,FALSE))</f>
        <v xml:space="preserve"> </v>
      </c>
      <c r="G371" s="7" t="str">
        <f>IF(A371=""," ",B371*VLOOKUP(A371,'01.01.2026 - 24.01.2026'!A:H,8,FALSE))</f>
        <v xml:space="preserve"> </v>
      </c>
    </row>
    <row r="372" spans="1:7" x14ac:dyDescent="0.3">
      <c r="A372" s="18"/>
      <c r="B372" s="23"/>
      <c r="C372" s="6" t="str">
        <f>IF(A372=""," ",VLOOKUP(A372,'01.01.2026 - 24.01.2026'!A:H,2,FALSE))</f>
        <v xml:space="preserve"> </v>
      </c>
      <c r="D372" s="30" t="str">
        <f>IF(A372=""," ",VLOOKUP(A372,'01.01.2026 - 24.01.2026'!A:H,5,FALSE))</f>
        <v xml:space="preserve"> </v>
      </c>
      <c r="E372" s="7" t="str">
        <f>IF(A372=""," ",B372*VLOOKUP(A372,'01.01.2026 - 24.01.2026'!A:H,6,FALSE))</f>
        <v xml:space="preserve"> </v>
      </c>
      <c r="F372" s="7" t="str">
        <f>IF(A372=""," ",B372*VLOOKUP(A372,'01.01.2026 - 24.01.2026'!A:H,7,FALSE))</f>
        <v xml:space="preserve"> </v>
      </c>
      <c r="G372" s="7" t="str">
        <f>IF(A372=""," ",B372*VLOOKUP(A372,'01.01.2026 - 24.01.2026'!A:H,8,FALSE))</f>
        <v xml:space="preserve"> </v>
      </c>
    </row>
    <row r="373" spans="1:7" x14ac:dyDescent="0.3">
      <c r="A373" s="18"/>
      <c r="B373" s="23"/>
      <c r="C373" s="6" t="str">
        <f>IF(A373=""," ",VLOOKUP(A373,'01.01.2026 - 24.01.2026'!A:H,2,FALSE))</f>
        <v xml:space="preserve"> </v>
      </c>
      <c r="D373" s="30" t="str">
        <f>IF(A373=""," ",VLOOKUP(A373,'01.01.2026 - 24.01.2026'!A:H,5,FALSE))</f>
        <v xml:space="preserve"> </v>
      </c>
      <c r="E373" s="7" t="str">
        <f>IF(A373=""," ",B373*VLOOKUP(A373,'01.01.2026 - 24.01.2026'!A:H,6,FALSE))</f>
        <v xml:space="preserve"> </v>
      </c>
      <c r="F373" s="7" t="str">
        <f>IF(A373=""," ",B373*VLOOKUP(A373,'01.01.2026 - 24.01.2026'!A:H,7,FALSE))</f>
        <v xml:space="preserve"> </v>
      </c>
      <c r="G373" s="7" t="str">
        <f>IF(A373=""," ",B373*VLOOKUP(A373,'01.01.2026 - 24.01.2026'!A:H,8,FALSE))</f>
        <v xml:space="preserve"> </v>
      </c>
    </row>
    <row r="374" spans="1:7" x14ac:dyDescent="0.3">
      <c r="A374" s="18"/>
      <c r="B374" s="23"/>
      <c r="C374" s="6" t="str">
        <f>IF(A374=""," ",VLOOKUP(A374,'01.01.2026 - 24.01.2026'!A:H,2,FALSE))</f>
        <v xml:space="preserve"> </v>
      </c>
      <c r="D374" s="30" t="str">
        <f>IF(A374=""," ",VLOOKUP(A374,'01.01.2026 - 24.01.2026'!A:H,5,FALSE))</f>
        <v xml:space="preserve"> </v>
      </c>
      <c r="E374" s="7" t="str">
        <f>IF(A374=""," ",B374*VLOOKUP(A374,'01.01.2026 - 24.01.2026'!A:H,6,FALSE))</f>
        <v xml:space="preserve"> </v>
      </c>
      <c r="F374" s="7" t="str">
        <f>IF(A374=""," ",B374*VLOOKUP(A374,'01.01.2026 - 24.01.2026'!A:H,7,FALSE))</f>
        <v xml:space="preserve"> </v>
      </c>
      <c r="G374" s="7" t="str">
        <f>IF(A374=""," ",B374*VLOOKUP(A374,'01.01.2026 - 24.01.2026'!A:H,8,FALSE))</f>
        <v xml:space="preserve"> </v>
      </c>
    </row>
    <row r="375" spans="1:7" x14ac:dyDescent="0.3">
      <c r="A375" s="18"/>
      <c r="B375" s="23"/>
      <c r="C375" s="6" t="str">
        <f>IF(A375=""," ",VLOOKUP(A375,'01.01.2026 - 24.01.2026'!A:H,2,FALSE))</f>
        <v xml:space="preserve"> </v>
      </c>
      <c r="D375" s="30" t="str">
        <f>IF(A375=""," ",VLOOKUP(A375,'01.01.2026 - 24.01.2026'!A:H,5,FALSE))</f>
        <v xml:space="preserve"> </v>
      </c>
      <c r="E375" s="7" t="str">
        <f>IF(A375=""," ",B375*VLOOKUP(A375,'01.01.2026 - 24.01.2026'!A:H,6,FALSE))</f>
        <v xml:space="preserve"> </v>
      </c>
      <c r="F375" s="7" t="str">
        <f>IF(A375=""," ",B375*VLOOKUP(A375,'01.01.2026 - 24.01.2026'!A:H,7,FALSE))</f>
        <v xml:space="preserve"> </v>
      </c>
      <c r="G375" s="7" t="str">
        <f>IF(A375=""," ",B375*VLOOKUP(A375,'01.01.2026 - 24.01.2026'!A:H,8,FALSE))</f>
        <v xml:space="preserve"> </v>
      </c>
    </row>
    <row r="376" spans="1:7" x14ac:dyDescent="0.3">
      <c r="A376" s="18"/>
      <c r="B376" s="23"/>
      <c r="C376" s="6" t="str">
        <f>IF(A376=""," ",VLOOKUP(A376,'01.01.2026 - 24.01.2026'!A:H,2,FALSE))</f>
        <v xml:space="preserve"> </v>
      </c>
      <c r="D376" s="30" t="str">
        <f>IF(A376=""," ",VLOOKUP(A376,'01.01.2026 - 24.01.2026'!A:H,5,FALSE))</f>
        <v xml:space="preserve"> </v>
      </c>
      <c r="E376" s="7" t="str">
        <f>IF(A376=""," ",B376*VLOOKUP(A376,'01.01.2026 - 24.01.2026'!A:H,6,FALSE))</f>
        <v xml:space="preserve"> </v>
      </c>
      <c r="F376" s="7" t="str">
        <f>IF(A376=""," ",B376*VLOOKUP(A376,'01.01.2026 - 24.01.2026'!A:H,7,FALSE))</f>
        <v xml:space="preserve"> </v>
      </c>
      <c r="G376" s="7" t="str">
        <f>IF(A376=""," ",B376*VLOOKUP(A376,'01.01.2026 - 24.01.2026'!A:H,8,FALSE))</f>
        <v xml:space="preserve"> </v>
      </c>
    </row>
    <row r="377" spans="1:7" x14ac:dyDescent="0.3">
      <c r="A377" s="18"/>
      <c r="B377" s="23"/>
      <c r="C377" s="6" t="str">
        <f>IF(A377=""," ",VLOOKUP(A377,'01.01.2026 - 24.01.2026'!A:H,2,FALSE))</f>
        <v xml:space="preserve"> </v>
      </c>
      <c r="D377" s="30" t="str">
        <f>IF(A377=""," ",VLOOKUP(A377,'01.01.2026 - 24.01.2026'!A:H,5,FALSE))</f>
        <v xml:space="preserve"> </v>
      </c>
      <c r="E377" s="7" t="str">
        <f>IF(A377=""," ",B377*VLOOKUP(A377,'01.01.2026 - 24.01.2026'!A:H,6,FALSE))</f>
        <v xml:space="preserve"> </v>
      </c>
      <c r="F377" s="7" t="str">
        <f>IF(A377=""," ",B377*VLOOKUP(A377,'01.01.2026 - 24.01.2026'!A:H,7,FALSE))</f>
        <v xml:space="preserve"> </v>
      </c>
      <c r="G377" s="7" t="str">
        <f>IF(A377=""," ",B377*VLOOKUP(A377,'01.01.2026 - 24.01.2026'!A:H,8,FALSE))</f>
        <v xml:space="preserve"> </v>
      </c>
    </row>
    <row r="378" spans="1:7" x14ac:dyDescent="0.3">
      <c r="A378" s="18"/>
      <c r="B378" s="23"/>
      <c r="C378" s="6" t="str">
        <f>IF(A378=""," ",VLOOKUP(A378,'01.01.2026 - 24.01.2026'!A:H,2,FALSE))</f>
        <v xml:space="preserve"> </v>
      </c>
      <c r="D378" s="30" t="str">
        <f>IF(A378=""," ",VLOOKUP(A378,'01.01.2026 - 24.01.2026'!A:H,5,FALSE))</f>
        <v xml:space="preserve"> </v>
      </c>
      <c r="E378" s="7" t="str">
        <f>IF(A378=""," ",B378*VLOOKUP(A378,'01.01.2026 - 24.01.2026'!A:H,6,FALSE))</f>
        <v xml:space="preserve"> </v>
      </c>
      <c r="F378" s="7" t="str">
        <f>IF(A378=""," ",B378*VLOOKUP(A378,'01.01.2026 - 24.01.2026'!A:H,7,FALSE))</f>
        <v xml:space="preserve"> </v>
      </c>
      <c r="G378" s="7" t="str">
        <f>IF(A378=""," ",B378*VLOOKUP(A378,'01.01.2026 - 24.01.2026'!A:H,8,FALSE))</f>
        <v xml:space="preserve"> </v>
      </c>
    </row>
    <row r="379" spans="1:7" x14ac:dyDescent="0.3">
      <c r="A379" s="18"/>
      <c r="B379" s="23"/>
      <c r="C379" s="6" t="str">
        <f>IF(A379=""," ",VLOOKUP(A379,'01.01.2026 - 24.01.2026'!A:H,2,FALSE))</f>
        <v xml:space="preserve"> </v>
      </c>
      <c r="D379" s="30" t="str">
        <f>IF(A379=""," ",VLOOKUP(A379,'01.01.2026 - 24.01.2026'!A:H,5,FALSE))</f>
        <v xml:space="preserve"> </v>
      </c>
      <c r="E379" s="7" t="str">
        <f>IF(A379=""," ",B379*VLOOKUP(A379,'01.01.2026 - 24.01.2026'!A:H,6,FALSE))</f>
        <v xml:space="preserve"> </v>
      </c>
      <c r="F379" s="7" t="str">
        <f>IF(A379=""," ",B379*VLOOKUP(A379,'01.01.2026 - 24.01.2026'!A:H,7,FALSE))</f>
        <v xml:space="preserve"> </v>
      </c>
      <c r="G379" s="7" t="str">
        <f>IF(A379=""," ",B379*VLOOKUP(A379,'01.01.2026 - 24.01.2026'!A:H,8,FALSE))</f>
        <v xml:space="preserve"> </v>
      </c>
    </row>
    <row r="380" spans="1:7" x14ac:dyDescent="0.3">
      <c r="A380" s="18"/>
      <c r="B380" s="23"/>
      <c r="C380" s="6" t="str">
        <f>IF(A380=""," ",VLOOKUP(A380,'01.01.2026 - 24.01.2026'!A:H,2,FALSE))</f>
        <v xml:space="preserve"> </v>
      </c>
      <c r="D380" s="30" t="str">
        <f>IF(A380=""," ",VLOOKUP(A380,'01.01.2026 - 24.01.2026'!A:H,5,FALSE))</f>
        <v xml:space="preserve"> </v>
      </c>
      <c r="E380" s="7" t="str">
        <f>IF(A380=""," ",B380*VLOOKUP(A380,'01.01.2026 - 24.01.2026'!A:H,6,FALSE))</f>
        <v xml:space="preserve"> </v>
      </c>
      <c r="F380" s="7" t="str">
        <f>IF(A380=""," ",B380*VLOOKUP(A380,'01.01.2026 - 24.01.2026'!A:H,7,FALSE))</f>
        <v xml:space="preserve"> </v>
      </c>
      <c r="G380" s="7" t="str">
        <f>IF(A380=""," ",B380*VLOOKUP(A380,'01.01.2026 - 24.01.2026'!A:H,8,FALSE))</f>
        <v xml:space="preserve"> </v>
      </c>
    </row>
    <row r="381" spans="1:7" x14ac:dyDescent="0.3">
      <c r="A381" s="18"/>
      <c r="B381" s="23"/>
      <c r="C381" s="6" t="str">
        <f>IF(A381=""," ",VLOOKUP(A381,'01.01.2026 - 24.01.2026'!A:H,2,FALSE))</f>
        <v xml:space="preserve"> </v>
      </c>
      <c r="D381" s="30" t="str">
        <f>IF(A381=""," ",VLOOKUP(A381,'01.01.2026 - 24.01.2026'!A:H,5,FALSE))</f>
        <v xml:space="preserve"> </v>
      </c>
      <c r="E381" s="7" t="str">
        <f>IF(A381=""," ",B381*VLOOKUP(A381,'01.01.2026 - 24.01.2026'!A:H,6,FALSE))</f>
        <v xml:space="preserve"> </v>
      </c>
      <c r="F381" s="7" t="str">
        <f>IF(A381=""," ",B381*VLOOKUP(A381,'01.01.2026 - 24.01.2026'!A:H,7,FALSE))</f>
        <v xml:space="preserve"> </v>
      </c>
      <c r="G381" s="7" t="str">
        <f>IF(A381=""," ",B381*VLOOKUP(A381,'01.01.2026 - 24.01.2026'!A:H,8,FALSE))</f>
        <v xml:space="preserve"> </v>
      </c>
    </row>
    <row r="382" spans="1:7" x14ac:dyDescent="0.3">
      <c r="A382" s="18"/>
      <c r="B382" s="23"/>
      <c r="C382" s="6" t="str">
        <f>IF(A382=""," ",VLOOKUP(A382,'01.01.2026 - 24.01.2026'!A:H,2,FALSE))</f>
        <v xml:space="preserve"> </v>
      </c>
      <c r="D382" s="30" t="str">
        <f>IF(A382=""," ",VLOOKUP(A382,'01.01.2026 - 24.01.2026'!A:H,5,FALSE))</f>
        <v xml:space="preserve"> </v>
      </c>
      <c r="E382" s="7" t="str">
        <f>IF(A382=""," ",B382*VLOOKUP(A382,'01.01.2026 - 24.01.2026'!A:H,6,FALSE))</f>
        <v xml:space="preserve"> </v>
      </c>
      <c r="F382" s="7" t="str">
        <f>IF(A382=""," ",B382*VLOOKUP(A382,'01.01.2026 - 24.01.2026'!A:H,7,FALSE))</f>
        <v xml:space="preserve"> </v>
      </c>
      <c r="G382" s="7" t="str">
        <f>IF(A382=""," ",B382*VLOOKUP(A382,'01.01.2026 - 24.01.2026'!A:H,8,FALSE))</f>
        <v xml:space="preserve"> </v>
      </c>
    </row>
    <row r="383" spans="1:7" x14ac:dyDescent="0.3">
      <c r="A383" s="18"/>
      <c r="B383" s="23"/>
      <c r="C383" s="6" t="str">
        <f>IF(A383=""," ",VLOOKUP(A383,'01.01.2026 - 24.01.2026'!A:H,2,FALSE))</f>
        <v xml:space="preserve"> </v>
      </c>
      <c r="D383" s="30" t="str">
        <f>IF(A383=""," ",VLOOKUP(A383,'01.01.2026 - 24.01.2026'!A:H,5,FALSE))</f>
        <v xml:space="preserve"> </v>
      </c>
      <c r="E383" s="7" t="str">
        <f>IF(A383=""," ",B383*VLOOKUP(A383,'01.01.2026 - 24.01.2026'!A:H,6,FALSE))</f>
        <v xml:space="preserve"> </v>
      </c>
      <c r="F383" s="7" t="str">
        <f>IF(A383=""," ",B383*VLOOKUP(A383,'01.01.2026 - 24.01.2026'!A:H,7,FALSE))</f>
        <v xml:space="preserve"> </v>
      </c>
      <c r="G383" s="7" t="str">
        <f>IF(A383=""," ",B383*VLOOKUP(A383,'01.01.2026 - 24.01.2026'!A:H,8,FALSE))</f>
        <v xml:space="preserve"> </v>
      </c>
    </row>
    <row r="384" spans="1:7" x14ac:dyDescent="0.3">
      <c r="A384" s="18"/>
      <c r="B384" s="23"/>
      <c r="C384" s="6" t="str">
        <f>IF(A384=""," ",VLOOKUP(A384,'01.01.2026 - 24.01.2026'!A:H,2,FALSE))</f>
        <v xml:space="preserve"> </v>
      </c>
      <c r="D384" s="30" t="str">
        <f>IF(A384=""," ",VLOOKUP(A384,'01.01.2026 - 24.01.2026'!A:H,5,FALSE))</f>
        <v xml:space="preserve"> </v>
      </c>
      <c r="E384" s="7" t="str">
        <f>IF(A384=""," ",B384*VLOOKUP(A384,'01.01.2026 - 24.01.2026'!A:H,6,FALSE))</f>
        <v xml:space="preserve"> </v>
      </c>
      <c r="F384" s="7" t="str">
        <f>IF(A384=""," ",B384*VLOOKUP(A384,'01.01.2026 - 24.01.2026'!A:H,7,FALSE))</f>
        <v xml:space="preserve"> </v>
      </c>
      <c r="G384" s="7" t="str">
        <f>IF(A384=""," ",B384*VLOOKUP(A384,'01.01.2026 - 24.01.2026'!A:H,8,FALSE))</f>
        <v xml:space="preserve"> </v>
      </c>
    </row>
    <row r="385" spans="1:7" x14ac:dyDescent="0.3">
      <c r="A385" s="18"/>
      <c r="B385" s="23"/>
      <c r="C385" s="6" t="str">
        <f>IF(A385=""," ",VLOOKUP(A385,'01.01.2026 - 24.01.2026'!A:H,2,FALSE))</f>
        <v xml:space="preserve"> </v>
      </c>
      <c r="D385" s="30" t="str">
        <f>IF(A385=""," ",VLOOKUP(A385,'01.01.2026 - 24.01.2026'!A:H,5,FALSE))</f>
        <v xml:space="preserve"> </v>
      </c>
      <c r="E385" s="7" t="str">
        <f>IF(A385=""," ",B385*VLOOKUP(A385,'01.01.2026 - 24.01.2026'!A:H,6,FALSE))</f>
        <v xml:space="preserve"> </v>
      </c>
      <c r="F385" s="7" t="str">
        <f>IF(A385=""," ",B385*VLOOKUP(A385,'01.01.2026 - 24.01.2026'!A:H,7,FALSE))</f>
        <v xml:space="preserve"> </v>
      </c>
      <c r="G385" s="7" t="str">
        <f>IF(A385=""," ",B385*VLOOKUP(A385,'01.01.2026 - 24.01.2026'!A:H,8,FALSE))</f>
        <v xml:space="preserve"> </v>
      </c>
    </row>
    <row r="386" spans="1:7" x14ac:dyDescent="0.3">
      <c r="A386" s="18"/>
      <c r="B386" s="23"/>
      <c r="C386" s="6" t="str">
        <f>IF(A386=""," ",VLOOKUP(A386,'01.01.2026 - 24.01.2026'!A:H,2,FALSE))</f>
        <v xml:space="preserve"> </v>
      </c>
      <c r="D386" s="30" t="str">
        <f>IF(A386=""," ",VLOOKUP(A386,'01.01.2026 - 24.01.2026'!A:H,5,FALSE))</f>
        <v xml:space="preserve"> </v>
      </c>
      <c r="E386" s="7" t="str">
        <f>IF(A386=""," ",B386*VLOOKUP(A386,'01.01.2026 - 24.01.2026'!A:H,6,FALSE))</f>
        <v xml:space="preserve"> </v>
      </c>
      <c r="F386" s="7" t="str">
        <f>IF(A386=""," ",B386*VLOOKUP(A386,'01.01.2026 - 24.01.2026'!A:H,7,FALSE))</f>
        <v xml:space="preserve"> </v>
      </c>
      <c r="G386" s="7" t="str">
        <f>IF(A386=""," ",B386*VLOOKUP(A386,'01.01.2026 - 24.01.2026'!A:H,8,FALSE))</f>
        <v xml:space="preserve"> </v>
      </c>
    </row>
    <row r="387" spans="1:7" x14ac:dyDescent="0.3">
      <c r="A387" s="18"/>
      <c r="B387" s="23"/>
      <c r="C387" s="6" t="str">
        <f>IF(A387=""," ",VLOOKUP(A387,'01.01.2026 - 24.01.2026'!A:H,2,FALSE))</f>
        <v xml:space="preserve"> </v>
      </c>
      <c r="D387" s="30" t="str">
        <f>IF(A387=""," ",VLOOKUP(A387,'01.01.2026 - 24.01.2026'!A:H,5,FALSE))</f>
        <v xml:space="preserve"> </v>
      </c>
      <c r="E387" s="7" t="str">
        <f>IF(A387=""," ",B387*VLOOKUP(A387,'01.01.2026 - 24.01.2026'!A:H,6,FALSE))</f>
        <v xml:space="preserve"> </v>
      </c>
      <c r="F387" s="7" t="str">
        <f>IF(A387=""," ",B387*VLOOKUP(A387,'01.01.2026 - 24.01.2026'!A:H,7,FALSE))</f>
        <v xml:space="preserve"> </v>
      </c>
      <c r="G387" s="7" t="str">
        <f>IF(A387=""," ",B387*VLOOKUP(A387,'01.01.2026 - 24.01.2026'!A:H,8,FALSE))</f>
        <v xml:space="preserve"> </v>
      </c>
    </row>
    <row r="388" spans="1:7" x14ac:dyDescent="0.3">
      <c r="A388" s="18"/>
      <c r="B388" s="23"/>
      <c r="C388" s="6" t="str">
        <f>IF(A388=""," ",VLOOKUP(A388,'01.01.2026 - 24.01.2026'!A:H,2,FALSE))</f>
        <v xml:space="preserve"> </v>
      </c>
      <c r="D388" s="30" t="str">
        <f>IF(A388=""," ",VLOOKUP(A388,'01.01.2026 - 24.01.2026'!A:H,5,FALSE))</f>
        <v xml:space="preserve"> </v>
      </c>
      <c r="E388" s="7" t="str">
        <f>IF(A388=""," ",B388*VLOOKUP(A388,'01.01.2026 - 24.01.2026'!A:H,6,FALSE))</f>
        <v xml:space="preserve"> </v>
      </c>
      <c r="F388" s="7" t="str">
        <f>IF(A388=""," ",B388*VLOOKUP(A388,'01.01.2026 - 24.01.2026'!A:H,7,FALSE))</f>
        <v xml:space="preserve"> </v>
      </c>
      <c r="G388" s="7" t="str">
        <f>IF(A388=""," ",B388*VLOOKUP(A388,'01.01.2026 - 24.01.2026'!A:H,8,FALSE))</f>
        <v xml:space="preserve"> </v>
      </c>
    </row>
    <row r="389" spans="1:7" x14ac:dyDescent="0.3">
      <c r="A389" s="18"/>
      <c r="B389" s="23"/>
      <c r="C389" s="6" t="str">
        <f>IF(A389=""," ",VLOOKUP(A389,'01.01.2026 - 24.01.2026'!A:H,2,FALSE))</f>
        <v xml:space="preserve"> </v>
      </c>
      <c r="D389" s="30" t="str">
        <f>IF(A389=""," ",VLOOKUP(A389,'01.01.2026 - 24.01.2026'!A:H,5,FALSE))</f>
        <v xml:space="preserve"> </v>
      </c>
      <c r="E389" s="7" t="str">
        <f>IF(A389=""," ",B389*VLOOKUP(A389,'01.01.2026 - 24.01.2026'!A:H,6,FALSE))</f>
        <v xml:space="preserve"> </v>
      </c>
      <c r="F389" s="7" t="str">
        <f>IF(A389=""," ",B389*VLOOKUP(A389,'01.01.2026 - 24.01.2026'!A:H,7,FALSE))</f>
        <v xml:space="preserve"> </v>
      </c>
      <c r="G389" s="7" t="str">
        <f>IF(A389=""," ",B389*VLOOKUP(A389,'01.01.2026 - 24.01.2026'!A:H,8,FALSE))</f>
        <v xml:space="preserve"> </v>
      </c>
    </row>
    <row r="390" spans="1:7" x14ac:dyDescent="0.3">
      <c r="A390" s="18"/>
      <c r="B390" s="23"/>
      <c r="C390" s="6" t="str">
        <f>IF(A390=""," ",VLOOKUP(A390,'01.01.2026 - 24.01.2026'!A:H,2,FALSE))</f>
        <v xml:space="preserve"> </v>
      </c>
      <c r="D390" s="30" t="str">
        <f>IF(A390=""," ",VLOOKUP(A390,'01.01.2026 - 24.01.2026'!A:H,5,FALSE))</f>
        <v xml:space="preserve"> </v>
      </c>
      <c r="E390" s="7" t="str">
        <f>IF(A390=""," ",B390*VLOOKUP(A390,'01.01.2026 - 24.01.2026'!A:H,6,FALSE))</f>
        <v xml:space="preserve"> </v>
      </c>
      <c r="F390" s="7" t="str">
        <f>IF(A390=""," ",B390*VLOOKUP(A390,'01.01.2026 - 24.01.2026'!A:H,7,FALSE))</f>
        <v xml:space="preserve"> </v>
      </c>
      <c r="G390" s="7" t="str">
        <f>IF(A390=""," ",B390*VLOOKUP(A390,'01.01.2026 - 24.01.2026'!A:H,8,FALSE))</f>
        <v xml:space="preserve"> </v>
      </c>
    </row>
    <row r="391" spans="1:7" x14ac:dyDescent="0.3">
      <c r="A391" s="18"/>
      <c r="B391" s="23"/>
      <c r="C391" s="6" t="str">
        <f>IF(A391=""," ",VLOOKUP(A391,'01.01.2026 - 24.01.2026'!A:H,2,FALSE))</f>
        <v xml:space="preserve"> </v>
      </c>
      <c r="D391" s="30" t="str">
        <f>IF(A391=""," ",VLOOKUP(A391,'01.01.2026 - 24.01.2026'!A:H,5,FALSE))</f>
        <v xml:space="preserve"> </v>
      </c>
      <c r="E391" s="7" t="str">
        <f>IF(A391=""," ",B391*VLOOKUP(A391,'01.01.2026 - 24.01.2026'!A:H,6,FALSE))</f>
        <v xml:space="preserve"> </v>
      </c>
      <c r="F391" s="7" t="str">
        <f>IF(A391=""," ",B391*VLOOKUP(A391,'01.01.2026 - 24.01.2026'!A:H,7,FALSE))</f>
        <v xml:space="preserve"> </v>
      </c>
      <c r="G391" s="7" t="str">
        <f>IF(A391=""," ",B391*VLOOKUP(A391,'01.01.2026 - 24.01.2026'!A:H,8,FALSE))</f>
        <v xml:space="preserve"> </v>
      </c>
    </row>
    <row r="392" spans="1:7" x14ac:dyDescent="0.3">
      <c r="A392" s="18"/>
      <c r="B392" s="23"/>
      <c r="C392" s="6" t="str">
        <f>IF(A392=""," ",VLOOKUP(A392,'01.01.2026 - 24.01.2026'!A:H,2,FALSE))</f>
        <v xml:space="preserve"> </v>
      </c>
      <c r="D392" s="30" t="str">
        <f>IF(A392=""," ",VLOOKUP(A392,'01.01.2026 - 24.01.2026'!A:H,5,FALSE))</f>
        <v xml:space="preserve"> </v>
      </c>
      <c r="E392" s="7" t="str">
        <f>IF(A392=""," ",B392*VLOOKUP(A392,'01.01.2026 - 24.01.2026'!A:H,6,FALSE))</f>
        <v xml:space="preserve"> </v>
      </c>
      <c r="F392" s="7" t="str">
        <f>IF(A392=""," ",B392*VLOOKUP(A392,'01.01.2026 - 24.01.2026'!A:H,7,FALSE))</f>
        <v xml:space="preserve"> </v>
      </c>
      <c r="G392" s="7" t="str">
        <f>IF(A392=""," ",B392*VLOOKUP(A392,'01.01.2026 - 24.01.2026'!A:H,8,FALSE))</f>
        <v xml:space="preserve"> </v>
      </c>
    </row>
    <row r="393" spans="1:7" x14ac:dyDescent="0.3">
      <c r="A393" s="18"/>
      <c r="B393" s="23"/>
      <c r="C393" s="6" t="str">
        <f>IF(A393=""," ",VLOOKUP(A393,'01.01.2026 - 24.01.2026'!A:H,2,FALSE))</f>
        <v xml:space="preserve"> </v>
      </c>
      <c r="D393" s="30" t="str">
        <f>IF(A393=""," ",VLOOKUP(A393,'01.01.2026 - 24.01.2026'!A:H,5,FALSE))</f>
        <v xml:space="preserve"> </v>
      </c>
      <c r="E393" s="7" t="str">
        <f>IF(A393=""," ",B393*VLOOKUP(A393,'01.01.2026 - 24.01.2026'!A:H,6,FALSE))</f>
        <v xml:space="preserve"> </v>
      </c>
      <c r="F393" s="7" t="str">
        <f>IF(A393=""," ",B393*VLOOKUP(A393,'01.01.2026 - 24.01.2026'!A:H,7,FALSE))</f>
        <v xml:space="preserve"> </v>
      </c>
      <c r="G393" s="7" t="str">
        <f>IF(A393=""," ",B393*VLOOKUP(A393,'01.01.2026 - 24.01.2026'!A:H,8,FALSE))</f>
        <v xml:space="preserve"> </v>
      </c>
    </row>
    <row r="394" spans="1:7" x14ac:dyDescent="0.3">
      <c r="A394" s="18"/>
      <c r="B394" s="23"/>
      <c r="C394" s="6" t="str">
        <f>IF(A394=""," ",VLOOKUP(A394,'01.01.2026 - 24.01.2026'!A:H,2,FALSE))</f>
        <v xml:space="preserve"> </v>
      </c>
      <c r="D394" s="30" t="str">
        <f>IF(A394=""," ",VLOOKUP(A394,'01.01.2026 - 24.01.2026'!A:H,5,FALSE))</f>
        <v xml:space="preserve"> </v>
      </c>
      <c r="E394" s="7" t="str">
        <f>IF(A394=""," ",B394*VLOOKUP(A394,'01.01.2026 - 24.01.2026'!A:H,6,FALSE))</f>
        <v xml:space="preserve"> </v>
      </c>
      <c r="F394" s="7" t="str">
        <f>IF(A394=""," ",B394*VLOOKUP(A394,'01.01.2026 - 24.01.2026'!A:H,7,FALSE))</f>
        <v xml:space="preserve"> </v>
      </c>
      <c r="G394" s="7" t="str">
        <f>IF(A394=""," ",B394*VLOOKUP(A394,'01.01.2026 - 24.01.2026'!A:H,8,FALSE))</f>
        <v xml:space="preserve"> </v>
      </c>
    </row>
    <row r="395" spans="1:7" x14ac:dyDescent="0.3">
      <c r="A395" s="18"/>
      <c r="B395" s="23"/>
      <c r="C395" s="6" t="str">
        <f>IF(A395=""," ",VLOOKUP(A395,'01.01.2026 - 24.01.2026'!A:H,2,FALSE))</f>
        <v xml:space="preserve"> </v>
      </c>
      <c r="D395" s="30" t="str">
        <f>IF(A395=""," ",VLOOKUP(A395,'01.01.2026 - 24.01.2026'!A:H,5,FALSE))</f>
        <v xml:space="preserve"> </v>
      </c>
      <c r="E395" s="7" t="str">
        <f>IF(A395=""," ",B395*VLOOKUP(A395,'01.01.2026 - 24.01.2026'!A:H,6,FALSE))</f>
        <v xml:space="preserve"> </v>
      </c>
      <c r="F395" s="7" t="str">
        <f>IF(A395=""," ",B395*VLOOKUP(A395,'01.01.2026 - 24.01.2026'!A:H,7,FALSE))</f>
        <v xml:space="preserve"> </v>
      </c>
      <c r="G395" s="7" t="str">
        <f>IF(A395=""," ",B395*VLOOKUP(A395,'01.01.2026 - 24.01.2026'!A:H,8,FALSE))</f>
        <v xml:space="preserve"> </v>
      </c>
    </row>
    <row r="396" spans="1:7" x14ac:dyDescent="0.3">
      <c r="A396" s="18"/>
      <c r="B396" s="23"/>
      <c r="C396" s="6" t="str">
        <f>IF(A396=""," ",VLOOKUP(A396,'01.01.2026 - 24.01.2026'!A:H,2,FALSE))</f>
        <v xml:space="preserve"> </v>
      </c>
      <c r="D396" s="30" t="str">
        <f>IF(A396=""," ",VLOOKUP(A396,'01.01.2026 - 24.01.2026'!A:H,5,FALSE))</f>
        <v xml:space="preserve"> </v>
      </c>
      <c r="E396" s="7" t="str">
        <f>IF(A396=""," ",B396*VLOOKUP(A396,'01.01.2026 - 24.01.2026'!A:H,6,FALSE))</f>
        <v xml:space="preserve"> </v>
      </c>
      <c r="F396" s="7" t="str">
        <f>IF(A396=""," ",B396*VLOOKUP(A396,'01.01.2026 - 24.01.2026'!A:H,7,FALSE))</f>
        <v xml:space="preserve"> </v>
      </c>
      <c r="G396" s="7" t="str">
        <f>IF(A396=""," ",B396*VLOOKUP(A396,'01.01.2026 - 24.01.2026'!A:H,8,FALSE))</f>
        <v xml:space="preserve"> </v>
      </c>
    </row>
    <row r="397" spans="1:7" x14ac:dyDescent="0.3">
      <c r="A397" s="18"/>
      <c r="B397" s="23"/>
      <c r="C397" s="6" t="str">
        <f>IF(A397=""," ",VLOOKUP(A397,'01.01.2026 - 24.01.2026'!A:H,2,FALSE))</f>
        <v xml:space="preserve"> </v>
      </c>
      <c r="D397" s="30" t="str">
        <f>IF(A397=""," ",VLOOKUP(A397,'01.01.2026 - 24.01.2026'!A:H,5,FALSE))</f>
        <v xml:space="preserve"> </v>
      </c>
      <c r="E397" s="7" t="str">
        <f>IF(A397=""," ",B397*VLOOKUP(A397,'01.01.2026 - 24.01.2026'!A:H,6,FALSE))</f>
        <v xml:space="preserve"> </v>
      </c>
      <c r="F397" s="7" t="str">
        <f>IF(A397=""," ",B397*VLOOKUP(A397,'01.01.2026 - 24.01.2026'!A:H,7,FALSE))</f>
        <v xml:space="preserve"> </v>
      </c>
      <c r="G397" s="7" t="str">
        <f>IF(A397=""," ",B397*VLOOKUP(A397,'01.01.2026 - 24.01.2026'!A:H,8,FALSE))</f>
        <v xml:space="preserve"> </v>
      </c>
    </row>
    <row r="398" spans="1:7" x14ac:dyDescent="0.3">
      <c r="A398" s="18"/>
      <c r="B398" s="23"/>
      <c r="C398" s="6" t="str">
        <f>IF(A398=""," ",VLOOKUP(A398,'01.01.2026 - 24.01.2026'!A:H,2,FALSE))</f>
        <v xml:space="preserve"> </v>
      </c>
      <c r="D398" s="30" t="str">
        <f>IF(A398=""," ",VLOOKUP(A398,'01.01.2026 - 24.01.2026'!A:H,5,FALSE))</f>
        <v xml:space="preserve"> </v>
      </c>
      <c r="E398" s="7" t="str">
        <f>IF(A398=""," ",B398*VLOOKUP(A398,'01.01.2026 - 24.01.2026'!A:H,6,FALSE))</f>
        <v xml:space="preserve"> </v>
      </c>
      <c r="F398" s="7" t="str">
        <f>IF(A398=""," ",B398*VLOOKUP(A398,'01.01.2026 - 24.01.2026'!A:H,7,FALSE))</f>
        <v xml:space="preserve"> </v>
      </c>
      <c r="G398" s="7" t="str">
        <f>IF(A398=""," ",B398*VLOOKUP(A398,'01.01.2026 - 24.01.2026'!A:H,8,FALSE))</f>
        <v xml:space="preserve"> </v>
      </c>
    </row>
    <row r="399" spans="1:7" x14ac:dyDescent="0.3">
      <c r="A399" s="18"/>
      <c r="B399" s="23"/>
      <c r="C399" s="6" t="str">
        <f>IF(A399=""," ",VLOOKUP(A399,'01.01.2026 - 24.01.2026'!A:H,2,FALSE))</f>
        <v xml:space="preserve"> </v>
      </c>
      <c r="D399" s="30" t="str">
        <f>IF(A399=""," ",VLOOKUP(A399,'01.01.2026 - 24.01.2026'!A:H,5,FALSE))</f>
        <v xml:space="preserve"> </v>
      </c>
      <c r="E399" s="7" t="str">
        <f>IF(A399=""," ",B399*VLOOKUP(A399,'01.01.2026 - 24.01.2026'!A:H,6,FALSE))</f>
        <v xml:space="preserve"> </v>
      </c>
      <c r="F399" s="7" t="str">
        <f>IF(A399=""," ",B399*VLOOKUP(A399,'01.01.2026 - 24.01.2026'!A:H,7,FALSE))</f>
        <v xml:space="preserve"> </v>
      </c>
      <c r="G399" s="7" t="str">
        <f>IF(A399=""," ",B399*VLOOKUP(A399,'01.01.2026 - 24.01.2026'!A:H,8,FALSE))</f>
        <v xml:space="preserve"> </v>
      </c>
    </row>
    <row r="400" spans="1:7" x14ac:dyDescent="0.3">
      <c r="A400" s="18"/>
      <c r="B400" s="23"/>
      <c r="C400" s="6" t="str">
        <f>IF(A400=""," ",VLOOKUP(A400,'01.01.2026 - 24.01.2026'!A:H,2,FALSE))</f>
        <v xml:space="preserve"> </v>
      </c>
      <c r="D400" s="30" t="str">
        <f>IF(A400=""," ",VLOOKUP(A400,'01.01.2026 - 24.01.2026'!A:H,5,FALSE))</f>
        <v xml:space="preserve"> </v>
      </c>
      <c r="E400" s="7" t="str">
        <f>IF(A400=""," ",B400*VLOOKUP(A400,'01.01.2026 - 24.01.2026'!A:H,6,FALSE))</f>
        <v xml:space="preserve"> </v>
      </c>
      <c r="F400" s="7" t="str">
        <f>IF(A400=""," ",B400*VLOOKUP(A400,'01.01.2026 - 24.01.2026'!A:H,7,FALSE))</f>
        <v xml:space="preserve"> </v>
      </c>
      <c r="G400" s="7" t="str">
        <f>IF(A400=""," ",B400*VLOOKUP(A400,'01.01.2026 - 24.01.2026'!A:H,8,FALSE))</f>
        <v xml:space="preserve"> </v>
      </c>
    </row>
    <row r="401" spans="1:7" x14ac:dyDescent="0.3">
      <c r="A401" s="18"/>
      <c r="B401" s="23"/>
      <c r="C401" s="6" t="str">
        <f>IF(A401=""," ",VLOOKUP(A401,'01.01.2026 - 24.01.2026'!A:H,2,FALSE))</f>
        <v xml:space="preserve"> </v>
      </c>
      <c r="D401" s="30" t="str">
        <f>IF(A401=""," ",VLOOKUP(A401,'01.01.2026 - 24.01.2026'!A:H,5,FALSE))</f>
        <v xml:space="preserve"> </v>
      </c>
      <c r="E401" s="7" t="str">
        <f>IF(A401=""," ",B401*VLOOKUP(A401,'01.01.2026 - 24.01.2026'!A:H,6,FALSE))</f>
        <v xml:space="preserve"> </v>
      </c>
      <c r="F401" s="7" t="str">
        <f>IF(A401=""," ",B401*VLOOKUP(A401,'01.01.2026 - 24.01.2026'!A:H,7,FALSE))</f>
        <v xml:space="preserve"> </v>
      </c>
      <c r="G401" s="7" t="str">
        <f>IF(A401=""," ",B401*VLOOKUP(A401,'01.01.2026 - 24.01.2026'!A:H,8,FALSE))</f>
        <v xml:space="preserve"> </v>
      </c>
    </row>
    <row r="402" spans="1:7" x14ac:dyDescent="0.3">
      <c r="A402" s="18"/>
      <c r="B402" s="23"/>
      <c r="C402" s="6" t="str">
        <f>IF(A402=""," ",VLOOKUP(A402,'01.01.2026 - 24.01.2026'!A:H,2,FALSE))</f>
        <v xml:space="preserve"> </v>
      </c>
      <c r="D402" s="30" t="str">
        <f>IF(A402=""," ",VLOOKUP(A402,'01.01.2026 - 24.01.2026'!A:H,5,FALSE))</f>
        <v xml:space="preserve"> </v>
      </c>
      <c r="E402" s="7" t="str">
        <f>IF(A402=""," ",B402*VLOOKUP(A402,'01.01.2026 - 24.01.2026'!A:H,6,FALSE))</f>
        <v xml:space="preserve"> </v>
      </c>
      <c r="F402" s="7" t="str">
        <f>IF(A402=""," ",B402*VLOOKUP(A402,'01.01.2026 - 24.01.2026'!A:H,7,FALSE))</f>
        <v xml:space="preserve"> </v>
      </c>
      <c r="G402" s="7" t="str">
        <f>IF(A402=""," ",B402*VLOOKUP(A402,'01.01.2026 - 24.01.2026'!A:H,8,FALSE))</f>
        <v xml:space="preserve"> </v>
      </c>
    </row>
    <row r="403" spans="1:7" x14ac:dyDescent="0.3">
      <c r="A403" s="18"/>
      <c r="B403" s="23"/>
      <c r="C403" s="6" t="str">
        <f>IF(A403=""," ",VLOOKUP(A403,'01.01.2026 - 24.01.2026'!A:H,2,FALSE))</f>
        <v xml:space="preserve"> </v>
      </c>
      <c r="D403" s="30" t="str">
        <f>IF(A403=""," ",VLOOKUP(A403,'01.01.2026 - 24.01.2026'!A:H,5,FALSE))</f>
        <v xml:space="preserve"> </v>
      </c>
      <c r="E403" s="7" t="str">
        <f>IF(A403=""," ",B403*VLOOKUP(A403,'01.01.2026 - 24.01.2026'!A:H,6,FALSE))</f>
        <v xml:space="preserve"> </v>
      </c>
      <c r="F403" s="7" t="str">
        <f>IF(A403=""," ",B403*VLOOKUP(A403,'01.01.2026 - 24.01.2026'!A:H,7,FALSE))</f>
        <v xml:space="preserve"> </v>
      </c>
      <c r="G403" s="7" t="str">
        <f>IF(A403=""," ",B403*VLOOKUP(A403,'01.01.2026 - 24.01.2026'!A:H,8,FALSE))</f>
        <v xml:space="preserve"> </v>
      </c>
    </row>
    <row r="404" spans="1:7" x14ac:dyDescent="0.3">
      <c r="A404" s="18"/>
      <c r="B404" s="23"/>
      <c r="C404" s="6" t="str">
        <f>IF(A404=""," ",VLOOKUP(A404,'01.01.2026 - 24.01.2026'!A:H,2,FALSE))</f>
        <v xml:space="preserve"> </v>
      </c>
      <c r="D404" s="30" t="str">
        <f>IF(A404=""," ",VLOOKUP(A404,'01.01.2026 - 24.01.2026'!A:H,5,FALSE))</f>
        <v xml:space="preserve"> </v>
      </c>
      <c r="E404" s="7" t="str">
        <f>IF(A404=""," ",B404*VLOOKUP(A404,'01.01.2026 - 24.01.2026'!A:H,6,FALSE))</f>
        <v xml:space="preserve"> </v>
      </c>
      <c r="F404" s="7" t="str">
        <f>IF(A404=""," ",B404*VLOOKUP(A404,'01.01.2026 - 24.01.2026'!A:H,7,FALSE))</f>
        <v xml:space="preserve"> </v>
      </c>
      <c r="G404" s="7" t="str">
        <f>IF(A404=""," ",B404*VLOOKUP(A404,'01.01.2026 - 24.01.2026'!A:H,8,FALSE))</f>
        <v xml:space="preserve"> </v>
      </c>
    </row>
    <row r="405" spans="1:7" x14ac:dyDescent="0.3">
      <c r="A405" s="18"/>
      <c r="B405" s="23"/>
      <c r="C405" s="6" t="str">
        <f>IF(A405=""," ",VLOOKUP(A405,'01.01.2026 - 24.01.2026'!A:H,2,FALSE))</f>
        <v xml:space="preserve"> </v>
      </c>
      <c r="D405" s="30" t="str">
        <f>IF(A405=""," ",VLOOKUP(A405,'01.01.2026 - 24.01.2026'!A:H,5,FALSE))</f>
        <v xml:space="preserve"> </v>
      </c>
      <c r="E405" s="7" t="str">
        <f>IF(A405=""," ",B405*VLOOKUP(A405,'01.01.2026 - 24.01.2026'!A:H,6,FALSE))</f>
        <v xml:space="preserve"> </v>
      </c>
      <c r="F405" s="7" t="str">
        <f>IF(A405=""," ",B405*VLOOKUP(A405,'01.01.2026 - 24.01.2026'!A:H,7,FALSE))</f>
        <v xml:space="preserve"> </v>
      </c>
      <c r="G405" s="7" t="str">
        <f>IF(A405=""," ",B405*VLOOKUP(A405,'01.01.2026 - 24.01.2026'!A:H,8,FALSE))</f>
        <v xml:space="preserve"> </v>
      </c>
    </row>
    <row r="406" spans="1:7" x14ac:dyDescent="0.3">
      <c r="A406" s="18"/>
      <c r="B406" s="23"/>
      <c r="C406" s="6" t="str">
        <f>IF(A406=""," ",VLOOKUP(A406,'01.01.2026 - 24.01.2026'!A:H,2,FALSE))</f>
        <v xml:space="preserve"> </v>
      </c>
      <c r="D406" s="30" t="str">
        <f>IF(A406=""," ",VLOOKUP(A406,'01.01.2026 - 24.01.2026'!A:H,5,FALSE))</f>
        <v xml:space="preserve"> </v>
      </c>
      <c r="E406" s="7" t="str">
        <f>IF(A406=""," ",B406*VLOOKUP(A406,'01.01.2026 - 24.01.2026'!A:H,6,FALSE))</f>
        <v xml:space="preserve"> </v>
      </c>
      <c r="F406" s="7" t="str">
        <f>IF(A406=""," ",B406*VLOOKUP(A406,'01.01.2026 - 24.01.2026'!A:H,7,FALSE))</f>
        <v xml:space="preserve"> </v>
      </c>
      <c r="G406" s="7" t="str">
        <f>IF(A406=""," ",B406*VLOOKUP(A406,'01.01.2026 - 24.01.2026'!A:H,8,FALSE))</f>
        <v xml:space="preserve"> </v>
      </c>
    </row>
    <row r="407" spans="1:7" x14ac:dyDescent="0.3">
      <c r="A407" s="18"/>
      <c r="B407" s="23"/>
      <c r="C407" s="6" t="str">
        <f>IF(A407=""," ",VLOOKUP(A407,'01.01.2026 - 24.01.2026'!A:H,2,FALSE))</f>
        <v xml:space="preserve"> </v>
      </c>
      <c r="D407" s="30" t="str">
        <f>IF(A407=""," ",VLOOKUP(A407,'01.01.2026 - 24.01.2026'!A:H,5,FALSE))</f>
        <v xml:space="preserve"> </v>
      </c>
      <c r="E407" s="7" t="str">
        <f>IF(A407=""," ",B407*VLOOKUP(A407,'01.01.2026 - 24.01.2026'!A:H,6,FALSE))</f>
        <v xml:space="preserve"> </v>
      </c>
      <c r="F407" s="7" t="str">
        <f>IF(A407=""," ",B407*VLOOKUP(A407,'01.01.2026 - 24.01.2026'!A:H,7,FALSE))</f>
        <v xml:space="preserve"> </v>
      </c>
      <c r="G407" s="7" t="str">
        <f>IF(A407=""," ",B407*VLOOKUP(A407,'01.01.2026 - 24.01.2026'!A:H,8,FALSE))</f>
        <v xml:space="preserve"> </v>
      </c>
    </row>
    <row r="408" spans="1:7" x14ac:dyDescent="0.3">
      <c r="A408" s="18"/>
      <c r="B408" s="23"/>
      <c r="C408" s="6" t="str">
        <f>IF(A408=""," ",VLOOKUP(A408,'01.01.2026 - 24.01.2026'!A:H,2,FALSE))</f>
        <v xml:space="preserve"> </v>
      </c>
      <c r="D408" s="30" t="str">
        <f>IF(A408=""," ",VLOOKUP(A408,'01.01.2026 - 24.01.2026'!A:H,5,FALSE))</f>
        <v xml:space="preserve"> </v>
      </c>
      <c r="E408" s="7" t="str">
        <f>IF(A408=""," ",B408*VLOOKUP(A408,'01.01.2026 - 24.01.2026'!A:H,6,FALSE))</f>
        <v xml:space="preserve"> </v>
      </c>
      <c r="F408" s="7" t="str">
        <f>IF(A408=""," ",B408*VLOOKUP(A408,'01.01.2026 - 24.01.2026'!A:H,7,FALSE))</f>
        <v xml:space="preserve"> </v>
      </c>
      <c r="G408" s="7" t="str">
        <f>IF(A408=""," ",B408*VLOOKUP(A408,'01.01.2026 - 24.01.2026'!A:H,8,FALSE))</f>
        <v xml:space="preserve"> </v>
      </c>
    </row>
    <row r="409" spans="1:7" x14ac:dyDescent="0.3">
      <c r="A409" s="18"/>
      <c r="B409" s="23"/>
      <c r="C409" s="6" t="str">
        <f>IF(A409=""," ",VLOOKUP(A409,'01.01.2026 - 24.01.2026'!A:H,2,FALSE))</f>
        <v xml:space="preserve"> </v>
      </c>
      <c r="D409" s="30" t="str">
        <f>IF(A409=""," ",VLOOKUP(A409,'01.01.2026 - 24.01.2026'!A:H,5,FALSE))</f>
        <v xml:space="preserve"> </v>
      </c>
      <c r="E409" s="7" t="str">
        <f>IF(A409=""," ",B409*VLOOKUP(A409,'01.01.2026 - 24.01.2026'!A:H,6,FALSE))</f>
        <v xml:space="preserve"> </v>
      </c>
      <c r="F409" s="7" t="str">
        <f>IF(A409=""," ",B409*VLOOKUP(A409,'01.01.2026 - 24.01.2026'!A:H,7,FALSE))</f>
        <v xml:space="preserve"> </v>
      </c>
      <c r="G409" s="7" t="str">
        <f>IF(A409=""," ",B409*VLOOKUP(A409,'01.01.2026 - 24.01.2026'!A:H,8,FALSE))</f>
        <v xml:space="preserve"> </v>
      </c>
    </row>
    <row r="410" spans="1:7" x14ac:dyDescent="0.3">
      <c r="A410" s="18"/>
      <c r="B410" s="23"/>
      <c r="C410" s="6" t="str">
        <f>IF(A410=""," ",VLOOKUP(A410,'01.01.2026 - 24.01.2026'!A:H,2,FALSE))</f>
        <v xml:space="preserve"> </v>
      </c>
      <c r="D410" s="30" t="str">
        <f>IF(A410=""," ",VLOOKUP(A410,'01.01.2026 - 24.01.2026'!A:H,5,FALSE))</f>
        <v xml:space="preserve"> </v>
      </c>
      <c r="E410" s="7" t="str">
        <f>IF(A410=""," ",B410*VLOOKUP(A410,'01.01.2026 - 24.01.2026'!A:H,6,FALSE))</f>
        <v xml:space="preserve"> </v>
      </c>
      <c r="F410" s="7" t="str">
        <f>IF(A410=""," ",B410*VLOOKUP(A410,'01.01.2026 - 24.01.2026'!A:H,7,FALSE))</f>
        <v xml:space="preserve"> </v>
      </c>
      <c r="G410" s="7" t="str">
        <f>IF(A410=""," ",B410*VLOOKUP(A410,'01.01.2026 - 24.01.2026'!A:H,8,FALSE))</f>
        <v xml:space="preserve"> </v>
      </c>
    </row>
    <row r="411" spans="1:7" x14ac:dyDescent="0.3">
      <c r="A411" s="18"/>
      <c r="B411" s="23"/>
      <c r="C411" s="6" t="str">
        <f>IF(A411=""," ",VLOOKUP(A411,'01.01.2026 - 24.01.2026'!A:H,2,FALSE))</f>
        <v xml:space="preserve"> </v>
      </c>
      <c r="D411" s="30" t="str">
        <f>IF(A411=""," ",VLOOKUP(A411,'01.01.2026 - 24.01.2026'!A:H,5,FALSE))</f>
        <v xml:space="preserve"> </v>
      </c>
      <c r="E411" s="7" t="str">
        <f>IF(A411=""," ",B411*VLOOKUP(A411,'01.01.2026 - 24.01.2026'!A:H,6,FALSE))</f>
        <v xml:space="preserve"> </v>
      </c>
      <c r="F411" s="7" t="str">
        <f>IF(A411=""," ",B411*VLOOKUP(A411,'01.01.2026 - 24.01.2026'!A:H,7,FALSE))</f>
        <v xml:space="preserve"> </v>
      </c>
      <c r="G411" s="7" t="str">
        <f>IF(A411=""," ",B411*VLOOKUP(A411,'01.01.2026 - 24.01.2026'!A:H,8,FALSE))</f>
        <v xml:space="preserve"> </v>
      </c>
    </row>
    <row r="412" spans="1:7" x14ac:dyDescent="0.3">
      <c r="A412" s="18"/>
      <c r="B412" s="23"/>
      <c r="C412" s="6" t="str">
        <f>IF(A412=""," ",VLOOKUP(A412,'01.01.2026 - 24.01.2026'!A:H,2,FALSE))</f>
        <v xml:space="preserve"> </v>
      </c>
      <c r="D412" s="30" t="str">
        <f>IF(A412=""," ",VLOOKUP(A412,'01.01.2026 - 24.01.2026'!A:H,5,FALSE))</f>
        <v xml:space="preserve"> </v>
      </c>
      <c r="E412" s="7" t="str">
        <f>IF(A412=""," ",B412*VLOOKUP(A412,'01.01.2026 - 24.01.2026'!A:H,6,FALSE))</f>
        <v xml:space="preserve"> </v>
      </c>
      <c r="F412" s="7" t="str">
        <f>IF(A412=""," ",B412*VLOOKUP(A412,'01.01.2026 - 24.01.2026'!A:H,7,FALSE))</f>
        <v xml:space="preserve"> </v>
      </c>
      <c r="G412" s="7" t="str">
        <f>IF(A412=""," ",B412*VLOOKUP(A412,'01.01.2026 - 24.01.2026'!A:H,8,FALSE))</f>
        <v xml:space="preserve"> </v>
      </c>
    </row>
    <row r="413" spans="1:7" x14ac:dyDescent="0.3">
      <c r="A413" s="18"/>
      <c r="B413" s="23"/>
      <c r="C413" s="6" t="str">
        <f>IF(A413=""," ",VLOOKUP(A413,'01.01.2026 - 24.01.2026'!A:H,2,FALSE))</f>
        <v xml:space="preserve"> </v>
      </c>
      <c r="D413" s="30" t="str">
        <f>IF(A413=""," ",VLOOKUP(A413,'01.01.2026 - 24.01.2026'!A:H,5,FALSE))</f>
        <v xml:space="preserve"> </v>
      </c>
      <c r="E413" s="7" t="str">
        <f>IF(A413=""," ",B413*VLOOKUP(A413,'01.01.2026 - 24.01.2026'!A:H,6,FALSE))</f>
        <v xml:space="preserve"> </v>
      </c>
      <c r="F413" s="7" t="str">
        <f>IF(A413=""," ",B413*VLOOKUP(A413,'01.01.2026 - 24.01.2026'!A:H,7,FALSE))</f>
        <v xml:space="preserve"> </v>
      </c>
      <c r="G413" s="7" t="str">
        <f>IF(A413=""," ",B413*VLOOKUP(A413,'01.01.2026 - 24.01.2026'!A:H,8,FALSE))</f>
        <v xml:space="preserve"> </v>
      </c>
    </row>
    <row r="414" spans="1:7" x14ac:dyDescent="0.3">
      <c r="A414" s="18"/>
      <c r="B414" s="23"/>
      <c r="C414" s="6" t="str">
        <f>IF(A414=""," ",VLOOKUP(A414,'01.01.2026 - 24.01.2026'!A:H,2,FALSE))</f>
        <v xml:space="preserve"> </v>
      </c>
      <c r="D414" s="30" t="str">
        <f>IF(A414=""," ",VLOOKUP(A414,'01.01.2026 - 24.01.2026'!A:H,5,FALSE))</f>
        <v xml:space="preserve"> </v>
      </c>
      <c r="E414" s="7" t="str">
        <f>IF(A414=""," ",B414*VLOOKUP(A414,'01.01.2026 - 24.01.2026'!A:H,6,FALSE))</f>
        <v xml:space="preserve"> </v>
      </c>
      <c r="F414" s="7" t="str">
        <f>IF(A414=""," ",B414*VLOOKUP(A414,'01.01.2026 - 24.01.2026'!A:H,7,FALSE))</f>
        <v xml:space="preserve"> </v>
      </c>
      <c r="G414" s="7" t="str">
        <f>IF(A414=""," ",B414*VLOOKUP(A414,'01.01.2026 - 24.01.2026'!A:H,8,FALSE))</f>
        <v xml:space="preserve"> </v>
      </c>
    </row>
    <row r="415" spans="1:7" x14ac:dyDescent="0.3">
      <c r="A415" s="18"/>
      <c r="B415" s="23"/>
      <c r="C415" s="6" t="str">
        <f>IF(A415=""," ",VLOOKUP(A415,'01.01.2026 - 24.01.2026'!A:H,2,FALSE))</f>
        <v xml:space="preserve"> </v>
      </c>
      <c r="D415" s="30" t="str">
        <f>IF(A415=""," ",VLOOKUP(A415,'01.01.2026 - 24.01.2026'!A:H,5,FALSE))</f>
        <v xml:space="preserve"> </v>
      </c>
      <c r="E415" s="7" t="str">
        <f>IF(A415=""," ",B415*VLOOKUP(A415,'01.01.2026 - 24.01.2026'!A:H,6,FALSE))</f>
        <v xml:space="preserve"> </v>
      </c>
      <c r="F415" s="7" t="str">
        <f>IF(A415=""," ",B415*VLOOKUP(A415,'01.01.2026 - 24.01.2026'!A:H,7,FALSE))</f>
        <v xml:space="preserve"> </v>
      </c>
      <c r="G415" s="7" t="str">
        <f>IF(A415=""," ",B415*VLOOKUP(A415,'01.01.2026 - 24.01.2026'!A:H,8,FALSE))</f>
        <v xml:space="preserve"> </v>
      </c>
    </row>
    <row r="416" spans="1:7" x14ac:dyDescent="0.3">
      <c r="A416" s="18"/>
      <c r="B416" s="23"/>
      <c r="C416" s="6" t="str">
        <f>IF(A416=""," ",VLOOKUP(A416,'01.01.2026 - 24.01.2026'!A:H,2,FALSE))</f>
        <v xml:space="preserve"> </v>
      </c>
      <c r="D416" s="30" t="str">
        <f>IF(A416=""," ",VLOOKUP(A416,'01.01.2026 - 24.01.2026'!A:H,5,FALSE))</f>
        <v xml:space="preserve"> </v>
      </c>
      <c r="E416" s="7" t="str">
        <f>IF(A416=""," ",B416*VLOOKUP(A416,'01.01.2026 - 24.01.2026'!A:H,6,FALSE))</f>
        <v xml:space="preserve"> </v>
      </c>
      <c r="F416" s="7" t="str">
        <f>IF(A416=""," ",B416*VLOOKUP(A416,'01.01.2026 - 24.01.2026'!A:H,7,FALSE))</f>
        <v xml:space="preserve"> </v>
      </c>
      <c r="G416" s="7" t="str">
        <f>IF(A416=""," ",B416*VLOOKUP(A416,'01.01.2026 - 24.01.2026'!A:H,8,FALSE))</f>
        <v xml:space="preserve"> </v>
      </c>
    </row>
    <row r="417" spans="1:7" x14ac:dyDescent="0.3">
      <c r="A417" s="18"/>
      <c r="B417" s="23"/>
      <c r="C417" s="6" t="str">
        <f>IF(A417=""," ",VLOOKUP(A417,'01.01.2026 - 24.01.2026'!A:H,2,FALSE))</f>
        <v xml:space="preserve"> </v>
      </c>
      <c r="D417" s="30" t="str">
        <f>IF(A417=""," ",VLOOKUP(A417,'01.01.2026 - 24.01.2026'!A:H,5,FALSE))</f>
        <v xml:space="preserve"> </v>
      </c>
      <c r="E417" s="7" t="str">
        <f>IF(A417=""," ",B417*VLOOKUP(A417,'01.01.2026 - 24.01.2026'!A:H,6,FALSE))</f>
        <v xml:space="preserve"> </v>
      </c>
      <c r="F417" s="7" t="str">
        <f>IF(A417=""," ",B417*VLOOKUP(A417,'01.01.2026 - 24.01.2026'!A:H,7,FALSE))</f>
        <v xml:space="preserve"> </v>
      </c>
      <c r="G417" s="7" t="str">
        <f>IF(A417=""," ",B417*VLOOKUP(A417,'01.01.2026 - 24.01.2026'!A:H,8,FALSE))</f>
        <v xml:space="preserve"> </v>
      </c>
    </row>
    <row r="418" spans="1:7" x14ac:dyDescent="0.3">
      <c r="A418" s="18"/>
      <c r="B418" s="23"/>
      <c r="C418" s="6" t="str">
        <f>IF(A418=""," ",VLOOKUP(A418,'01.01.2026 - 24.01.2026'!A:H,2,FALSE))</f>
        <v xml:space="preserve"> </v>
      </c>
      <c r="D418" s="30" t="str">
        <f>IF(A418=""," ",VLOOKUP(A418,'01.01.2026 - 24.01.2026'!A:H,5,FALSE))</f>
        <v xml:space="preserve"> </v>
      </c>
      <c r="E418" s="7" t="str">
        <f>IF(A418=""," ",B418*VLOOKUP(A418,'01.01.2026 - 24.01.2026'!A:H,6,FALSE))</f>
        <v xml:space="preserve"> </v>
      </c>
      <c r="F418" s="7" t="str">
        <f>IF(A418=""," ",B418*VLOOKUP(A418,'01.01.2026 - 24.01.2026'!A:H,7,FALSE))</f>
        <v xml:space="preserve"> </v>
      </c>
      <c r="G418" s="7" t="str">
        <f>IF(A418=""," ",B418*VLOOKUP(A418,'01.01.2026 - 24.01.2026'!A:H,8,FALSE))</f>
        <v xml:space="preserve"> </v>
      </c>
    </row>
    <row r="419" spans="1:7" x14ac:dyDescent="0.3">
      <c r="A419" s="18"/>
      <c r="B419" s="23"/>
      <c r="C419" s="6" t="str">
        <f>IF(A419=""," ",VLOOKUP(A419,'01.01.2026 - 24.01.2026'!A:H,2,FALSE))</f>
        <v xml:space="preserve"> </v>
      </c>
      <c r="D419" s="30" t="str">
        <f>IF(A419=""," ",VLOOKUP(A419,'01.01.2026 - 24.01.2026'!A:H,5,FALSE))</f>
        <v xml:space="preserve"> </v>
      </c>
      <c r="E419" s="7" t="str">
        <f>IF(A419=""," ",B419*VLOOKUP(A419,'01.01.2026 - 24.01.2026'!A:H,6,FALSE))</f>
        <v xml:space="preserve"> </v>
      </c>
      <c r="F419" s="7" t="str">
        <f>IF(A419=""," ",B419*VLOOKUP(A419,'01.01.2026 - 24.01.2026'!A:H,7,FALSE))</f>
        <v xml:space="preserve"> </v>
      </c>
      <c r="G419" s="7" t="str">
        <f>IF(A419=""," ",B419*VLOOKUP(A419,'01.01.2026 - 24.01.2026'!A:H,8,FALSE))</f>
        <v xml:space="preserve"> </v>
      </c>
    </row>
    <row r="420" spans="1:7" x14ac:dyDescent="0.3">
      <c r="A420" s="18"/>
      <c r="B420" s="23"/>
      <c r="C420" s="6" t="str">
        <f>IF(A420=""," ",VLOOKUP(A420,'01.01.2026 - 24.01.2026'!A:H,2,FALSE))</f>
        <v xml:space="preserve"> </v>
      </c>
      <c r="D420" s="30" t="str">
        <f>IF(A420=""," ",VLOOKUP(A420,'01.01.2026 - 24.01.2026'!A:H,5,FALSE))</f>
        <v xml:space="preserve"> </v>
      </c>
      <c r="E420" s="7" t="str">
        <f>IF(A420=""," ",B420*VLOOKUP(A420,'01.01.2026 - 24.01.2026'!A:H,6,FALSE))</f>
        <v xml:space="preserve"> </v>
      </c>
      <c r="F420" s="7" t="str">
        <f>IF(A420=""," ",B420*VLOOKUP(A420,'01.01.2026 - 24.01.2026'!A:H,7,FALSE))</f>
        <v xml:space="preserve"> </v>
      </c>
      <c r="G420" s="7" t="str">
        <f>IF(A420=""," ",B420*VLOOKUP(A420,'01.01.2026 - 24.01.2026'!A:H,8,FALSE))</f>
        <v xml:space="preserve"> </v>
      </c>
    </row>
    <row r="421" spans="1:7" x14ac:dyDescent="0.3">
      <c r="A421" s="18"/>
      <c r="B421" s="23"/>
      <c r="C421" s="6" t="str">
        <f>IF(A421=""," ",VLOOKUP(A421,'01.01.2026 - 24.01.2026'!A:H,2,FALSE))</f>
        <v xml:space="preserve"> </v>
      </c>
      <c r="D421" s="30" t="str">
        <f>IF(A421=""," ",VLOOKUP(A421,'01.01.2026 - 24.01.2026'!A:H,5,FALSE))</f>
        <v xml:space="preserve"> </v>
      </c>
      <c r="E421" s="7" t="str">
        <f>IF(A421=""," ",B421*VLOOKUP(A421,'01.01.2026 - 24.01.2026'!A:H,6,FALSE))</f>
        <v xml:space="preserve"> </v>
      </c>
      <c r="F421" s="7" t="str">
        <f>IF(A421=""," ",B421*VLOOKUP(A421,'01.01.2026 - 24.01.2026'!A:H,7,FALSE))</f>
        <v xml:space="preserve"> </v>
      </c>
      <c r="G421" s="7" t="str">
        <f>IF(A421=""," ",B421*VLOOKUP(A421,'01.01.2026 - 24.01.2026'!A:H,8,FALSE))</f>
        <v xml:space="preserve"> </v>
      </c>
    </row>
    <row r="422" spans="1:7" x14ac:dyDescent="0.3">
      <c r="A422" s="18"/>
      <c r="B422" s="23"/>
      <c r="C422" s="6" t="str">
        <f>IF(A422=""," ",VLOOKUP(A422,'01.01.2026 - 24.01.2026'!A:H,2,FALSE))</f>
        <v xml:space="preserve"> </v>
      </c>
      <c r="D422" s="30" t="str">
        <f>IF(A422=""," ",VLOOKUP(A422,'01.01.2026 - 24.01.2026'!A:H,5,FALSE))</f>
        <v xml:space="preserve"> </v>
      </c>
      <c r="E422" s="7" t="str">
        <f>IF(A422=""," ",B422*VLOOKUP(A422,'01.01.2026 - 24.01.2026'!A:H,6,FALSE))</f>
        <v xml:space="preserve"> </v>
      </c>
      <c r="F422" s="7" t="str">
        <f>IF(A422=""," ",B422*VLOOKUP(A422,'01.01.2026 - 24.01.2026'!A:H,7,FALSE))</f>
        <v xml:space="preserve"> </v>
      </c>
      <c r="G422" s="7" t="str">
        <f>IF(A422=""," ",B422*VLOOKUP(A422,'01.01.2026 - 24.01.2026'!A:H,8,FALSE))</f>
        <v xml:space="preserve"> </v>
      </c>
    </row>
    <row r="423" spans="1:7" x14ac:dyDescent="0.3">
      <c r="A423" s="18"/>
      <c r="B423" s="23"/>
      <c r="C423" s="6" t="str">
        <f>IF(A423=""," ",VLOOKUP(A423,'01.01.2026 - 24.01.2026'!A:H,2,FALSE))</f>
        <v xml:space="preserve"> </v>
      </c>
      <c r="D423" s="30" t="str">
        <f>IF(A423=""," ",VLOOKUP(A423,'01.01.2026 - 24.01.2026'!A:H,5,FALSE))</f>
        <v xml:space="preserve"> </v>
      </c>
      <c r="E423" s="7" t="str">
        <f>IF(A423=""," ",B423*VLOOKUP(A423,'01.01.2026 - 24.01.2026'!A:H,6,FALSE))</f>
        <v xml:space="preserve"> </v>
      </c>
      <c r="F423" s="7" t="str">
        <f>IF(A423=""," ",B423*VLOOKUP(A423,'01.01.2026 - 24.01.2026'!A:H,7,FALSE))</f>
        <v xml:space="preserve"> </v>
      </c>
      <c r="G423" s="7" t="str">
        <f>IF(A423=""," ",B423*VLOOKUP(A423,'01.01.2026 - 24.01.2026'!A:H,8,FALSE))</f>
        <v xml:space="preserve"> </v>
      </c>
    </row>
    <row r="424" spans="1:7" x14ac:dyDescent="0.3">
      <c r="A424" s="18"/>
      <c r="B424" s="23"/>
      <c r="C424" s="6" t="str">
        <f>IF(A424=""," ",VLOOKUP(A424,'01.01.2026 - 24.01.2026'!A:H,2,FALSE))</f>
        <v xml:space="preserve"> </v>
      </c>
      <c r="D424" s="30" t="str">
        <f>IF(A424=""," ",VLOOKUP(A424,'01.01.2026 - 24.01.2026'!A:H,5,FALSE))</f>
        <v xml:space="preserve"> </v>
      </c>
      <c r="E424" s="7" t="str">
        <f>IF(A424=""," ",B424*VLOOKUP(A424,'01.01.2026 - 24.01.2026'!A:H,6,FALSE))</f>
        <v xml:space="preserve"> </v>
      </c>
      <c r="F424" s="7" t="str">
        <f>IF(A424=""," ",B424*VLOOKUP(A424,'01.01.2026 - 24.01.2026'!A:H,7,FALSE))</f>
        <v xml:space="preserve"> </v>
      </c>
      <c r="G424" s="7" t="str">
        <f>IF(A424=""," ",B424*VLOOKUP(A424,'01.01.2026 - 24.01.2026'!A:H,8,FALSE))</f>
        <v xml:space="preserve"> </v>
      </c>
    </row>
    <row r="425" spans="1:7" x14ac:dyDescent="0.3">
      <c r="A425" s="18"/>
      <c r="B425" s="23"/>
      <c r="C425" s="6" t="str">
        <f>IF(A425=""," ",VLOOKUP(A425,'01.01.2026 - 24.01.2026'!A:H,2,FALSE))</f>
        <v xml:space="preserve"> </v>
      </c>
      <c r="D425" s="30" t="str">
        <f>IF(A425=""," ",VLOOKUP(A425,'01.01.2026 - 24.01.2026'!A:H,5,FALSE))</f>
        <v xml:space="preserve"> </v>
      </c>
      <c r="E425" s="7" t="str">
        <f>IF(A425=""," ",B425*VLOOKUP(A425,'01.01.2026 - 24.01.2026'!A:H,6,FALSE))</f>
        <v xml:space="preserve"> </v>
      </c>
      <c r="F425" s="7" t="str">
        <f>IF(A425=""," ",B425*VLOOKUP(A425,'01.01.2026 - 24.01.2026'!A:H,7,FALSE))</f>
        <v xml:space="preserve"> </v>
      </c>
      <c r="G425" s="7" t="str">
        <f>IF(A425=""," ",B425*VLOOKUP(A425,'01.01.2026 - 24.01.2026'!A:H,8,FALSE))</f>
        <v xml:space="preserve"> </v>
      </c>
    </row>
    <row r="426" spans="1:7" x14ac:dyDescent="0.3">
      <c r="A426" s="18"/>
      <c r="B426" s="23"/>
      <c r="C426" s="6" t="str">
        <f>IF(A426=""," ",VLOOKUP(A426,'01.01.2026 - 24.01.2026'!A:H,2,FALSE))</f>
        <v xml:space="preserve"> </v>
      </c>
      <c r="D426" s="30" t="str">
        <f>IF(A426=""," ",VLOOKUP(A426,'01.01.2026 - 24.01.2026'!A:H,5,FALSE))</f>
        <v xml:space="preserve"> </v>
      </c>
      <c r="E426" s="7" t="str">
        <f>IF(A426=""," ",B426*VLOOKUP(A426,'01.01.2026 - 24.01.2026'!A:H,6,FALSE))</f>
        <v xml:space="preserve"> </v>
      </c>
      <c r="F426" s="7" t="str">
        <f>IF(A426=""," ",B426*VLOOKUP(A426,'01.01.2026 - 24.01.2026'!A:H,7,FALSE))</f>
        <v xml:space="preserve"> </v>
      </c>
      <c r="G426" s="7" t="str">
        <f>IF(A426=""," ",B426*VLOOKUP(A426,'01.01.2026 - 24.01.2026'!A:H,8,FALSE))</f>
        <v xml:space="preserve"> </v>
      </c>
    </row>
    <row r="427" spans="1:7" x14ac:dyDescent="0.3">
      <c r="A427" s="18"/>
      <c r="B427" s="23"/>
      <c r="C427" s="6" t="str">
        <f>IF(A427=""," ",VLOOKUP(A427,'01.01.2026 - 24.01.2026'!A:H,2,FALSE))</f>
        <v xml:space="preserve"> </v>
      </c>
      <c r="D427" s="30" t="str">
        <f>IF(A427=""," ",VLOOKUP(A427,'01.01.2026 - 24.01.2026'!A:H,5,FALSE))</f>
        <v xml:space="preserve"> </v>
      </c>
      <c r="E427" s="7" t="str">
        <f>IF(A427=""," ",B427*VLOOKUP(A427,'01.01.2026 - 24.01.2026'!A:H,6,FALSE))</f>
        <v xml:space="preserve"> </v>
      </c>
      <c r="F427" s="7" t="str">
        <f>IF(A427=""," ",B427*VLOOKUP(A427,'01.01.2026 - 24.01.2026'!A:H,7,FALSE))</f>
        <v xml:space="preserve"> </v>
      </c>
      <c r="G427" s="7" t="str">
        <f>IF(A427=""," ",B427*VLOOKUP(A427,'01.01.2026 - 24.01.2026'!A:H,8,FALSE))</f>
        <v xml:space="preserve"> </v>
      </c>
    </row>
    <row r="428" spans="1:7" x14ac:dyDescent="0.3">
      <c r="A428" s="18"/>
      <c r="B428" s="23"/>
      <c r="C428" s="6" t="str">
        <f>IF(A428=""," ",VLOOKUP(A428,'01.01.2026 - 24.01.2026'!A:H,2,FALSE))</f>
        <v xml:space="preserve"> </v>
      </c>
      <c r="D428" s="30" t="str">
        <f>IF(A428=""," ",VLOOKUP(A428,'01.01.2026 - 24.01.2026'!A:H,5,FALSE))</f>
        <v xml:space="preserve"> </v>
      </c>
      <c r="E428" s="7" t="str">
        <f>IF(A428=""," ",B428*VLOOKUP(A428,'01.01.2026 - 24.01.2026'!A:H,6,FALSE))</f>
        <v xml:space="preserve"> </v>
      </c>
      <c r="F428" s="7" t="str">
        <f>IF(A428=""," ",B428*VLOOKUP(A428,'01.01.2026 - 24.01.2026'!A:H,7,FALSE))</f>
        <v xml:space="preserve"> </v>
      </c>
      <c r="G428" s="7" t="str">
        <f>IF(A428=""," ",B428*VLOOKUP(A428,'01.01.2026 - 24.01.2026'!A:H,8,FALSE))</f>
        <v xml:space="preserve"> </v>
      </c>
    </row>
    <row r="429" spans="1:7" x14ac:dyDescent="0.3">
      <c r="A429" s="18"/>
      <c r="B429" s="23"/>
      <c r="C429" s="6" t="str">
        <f>IF(A429=""," ",VLOOKUP(A429,'01.01.2026 - 24.01.2026'!A:H,2,FALSE))</f>
        <v xml:space="preserve"> </v>
      </c>
      <c r="D429" s="30" t="str">
        <f>IF(A429=""," ",VLOOKUP(A429,'01.01.2026 - 24.01.2026'!A:H,5,FALSE))</f>
        <v xml:space="preserve"> </v>
      </c>
      <c r="E429" s="7" t="str">
        <f>IF(A429=""," ",B429*VLOOKUP(A429,'01.01.2026 - 24.01.2026'!A:H,6,FALSE))</f>
        <v xml:space="preserve"> </v>
      </c>
      <c r="F429" s="7" t="str">
        <f>IF(A429=""," ",B429*VLOOKUP(A429,'01.01.2026 - 24.01.2026'!A:H,7,FALSE))</f>
        <v xml:space="preserve"> </v>
      </c>
      <c r="G429" s="7" t="str">
        <f>IF(A429=""," ",B429*VLOOKUP(A429,'01.01.2026 - 24.01.2026'!A:H,8,FALSE))</f>
        <v xml:space="preserve"> </v>
      </c>
    </row>
    <row r="430" spans="1:7" x14ac:dyDescent="0.3">
      <c r="A430" s="18"/>
      <c r="B430" s="23"/>
      <c r="C430" s="6" t="str">
        <f>IF(A430=""," ",VLOOKUP(A430,'01.01.2026 - 24.01.2026'!A:H,2,FALSE))</f>
        <v xml:space="preserve"> </v>
      </c>
      <c r="D430" s="30" t="str">
        <f>IF(A430=""," ",VLOOKUP(A430,'01.01.2026 - 24.01.2026'!A:H,5,FALSE))</f>
        <v xml:space="preserve"> </v>
      </c>
      <c r="E430" s="7" t="str">
        <f>IF(A430=""," ",B430*VLOOKUP(A430,'01.01.2026 - 24.01.2026'!A:H,6,FALSE))</f>
        <v xml:space="preserve"> </v>
      </c>
      <c r="F430" s="7" t="str">
        <f>IF(A430=""," ",B430*VLOOKUP(A430,'01.01.2026 - 24.01.2026'!A:H,7,FALSE))</f>
        <v xml:space="preserve"> </v>
      </c>
      <c r="G430" s="7" t="str">
        <f>IF(A430=""," ",B430*VLOOKUP(A430,'01.01.2026 - 24.01.2026'!A:H,8,FALSE))</f>
        <v xml:space="preserve"> </v>
      </c>
    </row>
    <row r="431" spans="1:7" x14ac:dyDescent="0.3">
      <c r="A431" s="18"/>
      <c r="B431" s="23"/>
      <c r="C431" s="6" t="str">
        <f>IF(A431=""," ",VLOOKUP(A431,'01.01.2026 - 24.01.2026'!A:H,2,FALSE))</f>
        <v xml:space="preserve"> </v>
      </c>
      <c r="D431" s="30" t="str">
        <f>IF(A431=""," ",VLOOKUP(A431,'01.01.2026 - 24.01.2026'!A:H,5,FALSE))</f>
        <v xml:space="preserve"> </v>
      </c>
      <c r="E431" s="7" t="str">
        <f>IF(A431=""," ",B431*VLOOKUP(A431,'01.01.2026 - 24.01.2026'!A:H,6,FALSE))</f>
        <v xml:space="preserve"> </v>
      </c>
      <c r="F431" s="7" t="str">
        <f>IF(A431=""," ",B431*VLOOKUP(A431,'01.01.2026 - 24.01.2026'!A:H,7,FALSE))</f>
        <v xml:space="preserve"> </v>
      </c>
      <c r="G431" s="7" t="str">
        <f>IF(A431=""," ",B431*VLOOKUP(A431,'01.01.2026 - 24.01.2026'!A:H,8,FALSE))</f>
        <v xml:space="preserve"> </v>
      </c>
    </row>
    <row r="432" spans="1:7" x14ac:dyDescent="0.3">
      <c r="A432" s="18"/>
      <c r="B432" s="23"/>
      <c r="C432" s="6" t="str">
        <f>IF(A432=""," ",VLOOKUP(A432,'01.01.2026 - 24.01.2026'!A:H,2,FALSE))</f>
        <v xml:space="preserve"> </v>
      </c>
      <c r="D432" s="30" t="str">
        <f>IF(A432=""," ",VLOOKUP(A432,'01.01.2026 - 24.01.2026'!A:H,5,FALSE))</f>
        <v xml:space="preserve"> </v>
      </c>
      <c r="E432" s="7" t="str">
        <f>IF(A432=""," ",B432*VLOOKUP(A432,'01.01.2026 - 24.01.2026'!A:H,6,FALSE))</f>
        <v xml:space="preserve"> </v>
      </c>
      <c r="F432" s="7" t="str">
        <f>IF(A432=""," ",B432*VLOOKUP(A432,'01.01.2026 - 24.01.2026'!A:H,7,FALSE))</f>
        <v xml:space="preserve"> </v>
      </c>
      <c r="G432" s="7" t="str">
        <f>IF(A432=""," ",B432*VLOOKUP(A432,'01.01.2026 - 24.01.2026'!A:H,8,FALSE))</f>
        <v xml:space="preserve"> </v>
      </c>
    </row>
    <row r="433" spans="1:7" x14ac:dyDescent="0.3">
      <c r="A433" s="18"/>
      <c r="B433" s="23"/>
      <c r="C433" s="6" t="str">
        <f>IF(A433=""," ",VLOOKUP(A433,'01.01.2026 - 24.01.2026'!A:H,2,FALSE))</f>
        <v xml:space="preserve"> </v>
      </c>
      <c r="D433" s="30" t="str">
        <f>IF(A433=""," ",VLOOKUP(A433,'01.01.2026 - 24.01.2026'!A:H,5,FALSE))</f>
        <v xml:space="preserve"> </v>
      </c>
      <c r="E433" s="7" t="str">
        <f>IF(A433=""," ",B433*VLOOKUP(A433,'01.01.2026 - 24.01.2026'!A:H,6,FALSE))</f>
        <v xml:space="preserve"> </v>
      </c>
      <c r="F433" s="7" t="str">
        <f>IF(A433=""," ",B433*VLOOKUP(A433,'01.01.2026 - 24.01.2026'!A:H,7,FALSE))</f>
        <v xml:space="preserve"> </v>
      </c>
      <c r="G433" s="7" t="str">
        <f>IF(A433=""," ",B433*VLOOKUP(A433,'01.01.2026 - 24.01.2026'!A:H,8,FALSE))</f>
        <v xml:space="preserve"> </v>
      </c>
    </row>
    <row r="434" spans="1:7" x14ac:dyDescent="0.3">
      <c r="A434" s="18"/>
      <c r="B434" s="23"/>
      <c r="C434" s="6" t="str">
        <f>IF(A434=""," ",VLOOKUP(A434,'01.01.2026 - 24.01.2026'!A:H,2,FALSE))</f>
        <v xml:space="preserve"> </v>
      </c>
      <c r="D434" s="30" t="str">
        <f>IF(A434=""," ",VLOOKUP(A434,'01.01.2026 - 24.01.2026'!A:H,5,FALSE))</f>
        <v xml:space="preserve"> </v>
      </c>
      <c r="E434" s="7" t="str">
        <f>IF(A434=""," ",B434*VLOOKUP(A434,'01.01.2026 - 24.01.2026'!A:H,6,FALSE))</f>
        <v xml:space="preserve"> </v>
      </c>
      <c r="F434" s="7" t="str">
        <f>IF(A434=""," ",B434*VLOOKUP(A434,'01.01.2026 - 24.01.2026'!A:H,7,FALSE))</f>
        <v xml:space="preserve"> </v>
      </c>
      <c r="G434" s="7" t="str">
        <f>IF(A434=""," ",B434*VLOOKUP(A434,'01.01.2026 - 24.01.2026'!A:H,8,FALSE))</f>
        <v xml:space="preserve"> </v>
      </c>
    </row>
    <row r="435" spans="1:7" x14ac:dyDescent="0.3">
      <c r="A435" s="18"/>
      <c r="B435" s="23"/>
      <c r="C435" s="6" t="str">
        <f>IF(A435=""," ",VLOOKUP(A435,'01.01.2026 - 24.01.2026'!A:H,2,FALSE))</f>
        <v xml:space="preserve"> </v>
      </c>
      <c r="D435" s="30" t="str">
        <f>IF(A435=""," ",VLOOKUP(A435,'01.01.2026 - 24.01.2026'!A:H,5,FALSE))</f>
        <v xml:space="preserve"> </v>
      </c>
      <c r="E435" s="7" t="str">
        <f>IF(A435=""," ",B435*VLOOKUP(A435,'01.01.2026 - 24.01.2026'!A:H,6,FALSE))</f>
        <v xml:space="preserve"> </v>
      </c>
      <c r="F435" s="7" t="str">
        <f>IF(A435=""," ",B435*VLOOKUP(A435,'01.01.2026 - 24.01.2026'!A:H,7,FALSE))</f>
        <v xml:space="preserve"> </v>
      </c>
      <c r="G435" s="7" t="str">
        <f>IF(A435=""," ",B435*VLOOKUP(A435,'01.01.2026 - 24.01.2026'!A:H,8,FALSE))</f>
        <v xml:space="preserve"> </v>
      </c>
    </row>
    <row r="436" spans="1:7" x14ac:dyDescent="0.3">
      <c r="A436" s="18"/>
      <c r="B436" s="23"/>
      <c r="C436" s="6" t="str">
        <f>IF(A436=""," ",VLOOKUP(A436,'01.01.2026 - 24.01.2026'!A:H,2,FALSE))</f>
        <v xml:space="preserve"> </v>
      </c>
      <c r="D436" s="30" t="str">
        <f>IF(A436=""," ",VLOOKUP(A436,'01.01.2026 - 24.01.2026'!A:H,5,FALSE))</f>
        <v xml:space="preserve"> </v>
      </c>
      <c r="E436" s="7" t="str">
        <f>IF(A436=""," ",B436*VLOOKUP(A436,'01.01.2026 - 24.01.2026'!A:H,6,FALSE))</f>
        <v xml:space="preserve"> </v>
      </c>
      <c r="F436" s="7" t="str">
        <f>IF(A436=""," ",B436*VLOOKUP(A436,'01.01.2026 - 24.01.2026'!A:H,7,FALSE))</f>
        <v xml:space="preserve"> </v>
      </c>
      <c r="G436" s="7" t="str">
        <f>IF(A436=""," ",B436*VLOOKUP(A436,'01.01.2026 - 24.01.2026'!A:H,8,FALSE))</f>
        <v xml:space="preserve"> </v>
      </c>
    </row>
    <row r="437" spans="1:7" x14ac:dyDescent="0.3">
      <c r="A437" s="18"/>
      <c r="B437" s="23"/>
      <c r="C437" s="6" t="str">
        <f>IF(A437=""," ",VLOOKUP(A437,'01.01.2026 - 24.01.2026'!A:H,2,FALSE))</f>
        <v xml:space="preserve"> </v>
      </c>
      <c r="D437" s="30" t="str">
        <f>IF(A437=""," ",VLOOKUP(A437,'01.01.2026 - 24.01.2026'!A:H,5,FALSE))</f>
        <v xml:space="preserve"> </v>
      </c>
      <c r="E437" s="7" t="str">
        <f>IF(A437=""," ",B437*VLOOKUP(A437,'01.01.2026 - 24.01.2026'!A:H,6,FALSE))</f>
        <v xml:space="preserve"> </v>
      </c>
      <c r="F437" s="7" t="str">
        <f>IF(A437=""," ",B437*VLOOKUP(A437,'01.01.2026 - 24.01.2026'!A:H,7,FALSE))</f>
        <v xml:space="preserve"> </v>
      </c>
      <c r="G437" s="7" t="str">
        <f>IF(A437=""," ",B437*VLOOKUP(A437,'01.01.2026 - 24.01.2026'!A:H,8,FALSE))</f>
        <v xml:space="preserve"> </v>
      </c>
    </row>
    <row r="438" spans="1:7" x14ac:dyDescent="0.3">
      <c r="A438" s="18"/>
      <c r="B438" s="23"/>
      <c r="C438" s="6" t="str">
        <f>IF(A438=""," ",VLOOKUP(A438,'01.01.2026 - 24.01.2026'!A:H,2,FALSE))</f>
        <v xml:space="preserve"> </v>
      </c>
      <c r="D438" s="30" t="str">
        <f>IF(A438=""," ",VLOOKUP(A438,'01.01.2026 - 24.01.2026'!A:H,5,FALSE))</f>
        <v xml:space="preserve"> </v>
      </c>
      <c r="E438" s="7" t="str">
        <f>IF(A438=""," ",B438*VLOOKUP(A438,'01.01.2026 - 24.01.2026'!A:H,6,FALSE))</f>
        <v xml:space="preserve"> </v>
      </c>
      <c r="F438" s="7" t="str">
        <f>IF(A438=""," ",B438*VLOOKUP(A438,'01.01.2026 - 24.01.2026'!A:H,7,FALSE))</f>
        <v xml:space="preserve"> </v>
      </c>
      <c r="G438" s="7" t="str">
        <f>IF(A438=""," ",B438*VLOOKUP(A438,'01.01.2026 - 24.01.2026'!A:H,8,FALSE))</f>
        <v xml:space="preserve"> </v>
      </c>
    </row>
    <row r="439" spans="1:7" x14ac:dyDescent="0.3">
      <c r="A439" s="18"/>
      <c r="B439" s="23"/>
      <c r="C439" s="6" t="str">
        <f>IF(A439=""," ",VLOOKUP(A439,'01.01.2026 - 24.01.2026'!A:H,2,FALSE))</f>
        <v xml:space="preserve"> </v>
      </c>
      <c r="D439" s="30" t="str">
        <f>IF(A439=""," ",VLOOKUP(A439,'01.01.2026 - 24.01.2026'!A:H,5,FALSE))</f>
        <v xml:space="preserve"> </v>
      </c>
      <c r="E439" s="7" t="str">
        <f>IF(A439=""," ",B439*VLOOKUP(A439,'01.01.2026 - 24.01.2026'!A:H,6,FALSE))</f>
        <v xml:space="preserve"> </v>
      </c>
      <c r="F439" s="7" t="str">
        <f>IF(A439=""," ",B439*VLOOKUP(A439,'01.01.2026 - 24.01.2026'!A:H,7,FALSE))</f>
        <v xml:space="preserve"> </v>
      </c>
      <c r="G439" s="7" t="str">
        <f>IF(A439=""," ",B439*VLOOKUP(A439,'01.01.2026 - 24.01.2026'!A:H,8,FALSE))</f>
        <v xml:space="preserve"> </v>
      </c>
    </row>
    <row r="440" spans="1:7" x14ac:dyDescent="0.3">
      <c r="A440" s="18"/>
      <c r="B440" s="23"/>
      <c r="C440" s="6" t="str">
        <f>IF(A440=""," ",VLOOKUP(A440,'01.01.2026 - 24.01.2026'!A:H,2,FALSE))</f>
        <v xml:space="preserve"> </v>
      </c>
      <c r="D440" s="30" t="str">
        <f>IF(A440=""," ",VLOOKUP(A440,'01.01.2026 - 24.01.2026'!A:H,5,FALSE))</f>
        <v xml:space="preserve"> </v>
      </c>
      <c r="E440" s="7" t="str">
        <f>IF(A440=""," ",B440*VLOOKUP(A440,'01.01.2026 - 24.01.2026'!A:H,6,FALSE))</f>
        <v xml:space="preserve"> </v>
      </c>
      <c r="F440" s="7" t="str">
        <f>IF(A440=""," ",B440*VLOOKUP(A440,'01.01.2026 - 24.01.2026'!A:H,7,FALSE))</f>
        <v xml:space="preserve"> </v>
      </c>
      <c r="G440" s="7" t="str">
        <f>IF(A440=""," ",B440*VLOOKUP(A440,'01.01.2026 - 24.01.2026'!A:H,8,FALSE))</f>
        <v xml:space="preserve"> </v>
      </c>
    </row>
    <row r="441" spans="1:7" x14ac:dyDescent="0.3">
      <c r="A441" s="18"/>
      <c r="B441" s="23"/>
      <c r="C441" s="6" t="str">
        <f>IF(A441=""," ",VLOOKUP(A441,'01.01.2026 - 24.01.2026'!A:H,2,FALSE))</f>
        <v xml:space="preserve"> </v>
      </c>
      <c r="D441" s="30" t="str">
        <f>IF(A441=""," ",VLOOKUP(A441,'01.01.2026 - 24.01.2026'!A:H,5,FALSE))</f>
        <v xml:space="preserve"> </v>
      </c>
      <c r="E441" s="7" t="str">
        <f>IF(A441=""," ",B441*VLOOKUP(A441,'01.01.2026 - 24.01.2026'!A:H,6,FALSE))</f>
        <v xml:space="preserve"> </v>
      </c>
      <c r="F441" s="7" t="str">
        <f>IF(A441=""," ",B441*VLOOKUP(A441,'01.01.2026 - 24.01.2026'!A:H,7,FALSE))</f>
        <v xml:space="preserve"> </v>
      </c>
      <c r="G441" s="7" t="str">
        <f>IF(A441=""," ",B441*VLOOKUP(A441,'01.01.2026 - 24.01.2026'!A:H,8,FALSE))</f>
        <v xml:space="preserve"> </v>
      </c>
    </row>
    <row r="442" spans="1:7" x14ac:dyDescent="0.3">
      <c r="A442" s="18"/>
      <c r="B442" s="23"/>
      <c r="C442" s="6" t="str">
        <f>IF(A442=""," ",VLOOKUP(A442,'01.01.2026 - 24.01.2026'!A:H,2,FALSE))</f>
        <v xml:space="preserve"> </v>
      </c>
      <c r="D442" s="30" t="str">
        <f>IF(A442=""," ",VLOOKUP(A442,'01.01.2026 - 24.01.2026'!A:H,5,FALSE))</f>
        <v xml:space="preserve"> </v>
      </c>
      <c r="E442" s="7" t="str">
        <f>IF(A442=""," ",B442*VLOOKUP(A442,'01.01.2026 - 24.01.2026'!A:H,6,FALSE))</f>
        <v xml:space="preserve"> </v>
      </c>
      <c r="F442" s="7" t="str">
        <f>IF(A442=""," ",B442*VLOOKUP(A442,'01.01.2026 - 24.01.2026'!A:H,7,FALSE))</f>
        <v xml:space="preserve"> </v>
      </c>
      <c r="G442" s="7" t="str">
        <f>IF(A442=""," ",B442*VLOOKUP(A442,'01.01.2026 - 24.01.2026'!A:H,8,FALSE))</f>
        <v xml:space="preserve"> </v>
      </c>
    </row>
    <row r="443" spans="1:7" x14ac:dyDescent="0.3">
      <c r="A443" s="18"/>
      <c r="B443" s="23"/>
      <c r="C443" s="6" t="str">
        <f>IF(A443=""," ",VLOOKUP(A443,'01.01.2026 - 24.01.2026'!A:H,2,FALSE))</f>
        <v xml:space="preserve"> </v>
      </c>
      <c r="D443" s="30" t="str">
        <f>IF(A443=""," ",VLOOKUP(A443,'01.01.2026 - 24.01.2026'!A:H,5,FALSE))</f>
        <v xml:space="preserve"> </v>
      </c>
      <c r="E443" s="7" t="str">
        <f>IF(A443=""," ",B443*VLOOKUP(A443,'01.01.2026 - 24.01.2026'!A:H,6,FALSE))</f>
        <v xml:space="preserve"> </v>
      </c>
      <c r="F443" s="7" t="str">
        <f>IF(A443=""," ",B443*VLOOKUP(A443,'01.01.2026 - 24.01.2026'!A:H,7,FALSE))</f>
        <v xml:space="preserve"> </v>
      </c>
      <c r="G443" s="7" t="str">
        <f>IF(A443=""," ",B443*VLOOKUP(A443,'01.01.2026 - 24.01.2026'!A:H,8,FALSE))</f>
        <v xml:space="preserve"> </v>
      </c>
    </row>
    <row r="444" spans="1:7" x14ac:dyDescent="0.3">
      <c r="A444" s="18"/>
      <c r="B444" s="23"/>
      <c r="C444" s="6" t="str">
        <f>IF(A444=""," ",VLOOKUP(A444,'01.01.2026 - 24.01.2026'!A:H,2,FALSE))</f>
        <v xml:space="preserve"> </v>
      </c>
      <c r="D444" s="30" t="str">
        <f>IF(A444=""," ",VLOOKUP(A444,'01.01.2026 - 24.01.2026'!A:H,5,FALSE))</f>
        <v xml:space="preserve"> </v>
      </c>
      <c r="E444" s="7" t="str">
        <f>IF(A444=""," ",B444*VLOOKUP(A444,'01.01.2026 - 24.01.2026'!A:H,6,FALSE))</f>
        <v xml:space="preserve"> </v>
      </c>
      <c r="F444" s="7" t="str">
        <f>IF(A444=""," ",B444*VLOOKUP(A444,'01.01.2026 - 24.01.2026'!A:H,7,FALSE))</f>
        <v xml:space="preserve"> </v>
      </c>
      <c r="G444" s="7" t="str">
        <f>IF(A444=""," ",B444*VLOOKUP(A444,'01.01.2026 - 24.01.2026'!A:H,8,FALSE))</f>
        <v xml:space="preserve"> </v>
      </c>
    </row>
    <row r="445" spans="1:7" x14ac:dyDescent="0.3">
      <c r="A445" s="18"/>
      <c r="B445" s="23"/>
      <c r="C445" s="6" t="str">
        <f>IF(A445=""," ",VLOOKUP(A445,'01.01.2026 - 24.01.2026'!A:H,2,FALSE))</f>
        <v xml:space="preserve"> </v>
      </c>
      <c r="D445" s="30" t="str">
        <f>IF(A445=""," ",VLOOKUP(A445,'01.01.2026 - 24.01.2026'!A:H,5,FALSE))</f>
        <v xml:space="preserve"> </v>
      </c>
      <c r="E445" s="7" t="str">
        <f>IF(A445=""," ",B445*VLOOKUP(A445,'01.01.2026 - 24.01.2026'!A:H,6,FALSE))</f>
        <v xml:space="preserve"> </v>
      </c>
      <c r="F445" s="7" t="str">
        <f>IF(A445=""," ",B445*VLOOKUP(A445,'01.01.2026 - 24.01.2026'!A:H,7,FALSE))</f>
        <v xml:space="preserve"> </v>
      </c>
      <c r="G445" s="7" t="str">
        <f>IF(A445=""," ",B445*VLOOKUP(A445,'01.01.2026 - 24.01.2026'!A:H,8,FALSE))</f>
        <v xml:space="preserve"> </v>
      </c>
    </row>
    <row r="446" spans="1:7" x14ac:dyDescent="0.3">
      <c r="A446" s="18"/>
      <c r="B446" s="23"/>
      <c r="C446" s="6" t="str">
        <f>IF(A446=""," ",VLOOKUP(A446,'01.01.2026 - 24.01.2026'!A:H,2,FALSE))</f>
        <v xml:space="preserve"> </v>
      </c>
      <c r="D446" s="30" t="str">
        <f>IF(A446=""," ",VLOOKUP(A446,'01.01.2026 - 24.01.2026'!A:H,5,FALSE))</f>
        <v xml:space="preserve"> </v>
      </c>
      <c r="E446" s="7" t="str">
        <f>IF(A446=""," ",B446*VLOOKUP(A446,'01.01.2026 - 24.01.2026'!A:H,6,FALSE))</f>
        <v xml:space="preserve"> </v>
      </c>
      <c r="F446" s="7" t="str">
        <f>IF(A446=""," ",B446*VLOOKUP(A446,'01.01.2026 - 24.01.2026'!A:H,7,FALSE))</f>
        <v xml:space="preserve"> </v>
      </c>
      <c r="G446" s="7" t="str">
        <f>IF(A446=""," ",B446*VLOOKUP(A446,'01.01.2026 - 24.01.2026'!A:H,8,FALSE))</f>
        <v xml:space="preserve"> </v>
      </c>
    </row>
    <row r="447" spans="1:7" x14ac:dyDescent="0.3">
      <c r="A447" s="18"/>
      <c r="B447" s="23"/>
      <c r="C447" s="6" t="str">
        <f>IF(A447=""," ",VLOOKUP(A447,'01.01.2026 - 24.01.2026'!A:H,2,FALSE))</f>
        <v xml:space="preserve"> </v>
      </c>
      <c r="D447" s="30" t="str">
        <f>IF(A447=""," ",VLOOKUP(A447,'01.01.2026 - 24.01.2026'!A:H,5,FALSE))</f>
        <v xml:space="preserve"> </v>
      </c>
      <c r="E447" s="7" t="str">
        <f>IF(A447=""," ",B447*VLOOKUP(A447,'01.01.2026 - 24.01.2026'!A:H,6,FALSE))</f>
        <v xml:space="preserve"> </v>
      </c>
      <c r="F447" s="7" t="str">
        <f>IF(A447=""," ",B447*VLOOKUP(A447,'01.01.2026 - 24.01.2026'!A:H,7,FALSE))</f>
        <v xml:space="preserve"> </v>
      </c>
      <c r="G447" s="7" t="str">
        <f>IF(A447=""," ",B447*VLOOKUP(A447,'01.01.2026 - 24.01.2026'!A:H,8,FALSE))</f>
        <v xml:space="preserve"> </v>
      </c>
    </row>
    <row r="448" spans="1:7" x14ac:dyDescent="0.3">
      <c r="A448" s="18"/>
      <c r="B448" s="23"/>
      <c r="C448" s="6" t="str">
        <f>IF(A448=""," ",VLOOKUP(A448,'01.01.2026 - 24.01.2026'!A:H,2,FALSE))</f>
        <v xml:space="preserve"> </v>
      </c>
      <c r="D448" s="30" t="str">
        <f>IF(A448=""," ",VLOOKUP(A448,'01.01.2026 - 24.01.2026'!A:H,5,FALSE))</f>
        <v xml:space="preserve"> </v>
      </c>
      <c r="E448" s="7" t="str">
        <f>IF(A448=""," ",B448*VLOOKUP(A448,'01.01.2026 - 24.01.2026'!A:H,6,FALSE))</f>
        <v xml:space="preserve"> </v>
      </c>
      <c r="F448" s="7" t="str">
        <f>IF(A448=""," ",B448*VLOOKUP(A448,'01.01.2026 - 24.01.2026'!A:H,7,FALSE))</f>
        <v xml:space="preserve"> </v>
      </c>
      <c r="G448" s="7" t="str">
        <f>IF(A448=""," ",B448*VLOOKUP(A448,'01.01.2026 - 24.01.2026'!A:H,8,FALSE))</f>
        <v xml:space="preserve"> </v>
      </c>
    </row>
    <row r="449" spans="1:7" x14ac:dyDescent="0.3">
      <c r="A449" s="18"/>
      <c r="B449" s="23"/>
      <c r="C449" s="6" t="str">
        <f>IF(A449=""," ",VLOOKUP(A449,'01.01.2026 - 24.01.2026'!A:H,2,FALSE))</f>
        <v xml:space="preserve"> </v>
      </c>
      <c r="D449" s="30" t="str">
        <f>IF(A449=""," ",VLOOKUP(A449,'01.01.2026 - 24.01.2026'!A:H,5,FALSE))</f>
        <v xml:space="preserve"> </v>
      </c>
      <c r="E449" s="7" t="str">
        <f>IF(A449=""," ",B449*VLOOKUP(A449,'01.01.2026 - 24.01.2026'!A:H,6,FALSE))</f>
        <v xml:space="preserve"> </v>
      </c>
      <c r="F449" s="7" t="str">
        <f>IF(A449=""," ",B449*VLOOKUP(A449,'01.01.2026 - 24.01.2026'!A:H,7,FALSE))</f>
        <v xml:space="preserve"> </v>
      </c>
      <c r="G449" s="7" t="str">
        <f>IF(A449=""," ",B449*VLOOKUP(A449,'01.01.2026 - 24.01.2026'!A:H,8,FALSE))</f>
        <v xml:space="preserve"> </v>
      </c>
    </row>
    <row r="450" spans="1:7" x14ac:dyDescent="0.3">
      <c r="A450" s="18"/>
      <c r="B450" s="23"/>
      <c r="C450" s="6" t="str">
        <f>IF(A450=""," ",VLOOKUP(A450,'01.01.2026 - 24.01.2026'!A:H,2,FALSE))</f>
        <v xml:space="preserve"> </v>
      </c>
      <c r="D450" s="30" t="str">
        <f>IF(A450=""," ",VLOOKUP(A450,'01.01.2026 - 24.01.2026'!A:H,5,FALSE))</f>
        <v xml:space="preserve"> </v>
      </c>
      <c r="E450" s="7" t="str">
        <f>IF(A450=""," ",B450*VLOOKUP(A450,'01.01.2026 - 24.01.2026'!A:H,6,FALSE))</f>
        <v xml:space="preserve"> </v>
      </c>
      <c r="F450" s="7" t="str">
        <f>IF(A450=""," ",B450*VLOOKUP(A450,'01.01.2026 - 24.01.2026'!A:H,7,FALSE))</f>
        <v xml:space="preserve"> </v>
      </c>
      <c r="G450" s="7" t="str">
        <f>IF(A450=""," ",B450*VLOOKUP(A450,'01.01.2026 - 24.01.2026'!A:H,8,FALSE))</f>
        <v xml:space="preserve"> </v>
      </c>
    </row>
    <row r="451" spans="1:7" x14ac:dyDescent="0.3">
      <c r="A451" s="18"/>
      <c r="B451" s="23"/>
      <c r="C451" s="6" t="str">
        <f>IF(A451=""," ",VLOOKUP(A451,'01.01.2026 - 24.01.2026'!A:H,2,FALSE))</f>
        <v xml:space="preserve"> </v>
      </c>
      <c r="D451" s="30" t="str">
        <f>IF(A451=""," ",VLOOKUP(A451,'01.01.2026 - 24.01.2026'!A:H,5,FALSE))</f>
        <v xml:space="preserve"> </v>
      </c>
      <c r="E451" s="7" t="str">
        <f>IF(A451=""," ",B451*VLOOKUP(A451,'01.01.2026 - 24.01.2026'!A:H,6,FALSE))</f>
        <v xml:space="preserve"> </v>
      </c>
      <c r="F451" s="7" t="str">
        <f>IF(A451=""," ",B451*VLOOKUP(A451,'01.01.2026 - 24.01.2026'!A:H,7,FALSE))</f>
        <v xml:space="preserve"> </v>
      </c>
      <c r="G451" s="7" t="str">
        <f>IF(A451=""," ",B451*VLOOKUP(A451,'01.01.2026 - 24.01.2026'!A:H,8,FALSE))</f>
        <v xml:space="preserve"> </v>
      </c>
    </row>
    <row r="452" spans="1:7" x14ac:dyDescent="0.3">
      <c r="A452" s="18"/>
      <c r="B452" s="23"/>
      <c r="C452" s="6" t="str">
        <f>IF(A452=""," ",VLOOKUP(A452,'01.01.2026 - 24.01.2026'!A:H,2,FALSE))</f>
        <v xml:space="preserve"> </v>
      </c>
      <c r="D452" s="30" t="str">
        <f>IF(A452=""," ",VLOOKUP(A452,'01.01.2026 - 24.01.2026'!A:H,5,FALSE))</f>
        <v xml:space="preserve"> </v>
      </c>
      <c r="E452" s="7" t="str">
        <f>IF(A452=""," ",B452*VLOOKUP(A452,'01.01.2026 - 24.01.2026'!A:H,6,FALSE))</f>
        <v xml:space="preserve"> </v>
      </c>
      <c r="F452" s="7" t="str">
        <f>IF(A452=""," ",B452*VLOOKUP(A452,'01.01.2026 - 24.01.2026'!A:H,7,FALSE))</f>
        <v xml:space="preserve"> </v>
      </c>
      <c r="G452" s="7" t="str">
        <f>IF(A452=""," ",B452*VLOOKUP(A452,'01.01.2026 - 24.01.2026'!A:H,8,FALSE))</f>
        <v xml:space="preserve"> </v>
      </c>
    </row>
    <row r="453" spans="1:7" x14ac:dyDescent="0.3">
      <c r="A453" s="18"/>
      <c r="B453" s="23"/>
      <c r="C453" s="6" t="str">
        <f>IF(A453=""," ",VLOOKUP(A453,'01.01.2026 - 24.01.2026'!A:H,2,FALSE))</f>
        <v xml:space="preserve"> </v>
      </c>
      <c r="D453" s="30" t="str">
        <f>IF(A453=""," ",VLOOKUP(A453,'01.01.2026 - 24.01.2026'!A:H,5,FALSE))</f>
        <v xml:space="preserve"> </v>
      </c>
      <c r="E453" s="7" t="str">
        <f>IF(A453=""," ",B453*VLOOKUP(A453,'01.01.2026 - 24.01.2026'!A:H,6,FALSE))</f>
        <v xml:space="preserve"> </v>
      </c>
      <c r="F453" s="7" t="str">
        <f>IF(A453=""," ",B453*VLOOKUP(A453,'01.01.2026 - 24.01.2026'!A:H,7,FALSE))</f>
        <v xml:space="preserve"> </v>
      </c>
      <c r="G453" s="7" t="str">
        <f>IF(A453=""," ",B453*VLOOKUP(A453,'01.01.2026 - 24.01.2026'!A:H,8,FALSE))</f>
        <v xml:space="preserve"> </v>
      </c>
    </row>
    <row r="454" spans="1:7" x14ac:dyDescent="0.3">
      <c r="A454" s="18"/>
      <c r="B454" s="23"/>
      <c r="C454" s="6" t="str">
        <f>IF(A454=""," ",VLOOKUP(A454,'01.01.2026 - 24.01.2026'!A:H,2,FALSE))</f>
        <v xml:space="preserve"> </v>
      </c>
      <c r="D454" s="30" t="str">
        <f>IF(A454=""," ",VLOOKUP(A454,'01.01.2026 - 24.01.2026'!A:H,5,FALSE))</f>
        <v xml:space="preserve"> </v>
      </c>
      <c r="E454" s="7" t="str">
        <f>IF(A454=""," ",B454*VLOOKUP(A454,'01.01.2026 - 24.01.2026'!A:H,6,FALSE))</f>
        <v xml:space="preserve"> </v>
      </c>
      <c r="F454" s="7" t="str">
        <f>IF(A454=""," ",B454*VLOOKUP(A454,'01.01.2026 - 24.01.2026'!A:H,7,FALSE))</f>
        <v xml:space="preserve"> </v>
      </c>
      <c r="G454" s="7" t="str">
        <f>IF(A454=""," ",B454*VLOOKUP(A454,'01.01.2026 - 24.01.2026'!A:H,8,FALSE))</f>
        <v xml:space="preserve"> </v>
      </c>
    </row>
    <row r="455" spans="1:7" x14ac:dyDescent="0.3">
      <c r="A455" s="18"/>
      <c r="B455" s="23"/>
      <c r="C455" s="6" t="str">
        <f>IF(A455=""," ",VLOOKUP(A455,'01.01.2026 - 24.01.2026'!A:H,2,FALSE))</f>
        <v xml:space="preserve"> </v>
      </c>
      <c r="D455" s="30" t="str">
        <f>IF(A455=""," ",VLOOKUP(A455,'01.01.2026 - 24.01.2026'!A:H,5,FALSE))</f>
        <v xml:space="preserve"> </v>
      </c>
      <c r="E455" s="7" t="str">
        <f>IF(A455=""," ",B455*VLOOKUP(A455,'01.01.2026 - 24.01.2026'!A:H,6,FALSE))</f>
        <v xml:space="preserve"> </v>
      </c>
      <c r="F455" s="7" t="str">
        <f>IF(A455=""," ",B455*VLOOKUP(A455,'01.01.2026 - 24.01.2026'!A:H,7,FALSE))</f>
        <v xml:space="preserve"> </v>
      </c>
      <c r="G455" s="7" t="str">
        <f>IF(A455=""," ",B455*VLOOKUP(A455,'01.01.2026 - 24.01.2026'!A:H,8,FALSE))</f>
        <v xml:space="preserve"> </v>
      </c>
    </row>
    <row r="456" spans="1:7" x14ac:dyDescent="0.3">
      <c r="A456" s="18"/>
      <c r="B456" s="23"/>
      <c r="C456" s="6" t="str">
        <f>IF(A456=""," ",VLOOKUP(A456,'01.01.2026 - 24.01.2026'!A:H,2,FALSE))</f>
        <v xml:space="preserve"> </v>
      </c>
      <c r="D456" s="30" t="str">
        <f>IF(A456=""," ",VLOOKUP(A456,'01.01.2026 - 24.01.2026'!A:H,5,FALSE))</f>
        <v xml:space="preserve"> </v>
      </c>
      <c r="E456" s="7" t="str">
        <f>IF(A456=""," ",B456*VLOOKUP(A456,'01.01.2026 - 24.01.2026'!A:H,6,FALSE))</f>
        <v xml:space="preserve"> </v>
      </c>
      <c r="F456" s="7" t="str">
        <f>IF(A456=""," ",B456*VLOOKUP(A456,'01.01.2026 - 24.01.2026'!A:H,7,FALSE))</f>
        <v xml:space="preserve"> </v>
      </c>
      <c r="G456" s="7" t="str">
        <f>IF(A456=""," ",B456*VLOOKUP(A456,'01.01.2026 - 24.01.2026'!A:H,8,FALSE))</f>
        <v xml:space="preserve"> </v>
      </c>
    </row>
    <row r="457" spans="1:7" x14ac:dyDescent="0.3">
      <c r="A457" s="18"/>
      <c r="B457" s="23"/>
      <c r="C457" s="6" t="str">
        <f>IF(A457=""," ",VLOOKUP(A457,'01.01.2026 - 24.01.2026'!A:H,2,FALSE))</f>
        <v xml:space="preserve"> </v>
      </c>
      <c r="D457" s="30" t="str">
        <f>IF(A457=""," ",VLOOKUP(A457,'01.01.2026 - 24.01.2026'!A:H,5,FALSE))</f>
        <v xml:space="preserve"> </v>
      </c>
      <c r="E457" s="7" t="str">
        <f>IF(A457=""," ",B457*VLOOKUP(A457,'01.01.2026 - 24.01.2026'!A:H,6,FALSE))</f>
        <v xml:space="preserve"> </v>
      </c>
      <c r="F457" s="7" t="str">
        <f>IF(A457=""," ",B457*VLOOKUP(A457,'01.01.2026 - 24.01.2026'!A:H,7,FALSE))</f>
        <v xml:space="preserve"> </v>
      </c>
      <c r="G457" s="7" t="str">
        <f>IF(A457=""," ",B457*VLOOKUP(A457,'01.01.2026 - 24.01.2026'!A:H,8,FALSE))</f>
        <v xml:space="preserve"> </v>
      </c>
    </row>
    <row r="458" spans="1:7" x14ac:dyDescent="0.3">
      <c r="A458" s="18"/>
      <c r="B458" s="23"/>
      <c r="C458" s="6" t="str">
        <f>IF(A458=""," ",VLOOKUP(A458,'01.01.2026 - 24.01.2026'!A:H,2,FALSE))</f>
        <v xml:space="preserve"> </v>
      </c>
      <c r="D458" s="30" t="str">
        <f>IF(A458=""," ",VLOOKUP(A458,'01.01.2026 - 24.01.2026'!A:H,5,FALSE))</f>
        <v xml:space="preserve"> </v>
      </c>
      <c r="E458" s="7" t="str">
        <f>IF(A458=""," ",B458*VLOOKUP(A458,'01.01.2026 - 24.01.2026'!A:H,6,FALSE))</f>
        <v xml:space="preserve"> </v>
      </c>
      <c r="F458" s="7" t="str">
        <f>IF(A458=""," ",B458*VLOOKUP(A458,'01.01.2026 - 24.01.2026'!A:H,7,FALSE))</f>
        <v xml:space="preserve"> </v>
      </c>
      <c r="G458" s="7" t="str">
        <f>IF(A458=""," ",B458*VLOOKUP(A458,'01.01.2026 - 24.01.2026'!A:H,8,FALSE))</f>
        <v xml:space="preserve"> </v>
      </c>
    </row>
    <row r="459" spans="1:7" x14ac:dyDescent="0.3">
      <c r="A459" s="18"/>
      <c r="B459" s="23"/>
      <c r="C459" s="6" t="str">
        <f>IF(A459=""," ",VLOOKUP(A459,'01.01.2026 - 24.01.2026'!A:H,2,FALSE))</f>
        <v xml:space="preserve"> </v>
      </c>
      <c r="D459" s="30" t="str">
        <f>IF(A459=""," ",VLOOKUP(A459,'01.01.2026 - 24.01.2026'!A:H,5,FALSE))</f>
        <v xml:space="preserve"> </v>
      </c>
      <c r="E459" s="7" t="str">
        <f>IF(A459=""," ",B459*VLOOKUP(A459,'01.01.2026 - 24.01.2026'!A:H,6,FALSE))</f>
        <v xml:space="preserve"> </v>
      </c>
      <c r="F459" s="7" t="str">
        <f>IF(A459=""," ",B459*VLOOKUP(A459,'01.01.2026 - 24.01.2026'!A:H,7,FALSE))</f>
        <v xml:space="preserve"> </v>
      </c>
      <c r="G459" s="7" t="str">
        <f>IF(A459=""," ",B459*VLOOKUP(A459,'01.01.2026 - 24.01.2026'!A:H,8,FALSE))</f>
        <v xml:space="preserve"> </v>
      </c>
    </row>
    <row r="460" spans="1:7" x14ac:dyDescent="0.3">
      <c r="A460" s="18"/>
      <c r="B460" s="23"/>
      <c r="C460" s="6" t="str">
        <f>IF(A460=""," ",VLOOKUP(A460,'01.01.2026 - 24.01.2026'!A:H,2,FALSE))</f>
        <v xml:space="preserve"> </v>
      </c>
      <c r="D460" s="30" t="str">
        <f>IF(A460=""," ",VLOOKUP(A460,'01.01.2026 - 24.01.2026'!A:H,5,FALSE))</f>
        <v xml:space="preserve"> </v>
      </c>
      <c r="E460" s="7" t="str">
        <f>IF(A460=""," ",B460*VLOOKUP(A460,'01.01.2026 - 24.01.2026'!A:H,6,FALSE))</f>
        <v xml:space="preserve"> </v>
      </c>
      <c r="F460" s="7" t="str">
        <f>IF(A460=""," ",B460*VLOOKUP(A460,'01.01.2026 - 24.01.2026'!A:H,7,FALSE))</f>
        <v xml:space="preserve"> </v>
      </c>
      <c r="G460" s="7" t="str">
        <f>IF(A460=""," ",B460*VLOOKUP(A460,'01.01.2026 - 24.01.2026'!A:H,8,FALSE))</f>
        <v xml:space="preserve"> </v>
      </c>
    </row>
    <row r="461" spans="1:7" x14ac:dyDescent="0.3">
      <c r="A461" s="18"/>
      <c r="B461" s="23"/>
      <c r="C461" s="6" t="str">
        <f>IF(A461=""," ",VLOOKUP(A461,'01.01.2026 - 24.01.2026'!A:H,2,FALSE))</f>
        <v xml:space="preserve"> </v>
      </c>
      <c r="D461" s="30" t="str">
        <f>IF(A461=""," ",VLOOKUP(A461,'01.01.2026 - 24.01.2026'!A:H,5,FALSE))</f>
        <v xml:space="preserve"> </v>
      </c>
      <c r="E461" s="7" t="str">
        <f>IF(A461=""," ",B461*VLOOKUP(A461,'01.01.2026 - 24.01.2026'!A:H,6,FALSE))</f>
        <v xml:space="preserve"> </v>
      </c>
      <c r="F461" s="7" t="str">
        <f>IF(A461=""," ",B461*VLOOKUP(A461,'01.01.2026 - 24.01.2026'!A:H,7,FALSE))</f>
        <v xml:space="preserve"> </v>
      </c>
      <c r="G461" s="7" t="str">
        <f>IF(A461=""," ",B461*VLOOKUP(A461,'01.01.2026 - 24.01.2026'!A:H,8,FALSE))</f>
        <v xml:space="preserve"> </v>
      </c>
    </row>
    <row r="462" spans="1:7" x14ac:dyDescent="0.3">
      <c r="A462" s="18"/>
      <c r="B462" s="23"/>
      <c r="C462" s="6" t="str">
        <f>IF(A462=""," ",VLOOKUP(A462,'01.01.2026 - 24.01.2026'!A:H,2,FALSE))</f>
        <v xml:space="preserve"> </v>
      </c>
      <c r="D462" s="30" t="str">
        <f>IF(A462=""," ",VLOOKUP(A462,'01.01.2026 - 24.01.2026'!A:H,5,FALSE))</f>
        <v xml:space="preserve"> </v>
      </c>
      <c r="E462" s="7" t="str">
        <f>IF(A462=""," ",B462*VLOOKUP(A462,'01.01.2026 - 24.01.2026'!A:H,6,FALSE))</f>
        <v xml:space="preserve"> </v>
      </c>
      <c r="F462" s="7" t="str">
        <f>IF(A462=""," ",B462*VLOOKUP(A462,'01.01.2026 - 24.01.2026'!A:H,7,FALSE))</f>
        <v xml:space="preserve"> </v>
      </c>
      <c r="G462" s="7" t="str">
        <f>IF(A462=""," ",B462*VLOOKUP(A462,'01.01.2026 - 24.01.2026'!A:H,8,FALSE))</f>
        <v xml:space="preserve"> </v>
      </c>
    </row>
    <row r="463" spans="1:7" x14ac:dyDescent="0.3">
      <c r="A463" s="18"/>
      <c r="B463" s="23"/>
      <c r="C463" s="6" t="str">
        <f>IF(A463=""," ",VLOOKUP(A463,'01.01.2026 - 24.01.2026'!A:H,2,FALSE))</f>
        <v xml:space="preserve"> </v>
      </c>
      <c r="D463" s="30" t="str">
        <f>IF(A463=""," ",VLOOKUP(A463,'01.01.2026 - 24.01.2026'!A:H,5,FALSE))</f>
        <v xml:space="preserve"> </v>
      </c>
      <c r="E463" s="7" t="str">
        <f>IF(A463=""," ",B463*VLOOKUP(A463,'01.01.2026 - 24.01.2026'!A:H,6,FALSE))</f>
        <v xml:space="preserve"> </v>
      </c>
      <c r="F463" s="7" t="str">
        <f>IF(A463=""," ",B463*VLOOKUP(A463,'01.01.2026 - 24.01.2026'!A:H,7,FALSE))</f>
        <v xml:space="preserve"> </v>
      </c>
      <c r="G463" s="7" t="str">
        <f>IF(A463=""," ",B463*VLOOKUP(A463,'01.01.2026 - 24.01.2026'!A:H,8,FALSE))</f>
        <v xml:space="preserve"> </v>
      </c>
    </row>
    <row r="464" spans="1:7" x14ac:dyDescent="0.3">
      <c r="A464" s="18"/>
      <c r="B464" s="23"/>
      <c r="C464" s="6" t="str">
        <f>IF(A464=""," ",VLOOKUP(A464,'01.01.2026 - 24.01.2026'!A:H,2,FALSE))</f>
        <v xml:space="preserve"> </v>
      </c>
      <c r="D464" s="30" t="str">
        <f>IF(A464=""," ",VLOOKUP(A464,'01.01.2026 - 24.01.2026'!A:H,5,FALSE))</f>
        <v xml:space="preserve"> </v>
      </c>
      <c r="E464" s="7" t="str">
        <f>IF(A464=""," ",B464*VLOOKUP(A464,'01.01.2026 - 24.01.2026'!A:H,6,FALSE))</f>
        <v xml:space="preserve"> </v>
      </c>
      <c r="F464" s="7" t="str">
        <f>IF(A464=""," ",B464*VLOOKUP(A464,'01.01.2026 - 24.01.2026'!A:H,7,FALSE))</f>
        <v xml:space="preserve"> </v>
      </c>
      <c r="G464" s="7" t="str">
        <f>IF(A464=""," ",B464*VLOOKUP(A464,'01.01.2026 - 24.01.2026'!A:H,8,FALSE))</f>
        <v xml:space="preserve"> </v>
      </c>
    </row>
    <row r="465" spans="1:7" x14ac:dyDescent="0.3">
      <c r="A465" s="18"/>
      <c r="B465" s="23"/>
      <c r="C465" s="6" t="str">
        <f>IF(A465=""," ",VLOOKUP(A465,'01.01.2026 - 24.01.2026'!A:H,2,FALSE))</f>
        <v xml:space="preserve"> </v>
      </c>
      <c r="D465" s="30" t="str">
        <f>IF(A465=""," ",VLOOKUP(A465,'01.01.2026 - 24.01.2026'!A:H,5,FALSE))</f>
        <v xml:space="preserve"> </v>
      </c>
      <c r="E465" s="7" t="str">
        <f>IF(A465=""," ",B465*VLOOKUP(A465,'01.01.2026 - 24.01.2026'!A:H,6,FALSE))</f>
        <v xml:space="preserve"> </v>
      </c>
      <c r="F465" s="7" t="str">
        <f>IF(A465=""," ",B465*VLOOKUP(A465,'01.01.2026 - 24.01.2026'!A:H,7,FALSE))</f>
        <v xml:space="preserve"> </v>
      </c>
      <c r="G465" s="7" t="str">
        <f>IF(A465=""," ",B465*VLOOKUP(A465,'01.01.2026 - 24.01.2026'!A:H,8,FALSE))</f>
        <v xml:space="preserve"> </v>
      </c>
    </row>
    <row r="466" spans="1:7" x14ac:dyDescent="0.3">
      <c r="A466" s="18"/>
      <c r="B466" s="23"/>
      <c r="C466" s="6" t="str">
        <f>IF(A466=""," ",VLOOKUP(A466,'01.01.2026 - 24.01.2026'!A:H,2,FALSE))</f>
        <v xml:space="preserve"> </v>
      </c>
      <c r="D466" s="30" t="str">
        <f>IF(A466=""," ",VLOOKUP(A466,'01.01.2026 - 24.01.2026'!A:H,5,FALSE))</f>
        <v xml:space="preserve"> </v>
      </c>
      <c r="E466" s="7" t="str">
        <f>IF(A466=""," ",B466*VLOOKUP(A466,'01.01.2026 - 24.01.2026'!A:H,6,FALSE))</f>
        <v xml:space="preserve"> </v>
      </c>
      <c r="F466" s="7" t="str">
        <f>IF(A466=""," ",B466*VLOOKUP(A466,'01.01.2026 - 24.01.2026'!A:H,7,FALSE))</f>
        <v xml:space="preserve"> </v>
      </c>
      <c r="G466" s="7" t="str">
        <f>IF(A466=""," ",B466*VLOOKUP(A466,'01.01.2026 - 24.01.2026'!A:H,8,FALSE))</f>
        <v xml:space="preserve"> </v>
      </c>
    </row>
    <row r="467" spans="1:7" x14ac:dyDescent="0.3">
      <c r="A467" s="18"/>
      <c r="B467" s="23"/>
      <c r="C467" s="6" t="str">
        <f>IF(A467=""," ",VLOOKUP(A467,'01.01.2026 - 24.01.2026'!A:H,2,FALSE))</f>
        <v xml:space="preserve"> </v>
      </c>
      <c r="D467" s="30" t="str">
        <f>IF(A467=""," ",VLOOKUP(A467,'01.01.2026 - 24.01.2026'!A:H,5,FALSE))</f>
        <v xml:space="preserve"> </v>
      </c>
      <c r="E467" s="7" t="str">
        <f>IF(A467=""," ",B467*VLOOKUP(A467,'01.01.2026 - 24.01.2026'!A:H,6,FALSE))</f>
        <v xml:space="preserve"> </v>
      </c>
      <c r="F467" s="7" t="str">
        <f>IF(A467=""," ",B467*VLOOKUP(A467,'01.01.2026 - 24.01.2026'!A:H,7,FALSE))</f>
        <v xml:space="preserve"> </v>
      </c>
      <c r="G467" s="7" t="str">
        <f>IF(A467=""," ",B467*VLOOKUP(A467,'01.01.2026 - 24.01.2026'!A:H,8,FALSE))</f>
        <v xml:space="preserve"> </v>
      </c>
    </row>
    <row r="468" spans="1:7" x14ac:dyDescent="0.3">
      <c r="A468" s="18"/>
      <c r="B468" s="23"/>
      <c r="C468" s="6" t="str">
        <f>IF(A468=""," ",VLOOKUP(A468,'01.01.2026 - 24.01.2026'!A:H,2,FALSE))</f>
        <v xml:space="preserve"> </v>
      </c>
      <c r="D468" s="30" t="str">
        <f>IF(A468=""," ",VLOOKUP(A468,'01.01.2026 - 24.01.2026'!A:H,5,FALSE))</f>
        <v xml:space="preserve"> </v>
      </c>
      <c r="E468" s="7" t="str">
        <f>IF(A468=""," ",B468*VLOOKUP(A468,'01.01.2026 - 24.01.2026'!A:H,6,FALSE))</f>
        <v xml:space="preserve"> </v>
      </c>
      <c r="F468" s="7" t="str">
        <f>IF(A468=""," ",B468*VLOOKUP(A468,'01.01.2026 - 24.01.2026'!A:H,7,FALSE))</f>
        <v xml:space="preserve"> </v>
      </c>
      <c r="G468" s="7" t="str">
        <f>IF(A468=""," ",B468*VLOOKUP(A468,'01.01.2026 - 24.01.2026'!A:H,8,FALSE))</f>
        <v xml:space="preserve"> </v>
      </c>
    </row>
    <row r="469" spans="1:7" x14ac:dyDescent="0.3">
      <c r="A469" s="18"/>
      <c r="B469" s="23"/>
      <c r="C469" s="6" t="str">
        <f>IF(A469=""," ",VLOOKUP(A469,'01.01.2026 - 24.01.2026'!A:H,2,FALSE))</f>
        <v xml:space="preserve"> </v>
      </c>
      <c r="D469" s="30" t="str">
        <f>IF(A469=""," ",VLOOKUP(A469,'01.01.2026 - 24.01.2026'!A:H,5,FALSE))</f>
        <v xml:space="preserve"> </v>
      </c>
      <c r="E469" s="7" t="str">
        <f>IF(A469=""," ",B469*VLOOKUP(A469,'01.01.2026 - 24.01.2026'!A:H,6,FALSE))</f>
        <v xml:space="preserve"> </v>
      </c>
      <c r="F469" s="7" t="str">
        <f>IF(A469=""," ",B469*VLOOKUP(A469,'01.01.2026 - 24.01.2026'!A:H,7,FALSE))</f>
        <v xml:space="preserve"> </v>
      </c>
      <c r="G469" s="7" t="str">
        <f>IF(A469=""," ",B469*VLOOKUP(A469,'01.01.2026 - 24.01.2026'!A:H,8,FALSE))</f>
        <v xml:space="preserve"> </v>
      </c>
    </row>
    <row r="470" spans="1:7" x14ac:dyDescent="0.3">
      <c r="A470" s="18"/>
      <c r="B470" s="23"/>
      <c r="C470" s="6" t="str">
        <f>IF(A470=""," ",VLOOKUP(A470,'01.01.2026 - 24.01.2026'!A:H,2,FALSE))</f>
        <v xml:space="preserve"> </v>
      </c>
      <c r="D470" s="30" t="str">
        <f>IF(A470=""," ",VLOOKUP(A470,'01.01.2026 - 24.01.2026'!A:H,5,FALSE))</f>
        <v xml:space="preserve"> </v>
      </c>
      <c r="E470" s="7" t="str">
        <f>IF(A470=""," ",B470*VLOOKUP(A470,'01.01.2026 - 24.01.2026'!A:H,6,FALSE))</f>
        <v xml:space="preserve"> </v>
      </c>
      <c r="F470" s="7" t="str">
        <f>IF(A470=""," ",B470*VLOOKUP(A470,'01.01.2026 - 24.01.2026'!A:H,7,FALSE))</f>
        <v xml:space="preserve"> </v>
      </c>
      <c r="G470" s="7" t="str">
        <f>IF(A470=""," ",B470*VLOOKUP(A470,'01.01.2026 - 24.01.2026'!A:H,8,FALSE))</f>
        <v xml:space="preserve"> </v>
      </c>
    </row>
    <row r="471" spans="1:7" x14ac:dyDescent="0.3">
      <c r="A471" s="18"/>
      <c r="B471" s="23"/>
      <c r="C471" s="6" t="str">
        <f>IF(A471=""," ",VLOOKUP(A471,'01.01.2026 - 24.01.2026'!A:H,2,FALSE))</f>
        <v xml:space="preserve"> </v>
      </c>
      <c r="D471" s="30" t="str">
        <f>IF(A471=""," ",VLOOKUP(A471,'01.01.2026 - 24.01.2026'!A:H,5,FALSE))</f>
        <v xml:space="preserve"> </v>
      </c>
      <c r="E471" s="7" t="str">
        <f>IF(A471=""," ",B471*VLOOKUP(A471,'01.01.2026 - 24.01.2026'!A:H,6,FALSE))</f>
        <v xml:space="preserve"> </v>
      </c>
      <c r="F471" s="7" t="str">
        <f>IF(A471=""," ",B471*VLOOKUP(A471,'01.01.2026 - 24.01.2026'!A:H,7,FALSE))</f>
        <v xml:space="preserve"> </v>
      </c>
      <c r="G471" s="7" t="str">
        <f>IF(A471=""," ",B471*VLOOKUP(A471,'01.01.2026 - 24.01.2026'!A:H,8,FALSE))</f>
        <v xml:space="preserve"> </v>
      </c>
    </row>
    <row r="472" spans="1:7" x14ac:dyDescent="0.3">
      <c r="A472" s="18"/>
      <c r="B472" s="23"/>
      <c r="C472" s="6" t="str">
        <f>IF(A472=""," ",VLOOKUP(A472,'01.01.2026 - 24.01.2026'!A:H,2,FALSE))</f>
        <v xml:space="preserve"> </v>
      </c>
      <c r="D472" s="30" t="str">
        <f>IF(A472=""," ",VLOOKUP(A472,'01.01.2026 - 24.01.2026'!A:H,5,FALSE))</f>
        <v xml:space="preserve"> </v>
      </c>
      <c r="E472" s="7" t="str">
        <f>IF(A472=""," ",B472*VLOOKUP(A472,'01.01.2026 - 24.01.2026'!A:H,6,FALSE))</f>
        <v xml:space="preserve"> </v>
      </c>
      <c r="F472" s="7" t="str">
        <f>IF(A472=""," ",B472*VLOOKUP(A472,'01.01.2026 - 24.01.2026'!A:H,7,FALSE))</f>
        <v xml:space="preserve"> </v>
      </c>
      <c r="G472" s="7" t="str">
        <f>IF(A472=""," ",B472*VLOOKUP(A472,'01.01.2026 - 24.01.2026'!A:H,8,FALSE))</f>
        <v xml:space="preserve"> </v>
      </c>
    </row>
    <row r="473" spans="1:7" x14ac:dyDescent="0.3">
      <c r="A473" s="18"/>
      <c r="B473" s="23"/>
      <c r="C473" s="6" t="str">
        <f>IF(A473=""," ",VLOOKUP(A473,'01.01.2026 - 24.01.2026'!A:H,2,FALSE))</f>
        <v xml:space="preserve"> </v>
      </c>
      <c r="D473" s="30" t="str">
        <f>IF(A473=""," ",VLOOKUP(A473,'01.01.2026 - 24.01.2026'!A:H,5,FALSE))</f>
        <v xml:space="preserve"> </v>
      </c>
      <c r="E473" s="7" t="str">
        <f>IF(A473=""," ",B473*VLOOKUP(A473,'01.01.2026 - 24.01.2026'!A:H,6,FALSE))</f>
        <v xml:space="preserve"> </v>
      </c>
      <c r="F473" s="7" t="str">
        <f>IF(A473=""," ",B473*VLOOKUP(A473,'01.01.2026 - 24.01.2026'!A:H,7,FALSE))</f>
        <v xml:space="preserve"> </v>
      </c>
      <c r="G473" s="7" t="str">
        <f>IF(A473=""," ",B473*VLOOKUP(A473,'01.01.2026 - 24.01.2026'!A:H,8,FALSE))</f>
        <v xml:space="preserve"> </v>
      </c>
    </row>
    <row r="474" spans="1:7" x14ac:dyDescent="0.3">
      <c r="A474" s="18"/>
      <c r="B474" s="23"/>
      <c r="C474" s="6" t="str">
        <f>IF(A474=""," ",VLOOKUP(A474,'01.01.2026 - 24.01.2026'!A:H,2,FALSE))</f>
        <v xml:space="preserve"> </v>
      </c>
      <c r="D474" s="30" t="str">
        <f>IF(A474=""," ",VLOOKUP(A474,'01.01.2026 - 24.01.2026'!A:H,5,FALSE))</f>
        <v xml:space="preserve"> </v>
      </c>
      <c r="E474" s="7" t="str">
        <f>IF(A474=""," ",B474*VLOOKUP(A474,'01.01.2026 - 24.01.2026'!A:H,6,FALSE))</f>
        <v xml:space="preserve"> </v>
      </c>
      <c r="F474" s="7" t="str">
        <f>IF(A474=""," ",B474*VLOOKUP(A474,'01.01.2026 - 24.01.2026'!A:H,7,FALSE))</f>
        <v xml:space="preserve"> </v>
      </c>
      <c r="G474" s="7" t="str">
        <f>IF(A474=""," ",B474*VLOOKUP(A474,'01.01.2026 - 24.01.2026'!A:H,8,FALSE))</f>
        <v xml:space="preserve"> </v>
      </c>
    </row>
    <row r="475" spans="1:7" x14ac:dyDescent="0.3">
      <c r="A475" s="18"/>
      <c r="B475" s="23"/>
      <c r="C475" s="6" t="str">
        <f>IF(A475=""," ",VLOOKUP(A475,'01.01.2026 - 24.01.2026'!A:H,2,FALSE))</f>
        <v xml:space="preserve"> </v>
      </c>
      <c r="D475" s="30" t="str">
        <f>IF(A475=""," ",VLOOKUP(A475,'01.01.2026 - 24.01.2026'!A:H,5,FALSE))</f>
        <v xml:space="preserve"> </v>
      </c>
      <c r="E475" s="7" t="str">
        <f>IF(A475=""," ",B475*VLOOKUP(A475,'01.01.2026 - 24.01.2026'!A:H,6,FALSE))</f>
        <v xml:space="preserve"> </v>
      </c>
      <c r="F475" s="7" t="str">
        <f>IF(A475=""," ",B475*VLOOKUP(A475,'01.01.2026 - 24.01.2026'!A:H,7,FALSE))</f>
        <v xml:space="preserve"> </v>
      </c>
      <c r="G475" s="7" t="str">
        <f>IF(A475=""," ",B475*VLOOKUP(A475,'01.01.2026 - 24.01.2026'!A:H,8,FALSE))</f>
        <v xml:space="preserve"> </v>
      </c>
    </row>
    <row r="476" spans="1:7" x14ac:dyDescent="0.3">
      <c r="A476" s="18"/>
      <c r="B476" s="23"/>
      <c r="C476" s="6" t="str">
        <f>IF(A476=""," ",VLOOKUP(A476,'01.01.2026 - 24.01.2026'!A:H,2,FALSE))</f>
        <v xml:space="preserve"> </v>
      </c>
      <c r="D476" s="30" t="str">
        <f>IF(A476=""," ",VLOOKUP(A476,'01.01.2026 - 24.01.2026'!A:H,5,FALSE))</f>
        <v xml:space="preserve"> </v>
      </c>
      <c r="E476" s="7" t="str">
        <f>IF(A476=""," ",B476*VLOOKUP(A476,'01.01.2026 - 24.01.2026'!A:H,6,FALSE))</f>
        <v xml:space="preserve"> </v>
      </c>
      <c r="F476" s="7" t="str">
        <f>IF(A476=""," ",B476*VLOOKUP(A476,'01.01.2026 - 24.01.2026'!A:H,7,FALSE))</f>
        <v xml:space="preserve"> </v>
      </c>
      <c r="G476" s="7" t="str">
        <f>IF(A476=""," ",B476*VLOOKUP(A476,'01.01.2026 - 24.01.2026'!A:H,8,FALSE))</f>
        <v xml:space="preserve"> </v>
      </c>
    </row>
    <row r="477" spans="1:7" x14ac:dyDescent="0.3">
      <c r="A477" s="18"/>
      <c r="B477" s="23"/>
      <c r="C477" s="6" t="str">
        <f>IF(A477=""," ",VLOOKUP(A477,'01.01.2026 - 24.01.2026'!A:H,2,FALSE))</f>
        <v xml:space="preserve"> </v>
      </c>
      <c r="D477" s="30" t="str">
        <f>IF(A477=""," ",VLOOKUP(A477,'01.01.2026 - 24.01.2026'!A:H,5,FALSE))</f>
        <v xml:space="preserve"> </v>
      </c>
      <c r="E477" s="7" t="str">
        <f>IF(A477=""," ",B477*VLOOKUP(A477,'01.01.2026 - 24.01.2026'!A:H,6,FALSE))</f>
        <v xml:space="preserve"> </v>
      </c>
      <c r="F477" s="7" t="str">
        <f>IF(A477=""," ",B477*VLOOKUP(A477,'01.01.2026 - 24.01.2026'!A:H,7,FALSE))</f>
        <v xml:space="preserve"> </v>
      </c>
      <c r="G477" s="7" t="str">
        <f>IF(A477=""," ",B477*VLOOKUP(A477,'01.01.2026 - 24.01.2026'!A:H,8,FALSE))</f>
        <v xml:space="preserve"> </v>
      </c>
    </row>
    <row r="478" spans="1:7" x14ac:dyDescent="0.3">
      <c r="A478" s="18"/>
      <c r="B478" s="23"/>
      <c r="C478" s="6" t="str">
        <f>IF(A478=""," ",VLOOKUP(A478,'01.01.2026 - 24.01.2026'!A:H,2,FALSE))</f>
        <v xml:space="preserve"> </v>
      </c>
      <c r="D478" s="30" t="str">
        <f>IF(A478=""," ",VLOOKUP(A478,'01.01.2026 - 24.01.2026'!A:H,5,FALSE))</f>
        <v xml:space="preserve"> </v>
      </c>
      <c r="E478" s="7" t="str">
        <f>IF(A478=""," ",B478*VLOOKUP(A478,'01.01.2026 - 24.01.2026'!A:H,6,FALSE))</f>
        <v xml:space="preserve"> </v>
      </c>
      <c r="F478" s="7" t="str">
        <f>IF(A478=""," ",B478*VLOOKUP(A478,'01.01.2026 - 24.01.2026'!A:H,7,FALSE))</f>
        <v xml:space="preserve"> </v>
      </c>
      <c r="G478" s="7" t="str">
        <f>IF(A478=""," ",B478*VLOOKUP(A478,'01.01.2026 - 24.01.2026'!A:H,8,FALSE))</f>
        <v xml:space="preserve"> </v>
      </c>
    </row>
    <row r="479" spans="1:7" x14ac:dyDescent="0.3">
      <c r="A479" s="18"/>
      <c r="B479" s="23"/>
      <c r="C479" s="6" t="str">
        <f>IF(A479=""," ",VLOOKUP(A479,'01.01.2026 - 24.01.2026'!A:H,2,FALSE))</f>
        <v xml:space="preserve"> </v>
      </c>
      <c r="D479" s="30" t="str">
        <f>IF(A479=""," ",VLOOKUP(A479,'01.01.2026 - 24.01.2026'!A:H,5,FALSE))</f>
        <v xml:space="preserve"> </v>
      </c>
      <c r="E479" s="7" t="str">
        <f>IF(A479=""," ",B479*VLOOKUP(A479,'01.01.2026 - 24.01.2026'!A:H,6,FALSE))</f>
        <v xml:space="preserve"> </v>
      </c>
      <c r="F479" s="7" t="str">
        <f>IF(A479=""," ",B479*VLOOKUP(A479,'01.01.2026 - 24.01.2026'!A:H,7,FALSE))</f>
        <v xml:space="preserve"> </v>
      </c>
      <c r="G479" s="7" t="str">
        <f>IF(A479=""," ",B479*VLOOKUP(A479,'01.01.2026 - 24.01.2026'!A:H,8,FALSE))</f>
        <v xml:space="preserve"> </v>
      </c>
    </row>
    <row r="480" spans="1:7" x14ac:dyDescent="0.3">
      <c r="A480" s="18"/>
      <c r="B480" s="23"/>
      <c r="C480" s="6" t="str">
        <f>IF(A480=""," ",VLOOKUP(A480,'01.01.2026 - 24.01.2026'!A:H,2,FALSE))</f>
        <v xml:space="preserve"> </v>
      </c>
      <c r="D480" s="30" t="str">
        <f>IF(A480=""," ",VLOOKUP(A480,'01.01.2026 - 24.01.2026'!A:H,5,FALSE))</f>
        <v xml:space="preserve"> </v>
      </c>
      <c r="E480" s="7" t="str">
        <f>IF(A480=""," ",B480*VLOOKUP(A480,'01.01.2026 - 24.01.2026'!A:H,6,FALSE))</f>
        <v xml:space="preserve"> </v>
      </c>
      <c r="F480" s="7" t="str">
        <f>IF(A480=""," ",B480*VLOOKUP(A480,'01.01.2026 - 24.01.2026'!A:H,7,FALSE))</f>
        <v xml:space="preserve"> </v>
      </c>
      <c r="G480" s="7" t="str">
        <f>IF(A480=""," ",B480*VLOOKUP(A480,'01.01.2026 - 24.01.2026'!A:H,8,FALSE))</f>
        <v xml:space="preserve"> </v>
      </c>
    </row>
    <row r="481" spans="1:7" x14ac:dyDescent="0.3">
      <c r="A481" s="18"/>
      <c r="B481" s="23"/>
      <c r="C481" s="6" t="str">
        <f>IF(A481=""," ",VLOOKUP(A481,'01.01.2026 - 24.01.2026'!A:H,2,FALSE))</f>
        <v xml:space="preserve"> </v>
      </c>
      <c r="D481" s="30" t="str">
        <f>IF(A481=""," ",VLOOKUP(A481,'01.01.2026 - 24.01.2026'!A:H,5,FALSE))</f>
        <v xml:space="preserve"> </v>
      </c>
      <c r="E481" s="7" t="str">
        <f>IF(A481=""," ",B481*VLOOKUP(A481,'01.01.2026 - 24.01.2026'!A:H,6,FALSE))</f>
        <v xml:space="preserve"> </v>
      </c>
      <c r="F481" s="7" t="str">
        <f>IF(A481=""," ",B481*VLOOKUP(A481,'01.01.2026 - 24.01.2026'!A:H,7,FALSE))</f>
        <v xml:space="preserve"> </v>
      </c>
      <c r="G481" s="7" t="str">
        <f>IF(A481=""," ",B481*VLOOKUP(A481,'01.01.2026 - 24.01.2026'!A:H,8,FALSE))</f>
        <v xml:space="preserve"> </v>
      </c>
    </row>
    <row r="482" spans="1:7" x14ac:dyDescent="0.3">
      <c r="A482" s="18"/>
      <c r="B482" s="23"/>
      <c r="C482" s="6" t="str">
        <f>IF(A482=""," ",VLOOKUP(A482,'01.01.2026 - 24.01.2026'!A:H,2,FALSE))</f>
        <v xml:space="preserve"> </v>
      </c>
      <c r="D482" s="30" t="str">
        <f>IF(A482=""," ",VLOOKUP(A482,'01.01.2026 - 24.01.2026'!A:H,5,FALSE))</f>
        <v xml:space="preserve"> </v>
      </c>
      <c r="E482" s="7" t="str">
        <f>IF(A482=""," ",B482*VLOOKUP(A482,'01.01.2026 - 24.01.2026'!A:H,6,FALSE))</f>
        <v xml:space="preserve"> </v>
      </c>
      <c r="F482" s="7" t="str">
        <f>IF(A482=""," ",B482*VLOOKUP(A482,'01.01.2026 - 24.01.2026'!A:H,7,FALSE))</f>
        <v xml:space="preserve"> </v>
      </c>
      <c r="G482" s="7" t="str">
        <f>IF(A482=""," ",B482*VLOOKUP(A482,'01.01.2026 - 24.01.2026'!A:H,8,FALSE))</f>
        <v xml:space="preserve"> </v>
      </c>
    </row>
    <row r="483" spans="1:7" x14ac:dyDescent="0.3">
      <c r="A483" s="18"/>
      <c r="B483" s="23"/>
      <c r="C483" s="6" t="str">
        <f>IF(A483=""," ",VLOOKUP(A483,'01.01.2026 - 24.01.2026'!A:H,2,FALSE))</f>
        <v xml:space="preserve"> </v>
      </c>
      <c r="D483" s="30" t="str">
        <f>IF(A483=""," ",VLOOKUP(A483,'01.01.2026 - 24.01.2026'!A:H,5,FALSE))</f>
        <v xml:space="preserve"> </v>
      </c>
      <c r="E483" s="7" t="str">
        <f>IF(A483=""," ",B483*VLOOKUP(A483,'01.01.2026 - 24.01.2026'!A:H,6,FALSE))</f>
        <v xml:space="preserve"> </v>
      </c>
      <c r="F483" s="7" t="str">
        <f>IF(A483=""," ",B483*VLOOKUP(A483,'01.01.2026 - 24.01.2026'!A:H,7,FALSE))</f>
        <v xml:space="preserve"> </v>
      </c>
      <c r="G483" s="7" t="str">
        <f>IF(A483=""," ",B483*VLOOKUP(A483,'01.01.2026 - 24.01.2026'!A:H,8,FALSE))</f>
        <v xml:space="preserve"> </v>
      </c>
    </row>
    <row r="484" spans="1:7" x14ac:dyDescent="0.3">
      <c r="A484" s="18"/>
      <c r="B484" s="23"/>
      <c r="C484" s="6" t="str">
        <f>IF(A484=""," ",VLOOKUP(A484,'01.01.2026 - 24.01.2026'!A:H,2,FALSE))</f>
        <v xml:space="preserve"> </v>
      </c>
      <c r="D484" s="30" t="str">
        <f>IF(A484=""," ",VLOOKUP(A484,'01.01.2026 - 24.01.2026'!A:H,5,FALSE))</f>
        <v xml:space="preserve"> </v>
      </c>
      <c r="E484" s="7" t="str">
        <f>IF(A484=""," ",B484*VLOOKUP(A484,'01.01.2026 - 24.01.2026'!A:H,6,FALSE))</f>
        <v xml:space="preserve"> </v>
      </c>
      <c r="F484" s="7" t="str">
        <f>IF(A484=""," ",B484*VLOOKUP(A484,'01.01.2026 - 24.01.2026'!A:H,7,FALSE))</f>
        <v xml:space="preserve"> </v>
      </c>
      <c r="G484" s="7" t="str">
        <f>IF(A484=""," ",B484*VLOOKUP(A484,'01.01.2026 - 24.01.2026'!A:H,8,FALSE))</f>
        <v xml:space="preserve"> </v>
      </c>
    </row>
    <row r="485" spans="1:7" x14ac:dyDescent="0.3">
      <c r="A485" s="18"/>
      <c r="B485" s="23"/>
      <c r="C485" s="6" t="str">
        <f>IF(A485=""," ",VLOOKUP(A485,'01.01.2026 - 24.01.2026'!A:H,2,FALSE))</f>
        <v xml:space="preserve"> </v>
      </c>
      <c r="D485" s="30" t="str">
        <f>IF(A485=""," ",VLOOKUP(A485,'01.01.2026 - 24.01.2026'!A:H,5,FALSE))</f>
        <v xml:space="preserve"> </v>
      </c>
      <c r="E485" s="7" t="str">
        <f>IF(A485=""," ",B485*VLOOKUP(A485,'01.01.2026 - 24.01.2026'!A:H,6,FALSE))</f>
        <v xml:space="preserve"> </v>
      </c>
      <c r="F485" s="7" t="str">
        <f>IF(A485=""," ",B485*VLOOKUP(A485,'01.01.2026 - 24.01.2026'!A:H,7,FALSE))</f>
        <v xml:space="preserve"> </v>
      </c>
      <c r="G485" s="7" t="str">
        <f>IF(A485=""," ",B485*VLOOKUP(A485,'01.01.2026 - 24.01.2026'!A:H,8,FALSE))</f>
        <v xml:space="preserve"> </v>
      </c>
    </row>
    <row r="486" spans="1:7" x14ac:dyDescent="0.3">
      <c r="A486" s="18"/>
      <c r="B486" s="23"/>
      <c r="C486" s="6" t="str">
        <f>IF(A486=""," ",VLOOKUP(A486,'01.01.2026 - 24.01.2026'!A:H,2,FALSE))</f>
        <v xml:space="preserve"> </v>
      </c>
      <c r="D486" s="30" t="str">
        <f>IF(A486=""," ",VLOOKUP(A486,'01.01.2026 - 24.01.2026'!A:H,5,FALSE))</f>
        <v xml:space="preserve"> </v>
      </c>
      <c r="E486" s="7" t="str">
        <f>IF(A486=""," ",B486*VLOOKUP(A486,'01.01.2026 - 24.01.2026'!A:H,6,FALSE))</f>
        <v xml:space="preserve"> </v>
      </c>
      <c r="F486" s="7" t="str">
        <f>IF(A486=""," ",B486*VLOOKUP(A486,'01.01.2026 - 24.01.2026'!A:H,7,FALSE))</f>
        <v xml:space="preserve"> </v>
      </c>
      <c r="G486" s="7" t="str">
        <f>IF(A486=""," ",B486*VLOOKUP(A486,'01.01.2026 - 24.01.2026'!A:H,8,FALSE))</f>
        <v xml:space="preserve"> </v>
      </c>
    </row>
    <row r="487" spans="1:7" x14ac:dyDescent="0.3">
      <c r="A487" s="18"/>
      <c r="B487" s="23"/>
      <c r="C487" s="6" t="str">
        <f>IF(A487=""," ",VLOOKUP(A487,'01.01.2026 - 24.01.2026'!A:H,2,FALSE))</f>
        <v xml:space="preserve"> </v>
      </c>
      <c r="D487" s="30" t="str">
        <f>IF(A487=""," ",VLOOKUP(A487,'01.01.2026 - 24.01.2026'!A:H,5,FALSE))</f>
        <v xml:space="preserve"> </v>
      </c>
      <c r="E487" s="7" t="str">
        <f>IF(A487=""," ",B487*VLOOKUP(A487,'01.01.2026 - 24.01.2026'!A:H,6,FALSE))</f>
        <v xml:space="preserve"> </v>
      </c>
      <c r="F487" s="7" t="str">
        <f>IF(A487=""," ",B487*VLOOKUP(A487,'01.01.2026 - 24.01.2026'!A:H,7,FALSE))</f>
        <v xml:space="preserve"> </v>
      </c>
      <c r="G487" s="7" t="str">
        <f>IF(A487=""," ",B487*VLOOKUP(A487,'01.01.2026 - 24.01.2026'!A:H,8,FALSE))</f>
        <v xml:space="preserve"> </v>
      </c>
    </row>
    <row r="488" spans="1:7" x14ac:dyDescent="0.3">
      <c r="A488" s="18"/>
      <c r="B488" s="23"/>
      <c r="C488" s="6" t="str">
        <f>IF(A488=""," ",VLOOKUP(A488,'01.01.2026 - 24.01.2026'!A:H,2,FALSE))</f>
        <v xml:space="preserve"> </v>
      </c>
      <c r="D488" s="30" t="str">
        <f>IF(A488=""," ",VLOOKUP(A488,'01.01.2026 - 24.01.2026'!A:H,5,FALSE))</f>
        <v xml:space="preserve"> </v>
      </c>
      <c r="E488" s="7" t="str">
        <f>IF(A488=""," ",B488*VLOOKUP(A488,'01.01.2026 - 24.01.2026'!A:H,6,FALSE))</f>
        <v xml:space="preserve"> </v>
      </c>
      <c r="F488" s="7" t="str">
        <f>IF(A488=""," ",B488*VLOOKUP(A488,'01.01.2026 - 24.01.2026'!A:H,7,FALSE))</f>
        <v xml:space="preserve"> </v>
      </c>
      <c r="G488" s="7" t="str">
        <f>IF(A488=""," ",B488*VLOOKUP(A488,'01.01.2026 - 24.01.2026'!A:H,8,FALSE))</f>
        <v xml:space="preserve"> </v>
      </c>
    </row>
    <row r="489" spans="1:7" x14ac:dyDescent="0.3">
      <c r="A489" s="18"/>
      <c r="B489" s="23"/>
      <c r="C489" s="6" t="str">
        <f>IF(A489=""," ",VLOOKUP(A489,'01.01.2026 - 24.01.2026'!A:H,2,FALSE))</f>
        <v xml:space="preserve"> </v>
      </c>
      <c r="D489" s="30" t="str">
        <f>IF(A489=""," ",VLOOKUP(A489,'01.01.2026 - 24.01.2026'!A:H,5,FALSE))</f>
        <v xml:space="preserve"> </v>
      </c>
      <c r="E489" s="7" t="str">
        <f>IF(A489=""," ",B489*VLOOKUP(A489,'01.01.2026 - 24.01.2026'!A:H,6,FALSE))</f>
        <v xml:space="preserve"> </v>
      </c>
      <c r="F489" s="7" t="str">
        <f>IF(A489=""," ",B489*VLOOKUP(A489,'01.01.2026 - 24.01.2026'!A:H,7,FALSE))</f>
        <v xml:space="preserve"> </v>
      </c>
      <c r="G489" s="7" t="str">
        <f>IF(A489=""," ",B489*VLOOKUP(A489,'01.01.2026 - 24.01.2026'!A:H,8,FALSE))</f>
        <v xml:space="preserve"> </v>
      </c>
    </row>
    <row r="490" spans="1:7" x14ac:dyDescent="0.3">
      <c r="A490" s="18"/>
      <c r="B490" s="23"/>
      <c r="C490" s="6" t="str">
        <f>IF(A490=""," ",VLOOKUP(A490,'01.01.2026 - 24.01.2026'!A:H,2,FALSE))</f>
        <v xml:space="preserve"> </v>
      </c>
      <c r="D490" s="30" t="str">
        <f>IF(A490=""," ",VLOOKUP(A490,'01.01.2026 - 24.01.2026'!A:H,5,FALSE))</f>
        <v xml:space="preserve"> </v>
      </c>
      <c r="E490" s="7" t="str">
        <f>IF(A490=""," ",B490*VLOOKUP(A490,'01.01.2026 - 24.01.2026'!A:H,6,FALSE))</f>
        <v xml:space="preserve"> </v>
      </c>
      <c r="F490" s="7" t="str">
        <f>IF(A490=""," ",B490*VLOOKUP(A490,'01.01.2026 - 24.01.2026'!A:H,7,FALSE))</f>
        <v xml:space="preserve"> </v>
      </c>
      <c r="G490" s="7" t="str">
        <f>IF(A490=""," ",B490*VLOOKUP(A490,'01.01.2026 - 24.01.2026'!A:H,8,FALSE))</f>
        <v xml:space="preserve"> </v>
      </c>
    </row>
    <row r="491" spans="1:7" x14ac:dyDescent="0.3">
      <c r="A491" s="18"/>
      <c r="B491" s="23"/>
      <c r="C491" s="6" t="str">
        <f>IF(A491=""," ",VLOOKUP(A491,'01.01.2026 - 24.01.2026'!A:H,2,FALSE))</f>
        <v xml:space="preserve"> </v>
      </c>
      <c r="D491" s="30" t="str">
        <f>IF(A491=""," ",VLOOKUP(A491,'01.01.2026 - 24.01.2026'!A:H,5,FALSE))</f>
        <v xml:space="preserve"> </v>
      </c>
      <c r="E491" s="7" t="str">
        <f>IF(A491=""," ",B491*VLOOKUP(A491,'01.01.2026 - 24.01.2026'!A:H,6,FALSE))</f>
        <v xml:space="preserve"> </v>
      </c>
      <c r="F491" s="7" t="str">
        <f>IF(A491=""," ",B491*VLOOKUP(A491,'01.01.2026 - 24.01.2026'!A:H,7,FALSE))</f>
        <v xml:space="preserve"> </v>
      </c>
      <c r="G491" s="7" t="str">
        <f>IF(A491=""," ",B491*VLOOKUP(A491,'01.01.2026 - 24.01.2026'!A:H,8,FALSE))</f>
        <v xml:space="preserve"> </v>
      </c>
    </row>
    <row r="492" spans="1:7" x14ac:dyDescent="0.3">
      <c r="A492" s="18"/>
      <c r="B492" s="23"/>
      <c r="C492" s="6" t="str">
        <f>IF(A492=""," ",VLOOKUP(A492,'01.01.2026 - 24.01.2026'!A:H,2,FALSE))</f>
        <v xml:space="preserve"> </v>
      </c>
      <c r="D492" s="30" t="str">
        <f>IF(A492=""," ",VLOOKUP(A492,'01.01.2026 - 24.01.2026'!A:H,5,FALSE))</f>
        <v xml:space="preserve"> </v>
      </c>
      <c r="E492" s="7" t="str">
        <f>IF(A492=""," ",B492*VLOOKUP(A492,'01.01.2026 - 24.01.2026'!A:H,6,FALSE))</f>
        <v xml:space="preserve"> </v>
      </c>
      <c r="F492" s="7" t="str">
        <f>IF(A492=""," ",B492*VLOOKUP(A492,'01.01.2026 - 24.01.2026'!A:H,7,FALSE))</f>
        <v xml:space="preserve"> </v>
      </c>
      <c r="G492" s="7" t="str">
        <f>IF(A492=""," ",B492*VLOOKUP(A492,'01.01.2026 - 24.01.2026'!A:H,8,FALSE))</f>
        <v xml:space="preserve"> </v>
      </c>
    </row>
    <row r="493" spans="1:7" x14ac:dyDescent="0.3">
      <c r="A493" s="18"/>
      <c r="B493" s="23"/>
      <c r="C493" s="6" t="str">
        <f>IF(A493=""," ",VLOOKUP(A493,'01.01.2026 - 24.01.2026'!A:H,2,FALSE))</f>
        <v xml:space="preserve"> </v>
      </c>
      <c r="D493" s="30" t="str">
        <f>IF(A493=""," ",VLOOKUP(A493,'01.01.2026 - 24.01.2026'!A:H,5,FALSE))</f>
        <v xml:space="preserve"> </v>
      </c>
      <c r="E493" s="7" t="str">
        <f>IF(A493=""," ",B493*VLOOKUP(A493,'01.01.2026 - 24.01.2026'!A:H,6,FALSE))</f>
        <v xml:space="preserve"> </v>
      </c>
      <c r="F493" s="7" t="str">
        <f>IF(A493=""," ",B493*VLOOKUP(A493,'01.01.2026 - 24.01.2026'!A:H,7,FALSE))</f>
        <v xml:space="preserve"> </v>
      </c>
      <c r="G493" s="7" t="str">
        <f>IF(A493=""," ",B493*VLOOKUP(A493,'01.01.2026 - 24.01.2026'!A:H,8,FALSE))</f>
        <v xml:space="preserve"> </v>
      </c>
    </row>
    <row r="494" spans="1:7" x14ac:dyDescent="0.3">
      <c r="A494" s="18"/>
      <c r="B494" s="23"/>
      <c r="C494" s="6" t="str">
        <f>IF(A494=""," ",VLOOKUP(A494,'01.01.2026 - 24.01.2026'!A:H,2,FALSE))</f>
        <v xml:space="preserve"> </v>
      </c>
      <c r="D494" s="30" t="str">
        <f>IF(A494=""," ",VLOOKUP(A494,'01.01.2026 - 24.01.2026'!A:H,5,FALSE))</f>
        <v xml:space="preserve"> </v>
      </c>
      <c r="E494" s="7" t="str">
        <f>IF(A494=""," ",B494*VLOOKUP(A494,'01.01.2026 - 24.01.2026'!A:H,6,FALSE))</f>
        <v xml:space="preserve"> </v>
      </c>
      <c r="F494" s="7" t="str">
        <f>IF(A494=""," ",B494*VLOOKUP(A494,'01.01.2026 - 24.01.2026'!A:H,7,FALSE))</f>
        <v xml:space="preserve"> </v>
      </c>
      <c r="G494" s="7" t="str">
        <f>IF(A494=""," ",B494*VLOOKUP(A494,'01.01.2026 - 24.01.2026'!A:H,8,FALSE))</f>
        <v xml:space="preserve"> </v>
      </c>
    </row>
    <row r="495" spans="1:7" x14ac:dyDescent="0.3">
      <c r="A495" s="18"/>
      <c r="B495" s="23"/>
      <c r="C495" s="6" t="str">
        <f>IF(A495=""," ",VLOOKUP(A495,'01.01.2026 - 24.01.2026'!A:H,2,FALSE))</f>
        <v xml:space="preserve"> </v>
      </c>
      <c r="D495" s="30" t="str">
        <f>IF(A495=""," ",VLOOKUP(A495,'01.01.2026 - 24.01.2026'!A:H,5,FALSE))</f>
        <v xml:space="preserve"> </v>
      </c>
      <c r="E495" s="7" t="str">
        <f>IF(A495=""," ",B495*VLOOKUP(A495,'01.01.2026 - 24.01.2026'!A:H,6,FALSE))</f>
        <v xml:space="preserve"> </v>
      </c>
      <c r="F495" s="7" t="str">
        <f>IF(A495=""," ",B495*VLOOKUP(A495,'01.01.2026 - 24.01.2026'!A:H,7,FALSE))</f>
        <v xml:space="preserve"> </v>
      </c>
      <c r="G495" s="7" t="str">
        <f>IF(A495=""," ",B495*VLOOKUP(A495,'01.01.2026 - 24.01.2026'!A:H,8,FALSE))</f>
        <v xml:space="preserve"> </v>
      </c>
    </row>
    <row r="496" spans="1:7" x14ac:dyDescent="0.3">
      <c r="A496" s="18"/>
      <c r="B496" s="23"/>
      <c r="C496" s="6" t="str">
        <f>IF(A496=""," ",VLOOKUP(A496,'01.01.2026 - 24.01.2026'!A:H,2,FALSE))</f>
        <v xml:space="preserve"> </v>
      </c>
      <c r="D496" s="30" t="str">
        <f>IF(A496=""," ",VLOOKUP(A496,'01.01.2026 - 24.01.2026'!A:H,5,FALSE))</f>
        <v xml:space="preserve"> </v>
      </c>
      <c r="E496" s="7" t="str">
        <f>IF(A496=""," ",B496*VLOOKUP(A496,'01.01.2026 - 24.01.2026'!A:H,6,FALSE))</f>
        <v xml:space="preserve"> </v>
      </c>
      <c r="F496" s="7" t="str">
        <f>IF(A496=""," ",B496*VLOOKUP(A496,'01.01.2026 - 24.01.2026'!A:H,7,FALSE))</f>
        <v xml:space="preserve"> </v>
      </c>
      <c r="G496" s="7" t="str">
        <f>IF(A496=""," ",B496*VLOOKUP(A496,'01.01.2026 - 24.01.2026'!A:H,8,FALSE))</f>
        <v xml:space="preserve"> </v>
      </c>
    </row>
    <row r="497" spans="1:7" x14ac:dyDescent="0.3">
      <c r="A497" s="18"/>
      <c r="B497" s="23"/>
      <c r="C497" s="6" t="str">
        <f>IF(A497=""," ",VLOOKUP(A497,'01.01.2026 - 24.01.2026'!A:H,2,FALSE))</f>
        <v xml:space="preserve"> </v>
      </c>
      <c r="D497" s="30" t="str">
        <f>IF(A497=""," ",VLOOKUP(A497,'01.01.2026 - 24.01.2026'!A:H,5,FALSE))</f>
        <v xml:space="preserve"> </v>
      </c>
      <c r="E497" s="7" t="str">
        <f>IF(A497=""," ",B497*VLOOKUP(A497,'01.01.2026 - 24.01.2026'!A:H,6,FALSE))</f>
        <v xml:space="preserve"> </v>
      </c>
      <c r="F497" s="7" t="str">
        <f>IF(A497=""," ",B497*VLOOKUP(A497,'01.01.2026 - 24.01.2026'!A:H,7,FALSE))</f>
        <v xml:space="preserve"> </v>
      </c>
      <c r="G497" s="7" t="str">
        <f>IF(A497=""," ",B497*VLOOKUP(A497,'01.01.2026 - 24.01.2026'!A:H,8,FALSE))</f>
        <v xml:space="preserve"> </v>
      </c>
    </row>
    <row r="498" spans="1:7" x14ac:dyDescent="0.3">
      <c r="A498" s="18"/>
      <c r="B498" s="23"/>
      <c r="C498" s="6" t="str">
        <f>IF(A498=""," ",VLOOKUP(A498,'01.01.2026 - 24.01.2026'!A:H,2,FALSE))</f>
        <v xml:space="preserve"> </v>
      </c>
      <c r="D498" s="30" t="str">
        <f>IF(A498=""," ",VLOOKUP(A498,'01.01.2026 - 24.01.2026'!A:H,5,FALSE))</f>
        <v xml:space="preserve"> </v>
      </c>
      <c r="E498" s="7" t="str">
        <f>IF(A498=""," ",B498*VLOOKUP(A498,'01.01.2026 - 24.01.2026'!A:H,6,FALSE))</f>
        <v xml:space="preserve"> </v>
      </c>
      <c r="F498" s="7" t="str">
        <f>IF(A498=""," ",B498*VLOOKUP(A498,'01.01.2026 - 24.01.2026'!A:H,7,FALSE))</f>
        <v xml:space="preserve"> </v>
      </c>
      <c r="G498" s="7" t="str">
        <f>IF(A498=""," ",B498*VLOOKUP(A498,'01.01.2026 - 24.01.2026'!A:H,8,FALSE))</f>
        <v xml:space="preserve"> </v>
      </c>
    </row>
    <row r="499" spans="1:7" x14ac:dyDescent="0.3">
      <c r="A499" s="18"/>
      <c r="B499" s="23"/>
      <c r="C499" s="6" t="str">
        <f>IF(A499=""," ",VLOOKUP(A499,'01.01.2026 - 24.01.2026'!A:H,2,FALSE))</f>
        <v xml:space="preserve"> </v>
      </c>
      <c r="D499" s="30" t="str">
        <f>IF(A499=""," ",VLOOKUP(A499,'01.01.2026 - 24.01.2026'!A:H,5,FALSE))</f>
        <v xml:space="preserve"> </v>
      </c>
      <c r="E499" s="7" t="str">
        <f>IF(A499=""," ",B499*VLOOKUP(A499,'01.01.2026 - 24.01.2026'!A:H,6,FALSE))</f>
        <v xml:space="preserve"> </v>
      </c>
      <c r="F499" s="7" t="str">
        <f>IF(A499=""," ",B499*VLOOKUP(A499,'01.01.2026 - 24.01.2026'!A:H,7,FALSE))</f>
        <v xml:space="preserve"> </v>
      </c>
      <c r="G499" s="7" t="str">
        <f>IF(A499=""," ",B499*VLOOKUP(A499,'01.01.2026 - 24.01.2026'!A:H,8,FALSE))</f>
        <v xml:space="preserve"> </v>
      </c>
    </row>
    <row r="500" spans="1:7" x14ac:dyDescent="0.3">
      <c r="A500" s="18"/>
      <c r="B500" s="23"/>
      <c r="C500" s="6" t="str">
        <f>IF(A500=""," ",VLOOKUP(A500,'01.01.2026 - 24.01.2026'!A:H,2,FALSE))</f>
        <v xml:space="preserve"> </v>
      </c>
      <c r="D500" s="30" t="str">
        <f>IF(A500=""," ",VLOOKUP(A500,'01.01.2026 - 24.01.2026'!A:H,5,FALSE))</f>
        <v xml:space="preserve"> </v>
      </c>
      <c r="E500" s="7" t="str">
        <f>IF(A500=""," ",B500*VLOOKUP(A500,'01.01.2026 - 24.01.2026'!A:H,6,FALSE))</f>
        <v xml:space="preserve"> </v>
      </c>
      <c r="F500" s="7" t="str">
        <f>IF(A500=""," ",B500*VLOOKUP(A500,'01.01.2026 - 24.01.2026'!A:H,7,FALSE))</f>
        <v xml:space="preserve"> </v>
      </c>
      <c r="G500" s="7" t="str">
        <f>IF(A500=""," ",B500*VLOOKUP(A500,'01.01.2026 - 24.01.2026'!A:H,8,FALSE))</f>
        <v xml:space="preserve"> </v>
      </c>
    </row>
    <row r="501" spans="1:7" x14ac:dyDescent="0.3">
      <c r="A501" s="18"/>
      <c r="B501" s="23"/>
      <c r="C501" s="6" t="str">
        <f>IF(A501=""," ",VLOOKUP(A501,'01.01.2026 - 24.01.2026'!A:H,2,FALSE))</f>
        <v xml:space="preserve"> </v>
      </c>
      <c r="D501" s="30" t="str">
        <f>IF(A501=""," ",VLOOKUP(A501,'01.01.2026 - 24.01.2026'!A:H,5,FALSE))</f>
        <v xml:space="preserve"> </v>
      </c>
      <c r="E501" s="7" t="str">
        <f>IF(A501=""," ",B501*VLOOKUP(A501,'01.01.2026 - 24.01.2026'!A:H,6,FALSE))</f>
        <v xml:space="preserve"> </v>
      </c>
      <c r="F501" s="7" t="str">
        <f>IF(A501=""," ",B501*VLOOKUP(A501,'01.01.2026 - 24.01.2026'!A:H,7,FALSE))</f>
        <v xml:space="preserve"> </v>
      </c>
      <c r="G501" s="7" t="str">
        <f>IF(A501=""," ",B501*VLOOKUP(A501,'01.01.2026 - 24.01.2026'!A:H,8,FALSE))</f>
        <v xml:space="preserve"> </v>
      </c>
    </row>
    <row r="502" spans="1:7" x14ac:dyDescent="0.3">
      <c r="A502" s="18"/>
      <c r="B502" s="23"/>
      <c r="C502" s="6" t="str">
        <f>IF(A502=""," ",VLOOKUP(A502,'01.01.2026 - 24.01.2026'!A:H,2,FALSE))</f>
        <v xml:space="preserve"> </v>
      </c>
      <c r="D502" s="30" t="str">
        <f>IF(A502=""," ",VLOOKUP(A502,'01.01.2026 - 24.01.2026'!A:H,5,FALSE))</f>
        <v xml:space="preserve"> </v>
      </c>
      <c r="E502" s="7" t="str">
        <f>IF(A502=""," ",B502*VLOOKUP(A502,'01.01.2026 - 24.01.2026'!A:H,6,FALSE))</f>
        <v xml:space="preserve"> </v>
      </c>
      <c r="F502" s="7" t="str">
        <f>IF(A502=""," ",B502*VLOOKUP(A502,'01.01.2026 - 24.01.2026'!A:H,7,FALSE))</f>
        <v xml:space="preserve"> </v>
      </c>
      <c r="G502" s="7" t="str">
        <f>IF(A502=""," ",B502*VLOOKUP(A502,'01.01.2026 - 24.01.2026'!A:H,8,FALSE))</f>
        <v xml:space="preserve"> </v>
      </c>
    </row>
    <row r="503" spans="1:7" x14ac:dyDescent="0.3">
      <c r="A503" s="18"/>
      <c r="B503" s="23"/>
      <c r="C503" s="6" t="str">
        <f>IF(A503=""," ",VLOOKUP(A503,'01.01.2026 - 24.01.2026'!A:H,2,FALSE))</f>
        <v xml:space="preserve"> </v>
      </c>
      <c r="D503" s="30" t="str">
        <f>IF(A503=""," ",VLOOKUP(A503,'01.01.2026 - 24.01.2026'!A:H,5,FALSE))</f>
        <v xml:space="preserve"> </v>
      </c>
      <c r="E503" s="7" t="str">
        <f>IF(A503=""," ",B503*VLOOKUP(A503,'01.01.2026 - 24.01.2026'!A:H,6,FALSE))</f>
        <v xml:space="preserve"> </v>
      </c>
      <c r="F503" s="7" t="str">
        <f>IF(A503=""," ",B503*VLOOKUP(A503,'01.01.2026 - 24.01.2026'!A:H,7,FALSE))</f>
        <v xml:space="preserve"> </v>
      </c>
      <c r="G503" s="7" t="str">
        <f>IF(A503=""," ",B503*VLOOKUP(A503,'01.01.2026 - 24.01.2026'!A:H,8,FALSE))</f>
        <v xml:space="preserve"> </v>
      </c>
    </row>
    <row r="504" spans="1:7" x14ac:dyDescent="0.3">
      <c r="A504" s="18"/>
      <c r="B504" s="23"/>
      <c r="C504" s="6" t="str">
        <f>IF(A504=""," ",VLOOKUP(A504,'01.01.2026 - 24.01.2026'!A:H,2,FALSE))</f>
        <v xml:space="preserve"> </v>
      </c>
      <c r="D504" s="30" t="str">
        <f>IF(A504=""," ",VLOOKUP(A504,'01.01.2026 - 24.01.2026'!A:H,5,FALSE))</f>
        <v xml:space="preserve"> </v>
      </c>
      <c r="E504" s="7" t="str">
        <f>IF(A504=""," ",B504*VLOOKUP(A504,'01.01.2026 - 24.01.2026'!A:H,6,FALSE))</f>
        <v xml:space="preserve"> </v>
      </c>
      <c r="F504" s="7" t="str">
        <f>IF(A504=""," ",B504*VLOOKUP(A504,'01.01.2026 - 24.01.2026'!A:H,7,FALSE))</f>
        <v xml:space="preserve"> </v>
      </c>
      <c r="G504" s="7" t="str">
        <f>IF(A504=""," ",B504*VLOOKUP(A504,'01.01.2026 - 24.01.2026'!A:H,8,FALSE))</f>
        <v xml:space="preserve"> </v>
      </c>
    </row>
    <row r="505" spans="1:7" x14ac:dyDescent="0.3">
      <c r="A505" s="18"/>
      <c r="B505" s="23"/>
      <c r="C505" s="6" t="str">
        <f>IF(A505=""," ",VLOOKUP(A505,'01.01.2026 - 24.01.2026'!A:H,2,FALSE))</f>
        <v xml:space="preserve"> </v>
      </c>
      <c r="D505" s="30" t="str">
        <f>IF(A505=""," ",VLOOKUP(A505,'01.01.2026 - 24.01.2026'!A:H,5,FALSE))</f>
        <v xml:space="preserve"> </v>
      </c>
      <c r="E505" s="7" t="str">
        <f>IF(A505=""," ",B505*VLOOKUP(A505,'01.01.2026 - 24.01.2026'!A:H,6,FALSE))</f>
        <v xml:space="preserve"> </v>
      </c>
      <c r="F505" s="7" t="str">
        <f>IF(A505=""," ",B505*VLOOKUP(A505,'01.01.2026 - 24.01.2026'!A:H,7,FALSE))</f>
        <v xml:space="preserve"> </v>
      </c>
      <c r="G505" s="7" t="str">
        <f>IF(A505=""," ",B505*VLOOKUP(A505,'01.01.2026 - 24.01.2026'!A:H,8,FALSE))</f>
        <v xml:space="preserve"> </v>
      </c>
    </row>
    <row r="506" spans="1:7" x14ac:dyDescent="0.3">
      <c r="A506" s="18"/>
      <c r="B506" s="23"/>
      <c r="C506" s="6" t="str">
        <f>IF(A506=""," ",VLOOKUP(A506,'01.01.2026 - 24.01.2026'!A:H,2,FALSE))</f>
        <v xml:space="preserve"> </v>
      </c>
      <c r="D506" s="30" t="str">
        <f>IF(A506=""," ",VLOOKUP(A506,'01.01.2026 - 24.01.2026'!A:H,5,FALSE))</f>
        <v xml:space="preserve"> </v>
      </c>
      <c r="E506" s="7" t="str">
        <f>IF(A506=""," ",B506*VLOOKUP(A506,'01.01.2026 - 24.01.2026'!A:H,6,FALSE))</f>
        <v xml:space="preserve"> </v>
      </c>
      <c r="F506" s="7" t="str">
        <f>IF(A506=""," ",B506*VLOOKUP(A506,'01.01.2026 - 24.01.2026'!A:H,7,FALSE))</f>
        <v xml:space="preserve"> </v>
      </c>
      <c r="G506" s="7" t="str">
        <f>IF(A506=""," ",B506*VLOOKUP(A506,'01.01.2026 - 24.01.2026'!A:H,8,FALSE))</f>
        <v xml:space="preserve"> </v>
      </c>
    </row>
    <row r="507" spans="1:7" x14ac:dyDescent="0.3">
      <c r="A507" s="18"/>
      <c r="B507" s="23"/>
      <c r="C507" s="6" t="str">
        <f>IF(A507=""," ",VLOOKUP(A507,'01.01.2026 - 24.01.2026'!A:H,2,FALSE))</f>
        <v xml:space="preserve"> </v>
      </c>
      <c r="D507" s="30" t="str">
        <f>IF(A507=""," ",VLOOKUP(A507,'01.01.2026 - 24.01.2026'!A:H,5,FALSE))</f>
        <v xml:space="preserve"> </v>
      </c>
      <c r="E507" s="7" t="str">
        <f>IF(A507=""," ",B507*VLOOKUP(A507,'01.01.2026 - 24.01.2026'!A:H,6,FALSE))</f>
        <v xml:space="preserve"> </v>
      </c>
      <c r="F507" s="7" t="str">
        <f>IF(A507=""," ",B507*VLOOKUP(A507,'01.01.2026 - 24.01.2026'!A:H,7,FALSE))</f>
        <v xml:space="preserve"> </v>
      </c>
      <c r="G507" s="7" t="str">
        <f>IF(A507=""," ",B507*VLOOKUP(A507,'01.01.2026 - 24.01.2026'!A:H,8,FALSE))</f>
        <v xml:space="preserve"> </v>
      </c>
    </row>
    <row r="508" spans="1:7" x14ac:dyDescent="0.3">
      <c r="A508" s="18"/>
      <c r="B508" s="23"/>
      <c r="C508" s="6" t="str">
        <f>IF(A508=""," ",VLOOKUP(A508,'01.01.2026 - 24.01.2026'!A:H,2,FALSE))</f>
        <v xml:space="preserve"> </v>
      </c>
      <c r="D508" s="30" t="str">
        <f>IF(A508=""," ",VLOOKUP(A508,'01.01.2026 - 24.01.2026'!A:H,5,FALSE))</f>
        <v xml:space="preserve"> </v>
      </c>
      <c r="E508" s="7" t="str">
        <f>IF(A508=""," ",B508*VLOOKUP(A508,'01.01.2026 - 24.01.2026'!A:H,6,FALSE))</f>
        <v xml:space="preserve"> </v>
      </c>
      <c r="F508" s="7" t="str">
        <f>IF(A508=""," ",B508*VLOOKUP(A508,'01.01.2026 - 24.01.2026'!A:H,7,FALSE))</f>
        <v xml:space="preserve"> </v>
      </c>
      <c r="G508" s="7" t="str">
        <f>IF(A508=""," ",B508*VLOOKUP(A508,'01.01.2026 - 24.01.2026'!A:H,8,FALSE))</f>
        <v xml:space="preserve"> </v>
      </c>
    </row>
    <row r="509" spans="1:7" x14ac:dyDescent="0.3">
      <c r="A509" s="18"/>
      <c r="B509" s="23"/>
      <c r="C509" s="6" t="str">
        <f>IF(A509=""," ",VLOOKUP(A509,'01.01.2026 - 24.01.2026'!A:H,2,FALSE))</f>
        <v xml:space="preserve"> </v>
      </c>
      <c r="D509" s="30" t="str">
        <f>IF(A509=""," ",VLOOKUP(A509,'01.01.2026 - 24.01.2026'!A:H,5,FALSE))</f>
        <v xml:space="preserve"> </v>
      </c>
      <c r="E509" s="7" t="str">
        <f>IF(A509=""," ",B509*VLOOKUP(A509,'01.01.2026 - 24.01.2026'!A:H,6,FALSE))</f>
        <v xml:space="preserve"> </v>
      </c>
      <c r="F509" s="7" t="str">
        <f>IF(A509=""," ",B509*VLOOKUP(A509,'01.01.2026 - 24.01.2026'!A:H,7,FALSE))</f>
        <v xml:space="preserve"> </v>
      </c>
      <c r="G509" s="7" t="str">
        <f>IF(A509=""," ",B509*VLOOKUP(A509,'01.01.2026 - 24.01.2026'!A:H,8,FALSE))</f>
        <v xml:space="preserve"> </v>
      </c>
    </row>
    <row r="510" spans="1:7" x14ac:dyDescent="0.3">
      <c r="A510" s="18"/>
      <c r="B510" s="23"/>
      <c r="C510" s="6" t="str">
        <f>IF(A510=""," ",VLOOKUP(A510,'01.01.2026 - 24.01.2026'!A:H,2,FALSE))</f>
        <v xml:space="preserve"> </v>
      </c>
      <c r="D510" s="30" t="str">
        <f>IF(A510=""," ",VLOOKUP(A510,'01.01.2026 - 24.01.2026'!A:H,5,FALSE))</f>
        <v xml:space="preserve"> </v>
      </c>
      <c r="E510" s="7" t="str">
        <f>IF(A510=""," ",B510*VLOOKUP(A510,'01.01.2026 - 24.01.2026'!A:H,6,FALSE))</f>
        <v xml:space="preserve"> </v>
      </c>
      <c r="F510" s="7" t="str">
        <f>IF(A510=""," ",B510*VLOOKUP(A510,'01.01.2026 - 24.01.2026'!A:H,7,FALSE))</f>
        <v xml:space="preserve"> </v>
      </c>
      <c r="G510" s="7" t="str">
        <f>IF(A510=""," ",B510*VLOOKUP(A510,'01.01.2026 - 24.01.2026'!A:H,8,FALSE))</f>
        <v xml:space="preserve"> </v>
      </c>
    </row>
    <row r="511" spans="1:7" x14ac:dyDescent="0.3">
      <c r="A511" s="18"/>
      <c r="B511" s="23"/>
      <c r="C511" s="6" t="str">
        <f>IF(A511=""," ",VLOOKUP(A511,'01.01.2026 - 24.01.2026'!A:H,2,FALSE))</f>
        <v xml:space="preserve"> </v>
      </c>
      <c r="D511" s="30" t="str">
        <f>IF(A511=""," ",VLOOKUP(A511,'01.01.2026 - 24.01.2026'!A:H,5,FALSE))</f>
        <v xml:space="preserve"> </v>
      </c>
      <c r="E511" s="7" t="str">
        <f>IF(A511=""," ",B511*VLOOKUP(A511,'01.01.2026 - 24.01.2026'!A:H,6,FALSE))</f>
        <v xml:space="preserve"> </v>
      </c>
      <c r="F511" s="7" t="str">
        <f>IF(A511=""," ",B511*VLOOKUP(A511,'01.01.2026 - 24.01.2026'!A:H,7,FALSE))</f>
        <v xml:space="preserve"> </v>
      </c>
      <c r="G511" s="7" t="str">
        <f>IF(A511=""," ",B511*VLOOKUP(A511,'01.01.2026 - 24.01.2026'!A:H,8,FALSE))</f>
        <v xml:space="preserve"> </v>
      </c>
    </row>
    <row r="512" spans="1:7" x14ac:dyDescent="0.3">
      <c r="A512" s="18"/>
      <c r="B512" s="23"/>
      <c r="C512" s="6" t="str">
        <f>IF(A512=""," ",VLOOKUP(A512,'01.01.2026 - 24.01.2026'!A:H,2,FALSE))</f>
        <v xml:space="preserve"> </v>
      </c>
      <c r="D512" s="30" t="str">
        <f>IF(A512=""," ",VLOOKUP(A512,'01.01.2026 - 24.01.2026'!A:H,5,FALSE))</f>
        <v xml:space="preserve"> </v>
      </c>
      <c r="E512" s="7" t="str">
        <f>IF(A512=""," ",B512*VLOOKUP(A512,'01.01.2026 - 24.01.2026'!A:H,6,FALSE))</f>
        <v xml:space="preserve"> </v>
      </c>
      <c r="F512" s="7" t="str">
        <f>IF(A512=""," ",B512*VLOOKUP(A512,'01.01.2026 - 24.01.2026'!A:H,7,FALSE))</f>
        <v xml:space="preserve"> </v>
      </c>
      <c r="G512" s="7" t="str">
        <f>IF(A512=""," ",B512*VLOOKUP(A512,'01.01.2026 - 24.01.2026'!A:H,8,FALSE))</f>
        <v xml:space="preserve"> </v>
      </c>
    </row>
    <row r="513" spans="1:7" x14ac:dyDescent="0.3">
      <c r="A513" s="18"/>
      <c r="B513" s="23"/>
      <c r="C513" s="6" t="str">
        <f>IF(A513=""," ",VLOOKUP(A513,'01.01.2026 - 24.01.2026'!A:H,2,FALSE))</f>
        <v xml:space="preserve"> </v>
      </c>
      <c r="D513" s="30" t="str">
        <f>IF(A513=""," ",VLOOKUP(A513,'01.01.2026 - 24.01.2026'!A:H,5,FALSE))</f>
        <v xml:space="preserve"> </v>
      </c>
      <c r="E513" s="7" t="str">
        <f>IF(A513=""," ",B513*VLOOKUP(A513,'01.01.2026 - 24.01.2026'!A:H,6,FALSE))</f>
        <v xml:space="preserve"> </v>
      </c>
      <c r="F513" s="7" t="str">
        <f>IF(A513=""," ",B513*VLOOKUP(A513,'01.01.2026 - 24.01.2026'!A:H,7,FALSE))</f>
        <v xml:space="preserve"> </v>
      </c>
      <c r="G513" s="7" t="str">
        <f>IF(A513=""," ",B513*VLOOKUP(A513,'01.01.2026 - 24.01.2026'!A:H,8,FALSE))</f>
        <v xml:space="preserve"> </v>
      </c>
    </row>
    <row r="514" spans="1:7" x14ac:dyDescent="0.3">
      <c r="A514" s="18"/>
      <c r="B514" s="23"/>
      <c r="C514" s="6" t="str">
        <f>IF(A514=""," ",VLOOKUP(A514,'01.01.2026 - 24.01.2026'!A:H,2,FALSE))</f>
        <v xml:space="preserve"> </v>
      </c>
      <c r="D514" s="30" t="str">
        <f>IF(A514=""," ",VLOOKUP(A514,'01.01.2026 - 24.01.2026'!A:H,5,FALSE))</f>
        <v xml:space="preserve"> </v>
      </c>
      <c r="E514" s="7" t="str">
        <f>IF(A514=""," ",B514*VLOOKUP(A514,'01.01.2026 - 24.01.2026'!A:H,6,FALSE))</f>
        <v xml:space="preserve"> </v>
      </c>
      <c r="F514" s="7" t="str">
        <f>IF(A514=""," ",B514*VLOOKUP(A514,'01.01.2026 - 24.01.2026'!A:H,7,FALSE))</f>
        <v xml:space="preserve"> </v>
      </c>
      <c r="G514" s="7" t="str">
        <f>IF(A514=""," ",B514*VLOOKUP(A514,'01.01.2026 - 24.01.2026'!A:H,8,FALSE))</f>
        <v xml:space="preserve"> </v>
      </c>
    </row>
    <row r="515" spans="1:7" x14ac:dyDescent="0.3">
      <c r="A515" s="18"/>
      <c r="B515" s="23"/>
      <c r="C515" s="6" t="str">
        <f>IF(A515=""," ",VLOOKUP(A515,'01.01.2026 - 24.01.2026'!A:H,2,FALSE))</f>
        <v xml:space="preserve"> </v>
      </c>
      <c r="D515" s="30" t="str">
        <f>IF(A515=""," ",VLOOKUP(A515,'01.01.2026 - 24.01.2026'!A:H,5,FALSE))</f>
        <v xml:space="preserve"> </v>
      </c>
      <c r="E515" s="7" t="str">
        <f>IF(A515=""," ",B515*VLOOKUP(A515,'01.01.2026 - 24.01.2026'!A:H,6,FALSE))</f>
        <v xml:space="preserve"> </v>
      </c>
      <c r="F515" s="7" t="str">
        <f>IF(A515=""," ",B515*VLOOKUP(A515,'01.01.2026 - 24.01.2026'!A:H,7,FALSE))</f>
        <v xml:space="preserve"> </v>
      </c>
      <c r="G515" s="7" t="str">
        <f>IF(A515=""," ",B515*VLOOKUP(A515,'01.01.2026 - 24.01.2026'!A:H,8,FALSE))</f>
        <v xml:space="preserve"> </v>
      </c>
    </row>
    <row r="516" spans="1:7" x14ac:dyDescent="0.3">
      <c r="A516" s="18"/>
      <c r="B516" s="23"/>
      <c r="C516" s="6" t="str">
        <f>IF(A516=""," ",VLOOKUP(A516,'01.01.2026 - 24.01.2026'!A:H,2,FALSE))</f>
        <v xml:space="preserve"> </v>
      </c>
      <c r="D516" s="30" t="str">
        <f>IF(A516=""," ",VLOOKUP(A516,'01.01.2026 - 24.01.2026'!A:H,5,FALSE))</f>
        <v xml:space="preserve"> </v>
      </c>
      <c r="E516" s="7" t="str">
        <f>IF(A516=""," ",B516*VLOOKUP(A516,'01.01.2026 - 24.01.2026'!A:H,6,FALSE))</f>
        <v xml:space="preserve"> </v>
      </c>
      <c r="F516" s="7" t="str">
        <f>IF(A516=""," ",B516*VLOOKUP(A516,'01.01.2026 - 24.01.2026'!A:H,7,FALSE))</f>
        <v xml:space="preserve"> </v>
      </c>
      <c r="G516" s="7" t="str">
        <f>IF(A516=""," ",B516*VLOOKUP(A516,'01.01.2026 - 24.01.2026'!A:H,8,FALSE))</f>
        <v xml:space="preserve"> </v>
      </c>
    </row>
    <row r="517" spans="1:7" x14ac:dyDescent="0.3">
      <c r="A517" s="18"/>
      <c r="B517" s="23"/>
      <c r="C517" s="6" t="str">
        <f>IF(A517=""," ",VLOOKUP(A517,'01.01.2026 - 24.01.2026'!A:H,2,FALSE))</f>
        <v xml:space="preserve"> </v>
      </c>
      <c r="D517" s="30" t="str">
        <f>IF(A517=""," ",VLOOKUP(A517,'01.01.2026 - 24.01.2026'!A:H,5,FALSE))</f>
        <v xml:space="preserve"> </v>
      </c>
      <c r="E517" s="7" t="str">
        <f>IF(A517=""," ",B517*VLOOKUP(A517,'01.01.2026 - 24.01.2026'!A:H,6,FALSE))</f>
        <v xml:space="preserve"> </v>
      </c>
      <c r="F517" s="7" t="str">
        <f>IF(A517=""," ",B517*VLOOKUP(A517,'01.01.2026 - 24.01.2026'!A:H,7,FALSE))</f>
        <v xml:space="preserve"> </v>
      </c>
      <c r="G517" s="7" t="str">
        <f>IF(A517=""," ",B517*VLOOKUP(A517,'01.01.2026 - 24.01.2026'!A:H,8,FALSE))</f>
        <v xml:space="preserve"> </v>
      </c>
    </row>
    <row r="518" spans="1:7" x14ac:dyDescent="0.3">
      <c r="A518" s="18"/>
      <c r="B518" s="23"/>
      <c r="C518" s="6" t="str">
        <f>IF(A518=""," ",VLOOKUP(A518,'01.01.2026 - 24.01.2026'!A:H,2,FALSE))</f>
        <v xml:space="preserve"> </v>
      </c>
      <c r="D518" s="30" t="str">
        <f>IF(A518=""," ",VLOOKUP(A518,'01.01.2026 - 24.01.2026'!A:H,5,FALSE))</f>
        <v xml:space="preserve"> </v>
      </c>
      <c r="E518" s="7" t="str">
        <f>IF(A518=""," ",B518*VLOOKUP(A518,'01.01.2026 - 24.01.2026'!A:H,6,FALSE))</f>
        <v xml:space="preserve"> </v>
      </c>
      <c r="F518" s="7" t="str">
        <f>IF(A518=""," ",B518*VLOOKUP(A518,'01.01.2026 - 24.01.2026'!A:H,7,FALSE))</f>
        <v xml:space="preserve"> </v>
      </c>
      <c r="G518" s="7" t="str">
        <f>IF(A518=""," ",B518*VLOOKUP(A518,'01.01.2026 - 24.01.2026'!A:H,8,FALSE))</f>
        <v xml:space="preserve"> </v>
      </c>
    </row>
    <row r="519" spans="1:7" x14ac:dyDescent="0.3">
      <c r="A519" s="18"/>
      <c r="B519" s="23"/>
      <c r="C519" s="6" t="str">
        <f>IF(A519=""," ",VLOOKUP(A519,'01.01.2026 - 24.01.2026'!A:H,2,FALSE))</f>
        <v xml:space="preserve"> </v>
      </c>
      <c r="D519" s="30" t="str">
        <f>IF(A519=""," ",VLOOKUP(A519,'01.01.2026 - 24.01.2026'!A:H,5,FALSE))</f>
        <v xml:space="preserve"> </v>
      </c>
      <c r="E519" s="7" t="str">
        <f>IF(A519=""," ",B519*VLOOKUP(A519,'01.01.2026 - 24.01.2026'!A:H,6,FALSE))</f>
        <v xml:space="preserve"> </v>
      </c>
      <c r="F519" s="7" t="str">
        <f>IF(A519=""," ",B519*VLOOKUP(A519,'01.01.2026 - 24.01.2026'!A:H,7,FALSE))</f>
        <v xml:space="preserve"> </v>
      </c>
      <c r="G519" s="7" t="str">
        <f>IF(A519=""," ",B519*VLOOKUP(A519,'01.01.2026 - 24.01.2026'!A:H,8,FALSE))</f>
        <v xml:space="preserve"> </v>
      </c>
    </row>
    <row r="520" spans="1:7" x14ac:dyDescent="0.3">
      <c r="A520" s="18"/>
      <c r="B520" s="23"/>
      <c r="C520" s="6" t="str">
        <f>IF(A520=""," ",VLOOKUP(A520,'01.01.2026 - 24.01.2026'!A:H,2,FALSE))</f>
        <v xml:space="preserve"> </v>
      </c>
      <c r="D520" s="30" t="str">
        <f>IF(A520=""," ",VLOOKUP(A520,'01.01.2026 - 24.01.2026'!A:H,5,FALSE))</f>
        <v xml:space="preserve"> </v>
      </c>
      <c r="E520" s="7" t="str">
        <f>IF(A520=""," ",B520*VLOOKUP(A520,'01.01.2026 - 24.01.2026'!A:H,6,FALSE))</f>
        <v xml:space="preserve"> </v>
      </c>
      <c r="F520" s="7" t="str">
        <f>IF(A520=""," ",B520*VLOOKUP(A520,'01.01.2026 - 24.01.2026'!A:H,7,FALSE))</f>
        <v xml:space="preserve"> </v>
      </c>
      <c r="G520" s="7" t="str">
        <f>IF(A520=""," ",B520*VLOOKUP(A520,'01.01.2026 - 24.01.2026'!A:H,8,FALSE))</f>
        <v xml:space="preserve"> </v>
      </c>
    </row>
    <row r="521" spans="1:7" x14ac:dyDescent="0.3">
      <c r="A521" s="18"/>
      <c r="B521" s="23"/>
      <c r="C521" s="6" t="str">
        <f>IF(A521=""," ",VLOOKUP(A521,'01.01.2026 - 24.01.2026'!A:H,2,FALSE))</f>
        <v xml:space="preserve"> </v>
      </c>
      <c r="D521" s="30" t="str">
        <f>IF(A521=""," ",VLOOKUP(A521,'01.01.2026 - 24.01.2026'!A:H,5,FALSE))</f>
        <v xml:space="preserve"> </v>
      </c>
      <c r="E521" s="7" t="str">
        <f>IF(A521=""," ",B521*VLOOKUP(A521,'01.01.2026 - 24.01.2026'!A:H,6,FALSE))</f>
        <v xml:space="preserve"> </v>
      </c>
      <c r="F521" s="7" t="str">
        <f>IF(A521=""," ",B521*VLOOKUP(A521,'01.01.2026 - 24.01.2026'!A:H,7,FALSE))</f>
        <v xml:space="preserve"> </v>
      </c>
      <c r="G521" s="7" t="str">
        <f>IF(A521=""," ",B521*VLOOKUP(A521,'01.01.2026 - 24.01.2026'!A:H,8,FALSE))</f>
        <v xml:space="preserve"> </v>
      </c>
    </row>
    <row r="522" spans="1:7" x14ac:dyDescent="0.3">
      <c r="A522" s="18"/>
      <c r="B522" s="23"/>
      <c r="C522" s="6" t="str">
        <f>IF(A522=""," ",VLOOKUP(A522,'01.01.2026 - 24.01.2026'!A:H,2,FALSE))</f>
        <v xml:space="preserve"> </v>
      </c>
      <c r="D522" s="30" t="str">
        <f>IF(A522=""," ",VLOOKUP(A522,'01.01.2026 - 24.01.2026'!A:H,5,FALSE))</f>
        <v xml:space="preserve"> </v>
      </c>
      <c r="E522" s="7" t="str">
        <f>IF(A522=""," ",B522*VLOOKUP(A522,'01.01.2026 - 24.01.2026'!A:H,6,FALSE))</f>
        <v xml:space="preserve"> </v>
      </c>
      <c r="F522" s="7" t="str">
        <f>IF(A522=""," ",B522*VLOOKUP(A522,'01.01.2026 - 24.01.2026'!A:H,7,FALSE))</f>
        <v xml:space="preserve"> </v>
      </c>
      <c r="G522" s="7" t="str">
        <f>IF(A522=""," ",B522*VLOOKUP(A522,'01.01.2026 - 24.01.2026'!A:H,8,FALSE))</f>
        <v xml:space="preserve"> </v>
      </c>
    </row>
    <row r="523" spans="1:7" x14ac:dyDescent="0.3">
      <c r="A523" s="18"/>
      <c r="B523" s="23"/>
      <c r="C523" s="6" t="str">
        <f>IF(A523=""," ",VLOOKUP(A523,'01.01.2026 - 24.01.2026'!A:H,2,FALSE))</f>
        <v xml:space="preserve"> </v>
      </c>
      <c r="D523" s="30" t="str">
        <f>IF(A523=""," ",VLOOKUP(A523,'01.01.2026 - 24.01.2026'!A:H,5,FALSE))</f>
        <v xml:space="preserve"> </v>
      </c>
      <c r="E523" s="7" t="str">
        <f>IF(A523=""," ",B523*VLOOKUP(A523,'01.01.2026 - 24.01.2026'!A:H,6,FALSE))</f>
        <v xml:space="preserve"> </v>
      </c>
      <c r="F523" s="7" t="str">
        <f>IF(A523=""," ",B523*VLOOKUP(A523,'01.01.2026 - 24.01.2026'!A:H,7,FALSE))</f>
        <v xml:space="preserve"> </v>
      </c>
      <c r="G523" s="7" t="str">
        <f>IF(A523=""," ",B523*VLOOKUP(A523,'01.01.2026 - 24.01.2026'!A:H,8,FALSE))</f>
        <v xml:space="preserve"> </v>
      </c>
    </row>
    <row r="524" spans="1:7" x14ac:dyDescent="0.3">
      <c r="A524" s="18"/>
      <c r="B524" s="23"/>
      <c r="C524" s="6" t="str">
        <f>IF(A524=""," ",VLOOKUP(A524,'01.01.2026 - 24.01.2026'!A:H,2,FALSE))</f>
        <v xml:space="preserve"> </v>
      </c>
      <c r="D524" s="30" t="str">
        <f>IF(A524=""," ",VLOOKUP(A524,'01.01.2026 - 24.01.2026'!A:H,5,FALSE))</f>
        <v xml:space="preserve"> </v>
      </c>
      <c r="E524" s="7" t="str">
        <f>IF(A524=""," ",B524*VLOOKUP(A524,'01.01.2026 - 24.01.2026'!A:H,6,FALSE))</f>
        <v xml:space="preserve"> </v>
      </c>
      <c r="F524" s="7" t="str">
        <f>IF(A524=""," ",B524*VLOOKUP(A524,'01.01.2026 - 24.01.2026'!A:H,7,FALSE))</f>
        <v xml:space="preserve"> </v>
      </c>
      <c r="G524" s="7" t="str">
        <f>IF(A524=""," ",B524*VLOOKUP(A524,'01.01.2026 - 24.01.2026'!A:H,8,FALSE))</f>
        <v xml:space="preserve"> </v>
      </c>
    </row>
    <row r="525" spans="1:7" x14ac:dyDescent="0.3">
      <c r="A525" s="18"/>
      <c r="B525" s="23"/>
      <c r="C525" s="6" t="str">
        <f>IF(A525=""," ",VLOOKUP(A525,'01.01.2026 - 24.01.2026'!A:H,2,FALSE))</f>
        <v xml:space="preserve"> </v>
      </c>
      <c r="D525" s="30" t="str">
        <f>IF(A525=""," ",VLOOKUP(A525,'01.01.2026 - 24.01.2026'!A:H,5,FALSE))</f>
        <v xml:space="preserve"> </v>
      </c>
      <c r="E525" s="7" t="str">
        <f>IF(A525=""," ",B525*VLOOKUP(A525,'01.01.2026 - 24.01.2026'!A:H,6,FALSE))</f>
        <v xml:space="preserve"> </v>
      </c>
      <c r="F525" s="7" t="str">
        <f>IF(A525=""," ",B525*VLOOKUP(A525,'01.01.2026 - 24.01.2026'!A:H,7,FALSE))</f>
        <v xml:space="preserve"> </v>
      </c>
      <c r="G525" s="7" t="str">
        <f>IF(A525=""," ",B525*VLOOKUP(A525,'01.01.2026 - 24.01.2026'!A:H,8,FALSE))</f>
        <v xml:space="preserve"> </v>
      </c>
    </row>
    <row r="526" spans="1:7" x14ac:dyDescent="0.3">
      <c r="A526" s="18"/>
      <c r="B526" s="23"/>
      <c r="C526" s="6" t="str">
        <f>IF(A526=""," ",VLOOKUP(A526,'01.01.2026 - 24.01.2026'!A:H,2,FALSE))</f>
        <v xml:space="preserve"> </v>
      </c>
      <c r="D526" s="30" t="str">
        <f>IF(A526=""," ",VLOOKUP(A526,'01.01.2026 - 24.01.2026'!A:H,5,FALSE))</f>
        <v xml:space="preserve"> </v>
      </c>
      <c r="E526" s="7" t="str">
        <f>IF(A526=""," ",B526*VLOOKUP(A526,'01.01.2026 - 24.01.2026'!A:H,6,FALSE))</f>
        <v xml:space="preserve"> </v>
      </c>
      <c r="F526" s="7" t="str">
        <f>IF(A526=""," ",B526*VLOOKUP(A526,'01.01.2026 - 24.01.2026'!A:H,7,FALSE))</f>
        <v xml:space="preserve"> </v>
      </c>
      <c r="G526" s="7" t="str">
        <f>IF(A526=""," ",B526*VLOOKUP(A526,'01.01.2026 - 24.01.2026'!A:H,8,FALSE))</f>
        <v xml:space="preserve"> </v>
      </c>
    </row>
    <row r="527" spans="1:7" x14ac:dyDescent="0.3">
      <c r="A527" s="18"/>
      <c r="B527" s="23"/>
      <c r="C527" s="6" t="str">
        <f>IF(A527=""," ",VLOOKUP(A527,'01.01.2026 - 24.01.2026'!A:H,2,FALSE))</f>
        <v xml:space="preserve"> </v>
      </c>
      <c r="D527" s="30" t="str">
        <f>IF(A527=""," ",VLOOKUP(A527,'01.01.2026 - 24.01.2026'!A:H,5,FALSE))</f>
        <v xml:space="preserve"> </v>
      </c>
      <c r="E527" s="7" t="str">
        <f>IF(A527=""," ",B527*VLOOKUP(A527,'01.01.2026 - 24.01.2026'!A:H,6,FALSE))</f>
        <v xml:space="preserve"> </v>
      </c>
      <c r="F527" s="7" t="str">
        <f>IF(A527=""," ",B527*VLOOKUP(A527,'01.01.2026 - 24.01.2026'!A:H,7,FALSE))</f>
        <v xml:space="preserve"> </v>
      </c>
      <c r="G527" s="7" t="str">
        <f>IF(A527=""," ",B527*VLOOKUP(A527,'01.01.2026 - 24.01.2026'!A:H,8,FALSE))</f>
        <v xml:space="preserve"> </v>
      </c>
    </row>
    <row r="528" spans="1:7" x14ac:dyDescent="0.3">
      <c r="A528" s="18"/>
      <c r="B528" s="23"/>
      <c r="C528" s="6" t="str">
        <f>IF(A528=""," ",VLOOKUP(A528,'01.01.2026 - 24.01.2026'!A:H,2,FALSE))</f>
        <v xml:space="preserve"> </v>
      </c>
      <c r="D528" s="30" t="str">
        <f>IF(A528=""," ",VLOOKUP(A528,'01.01.2026 - 24.01.2026'!A:H,5,FALSE))</f>
        <v xml:space="preserve"> </v>
      </c>
      <c r="E528" s="7" t="str">
        <f>IF(A528=""," ",B528*VLOOKUP(A528,'01.01.2026 - 24.01.2026'!A:H,6,FALSE))</f>
        <v xml:space="preserve"> </v>
      </c>
      <c r="F528" s="7" t="str">
        <f>IF(A528=""," ",B528*VLOOKUP(A528,'01.01.2026 - 24.01.2026'!A:H,7,FALSE))</f>
        <v xml:space="preserve"> </v>
      </c>
      <c r="G528" s="7" t="str">
        <f>IF(A528=""," ",B528*VLOOKUP(A528,'01.01.2026 - 24.01.2026'!A:H,8,FALSE))</f>
        <v xml:space="preserve"> </v>
      </c>
    </row>
    <row r="529" spans="1:7" x14ac:dyDescent="0.3">
      <c r="A529" s="18"/>
      <c r="B529" s="23"/>
      <c r="C529" s="6" t="str">
        <f>IF(A529=""," ",VLOOKUP(A529,'01.01.2026 - 24.01.2026'!A:H,2,FALSE))</f>
        <v xml:space="preserve"> </v>
      </c>
      <c r="D529" s="30" t="str">
        <f>IF(A529=""," ",VLOOKUP(A529,'01.01.2026 - 24.01.2026'!A:H,5,FALSE))</f>
        <v xml:space="preserve"> </v>
      </c>
      <c r="E529" s="7" t="str">
        <f>IF(A529=""," ",B529*VLOOKUP(A529,'01.01.2026 - 24.01.2026'!A:H,6,FALSE))</f>
        <v xml:space="preserve"> </v>
      </c>
      <c r="F529" s="7" t="str">
        <f>IF(A529=""," ",B529*VLOOKUP(A529,'01.01.2026 - 24.01.2026'!A:H,7,FALSE))</f>
        <v xml:space="preserve"> </v>
      </c>
      <c r="G529" s="7" t="str">
        <f>IF(A529=""," ",B529*VLOOKUP(A529,'01.01.2026 - 24.01.2026'!A:H,8,FALSE))</f>
        <v xml:space="preserve"> </v>
      </c>
    </row>
    <row r="530" spans="1:7" x14ac:dyDescent="0.3">
      <c r="A530" s="18"/>
      <c r="B530" s="23"/>
      <c r="C530" s="6" t="str">
        <f>IF(A530=""," ",VLOOKUP(A530,'01.01.2026 - 24.01.2026'!A:H,2,FALSE))</f>
        <v xml:space="preserve"> </v>
      </c>
      <c r="D530" s="30" t="str">
        <f>IF(A530=""," ",VLOOKUP(A530,'01.01.2026 - 24.01.2026'!A:H,5,FALSE))</f>
        <v xml:space="preserve"> </v>
      </c>
      <c r="E530" s="7" t="str">
        <f>IF(A530=""," ",B530*VLOOKUP(A530,'01.01.2026 - 24.01.2026'!A:H,6,FALSE))</f>
        <v xml:space="preserve"> </v>
      </c>
      <c r="F530" s="7" t="str">
        <f>IF(A530=""," ",B530*VLOOKUP(A530,'01.01.2026 - 24.01.2026'!A:H,7,FALSE))</f>
        <v xml:space="preserve"> </v>
      </c>
      <c r="G530" s="7" t="str">
        <f>IF(A530=""," ",B530*VLOOKUP(A530,'01.01.2026 - 24.01.2026'!A:H,8,FALSE))</f>
        <v xml:space="preserve"> </v>
      </c>
    </row>
    <row r="531" spans="1:7" x14ac:dyDescent="0.3">
      <c r="A531" s="18"/>
      <c r="B531" s="23"/>
      <c r="C531" s="6" t="str">
        <f>IF(A531=""," ",VLOOKUP(A531,'01.01.2026 - 24.01.2026'!A:H,2,FALSE))</f>
        <v xml:space="preserve"> </v>
      </c>
      <c r="D531" s="30" t="str">
        <f>IF(A531=""," ",VLOOKUP(A531,'01.01.2026 - 24.01.2026'!A:H,5,FALSE))</f>
        <v xml:space="preserve"> </v>
      </c>
      <c r="E531" s="7" t="str">
        <f>IF(A531=""," ",B531*VLOOKUP(A531,'01.01.2026 - 24.01.2026'!A:H,6,FALSE))</f>
        <v xml:space="preserve"> </v>
      </c>
      <c r="F531" s="7" t="str">
        <f>IF(A531=""," ",B531*VLOOKUP(A531,'01.01.2026 - 24.01.2026'!A:H,7,FALSE))</f>
        <v xml:space="preserve"> </v>
      </c>
      <c r="G531" s="7" t="str">
        <f>IF(A531=""," ",B531*VLOOKUP(A531,'01.01.2026 - 24.01.2026'!A:H,8,FALSE))</f>
        <v xml:space="preserve"> </v>
      </c>
    </row>
    <row r="532" spans="1:7" x14ac:dyDescent="0.3">
      <c r="A532" s="18"/>
      <c r="B532" s="23"/>
      <c r="C532" s="6" t="str">
        <f>IF(A532=""," ",VLOOKUP(A532,'01.01.2026 - 24.01.2026'!A:H,2,FALSE))</f>
        <v xml:space="preserve"> </v>
      </c>
      <c r="D532" s="30" t="str">
        <f>IF(A532=""," ",VLOOKUP(A532,'01.01.2026 - 24.01.2026'!A:H,5,FALSE))</f>
        <v xml:space="preserve"> </v>
      </c>
      <c r="E532" s="7" t="str">
        <f>IF(A532=""," ",B532*VLOOKUP(A532,'01.01.2026 - 24.01.2026'!A:H,6,FALSE))</f>
        <v xml:space="preserve"> </v>
      </c>
      <c r="F532" s="7" t="str">
        <f>IF(A532=""," ",B532*VLOOKUP(A532,'01.01.2026 - 24.01.2026'!A:H,7,FALSE))</f>
        <v xml:space="preserve"> </v>
      </c>
      <c r="G532" s="7" t="str">
        <f>IF(A532=""," ",B532*VLOOKUP(A532,'01.01.2026 - 24.01.2026'!A:H,8,FALSE))</f>
        <v xml:space="preserve"> </v>
      </c>
    </row>
    <row r="533" spans="1:7" x14ac:dyDescent="0.3">
      <c r="A533" s="18"/>
      <c r="B533" s="23"/>
      <c r="C533" s="6" t="str">
        <f>IF(A533=""," ",VLOOKUP(A533,'01.01.2026 - 24.01.2026'!A:H,2,FALSE))</f>
        <v xml:space="preserve"> </v>
      </c>
      <c r="D533" s="30" t="str">
        <f>IF(A533=""," ",VLOOKUP(A533,'01.01.2026 - 24.01.2026'!A:H,5,FALSE))</f>
        <v xml:space="preserve"> </v>
      </c>
      <c r="E533" s="7" t="str">
        <f>IF(A533=""," ",B533*VLOOKUP(A533,'01.01.2026 - 24.01.2026'!A:H,6,FALSE))</f>
        <v xml:space="preserve"> </v>
      </c>
      <c r="F533" s="7" t="str">
        <f>IF(A533=""," ",B533*VLOOKUP(A533,'01.01.2026 - 24.01.2026'!A:H,7,FALSE))</f>
        <v xml:space="preserve"> </v>
      </c>
      <c r="G533" s="7" t="str">
        <f>IF(A533=""," ",B533*VLOOKUP(A533,'01.01.2026 - 24.01.2026'!A:H,8,FALSE))</f>
        <v xml:space="preserve"> </v>
      </c>
    </row>
    <row r="534" spans="1:7" x14ac:dyDescent="0.3">
      <c r="A534" s="18"/>
      <c r="B534" s="23"/>
      <c r="C534" s="6" t="str">
        <f>IF(A534=""," ",VLOOKUP(A534,'01.01.2026 - 24.01.2026'!A:H,2,FALSE))</f>
        <v xml:space="preserve"> </v>
      </c>
      <c r="D534" s="30" t="str">
        <f>IF(A534=""," ",VLOOKUP(A534,'01.01.2026 - 24.01.2026'!A:H,5,FALSE))</f>
        <v xml:space="preserve"> </v>
      </c>
      <c r="E534" s="7" t="str">
        <f>IF(A534=""," ",B534*VLOOKUP(A534,'01.01.2026 - 24.01.2026'!A:H,6,FALSE))</f>
        <v xml:space="preserve"> </v>
      </c>
      <c r="F534" s="7" t="str">
        <f>IF(A534=""," ",B534*VLOOKUP(A534,'01.01.2026 - 24.01.2026'!A:H,7,FALSE))</f>
        <v xml:space="preserve"> </v>
      </c>
      <c r="G534" s="7" t="str">
        <f>IF(A534=""," ",B534*VLOOKUP(A534,'01.01.2026 - 24.01.2026'!A:H,8,FALSE))</f>
        <v xml:space="preserve"> </v>
      </c>
    </row>
    <row r="535" spans="1:7" x14ac:dyDescent="0.3">
      <c r="A535" s="18"/>
      <c r="B535" s="23"/>
      <c r="C535" s="6" t="str">
        <f>IF(A535=""," ",VLOOKUP(A535,'01.01.2026 - 24.01.2026'!A:H,2,FALSE))</f>
        <v xml:space="preserve"> </v>
      </c>
      <c r="D535" s="30" t="str">
        <f>IF(A535=""," ",VLOOKUP(A535,'01.01.2026 - 24.01.2026'!A:H,5,FALSE))</f>
        <v xml:space="preserve"> </v>
      </c>
      <c r="E535" s="7" t="str">
        <f>IF(A535=""," ",B535*VLOOKUP(A535,'01.01.2026 - 24.01.2026'!A:H,6,FALSE))</f>
        <v xml:space="preserve"> </v>
      </c>
      <c r="F535" s="7" t="str">
        <f>IF(A535=""," ",B535*VLOOKUP(A535,'01.01.2026 - 24.01.2026'!A:H,7,FALSE))</f>
        <v xml:space="preserve"> </v>
      </c>
      <c r="G535" s="7" t="str">
        <f>IF(A535=""," ",B535*VLOOKUP(A535,'01.01.2026 - 24.01.2026'!A:H,8,FALSE))</f>
        <v xml:space="preserve"> </v>
      </c>
    </row>
    <row r="536" spans="1:7" x14ac:dyDescent="0.3">
      <c r="A536" s="18"/>
      <c r="B536" s="23"/>
      <c r="C536" s="6" t="str">
        <f>IF(A536=""," ",VLOOKUP(A536,'01.01.2026 - 24.01.2026'!A:H,2,FALSE))</f>
        <v xml:space="preserve"> </v>
      </c>
      <c r="D536" s="30" t="str">
        <f>IF(A536=""," ",VLOOKUP(A536,'01.01.2026 - 24.01.2026'!A:H,5,FALSE))</f>
        <v xml:space="preserve"> </v>
      </c>
      <c r="E536" s="7" t="str">
        <f>IF(A536=""," ",B536*VLOOKUP(A536,'01.01.2026 - 24.01.2026'!A:H,6,FALSE))</f>
        <v xml:space="preserve"> </v>
      </c>
      <c r="F536" s="7" t="str">
        <f>IF(A536=""," ",B536*VLOOKUP(A536,'01.01.2026 - 24.01.2026'!A:H,7,FALSE))</f>
        <v xml:space="preserve"> </v>
      </c>
      <c r="G536" s="7" t="str">
        <f>IF(A536=""," ",B536*VLOOKUP(A536,'01.01.2026 - 24.01.2026'!A:H,8,FALSE))</f>
        <v xml:space="preserve"> </v>
      </c>
    </row>
    <row r="537" spans="1:7" x14ac:dyDescent="0.3">
      <c r="A537" s="18"/>
      <c r="B537" s="23"/>
      <c r="C537" s="6" t="str">
        <f>IF(A537=""," ",VLOOKUP(A537,'01.01.2026 - 24.01.2026'!A:H,2,FALSE))</f>
        <v xml:space="preserve"> </v>
      </c>
      <c r="D537" s="30" t="str">
        <f>IF(A537=""," ",VLOOKUP(A537,'01.01.2026 - 24.01.2026'!A:H,5,FALSE))</f>
        <v xml:space="preserve"> </v>
      </c>
      <c r="E537" s="7" t="str">
        <f>IF(A537=""," ",B537*VLOOKUP(A537,'01.01.2026 - 24.01.2026'!A:H,6,FALSE))</f>
        <v xml:space="preserve"> </v>
      </c>
      <c r="F537" s="7" t="str">
        <f>IF(A537=""," ",B537*VLOOKUP(A537,'01.01.2026 - 24.01.2026'!A:H,7,FALSE))</f>
        <v xml:space="preserve"> </v>
      </c>
      <c r="G537" s="7" t="str">
        <f>IF(A537=""," ",B537*VLOOKUP(A537,'01.01.2026 - 24.01.2026'!A:H,8,FALSE))</f>
        <v xml:space="preserve"> </v>
      </c>
    </row>
    <row r="538" spans="1:7" x14ac:dyDescent="0.3">
      <c r="A538" s="18"/>
      <c r="B538" s="23"/>
      <c r="C538" s="6" t="str">
        <f>IF(A538=""," ",VLOOKUP(A538,'01.01.2026 - 24.01.2026'!A:H,2,FALSE))</f>
        <v xml:space="preserve"> </v>
      </c>
      <c r="D538" s="30" t="str">
        <f>IF(A538=""," ",VLOOKUP(A538,'01.01.2026 - 24.01.2026'!A:H,5,FALSE))</f>
        <v xml:space="preserve"> </v>
      </c>
      <c r="E538" s="7" t="str">
        <f>IF(A538=""," ",B538*VLOOKUP(A538,'01.01.2026 - 24.01.2026'!A:H,6,FALSE))</f>
        <v xml:space="preserve"> </v>
      </c>
      <c r="F538" s="7" t="str">
        <f>IF(A538=""," ",B538*VLOOKUP(A538,'01.01.2026 - 24.01.2026'!A:H,7,FALSE))</f>
        <v xml:space="preserve"> </v>
      </c>
      <c r="G538" s="7" t="str">
        <f>IF(A538=""," ",B538*VLOOKUP(A538,'01.01.2026 - 24.01.2026'!A:H,8,FALSE))</f>
        <v xml:space="preserve"> </v>
      </c>
    </row>
    <row r="539" spans="1:7" x14ac:dyDescent="0.3">
      <c r="A539" s="18"/>
      <c r="B539" s="23"/>
      <c r="C539" s="6" t="str">
        <f>IF(A539=""," ",VLOOKUP(A539,'01.01.2026 - 24.01.2026'!A:H,2,FALSE))</f>
        <v xml:space="preserve"> </v>
      </c>
      <c r="D539" s="30" t="str">
        <f>IF(A539=""," ",VLOOKUP(A539,'01.01.2026 - 24.01.2026'!A:H,5,FALSE))</f>
        <v xml:space="preserve"> </v>
      </c>
      <c r="E539" s="7" t="str">
        <f>IF(A539=""," ",B539*VLOOKUP(A539,'01.01.2026 - 24.01.2026'!A:H,6,FALSE))</f>
        <v xml:space="preserve"> </v>
      </c>
      <c r="F539" s="7" t="str">
        <f>IF(A539=""," ",B539*VLOOKUP(A539,'01.01.2026 - 24.01.2026'!A:H,7,FALSE))</f>
        <v xml:space="preserve"> </v>
      </c>
      <c r="G539" s="7" t="str">
        <f>IF(A539=""," ",B539*VLOOKUP(A539,'01.01.2026 - 24.01.2026'!A:H,8,FALSE))</f>
        <v xml:space="preserve"> </v>
      </c>
    </row>
    <row r="540" spans="1:7" x14ac:dyDescent="0.3">
      <c r="A540" s="18"/>
      <c r="B540" s="23"/>
      <c r="C540" s="6" t="str">
        <f>IF(A540=""," ",VLOOKUP(A540,'01.01.2026 - 24.01.2026'!A:H,2,FALSE))</f>
        <v xml:space="preserve"> </v>
      </c>
      <c r="D540" s="30" t="str">
        <f>IF(A540=""," ",VLOOKUP(A540,'01.01.2026 - 24.01.2026'!A:H,5,FALSE))</f>
        <v xml:space="preserve"> </v>
      </c>
      <c r="E540" s="7" t="str">
        <f>IF(A540=""," ",B540*VLOOKUP(A540,'01.01.2026 - 24.01.2026'!A:H,6,FALSE))</f>
        <v xml:space="preserve"> </v>
      </c>
      <c r="F540" s="7" t="str">
        <f>IF(A540=""," ",B540*VLOOKUP(A540,'01.01.2026 - 24.01.2026'!A:H,7,FALSE))</f>
        <v xml:space="preserve"> </v>
      </c>
      <c r="G540" s="7" t="str">
        <f>IF(A540=""," ",B540*VLOOKUP(A540,'01.01.2026 - 24.01.2026'!A:H,8,FALSE))</f>
        <v xml:space="preserve"> </v>
      </c>
    </row>
    <row r="541" spans="1:7" x14ac:dyDescent="0.3">
      <c r="A541" s="18"/>
      <c r="B541" s="23"/>
      <c r="C541" s="6" t="str">
        <f>IF(A541=""," ",VLOOKUP(A541,'01.01.2026 - 24.01.2026'!A:H,2,FALSE))</f>
        <v xml:space="preserve"> </v>
      </c>
      <c r="D541" s="30" t="str">
        <f>IF(A541=""," ",VLOOKUP(A541,'01.01.2026 - 24.01.2026'!A:H,5,FALSE))</f>
        <v xml:space="preserve"> </v>
      </c>
      <c r="E541" s="7" t="str">
        <f>IF(A541=""," ",B541*VLOOKUP(A541,'01.01.2026 - 24.01.2026'!A:H,6,FALSE))</f>
        <v xml:space="preserve"> </v>
      </c>
      <c r="F541" s="7" t="str">
        <f>IF(A541=""," ",B541*VLOOKUP(A541,'01.01.2026 - 24.01.2026'!A:H,7,FALSE))</f>
        <v xml:space="preserve"> </v>
      </c>
      <c r="G541" s="7" t="str">
        <f>IF(A541=""," ",B541*VLOOKUP(A541,'01.01.2026 - 24.01.2026'!A:H,8,FALSE))</f>
        <v xml:space="preserve"> </v>
      </c>
    </row>
    <row r="542" spans="1:7" x14ac:dyDescent="0.3">
      <c r="A542" s="18"/>
      <c r="B542" s="23"/>
      <c r="C542" s="6" t="str">
        <f>IF(A542=""," ",VLOOKUP(A542,'01.01.2026 - 24.01.2026'!A:H,2,FALSE))</f>
        <v xml:space="preserve"> </v>
      </c>
      <c r="D542" s="30" t="str">
        <f>IF(A542=""," ",VLOOKUP(A542,'01.01.2026 - 24.01.2026'!A:H,5,FALSE))</f>
        <v xml:space="preserve"> </v>
      </c>
      <c r="E542" s="7" t="str">
        <f>IF(A542=""," ",B542*VLOOKUP(A542,'01.01.2026 - 24.01.2026'!A:H,6,FALSE))</f>
        <v xml:space="preserve"> </v>
      </c>
      <c r="F542" s="7" t="str">
        <f>IF(A542=""," ",B542*VLOOKUP(A542,'01.01.2026 - 24.01.2026'!A:H,7,FALSE))</f>
        <v xml:space="preserve"> </v>
      </c>
      <c r="G542" s="7" t="str">
        <f>IF(A542=""," ",B542*VLOOKUP(A542,'01.01.2026 - 24.01.2026'!A:H,8,FALSE))</f>
        <v xml:space="preserve"> </v>
      </c>
    </row>
    <row r="543" spans="1:7" x14ac:dyDescent="0.3">
      <c r="A543" s="18"/>
      <c r="B543" s="23"/>
      <c r="C543" s="6" t="str">
        <f>IF(A543=""," ",VLOOKUP(A543,'01.01.2026 - 24.01.2026'!A:H,2,FALSE))</f>
        <v xml:space="preserve"> </v>
      </c>
      <c r="D543" s="30" t="str">
        <f>IF(A543=""," ",VLOOKUP(A543,'01.01.2026 - 24.01.2026'!A:H,5,FALSE))</f>
        <v xml:space="preserve"> </v>
      </c>
      <c r="E543" s="7" t="str">
        <f>IF(A543=""," ",B543*VLOOKUP(A543,'01.01.2026 - 24.01.2026'!A:H,6,FALSE))</f>
        <v xml:space="preserve"> </v>
      </c>
      <c r="F543" s="7" t="str">
        <f>IF(A543=""," ",B543*VLOOKUP(A543,'01.01.2026 - 24.01.2026'!A:H,7,FALSE))</f>
        <v xml:space="preserve"> </v>
      </c>
      <c r="G543" s="7" t="str">
        <f>IF(A543=""," ",B543*VLOOKUP(A543,'01.01.2026 - 24.01.2026'!A:H,8,FALSE))</f>
        <v xml:space="preserve"> </v>
      </c>
    </row>
    <row r="544" spans="1:7" x14ac:dyDescent="0.3">
      <c r="A544" s="18"/>
      <c r="B544" s="23"/>
      <c r="C544" s="6" t="str">
        <f>IF(A544=""," ",VLOOKUP(A544,'01.01.2026 - 24.01.2026'!A:H,2,FALSE))</f>
        <v xml:space="preserve"> </v>
      </c>
      <c r="D544" s="30" t="str">
        <f>IF(A544=""," ",VLOOKUP(A544,'01.01.2026 - 24.01.2026'!A:H,5,FALSE))</f>
        <v xml:space="preserve"> </v>
      </c>
      <c r="E544" s="7" t="str">
        <f>IF(A544=""," ",B544*VLOOKUP(A544,'01.01.2026 - 24.01.2026'!A:H,6,FALSE))</f>
        <v xml:space="preserve"> </v>
      </c>
      <c r="F544" s="7" t="str">
        <f>IF(A544=""," ",B544*VLOOKUP(A544,'01.01.2026 - 24.01.2026'!A:H,7,FALSE))</f>
        <v xml:space="preserve"> </v>
      </c>
      <c r="G544" s="7" t="str">
        <f>IF(A544=""," ",B544*VLOOKUP(A544,'01.01.2026 - 24.01.2026'!A:H,8,FALSE))</f>
        <v xml:space="preserve"> </v>
      </c>
    </row>
    <row r="545" spans="1:7" x14ac:dyDescent="0.3">
      <c r="A545" s="18"/>
      <c r="B545" s="23"/>
      <c r="C545" s="6" t="str">
        <f>IF(A545=""," ",VLOOKUP(A545,'01.01.2026 - 24.01.2026'!A:H,2,FALSE))</f>
        <v xml:space="preserve"> </v>
      </c>
      <c r="D545" s="30" t="str">
        <f>IF(A545=""," ",VLOOKUP(A545,'01.01.2026 - 24.01.2026'!A:H,5,FALSE))</f>
        <v xml:space="preserve"> </v>
      </c>
      <c r="E545" s="7" t="str">
        <f>IF(A545=""," ",B545*VLOOKUP(A545,'01.01.2026 - 24.01.2026'!A:H,6,FALSE))</f>
        <v xml:space="preserve"> </v>
      </c>
      <c r="F545" s="7" t="str">
        <f>IF(A545=""," ",B545*VLOOKUP(A545,'01.01.2026 - 24.01.2026'!A:H,7,FALSE))</f>
        <v xml:space="preserve"> </v>
      </c>
      <c r="G545" s="7" t="str">
        <f>IF(A545=""," ",B545*VLOOKUP(A545,'01.01.2026 - 24.01.2026'!A:H,8,FALSE))</f>
        <v xml:space="preserve"> </v>
      </c>
    </row>
    <row r="546" spans="1:7" x14ac:dyDescent="0.3">
      <c r="A546" s="18"/>
      <c r="B546" s="23"/>
      <c r="C546" s="6" t="str">
        <f>IF(A546=""," ",VLOOKUP(A546,'01.01.2026 - 24.01.2026'!A:H,2,FALSE))</f>
        <v xml:space="preserve"> </v>
      </c>
      <c r="D546" s="30" t="str">
        <f>IF(A546=""," ",VLOOKUP(A546,'01.01.2026 - 24.01.2026'!A:H,5,FALSE))</f>
        <v xml:space="preserve"> </v>
      </c>
      <c r="E546" s="7" t="str">
        <f>IF(A546=""," ",B546*VLOOKUP(A546,'01.01.2026 - 24.01.2026'!A:H,6,FALSE))</f>
        <v xml:space="preserve"> </v>
      </c>
      <c r="F546" s="7" t="str">
        <f>IF(A546=""," ",B546*VLOOKUP(A546,'01.01.2026 - 24.01.2026'!A:H,7,FALSE))</f>
        <v xml:space="preserve"> </v>
      </c>
      <c r="G546" s="7" t="str">
        <f>IF(A546=""," ",B546*VLOOKUP(A546,'01.01.2026 - 24.01.2026'!A:H,8,FALSE))</f>
        <v xml:space="preserve"> </v>
      </c>
    </row>
    <row r="547" spans="1:7" x14ac:dyDescent="0.3">
      <c r="A547" s="18"/>
      <c r="B547" s="23"/>
      <c r="C547" s="6" t="str">
        <f>IF(A547=""," ",VLOOKUP(A547,'01.01.2026 - 24.01.2026'!A:H,2,FALSE))</f>
        <v xml:space="preserve"> </v>
      </c>
      <c r="D547" s="30" t="str">
        <f>IF(A547=""," ",VLOOKUP(A547,'01.01.2026 - 24.01.2026'!A:H,5,FALSE))</f>
        <v xml:space="preserve"> </v>
      </c>
      <c r="E547" s="7" t="str">
        <f>IF(A547=""," ",B547*VLOOKUP(A547,'01.01.2026 - 24.01.2026'!A:H,6,FALSE))</f>
        <v xml:space="preserve"> </v>
      </c>
      <c r="F547" s="7" t="str">
        <f>IF(A547=""," ",B547*VLOOKUP(A547,'01.01.2026 - 24.01.2026'!A:H,7,FALSE))</f>
        <v xml:space="preserve"> </v>
      </c>
      <c r="G547" s="7" t="str">
        <f>IF(A547=""," ",B547*VLOOKUP(A547,'01.01.2026 - 24.01.2026'!A:H,8,FALSE))</f>
        <v xml:space="preserve"> </v>
      </c>
    </row>
    <row r="548" spans="1:7" x14ac:dyDescent="0.3">
      <c r="A548" s="18"/>
      <c r="B548" s="23"/>
      <c r="C548" s="6" t="str">
        <f>IF(A548=""," ",VLOOKUP(A548,'01.01.2026 - 24.01.2026'!A:H,2,FALSE))</f>
        <v xml:space="preserve"> </v>
      </c>
      <c r="D548" s="30" t="str">
        <f>IF(A548=""," ",VLOOKUP(A548,'01.01.2026 - 24.01.2026'!A:H,5,FALSE))</f>
        <v xml:space="preserve"> </v>
      </c>
      <c r="E548" s="7" t="str">
        <f>IF(A548=""," ",B548*VLOOKUP(A548,'01.01.2026 - 24.01.2026'!A:H,6,FALSE))</f>
        <v xml:space="preserve"> </v>
      </c>
      <c r="F548" s="7" t="str">
        <f>IF(A548=""," ",B548*VLOOKUP(A548,'01.01.2026 - 24.01.2026'!A:H,7,FALSE))</f>
        <v xml:space="preserve"> </v>
      </c>
      <c r="G548" s="7" t="str">
        <f>IF(A548=""," ",B548*VLOOKUP(A548,'01.01.2026 - 24.01.2026'!A:H,8,FALSE))</f>
        <v xml:space="preserve"> </v>
      </c>
    </row>
    <row r="549" spans="1:7" x14ac:dyDescent="0.3">
      <c r="A549" s="18"/>
      <c r="B549" s="23"/>
      <c r="C549" s="6" t="str">
        <f>IF(A549=""," ",VLOOKUP(A549,'01.01.2026 - 24.01.2026'!A:H,2,FALSE))</f>
        <v xml:space="preserve"> </v>
      </c>
      <c r="D549" s="30" t="str">
        <f>IF(A549=""," ",VLOOKUP(A549,'01.01.2026 - 24.01.2026'!A:H,5,FALSE))</f>
        <v xml:space="preserve"> </v>
      </c>
      <c r="E549" s="7" t="str">
        <f>IF(A549=""," ",B549*VLOOKUP(A549,'01.01.2026 - 24.01.2026'!A:H,6,FALSE))</f>
        <v xml:space="preserve"> </v>
      </c>
      <c r="F549" s="7" t="str">
        <f>IF(A549=""," ",B549*VLOOKUP(A549,'01.01.2026 - 24.01.2026'!A:H,7,FALSE))</f>
        <v xml:space="preserve"> </v>
      </c>
      <c r="G549" s="7" t="str">
        <f>IF(A549=""," ",B549*VLOOKUP(A549,'01.01.2026 - 24.01.2026'!A:H,8,FALSE))</f>
        <v xml:space="preserve"> </v>
      </c>
    </row>
    <row r="550" spans="1:7" x14ac:dyDescent="0.3">
      <c r="A550" s="18"/>
      <c r="B550" s="23"/>
      <c r="C550" s="6" t="str">
        <f>IF(A550=""," ",VLOOKUP(A550,'01.01.2026 - 24.01.2026'!A:H,2,FALSE))</f>
        <v xml:space="preserve"> </v>
      </c>
      <c r="D550" s="30" t="str">
        <f>IF(A550=""," ",VLOOKUP(A550,'01.01.2026 - 24.01.2026'!A:H,5,FALSE))</f>
        <v xml:space="preserve"> </v>
      </c>
      <c r="E550" s="7" t="str">
        <f>IF(A550=""," ",B550*VLOOKUP(A550,'01.01.2026 - 24.01.2026'!A:H,6,FALSE))</f>
        <v xml:space="preserve"> </v>
      </c>
      <c r="F550" s="7" t="str">
        <f>IF(A550=""," ",B550*VLOOKUP(A550,'01.01.2026 - 24.01.2026'!A:H,7,FALSE))</f>
        <v xml:space="preserve"> </v>
      </c>
      <c r="G550" s="7" t="str">
        <f>IF(A550=""," ",B550*VLOOKUP(A550,'01.01.2026 - 24.01.2026'!A:H,8,FALSE))</f>
        <v xml:space="preserve"> </v>
      </c>
    </row>
    <row r="551" spans="1:7" x14ac:dyDescent="0.3">
      <c r="A551" s="18"/>
      <c r="B551" s="23"/>
      <c r="C551" s="6" t="str">
        <f>IF(A551=""," ",VLOOKUP(A551,'01.01.2026 - 24.01.2026'!A:H,2,FALSE))</f>
        <v xml:space="preserve"> </v>
      </c>
      <c r="D551" s="30" t="str">
        <f>IF(A551=""," ",VLOOKUP(A551,'01.01.2026 - 24.01.2026'!A:H,5,FALSE))</f>
        <v xml:space="preserve"> </v>
      </c>
      <c r="E551" s="7" t="str">
        <f>IF(A551=""," ",B551*VLOOKUP(A551,'01.01.2026 - 24.01.2026'!A:H,6,FALSE))</f>
        <v xml:space="preserve"> </v>
      </c>
      <c r="F551" s="7" t="str">
        <f>IF(A551=""," ",B551*VLOOKUP(A551,'01.01.2026 - 24.01.2026'!A:H,7,FALSE))</f>
        <v xml:space="preserve"> </v>
      </c>
      <c r="G551" s="7" t="str">
        <f>IF(A551=""," ",B551*VLOOKUP(A551,'01.01.2026 - 24.01.2026'!A:H,8,FALSE))</f>
        <v xml:space="preserve"> </v>
      </c>
    </row>
    <row r="552" spans="1:7" x14ac:dyDescent="0.3">
      <c r="A552" s="18"/>
      <c r="B552" s="23"/>
      <c r="C552" s="6" t="str">
        <f>IF(A552=""," ",VLOOKUP(A552,'01.01.2026 - 24.01.2026'!A:H,2,FALSE))</f>
        <v xml:space="preserve"> </v>
      </c>
      <c r="D552" s="30" t="str">
        <f>IF(A552=""," ",VLOOKUP(A552,'01.01.2026 - 24.01.2026'!A:H,5,FALSE))</f>
        <v xml:space="preserve"> </v>
      </c>
      <c r="E552" s="7" t="str">
        <f>IF(A552=""," ",B552*VLOOKUP(A552,'01.01.2026 - 24.01.2026'!A:H,6,FALSE))</f>
        <v xml:space="preserve"> </v>
      </c>
      <c r="F552" s="7" t="str">
        <f>IF(A552=""," ",B552*VLOOKUP(A552,'01.01.2026 - 24.01.2026'!A:H,7,FALSE))</f>
        <v xml:space="preserve"> </v>
      </c>
      <c r="G552" s="7" t="str">
        <f>IF(A552=""," ",B552*VLOOKUP(A552,'01.01.2026 - 24.01.2026'!A:H,8,FALSE))</f>
        <v xml:space="preserve"> </v>
      </c>
    </row>
    <row r="553" spans="1:7" x14ac:dyDescent="0.3">
      <c r="A553" s="18"/>
      <c r="B553" s="23"/>
      <c r="C553" s="6" t="str">
        <f>IF(A553=""," ",VLOOKUP(A553,'01.01.2026 - 24.01.2026'!A:H,2,FALSE))</f>
        <v xml:space="preserve"> </v>
      </c>
      <c r="D553" s="30" t="str">
        <f>IF(A553=""," ",VLOOKUP(A553,'01.01.2026 - 24.01.2026'!A:H,5,FALSE))</f>
        <v xml:space="preserve"> </v>
      </c>
      <c r="E553" s="7" t="str">
        <f>IF(A553=""," ",B553*VLOOKUP(A553,'01.01.2026 - 24.01.2026'!A:H,6,FALSE))</f>
        <v xml:space="preserve"> </v>
      </c>
      <c r="F553" s="7" t="str">
        <f>IF(A553=""," ",B553*VLOOKUP(A553,'01.01.2026 - 24.01.2026'!A:H,7,FALSE))</f>
        <v xml:space="preserve"> </v>
      </c>
      <c r="G553" s="7" t="str">
        <f>IF(A553=""," ",B553*VLOOKUP(A553,'01.01.2026 - 24.01.2026'!A:H,8,FALSE))</f>
        <v xml:space="preserve"> </v>
      </c>
    </row>
    <row r="554" spans="1:7" x14ac:dyDescent="0.3">
      <c r="A554" s="18"/>
      <c r="B554" s="23"/>
      <c r="C554" s="6" t="str">
        <f>IF(A554=""," ",VLOOKUP(A554,'01.01.2026 - 24.01.2026'!A:H,2,FALSE))</f>
        <v xml:space="preserve"> </v>
      </c>
      <c r="D554" s="30" t="str">
        <f>IF(A554=""," ",VLOOKUP(A554,'01.01.2026 - 24.01.2026'!A:H,5,FALSE))</f>
        <v xml:space="preserve"> </v>
      </c>
      <c r="E554" s="7" t="str">
        <f>IF(A554=""," ",B554*VLOOKUP(A554,'01.01.2026 - 24.01.2026'!A:H,6,FALSE))</f>
        <v xml:space="preserve"> </v>
      </c>
      <c r="F554" s="7" t="str">
        <f>IF(A554=""," ",B554*VLOOKUP(A554,'01.01.2026 - 24.01.2026'!A:H,7,FALSE))</f>
        <v xml:space="preserve"> </v>
      </c>
      <c r="G554" s="7" t="str">
        <f>IF(A554=""," ",B554*VLOOKUP(A554,'01.01.2026 - 24.01.2026'!A:H,8,FALSE))</f>
        <v xml:space="preserve"> </v>
      </c>
    </row>
    <row r="555" spans="1:7" x14ac:dyDescent="0.3">
      <c r="A555" s="18"/>
      <c r="B555" s="23"/>
      <c r="C555" s="6" t="str">
        <f>IF(A555=""," ",VLOOKUP(A555,'01.01.2026 - 24.01.2026'!A:H,2,FALSE))</f>
        <v xml:space="preserve"> </v>
      </c>
      <c r="D555" s="30" t="str">
        <f>IF(A555=""," ",VLOOKUP(A555,'01.01.2026 - 24.01.2026'!A:H,5,FALSE))</f>
        <v xml:space="preserve"> </v>
      </c>
      <c r="E555" s="7" t="str">
        <f>IF(A555=""," ",B555*VLOOKUP(A555,'01.01.2026 - 24.01.2026'!A:H,6,FALSE))</f>
        <v xml:space="preserve"> </v>
      </c>
      <c r="F555" s="7" t="str">
        <f>IF(A555=""," ",B555*VLOOKUP(A555,'01.01.2026 - 24.01.2026'!A:H,7,FALSE))</f>
        <v xml:space="preserve"> </v>
      </c>
      <c r="G555" s="7" t="str">
        <f>IF(A555=""," ",B555*VLOOKUP(A555,'01.01.2026 - 24.01.2026'!A:H,8,FALSE))</f>
        <v xml:space="preserve"> </v>
      </c>
    </row>
    <row r="556" spans="1:7" x14ac:dyDescent="0.3">
      <c r="A556" s="18"/>
      <c r="B556" s="23"/>
      <c r="C556" s="6" t="str">
        <f>IF(A556=""," ",VLOOKUP(A556,'01.01.2026 - 24.01.2026'!A:H,2,FALSE))</f>
        <v xml:space="preserve"> </v>
      </c>
      <c r="D556" s="30" t="str">
        <f>IF(A556=""," ",VLOOKUP(A556,'01.01.2026 - 24.01.2026'!A:H,5,FALSE))</f>
        <v xml:space="preserve"> </v>
      </c>
      <c r="E556" s="7" t="str">
        <f>IF(A556=""," ",B556*VLOOKUP(A556,'01.01.2026 - 24.01.2026'!A:H,6,FALSE))</f>
        <v xml:space="preserve"> </v>
      </c>
      <c r="F556" s="7" t="str">
        <f>IF(A556=""," ",B556*VLOOKUP(A556,'01.01.2026 - 24.01.2026'!A:H,7,FALSE))</f>
        <v xml:space="preserve"> </v>
      </c>
      <c r="G556" s="7" t="str">
        <f>IF(A556=""," ",B556*VLOOKUP(A556,'01.01.2026 - 24.01.2026'!A:H,8,FALSE))</f>
        <v xml:space="preserve"> </v>
      </c>
    </row>
    <row r="557" spans="1:7" x14ac:dyDescent="0.3">
      <c r="A557" s="18"/>
      <c r="B557" s="23"/>
      <c r="C557" s="6" t="str">
        <f>IF(A557=""," ",VLOOKUP(A557,'01.01.2026 - 24.01.2026'!A:H,2,FALSE))</f>
        <v xml:space="preserve"> </v>
      </c>
      <c r="D557" s="30" t="str">
        <f>IF(A557=""," ",VLOOKUP(A557,'01.01.2026 - 24.01.2026'!A:H,5,FALSE))</f>
        <v xml:space="preserve"> </v>
      </c>
      <c r="E557" s="7" t="str">
        <f>IF(A557=""," ",B557*VLOOKUP(A557,'01.01.2026 - 24.01.2026'!A:H,6,FALSE))</f>
        <v xml:space="preserve"> </v>
      </c>
      <c r="F557" s="7" t="str">
        <f>IF(A557=""," ",B557*VLOOKUP(A557,'01.01.2026 - 24.01.2026'!A:H,7,FALSE))</f>
        <v xml:space="preserve"> </v>
      </c>
      <c r="G557" s="7" t="str">
        <f>IF(A557=""," ",B557*VLOOKUP(A557,'01.01.2026 - 24.01.2026'!A:H,8,FALSE))</f>
        <v xml:space="preserve"> </v>
      </c>
    </row>
    <row r="558" spans="1:7" x14ac:dyDescent="0.3">
      <c r="A558" s="18"/>
      <c r="B558" s="23"/>
      <c r="C558" s="6" t="str">
        <f>IF(A558=""," ",VLOOKUP(A558,'01.01.2026 - 24.01.2026'!A:H,2,FALSE))</f>
        <v xml:space="preserve"> </v>
      </c>
      <c r="D558" s="30" t="str">
        <f>IF(A558=""," ",VLOOKUP(A558,'01.01.2026 - 24.01.2026'!A:H,5,FALSE))</f>
        <v xml:space="preserve"> </v>
      </c>
      <c r="E558" s="7" t="str">
        <f>IF(A558=""," ",B558*VLOOKUP(A558,'01.01.2026 - 24.01.2026'!A:H,6,FALSE))</f>
        <v xml:space="preserve"> </v>
      </c>
      <c r="F558" s="7" t="str">
        <f>IF(A558=""," ",B558*VLOOKUP(A558,'01.01.2026 - 24.01.2026'!A:H,7,FALSE))</f>
        <v xml:space="preserve"> </v>
      </c>
      <c r="G558" s="7" t="str">
        <f>IF(A558=""," ",B558*VLOOKUP(A558,'01.01.2026 - 24.01.2026'!A:H,8,FALSE))</f>
        <v xml:space="preserve"> </v>
      </c>
    </row>
    <row r="559" spans="1:7" x14ac:dyDescent="0.3">
      <c r="A559" s="18"/>
      <c r="B559" s="23"/>
      <c r="C559" s="6" t="str">
        <f>IF(A559=""," ",VLOOKUP(A559,'01.01.2026 - 24.01.2026'!A:H,2,FALSE))</f>
        <v xml:space="preserve"> </v>
      </c>
      <c r="D559" s="30" t="str">
        <f>IF(A559=""," ",VLOOKUP(A559,'01.01.2026 - 24.01.2026'!A:H,5,FALSE))</f>
        <v xml:space="preserve"> </v>
      </c>
      <c r="E559" s="7" t="str">
        <f>IF(A559=""," ",B559*VLOOKUP(A559,'01.01.2026 - 24.01.2026'!A:H,6,FALSE))</f>
        <v xml:space="preserve"> </v>
      </c>
      <c r="F559" s="7" t="str">
        <f>IF(A559=""," ",B559*VLOOKUP(A559,'01.01.2026 - 24.01.2026'!A:H,7,FALSE))</f>
        <v xml:space="preserve"> </v>
      </c>
      <c r="G559" s="7" t="str">
        <f>IF(A559=""," ",B559*VLOOKUP(A559,'01.01.2026 - 24.01.2026'!A:H,8,FALSE))</f>
        <v xml:space="preserve"> </v>
      </c>
    </row>
    <row r="560" spans="1:7" x14ac:dyDescent="0.3">
      <c r="A560" s="18"/>
      <c r="B560" s="23"/>
      <c r="C560" s="6" t="str">
        <f>IF(A560=""," ",VLOOKUP(A560,'01.01.2026 - 24.01.2026'!A:H,2,FALSE))</f>
        <v xml:space="preserve"> </v>
      </c>
      <c r="D560" s="30" t="str">
        <f>IF(A560=""," ",VLOOKUP(A560,'01.01.2026 - 24.01.2026'!A:H,5,FALSE))</f>
        <v xml:space="preserve"> </v>
      </c>
      <c r="E560" s="7" t="str">
        <f>IF(A560=""," ",B560*VLOOKUP(A560,'01.01.2026 - 24.01.2026'!A:H,6,FALSE))</f>
        <v xml:space="preserve"> </v>
      </c>
      <c r="F560" s="7" t="str">
        <f>IF(A560=""," ",B560*VLOOKUP(A560,'01.01.2026 - 24.01.2026'!A:H,7,FALSE))</f>
        <v xml:space="preserve"> </v>
      </c>
      <c r="G560" s="7" t="str">
        <f>IF(A560=""," ",B560*VLOOKUP(A560,'01.01.2026 - 24.01.2026'!A:H,8,FALSE))</f>
        <v xml:space="preserve"> </v>
      </c>
    </row>
    <row r="561" spans="1:7" x14ac:dyDescent="0.3">
      <c r="A561" s="18"/>
      <c r="B561" s="23"/>
      <c r="C561" s="6" t="str">
        <f>IF(A561=""," ",VLOOKUP(A561,'01.01.2026 - 24.01.2026'!A:H,2,FALSE))</f>
        <v xml:space="preserve"> </v>
      </c>
      <c r="D561" s="30" t="str">
        <f>IF(A561=""," ",VLOOKUP(A561,'01.01.2026 - 24.01.2026'!A:H,5,FALSE))</f>
        <v xml:space="preserve"> </v>
      </c>
      <c r="E561" s="7" t="str">
        <f>IF(A561=""," ",B561*VLOOKUP(A561,'01.01.2026 - 24.01.2026'!A:H,6,FALSE))</f>
        <v xml:space="preserve"> </v>
      </c>
      <c r="F561" s="7" t="str">
        <f>IF(A561=""," ",B561*VLOOKUP(A561,'01.01.2026 - 24.01.2026'!A:H,7,FALSE))</f>
        <v xml:space="preserve"> </v>
      </c>
      <c r="G561" s="7" t="str">
        <f>IF(A561=""," ",B561*VLOOKUP(A561,'01.01.2026 - 24.01.2026'!A:H,8,FALSE))</f>
        <v xml:space="preserve"> </v>
      </c>
    </row>
    <row r="562" spans="1:7" x14ac:dyDescent="0.3">
      <c r="A562" s="18"/>
      <c r="B562" s="23"/>
      <c r="C562" s="6" t="str">
        <f>IF(A562=""," ",VLOOKUP(A562,'01.01.2026 - 24.01.2026'!A:H,2,FALSE))</f>
        <v xml:space="preserve"> </v>
      </c>
      <c r="D562" s="30" t="str">
        <f>IF(A562=""," ",VLOOKUP(A562,'01.01.2026 - 24.01.2026'!A:H,5,FALSE))</f>
        <v xml:space="preserve"> </v>
      </c>
      <c r="E562" s="7" t="str">
        <f>IF(A562=""," ",B562*VLOOKUP(A562,'01.01.2026 - 24.01.2026'!A:H,6,FALSE))</f>
        <v xml:space="preserve"> </v>
      </c>
      <c r="F562" s="7" t="str">
        <f>IF(A562=""," ",B562*VLOOKUP(A562,'01.01.2026 - 24.01.2026'!A:H,7,FALSE))</f>
        <v xml:space="preserve"> </v>
      </c>
      <c r="G562" s="7" t="str">
        <f>IF(A562=""," ",B562*VLOOKUP(A562,'01.01.2026 - 24.01.2026'!A:H,8,FALSE))</f>
        <v xml:space="preserve"> </v>
      </c>
    </row>
    <row r="563" spans="1:7" x14ac:dyDescent="0.3">
      <c r="A563" s="18"/>
      <c r="B563" s="23"/>
      <c r="C563" s="6" t="str">
        <f>IF(A563=""," ",VLOOKUP(A563,'01.01.2026 - 24.01.2026'!A:H,2,FALSE))</f>
        <v xml:space="preserve"> </v>
      </c>
      <c r="D563" s="30" t="str">
        <f>IF(A563=""," ",VLOOKUP(A563,'01.01.2026 - 24.01.2026'!A:H,5,FALSE))</f>
        <v xml:space="preserve"> </v>
      </c>
      <c r="E563" s="7" t="str">
        <f>IF(A563=""," ",B563*VLOOKUP(A563,'01.01.2026 - 24.01.2026'!A:H,6,FALSE))</f>
        <v xml:space="preserve"> </v>
      </c>
      <c r="F563" s="7" t="str">
        <f>IF(A563=""," ",B563*VLOOKUP(A563,'01.01.2026 - 24.01.2026'!A:H,7,FALSE))</f>
        <v xml:space="preserve"> </v>
      </c>
      <c r="G563" s="7" t="str">
        <f>IF(A563=""," ",B563*VLOOKUP(A563,'01.01.2026 - 24.01.2026'!A:H,8,FALSE))</f>
        <v xml:space="preserve"> </v>
      </c>
    </row>
    <row r="564" spans="1:7" x14ac:dyDescent="0.3">
      <c r="A564" s="18"/>
      <c r="B564" s="23"/>
      <c r="C564" s="6" t="str">
        <f>IF(A564=""," ",VLOOKUP(A564,'01.01.2026 - 24.01.2026'!A:H,2,FALSE))</f>
        <v xml:space="preserve"> </v>
      </c>
      <c r="D564" s="30" t="str">
        <f>IF(A564=""," ",VLOOKUP(A564,'01.01.2026 - 24.01.2026'!A:H,5,FALSE))</f>
        <v xml:space="preserve"> </v>
      </c>
      <c r="E564" s="7" t="str">
        <f>IF(A564=""," ",B564*VLOOKUP(A564,'01.01.2026 - 24.01.2026'!A:H,6,FALSE))</f>
        <v xml:space="preserve"> </v>
      </c>
      <c r="F564" s="7" t="str">
        <f>IF(A564=""," ",B564*VLOOKUP(A564,'01.01.2026 - 24.01.2026'!A:H,7,FALSE))</f>
        <v xml:space="preserve"> </v>
      </c>
      <c r="G564" s="7" t="str">
        <f>IF(A564=""," ",B564*VLOOKUP(A564,'01.01.2026 - 24.01.2026'!A:H,8,FALSE))</f>
        <v xml:space="preserve"> </v>
      </c>
    </row>
    <row r="565" spans="1:7" x14ac:dyDescent="0.3">
      <c r="A565" s="18"/>
      <c r="B565" s="23"/>
      <c r="C565" s="6" t="str">
        <f>IF(A565=""," ",VLOOKUP(A565,'01.01.2026 - 24.01.2026'!A:H,2,FALSE))</f>
        <v xml:space="preserve"> </v>
      </c>
      <c r="D565" s="30" t="str">
        <f>IF(A565=""," ",VLOOKUP(A565,'01.01.2026 - 24.01.2026'!A:H,5,FALSE))</f>
        <v xml:space="preserve"> </v>
      </c>
      <c r="E565" s="7" t="str">
        <f>IF(A565=""," ",B565*VLOOKUP(A565,'01.01.2026 - 24.01.2026'!A:H,6,FALSE))</f>
        <v xml:space="preserve"> </v>
      </c>
      <c r="F565" s="7" t="str">
        <f>IF(A565=""," ",B565*VLOOKUP(A565,'01.01.2026 - 24.01.2026'!A:H,7,FALSE))</f>
        <v xml:space="preserve"> </v>
      </c>
      <c r="G565" s="7" t="str">
        <f>IF(A565=""," ",B565*VLOOKUP(A565,'01.01.2026 - 24.01.2026'!A:H,8,FALSE))</f>
        <v xml:space="preserve"> </v>
      </c>
    </row>
    <row r="566" spans="1:7" x14ac:dyDescent="0.3">
      <c r="A566" s="18"/>
      <c r="B566" s="23"/>
      <c r="C566" s="6" t="str">
        <f>IF(A566=""," ",VLOOKUP(A566,'01.01.2026 - 24.01.2026'!A:H,2,FALSE))</f>
        <v xml:space="preserve"> </v>
      </c>
      <c r="D566" s="30" t="str">
        <f>IF(A566=""," ",VLOOKUP(A566,'01.01.2026 - 24.01.2026'!A:H,5,FALSE))</f>
        <v xml:space="preserve"> </v>
      </c>
      <c r="E566" s="7" t="str">
        <f>IF(A566=""," ",B566*VLOOKUP(A566,'01.01.2026 - 24.01.2026'!A:H,6,FALSE))</f>
        <v xml:space="preserve"> </v>
      </c>
      <c r="F566" s="7" t="str">
        <f>IF(A566=""," ",B566*VLOOKUP(A566,'01.01.2026 - 24.01.2026'!A:H,7,FALSE))</f>
        <v xml:space="preserve"> </v>
      </c>
      <c r="G566" s="7" t="str">
        <f>IF(A566=""," ",B566*VLOOKUP(A566,'01.01.2026 - 24.01.2026'!A:H,8,FALSE))</f>
        <v xml:space="preserve"> </v>
      </c>
    </row>
    <row r="567" spans="1:7" x14ac:dyDescent="0.3">
      <c r="A567" s="18"/>
      <c r="B567" s="23"/>
      <c r="C567" s="6" t="str">
        <f>IF(A567=""," ",VLOOKUP(A567,'01.01.2026 - 24.01.2026'!A:H,2,FALSE))</f>
        <v xml:space="preserve"> </v>
      </c>
      <c r="D567" s="30" t="str">
        <f>IF(A567=""," ",VLOOKUP(A567,'01.01.2026 - 24.01.2026'!A:H,5,FALSE))</f>
        <v xml:space="preserve"> </v>
      </c>
      <c r="E567" s="7" t="str">
        <f>IF(A567=""," ",B567*VLOOKUP(A567,'01.01.2026 - 24.01.2026'!A:H,6,FALSE))</f>
        <v xml:space="preserve"> </v>
      </c>
      <c r="F567" s="7" t="str">
        <f>IF(A567=""," ",B567*VLOOKUP(A567,'01.01.2026 - 24.01.2026'!A:H,7,FALSE))</f>
        <v xml:space="preserve"> </v>
      </c>
      <c r="G567" s="7" t="str">
        <f>IF(A567=""," ",B567*VLOOKUP(A567,'01.01.2026 - 24.01.2026'!A:H,8,FALSE))</f>
        <v xml:space="preserve"> </v>
      </c>
    </row>
    <row r="568" spans="1:7" x14ac:dyDescent="0.3">
      <c r="A568" s="18"/>
      <c r="B568" s="23"/>
      <c r="C568" s="6" t="str">
        <f>IF(A568=""," ",VLOOKUP(A568,'01.01.2026 - 24.01.2026'!A:H,2,FALSE))</f>
        <v xml:space="preserve"> </v>
      </c>
      <c r="D568" s="30" t="str">
        <f>IF(A568=""," ",VLOOKUP(A568,'01.01.2026 - 24.01.2026'!A:H,5,FALSE))</f>
        <v xml:space="preserve"> </v>
      </c>
      <c r="E568" s="7" t="str">
        <f>IF(A568=""," ",B568*VLOOKUP(A568,'01.01.2026 - 24.01.2026'!A:H,6,FALSE))</f>
        <v xml:space="preserve"> </v>
      </c>
      <c r="F568" s="7" t="str">
        <f>IF(A568=""," ",B568*VLOOKUP(A568,'01.01.2026 - 24.01.2026'!A:H,7,FALSE))</f>
        <v xml:space="preserve"> </v>
      </c>
      <c r="G568" s="7" t="str">
        <f>IF(A568=""," ",B568*VLOOKUP(A568,'01.01.2026 - 24.01.2026'!A:H,8,FALSE))</f>
        <v xml:space="preserve"> </v>
      </c>
    </row>
    <row r="569" spans="1:7" x14ac:dyDescent="0.3">
      <c r="A569" s="18"/>
      <c r="B569" s="23"/>
      <c r="C569" s="6" t="str">
        <f>IF(A569=""," ",VLOOKUP(A569,'01.01.2026 - 24.01.2026'!A:H,2,FALSE))</f>
        <v xml:space="preserve"> </v>
      </c>
      <c r="D569" s="30" t="str">
        <f>IF(A569=""," ",VLOOKUP(A569,'01.01.2026 - 24.01.2026'!A:H,5,FALSE))</f>
        <v xml:space="preserve"> </v>
      </c>
      <c r="E569" s="7" t="str">
        <f>IF(A569=""," ",B569*VLOOKUP(A569,'01.01.2026 - 24.01.2026'!A:H,6,FALSE))</f>
        <v xml:space="preserve"> </v>
      </c>
      <c r="F569" s="7" t="str">
        <f>IF(A569=""," ",B569*VLOOKUP(A569,'01.01.2026 - 24.01.2026'!A:H,7,FALSE))</f>
        <v xml:space="preserve"> </v>
      </c>
      <c r="G569" s="7" t="str">
        <f>IF(A569=""," ",B569*VLOOKUP(A569,'01.01.2026 - 24.01.2026'!A:H,8,FALSE))</f>
        <v xml:space="preserve"> </v>
      </c>
    </row>
    <row r="570" spans="1:7" x14ac:dyDescent="0.3">
      <c r="A570" s="18"/>
      <c r="B570" s="23"/>
      <c r="C570" s="6" t="str">
        <f>IF(A570=""," ",VLOOKUP(A570,'01.01.2026 - 24.01.2026'!A:H,2,FALSE))</f>
        <v xml:space="preserve"> </v>
      </c>
      <c r="D570" s="30" t="str">
        <f>IF(A570=""," ",VLOOKUP(A570,'01.01.2026 - 24.01.2026'!A:H,5,FALSE))</f>
        <v xml:space="preserve"> </v>
      </c>
      <c r="E570" s="7" t="str">
        <f>IF(A570=""," ",B570*VLOOKUP(A570,'01.01.2026 - 24.01.2026'!A:H,6,FALSE))</f>
        <v xml:space="preserve"> </v>
      </c>
      <c r="F570" s="7" t="str">
        <f>IF(A570=""," ",B570*VLOOKUP(A570,'01.01.2026 - 24.01.2026'!A:H,7,FALSE))</f>
        <v xml:space="preserve"> </v>
      </c>
      <c r="G570" s="7" t="str">
        <f>IF(A570=""," ",B570*VLOOKUP(A570,'01.01.2026 - 24.01.2026'!A:H,8,FALSE))</f>
        <v xml:space="preserve"> </v>
      </c>
    </row>
    <row r="571" spans="1:7" x14ac:dyDescent="0.3">
      <c r="A571" s="18"/>
      <c r="B571" s="23"/>
      <c r="C571" s="6" t="str">
        <f>IF(A571=""," ",VLOOKUP(A571,'01.01.2026 - 24.01.2026'!A:H,2,FALSE))</f>
        <v xml:space="preserve"> </v>
      </c>
      <c r="D571" s="30" t="str">
        <f>IF(A571=""," ",VLOOKUP(A571,'01.01.2026 - 24.01.2026'!A:H,5,FALSE))</f>
        <v xml:space="preserve"> </v>
      </c>
      <c r="E571" s="7" t="str">
        <f>IF(A571=""," ",B571*VLOOKUP(A571,'01.01.2026 - 24.01.2026'!A:H,6,FALSE))</f>
        <v xml:space="preserve"> </v>
      </c>
      <c r="F571" s="7" t="str">
        <f>IF(A571=""," ",B571*VLOOKUP(A571,'01.01.2026 - 24.01.2026'!A:H,7,FALSE))</f>
        <v xml:space="preserve"> </v>
      </c>
      <c r="G571" s="7" t="str">
        <f>IF(A571=""," ",B571*VLOOKUP(A571,'01.01.2026 - 24.01.2026'!A:H,8,FALSE))</f>
        <v xml:space="preserve"> </v>
      </c>
    </row>
    <row r="572" spans="1:7" x14ac:dyDescent="0.3">
      <c r="A572" s="18"/>
      <c r="B572" s="23"/>
      <c r="C572" s="6" t="str">
        <f>IF(A572=""," ",VLOOKUP(A572,'01.01.2026 - 24.01.2026'!A:H,2,FALSE))</f>
        <v xml:space="preserve"> </v>
      </c>
      <c r="D572" s="30" t="str">
        <f>IF(A572=""," ",VLOOKUP(A572,'01.01.2026 - 24.01.2026'!A:H,5,FALSE))</f>
        <v xml:space="preserve"> </v>
      </c>
      <c r="E572" s="7" t="str">
        <f>IF(A572=""," ",B572*VLOOKUP(A572,'01.01.2026 - 24.01.2026'!A:H,6,FALSE))</f>
        <v xml:space="preserve"> </v>
      </c>
      <c r="F572" s="7" t="str">
        <f>IF(A572=""," ",B572*VLOOKUP(A572,'01.01.2026 - 24.01.2026'!A:H,7,FALSE))</f>
        <v xml:space="preserve"> </v>
      </c>
      <c r="G572" s="7" t="str">
        <f>IF(A572=""," ",B572*VLOOKUP(A572,'01.01.2026 - 24.01.2026'!A:H,8,FALSE))</f>
        <v xml:space="preserve"> </v>
      </c>
    </row>
    <row r="573" spans="1:7" x14ac:dyDescent="0.3">
      <c r="A573" s="18"/>
      <c r="B573" s="23"/>
      <c r="C573" s="6" t="str">
        <f>IF(A573=""," ",VLOOKUP(A573,'01.01.2026 - 24.01.2026'!A:H,2,FALSE))</f>
        <v xml:space="preserve"> </v>
      </c>
      <c r="D573" s="30" t="str">
        <f>IF(A573=""," ",VLOOKUP(A573,'01.01.2026 - 24.01.2026'!A:H,5,FALSE))</f>
        <v xml:space="preserve"> </v>
      </c>
      <c r="E573" s="7" t="str">
        <f>IF(A573=""," ",B573*VLOOKUP(A573,'01.01.2026 - 24.01.2026'!A:H,6,FALSE))</f>
        <v xml:space="preserve"> </v>
      </c>
      <c r="F573" s="7" t="str">
        <f>IF(A573=""," ",B573*VLOOKUP(A573,'01.01.2026 - 24.01.2026'!A:H,7,FALSE))</f>
        <v xml:space="preserve"> </v>
      </c>
      <c r="G573" s="7" t="str">
        <f>IF(A573=""," ",B573*VLOOKUP(A573,'01.01.2026 - 24.01.2026'!A:H,8,FALSE))</f>
        <v xml:space="preserve"> </v>
      </c>
    </row>
    <row r="574" spans="1:7" x14ac:dyDescent="0.3">
      <c r="A574" s="18"/>
      <c r="B574" s="23"/>
      <c r="C574" s="6" t="str">
        <f>IF(A574=""," ",VLOOKUP(A574,'01.01.2026 - 24.01.2026'!A:H,2,FALSE))</f>
        <v xml:space="preserve"> </v>
      </c>
      <c r="D574" s="30" t="str">
        <f>IF(A574=""," ",VLOOKUP(A574,'01.01.2026 - 24.01.2026'!A:H,5,FALSE))</f>
        <v xml:space="preserve"> </v>
      </c>
      <c r="E574" s="7" t="str">
        <f>IF(A574=""," ",B574*VLOOKUP(A574,'01.01.2026 - 24.01.2026'!A:H,6,FALSE))</f>
        <v xml:space="preserve"> </v>
      </c>
      <c r="F574" s="7" t="str">
        <f>IF(A574=""," ",B574*VLOOKUP(A574,'01.01.2026 - 24.01.2026'!A:H,7,FALSE))</f>
        <v xml:space="preserve"> </v>
      </c>
      <c r="G574" s="7" t="str">
        <f>IF(A574=""," ",B574*VLOOKUP(A574,'01.01.2026 - 24.01.2026'!A:H,8,FALSE))</f>
        <v xml:space="preserve"> </v>
      </c>
    </row>
    <row r="575" spans="1:7" x14ac:dyDescent="0.3">
      <c r="A575" s="18"/>
      <c r="B575" s="23"/>
      <c r="C575" s="6" t="str">
        <f>IF(A575=""," ",VLOOKUP(A575,'01.01.2026 - 24.01.2026'!A:H,2,FALSE))</f>
        <v xml:space="preserve"> </v>
      </c>
      <c r="D575" s="30" t="str">
        <f>IF(A575=""," ",VLOOKUP(A575,'01.01.2026 - 24.01.2026'!A:H,5,FALSE))</f>
        <v xml:space="preserve"> </v>
      </c>
      <c r="E575" s="7" t="str">
        <f>IF(A575=""," ",B575*VLOOKUP(A575,'01.01.2026 - 24.01.2026'!A:H,6,FALSE))</f>
        <v xml:space="preserve"> </v>
      </c>
      <c r="F575" s="7" t="str">
        <f>IF(A575=""," ",B575*VLOOKUP(A575,'01.01.2026 - 24.01.2026'!A:H,7,FALSE))</f>
        <v xml:space="preserve"> </v>
      </c>
      <c r="G575" s="7" t="str">
        <f>IF(A575=""," ",B575*VLOOKUP(A575,'01.01.2026 - 24.01.2026'!A:H,8,FALSE))</f>
        <v xml:space="preserve"> </v>
      </c>
    </row>
    <row r="576" spans="1:7" x14ac:dyDescent="0.3">
      <c r="A576" s="18"/>
      <c r="B576" s="23"/>
      <c r="C576" s="6" t="str">
        <f>IF(A576=""," ",VLOOKUP(A576,'01.01.2026 - 24.01.2026'!A:H,2,FALSE))</f>
        <v xml:space="preserve"> </v>
      </c>
      <c r="D576" s="30" t="str">
        <f>IF(A576=""," ",VLOOKUP(A576,'01.01.2026 - 24.01.2026'!A:H,5,FALSE))</f>
        <v xml:space="preserve"> </v>
      </c>
      <c r="E576" s="7" t="str">
        <f>IF(A576=""," ",B576*VLOOKUP(A576,'01.01.2026 - 24.01.2026'!A:H,6,FALSE))</f>
        <v xml:space="preserve"> </v>
      </c>
      <c r="F576" s="7" t="str">
        <f>IF(A576=""," ",B576*VLOOKUP(A576,'01.01.2026 - 24.01.2026'!A:H,7,FALSE))</f>
        <v xml:space="preserve"> </v>
      </c>
      <c r="G576" s="7" t="str">
        <f>IF(A576=""," ",B576*VLOOKUP(A576,'01.01.2026 - 24.01.2026'!A:H,8,FALSE))</f>
        <v xml:space="preserve"> </v>
      </c>
    </row>
    <row r="577" spans="1:7" x14ac:dyDescent="0.3">
      <c r="A577" s="18"/>
      <c r="B577" s="23"/>
      <c r="C577" s="6" t="str">
        <f>IF(A577=""," ",VLOOKUP(A577,'01.01.2026 - 24.01.2026'!A:H,2,FALSE))</f>
        <v xml:space="preserve"> </v>
      </c>
      <c r="D577" s="30" t="str">
        <f>IF(A577=""," ",VLOOKUP(A577,'01.01.2026 - 24.01.2026'!A:H,5,FALSE))</f>
        <v xml:space="preserve"> </v>
      </c>
      <c r="E577" s="7" t="str">
        <f>IF(A577=""," ",B577*VLOOKUP(A577,'01.01.2026 - 24.01.2026'!A:H,6,FALSE))</f>
        <v xml:space="preserve"> </v>
      </c>
      <c r="F577" s="7" t="str">
        <f>IF(A577=""," ",B577*VLOOKUP(A577,'01.01.2026 - 24.01.2026'!A:H,7,FALSE))</f>
        <v xml:space="preserve"> </v>
      </c>
      <c r="G577" s="7" t="str">
        <f>IF(A577=""," ",B577*VLOOKUP(A577,'01.01.2026 - 24.01.2026'!A:H,8,FALSE))</f>
        <v xml:space="preserve"> </v>
      </c>
    </row>
    <row r="578" spans="1:7" x14ac:dyDescent="0.3">
      <c r="A578" s="18"/>
      <c r="B578" s="23"/>
      <c r="C578" s="6" t="str">
        <f>IF(A578=""," ",VLOOKUP(A578,'01.01.2026 - 24.01.2026'!A:H,2,FALSE))</f>
        <v xml:space="preserve"> </v>
      </c>
      <c r="D578" s="30" t="str">
        <f>IF(A578=""," ",VLOOKUP(A578,'01.01.2026 - 24.01.2026'!A:H,5,FALSE))</f>
        <v xml:space="preserve"> </v>
      </c>
      <c r="E578" s="7" t="str">
        <f>IF(A578=""," ",B578*VLOOKUP(A578,'01.01.2026 - 24.01.2026'!A:H,6,FALSE))</f>
        <v xml:space="preserve"> </v>
      </c>
      <c r="F578" s="7" t="str">
        <f>IF(A578=""," ",B578*VLOOKUP(A578,'01.01.2026 - 24.01.2026'!A:H,7,FALSE))</f>
        <v xml:space="preserve"> </v>
      </c>
      <c r="G578" s="7" t="str">
        <f>IF(A578=""," ",B578*VLOOKUP(A578,'01.01.2026 - 24.01.2026'!A:H,8,FALSE))</f>
        <v xml:space="preserve"> </v>
      </c>
    </row>
    <row r="579" spans="1:7" x14ac:dyDescent="0.3">
      <c r="A579" s="18"/>
      <c r="B579" s="23"/>
      <c r="C579" s="6" t="str">
        <f>IF(A579=""," ",VLOOKUP(A579,'01.01.2026 - 24.01.2026'!A:H,2,FALSE))</f>
        <v xml:space="preserve"> </v>
      </c>
      <c r="D579" s="30" t="str">
        <f>IF(A579=""," ",VLOOKUP(A579,'01.01.2026 - 24.01.2026'!A:H,5,FALSE))</f>
        <v xml:space="preserve"> </v>
      </c>
      <c r="E579" s="7" t="str">
        <f>IF(A579=""," ",B579*VLOOKUP(A579,'01.01.2026 - 24.01.2026'!A:H,6,FALSE))</f>
        <v xml:space="preserve"> </v>
      </c>
      <c r="F579" s="7" t="str">
        <f>IF(A579=""," ",B579*VLOOKUP(A579,'01.01.2026 - 24.01.2026'!A:H,7,FALSE))</f>
        <v xml:space="preserve"> </v>
      </c>
      <c r="G579" s="7" t="str">
        <f>IF(A579=""," ",B579*VLOOKUP(A579,'01.01.2026 - 24.01.2026'!A:H,8,FALSE))</f>
        <v xml:space="preserve"> </v>
      </c>
    </row>
    <row r="580" spans="1:7" x14ac:dyDescent="0.3">
      <c r="A580" s="18"/>
      <c r="B580" s="23"/>
      <c r="C580" s="6" t="str">
        <f>IF(A580=""," ",VLOOKUP(A580,'01.01.2026 - 24.01.2026'!A:H,2,FALSE))</f>
        <v xml:space="preserve"> </v>
      </c>
      <c r="D580" s="30" t="str">
        <f>IF(A580=""," ",VLOOKUP(A580,'01.01.2026 - 24.01.2026'!A:H,5,FALSE))</f>
        <v xml:space="preserve"> </v>
      </c>
      <c r="E580" s="7" t="str">
        <f>IF(A580=""," ",B580*VLOOKUP(A580,'01.01.2026 - 24.01.2026'!A:H,6,FALSE))</f>
        <v xml:space="preserve"> </v>
      </c>
      <c r="F580" s="7" t="str">
        <f>IF(A580=""," ",B580*VLOOKUP(A580,'01.01.2026 - 24.01.2026'!A:H,7,FALSE))</f>
        <v xml:space="preserve"> </v>
      </c>
      <c r="G580" s="7" t="str">
        <f>IF(A580=""," ",B580*VLOOKUP(A580,'01.01.2026 - 24.01.2026'!A:H,8,FALSE))</f>
        <v xml:space="preserve"> </v>
      </c>
    </row>
    <row r="581" spans="1:7" x14ac:dyDescent="0.3">
      <c r="A581" s="18"/>
      <c r="B581" s="23"/>
      <c r="C581" s="6" t="str">
        <f>IF(A581=""," ",VLOOKUP(A581,'01.01.2026 - 24.01.2026'!A:H,2,FALSE))</f>
        <v xml:space="preserve"> </v>
      </c>
      <c r="D581" s="30" t="str">
        <f>IF(A581=""," ",VLOOKUP(A581,'01.01.2026 - 24.01.2026'!A:H,5,FALSE))</f>
        <v xml:space="preserve"> </v>
      </c>
      <c r="E581" s="7" t="str">
        <f>IF(A581=""," ",B581*VLOOKUP(A581,'01.01.2026 - 24.01.2026'!A:H,6,FALSE))</f>
        <v xml:space="preserve"> </v>
      </c>
      <c r="F581" s="7" t="str">
        <f>IF(A581=""," ",B581*VLOOKUP(A581,'01.01.2026 - 24.01.2026'!A:H,7,FALSE))</f>
        <v xml:space="preserve"> </v>
      </c>
      <c r="G581" s="7" t="str">
        <f>IF(A581=""," ",B581*VLOOKUP(A581,'01.01.2026 - 24.01.2026'!A:H,8,FALSE))</f>
        <v xml:space="preserve"> </v>
      </c>
    </row>
    <row r="582" spans="1:7" x14ac:dyDescent="0.3">
      <c r="A582" s="18"/>
      <c r="B582" s="23"/>
      <c r="C582" s="6" t="str">
        <f>IF(A582=""," ",VLOOKUP(A582,'01.01.2026 - 24.01.2026'!A:H,2,FALSE))</f>
        <v xml:space="preserve"> </v>
      </c>
      <c r="D582" s="30" t="str">
        <f>IF(A582=""," ",VLOOKUP(A582,'01.01.2026 - 24.01.2026'!A:H,5,FALSE))</f>
        <v xml:space="preserve"> </v>
      </c>
      <c r="E582" s="7" t="str">
        <f>IF(A582=""," ",B582*VLOOKUP(A582,'01.01.2026 - 24.01.2026'!A:H,6,FALSE))</f>
        <v xml:space="preserve"> </v>
      </c>
      <c r="F582" s="7" t="str">
        <f>IF(A582=""," ",B582*VLOOKUP(A582,'01.01.2026 - 24.01.2026'!A:H,7,FALSE))</f>
        <v xml:space="preserve"> </v>
      </c>
      <c r="G582" s="7" t="str">
        <f>IF(A582=""," ",B582*VLOOKUP(A582,'01.01.2026 - 24.01.2026'!A:H,8,FALSE))</f>
        <v xml:space="preserve"> </v>
      </c>
    </row>
    <row r="583" spans="1:7" x14ac:dyDescent="0.3">
      <c r="A583" s="18"/>
      <c r="B583" s="23"/>
      <c r="C583" s="6" t="str">
        <f>IF(A583=""," ",VLOOKUP(A583,'01.01.2026 - 24.01.2026'!A:H,2,FALSE))</f>
        <v xml:space="preserve"> </v>
      </c>
      <c r="D583" s="30" t="str">
        <f>IF(A583=""," ",VLOOKUP(A583,'01.01.2026 - 24.01.2026'!A:H,5,FALSE))</f>
        <v xml:space="preserve"> </v>
      </c>
      <c r="E583" s="7" t="str">
        <f>IF(A583=""," ",B583*VLOOKUP(A583,'01.01.2026 - 24.01.2026'!A:H,6,FALSE))</f>
        <v xml:space="preserve"> </v>
      </c>
      <c r="F583" s="7" t="str">
        <f>IF(A583=""," ",B583*VLOOKUP(A583,'01.01.2026 - 24.01.2026'!A:H,7,FALSE))</f>
        <v xml:space="preserve"> </v>
      </c>
      <c r="G583" s="7" t="str">
        <f>IF(A583=""," ",B583*VLOOKUP(A583,'01.01.2026 - 24.01.2026'!A:H,8,FALSE))</f>
        <v xml:space="preserve"> </v>
      </c>
    </row>
    <row r="584" spans="1:7" x14ac:dyDescent="0.3">
      <c r="A584" s="18"/>
      <c r="B584" s="23"/>
      <c r="C584" s="6" t="str">
        <f>IF(A584=""," ",VLOOKUP(A584,'01.01.2026 - 24.01.2026'!A:H,2,FALSE))</f>
        <v xml:space="preserve"> </v>
      </c>
      <c r="D584" s="30" t="str">
        <f>IF(A584=""," ",VLOOKUP(A584,'01.01.2026 - 24.01.2026'!A:H,5,FALSE))</f>
        <v xml:space="preserve"> </v>
      </c>
      <c r="E584" s="7" t="str">
        <f>IF(A584=""," ",B584*VLOOKUP(A584,'01.01.2026 - 24.01.2026'!A:H,6,FALSE))</f>
        <v xml:space="preserve"> </v>
      </c>
      <c r="F584" s="7" t="str">
        <f>IF(A584=""," ",B584*VLOOKUP(A584,'01.01.2026 - 24.01.2026'!A:H,7,FALSE))</f>
        <v xml:space="preserve"> </v>
      </c>
      <c r="G584" s="7" t="str">
        <f>IF(A584=""," ",B584*VLOOKUP(A584,'01.01.2026 - 24.01.2026'!A:H,8,FALSE))</f>
        <v xml:space="preserve"> </v>
      </c>
    </row>
    <row r="585" spans="1:7" x14ac:dyDescent="0.3">
      <c r="A585" s="18"/>
      <c r="B585" s="23"/>
      <c r="C585" s="6" t="str">
        <f>IF(A585=""," ",VLOOKUP(A585,'01.01.2026 - 24.01.2026'!A:H,2,FALSE))</f>
        <v xml:space="preserve"> </v>
      </c>
      <c r="D585" s="30" t="str">
        <f>IF(A585=""," ",VLOOKUP(A585,'01.01.2026 - 24.01.2026'!A:H,5,FALSE))</f>
        <v xml:space="preserve"> </v>
      </c>
      <c r="E585" s="7" t="str">
        <f>IF(A585=""," ",B585*VLOOKUP(A585,'01.01.2026 - 24.01.2026'!A:H,6,FALSE))</f>
        <v xml:space="preserve"> </v>
      </c>
      <c r="F585" s="7" t="str">
        <f>IF(A585=""," ",B585*VLOOKUP(A585,'01.01.2026 - 24.01.2026'!A:H,7,FALSE))</f>
        <v xml:space="preserve"> </v>
      </c>
      <c r="G585" s="7" t="str">
        <f>IF(A585=""," ",B585*VLOOKUP(A585,'01.01.2026 - 24.01.2026'!A:H,8,FALSE))</f>
        <v xml:space="preserve"> </v>
      </c>
    </row>
    <row r="586" spans="1:7" x14ac:dyDescent="0.3">
      <c r="A586" s="18"/>
      <c r="B586" s="23"/>
      <c r="C586" s="6" t="str">
        <f>IF(A586=""," ",VLOOKUP(A586,'01.01.2026 - 24.01.2026'!A:H,2,FALSE))</f>
        <v xml:space="preserve"> </v>
      </c>
      <c r="D586" s="30" t="str">
        <f>IF(A586=""," ",VLOOKUP(A586,'01.01.2026 - 24.01.2026'!A:H,5,FALSE))</f>
        <v xml:space="preserve"> </v>
      </c>
      <c r="E586" s="7" t="str">
        <f>IF(A586=""," ",B586*VLOOKUP(A586,'01.01.2026 - 24.01.2026'!A:H,6,FALSE))</f>
        <v xml:space="preserve"> </v>
      </c>
      <c r="F586" s="7" t="str">
        <f>IF(A586=""," ",B586*VLOOKUP(A586,'01.01.2026 - 24.01.2026'!A:H,7,FALSE))</f>
        <v xml:space="preserve"> </v>
      </c>
      <c r="G586" s="7" t="str">
        <f>IF(A586=""," ",B586*VLOOKUP(A586,'01.01.2026 - 24.01.2026'!A:H,8,FALSE))</f>
        <v xml:space="preserve"> </v>
      </c>
    </row>
    <row r="587" spans="1:7" x14ac:dyDescent="0.3">
      <c r="A587" s="18"/>
      <c r="B587" s="23"/>
      <c r="C587" s="6" t="str">
        <f>IF(A587=""," ",VLOOKUP(A587,'01.01.2026 - 24.01.2026'!A:H,2,FALSE))</f>
        <v xml:space="preserve"> </v>
      </c>
      <c r="D587" s="30" t="str">
        <f>IF(A587=""," ",VLOOKUP(A587,'01.01.2026 - 24.01.2026'!A:H,5,FALSE))</f>
        <v xml:space="preserve"> </v>
      </c>
      <c r="E587" s="7" t="str">
        <f>IF(A587=""," ",B587*VLOOKUP(A587,'01.01.2026 - 24.01.2026'!A:H,6,FALSE))</f>
        <v xml:space="preserve"> </v>
      </c>
      <c r="F587" s="7" t="str">
        <f>IF(A587=""," ",B587*VLOOKUP(A587,'01.01.2026 - 24.01.2026'!A:H,7,FALSE))</f>
        <v xml:space="preserve"> </v>
      </c>
      <c r="G587" s="7" t="str">
        <f>IF(A587=""," ",B587*VLOOKUP(A587,'01.01.2026 - 24.01.2026'!A:H,8,FALSE))</f>
        <v xml:space="preserve"> </v>
      </c>
    </row>
    <row r="588" spans="1:7" x14ac:dyDescent="0.3">
      <c r="A588" s="18"/>
      <c r="B588" s="23"/>
      <c r="C588" s="6" t="str">
        <f>IF(A588=""," ",VLOOKUP(A588,'01.01.2026 - 24.01.2026'!A:H,2,FALSE))</f>
        <v xml:space="preserve"> </v>
      </c>
      <c r="D588" s="30" t="str">
        <f>IF(A588=""," ",VLOOKUP(A588,'01.01.2026 - 24.01.2026'!A:H,5,FALSE))</f>
        <v xml:space="preserve"> </v>
      </c>
      <c r="E588" s="7" t="str">
        <f>IF(A588=""," ",B588*VLOOKUP(A588,'01.01.2026 - 24.01.2026'!A:H,6,FALSE))</f>
        <v xml:space="preserve"> </v>
      </c>
      <c r="F588" s="7" t="str">
        <f>IF(A588=""," ",B588*VLOOKUP(A588,'01.01.2026 - 24.01.2026'!A:H,7,FALSE))</f>
        <v xml:space="preserve"> </v>
      </c>
      <c r="G588" s="7" t="str">
        <f>IF(A588=""," ",B588*VLOOKUP(A588,'01.01.2026 - 24.01.2026'!A:H,8,FALSE))</f>
        <v xml:space="preserve"> </v>
      </c>
    </row>
    <row r="589" spans="1:7" x14ac:dyDescent="0.3">
      <c r="A589" s="18"/>
      <c r="B589" s="23"/>
      <c r="C589" s="6" t="str">
        <f>IF(A589=""," ",VLOOKUP(A589,'01.01.2026 - 24.01.2026'!A:H,2,FALSE))</f>
        <v xml:space="preserve"> </v>
      </c>
      <c r="D589" s="30" t="str">
        <f>IF(A589=""," ",VLOOKUP(A589,'01.01.2026 - 24.01.2026'!A:H,5,FALSE))</f>
        <v xml:space="preserve"> </v>
      </c>
      <c r="E589" s="7" t="str">
        <f>IF(A589=""," ",B589*VLOOKUP(A589,'01.01.2026 - 24.01.2026'!A:H,6,FALSE))</f>
        <v xml:space="preserve"> </v>
      </c>
      <c r="F589" s="7" t="str">
        <f>IF(A589=""," ",B589*VLOOKUP(A589,'01.01.2026 - 24.01.2026'!A:H,7,FALSE))</f>
        <v xml:space="preserve"> </v>
      </c>
      <c r="G589" s="7" t="str">
        <f>IF(A589=""," ",B589*VLOOKUP(A589,'01.01.2026 - 24.01.2026'!A:H,8,FALSE))</f>
        <v xml:space="preserve"> </v>
      </c>
    </row>
    <row r="590" spans="1:7" x14ac:dyDescent="0.3">
      <c r="A590" s="18"/>
      <c r="B590" s="23"/>
      <c r="C590" s="6" t="str">
        <f>IF(A590=""," ",VLOOKUP(A590,'01.01.2026 - 24.01.2026'!A:H,2,FALSE))</f>
        <v xml:space="preserve"> </v>
      </c>
      <c r="D590" s="30" t="str">
        <f>IF(A590=""," ",VLOOKUP(A590,'01.01.2026 - 24.01.2026'!A:H,5,FALSE))</f>
        <v xml:space="preserve"> </v>
      </c>
      <c r="E590" s="7" t="str">
        <f>IF(A590=""," ",B590*VLOOKUP(A590,'01.01.2026 - 24.01.2026'!A:H,6,FALSE))</f>
        <v xml:space="preserve"> </v>
      </c>
      <c r="F590" s="7" t="str">
        <f>IF(A590=""," ",B590*VLOOKUP(A590,'01.01.2026 - 24.01.2026'!A:H,7,FALSE))</f>
        <v xml:space="preserve"> </v>
      </c>
      <c r="G590" s="7" t="str">
        <f>IF(A590=""," ",B590*VLOOKUP(A590,'01.01.2026 - 24.01.2026'!A:H,8,FALSE))</f>
        <v xml:space="preserve"> </v>
      </c>
    </row>
    <row r="591" spans="1:7" x14ac:dyDescent="0.3">
      <c r="A591" s="18"/>
      <c r="B591" s="23"/>
      <c r="C591" s="6" t="str">
        <f>IF(A591=""," ",VLOOKUP(A591,'01.01.2026 - 24.01.2026'!A:H,2,FALSE))</f>
        <v xml:space="preserve"> </v>
      </c>
      <c r="D591" s="30" t="str">
        <f>IF(A591=""," ",VLOOKUP(A591,'01.01.2026 - 24.01.2026'!A:H,5,FALSE))</f>
        <v xml:space="preserve"> </v>
      </c>
      <c r="E591" s="7" t="str">
        <f>IF(A591=""," ",B591*VLOOKUP(A591,'01.01.2026 - 24.01.2026'!A:H,6,FALSE))</f>
        <v xml:space="preserve"> </v>
      </c>
      <c r="F591" s="7" t="str">
        <f>IF(A591=""," ",B591*VLOOKUP(A591,'01.01.2026 - 24.01.2026'!A:H,7,FALSE))</f>
        <v xml:space="preserve"> </v>
      </c>
      <c r="G591" s="7" t="str">
        <f>IF(A591=""," ",B591*VLOOKUP(A591,'01.01.2026 - 24.01.2026'!A:H,8,FALSE))</f>
        <v xml:space="preserve"> </v>
      </c>
    </row>
    <row r="592" spans="1:7" x14ac:dyDescent="0.3">
      <c r="A592" s="18"/>
      <c r="B592" s="23"/>
      <c r="C592" s="6" t="str">
        <f>IF(A592=""," ",VLOOKUP(A592,'01.01.2026 - 24.01.2026'!A:H,2,FALSE))</f>
        <v xml:space="preserve"> </v>
      </c>
      <c r="D592" s="30" t="str">
        <f>IF(A592=""," ",VLOOKUP(A592,'01.01.2026 - 24.01.2026'!A:H,5,FALSE))</f>
        <v xml:space="preserve"> </v>
      </c>
      <c r="E592" s="7" t="str">
        <f>IF(A592=""," ",B592*VLOOKUP(A592,'01.01.2026 - 24.01.2026'!A:H,6,FALSE))</f>
        <v xml:space="preserve"> </v>
      </c>
      <c r="F592" s="7" t="str">
        <f>IF(A592=""," ",B592*VLOOKUP(A592,'01.01.2026 - 24.01.2026'!A:H,7,FALSE))</f>
        <v xml:space="preserve"> </v>
      </c>
      <c r="G592" s="7" t="str">
        <f>IF(A592=""," ",B592*VLOOKUP(A592,'01.01.2026 - 24.01.2026'!A:H,8,FALSE))</f>
        <v xml:space="preserve"> </v>
      </c>
    </row>
    <row r="593" spans="1:7" x14ac:dyDescent="0.3">
      <c r="A593" s="18"/>
      <c r="B593" s="23"/>
      <c r="C593" s="6" t="str">
        <f>IF(A593=""," ",VLOOKUP(A593,'01.01.2026 - 24.01.2026'!A:H,2,FALSE))</f>
        <v xml:space="preserve"> </v>
      </c>
      <c r="D593" s="30" t="str">
        <f>IF(A593=""," ",VLOOKUP(A593,'01.01.2026 - 24.01.2026'!A:H,5,FALSE))</f>
        <v xml:space="preserve"> </v>
      </c>
      <c r="E593" s="7" t="str">
        <f>IF(A593=""," ",B593*VLOOKUP(A593,'01.01.2026 - 24.01.2026'!A:H,6,FALSE))</f>
        <v xml:space="preserve"> </v>
      </c>
      <c r="F593" s="7" t="str">
        <f>IF(A593=""," ",B593*VLOOKUP(A593,'01.01.2026 - 24.01.2026'!A:H,7,FALSE))</f>
        <v xml:space="preserve"> </v>
      </c>
      <c r="G593" s="7" t="str">
        <f>IF(A593=""," ",B593*VLOOKUP(A593,'01.01.2026 - 24.01.2026'!A:H,8,FALSE))</f>
        <v xml:space="preserve"> </v>
      </c>
    </row>
    <row r="594" spans="1:7" x14ac:dyDescent="0.3">
      <c r="A594" s="18"/>
      <c r="B594" s="23"/>
      <c r="C594" s="6" t="str">
        <f>IF(A594=""," ",VLOOKUP(A594,'01.01.2026 - 24.01.2026'!A:H,2,FALSE))</f>
        <v xml:space="preserve"> </v>
      </c>
      <c r="D594" s="30" t="str">
        <f>IF(A594=""," ",VLOOKUP(A594,'01.01.2026 - 24.01.2026'!A:H,5,FALSE))</f>
        <v xml:space="preserve"> </v>
      </c>
      <c r="E594" s="7" t="str">
        <f>IF(A594=""," ",B594*VLOOKUP(A594,'01.01.2026 - 24.01.2026'!A:H,6,FALSE))</f>
        <v xml:space="preserve"> </v>
      </c>
      <c r="F594" s="7" t="str">
        <f>IF(A594=""," ",B594*VLOOKUP(A594,'01.01.2026 - 24.01.2026'!A:H,7,FALSE))</f>
        <v xml:space="preserve"> </v>
      </c>
      <c r="G594" s="7" t="str">
        <f>IF(A594=""," ",B594*VLOOKUP(A594,'01.01.2026 - 24.01.2026'!A:H,8,FALSE))</f>
        <v xml:space="preserve"> </v>
      </c>
    </row>
    <row r="595" spans="1:7" x14ac:dyDescent="0.3">
      <c r="A595" s="18"/>
      <c r="B595" s="23"/>
      <c r="C595" s="6" t="str">
        <f>IF(A595=""," ",VLOOKUP(A595,'01.01.2026 - 24.01.2026'!A:H,2,FALSE))</f>
        <v xml:space="preserve"> </v>
      </c>
      <c r="D595" s="30" t="str">
        <f>IF(A595=""," ",VLOOKUP(A595,'01.01.2026 - 24.01.2026'!A:H,5,FALSE))</f>
        <v xml:space="preserve"> </v>
      </c>
      <c r="E595" s="7" t="str">
        <f>IF(A595=""," ",B595*VLOOKUP(A595,'01.01.2026 - 24.01.2026'!A:H,6,FALSE))</f>
        <v xml:space="preserve"> </v>
      </c>
      <c r="F595" s="7" t="str">
        <f>IF(A595=""," ",B595*VLOOKUP(A595,'01.01.2026 - 24.01.2026'!A:H,7,FALSE))</f>
        <v xml:space="preserve"> </v>
      </c>
      <c r="G595" s="7" t="str">
        <f>IF(A595=""," ",B595*VLOOKUP(A595,'01.01.2026 - 24.01.2026'!A:H,8,FALSE))</f>
        <v xml:space="preserve"> </v>
      </c>
    </row>
    <row r="596" spans="1:7" x14ac:dyDescent="0.3">
      <c r="A596" s="18"/>
      <c r="B596" s="23"/>
      <c r="C596" s="6" t="str">
        <f>IF(A596=""," ",VLOOKUP(A596,'01.01.2026 - 24.01.2026'!A:H,2,FALSE))</f>
        <v xml:space="preserve"> </v>
      </c>
      <c r="D596" s="30" t="str">
        <f>IF(A596=""," ",VLOOKUP(A596,'01.01.2026 - 24.01.2026'!A:H,5,FALSE))</f>
        <v xml:space="preserve"> </v>
      </c>
      <c r="E596" s="7" t="str">
        <f>IF(A596=""," ",B596*VLOOKUP(A596,'01.01.2026 - 24.01.2026'!A:H,6,FALSE))</f>
        <v xml:space="preserve"> </v>
      </c>
      <c r="F596" s="7" t="str">
        <f>IF(A596=""," ",B596*VLOOKUP(A596,'01.01.2026 - 24.01.2026'!A:H,7,FALSE))</f>
        <v xml:space="preserve"> </v>
      </c>
      <c r="G596" s="7" t="str">
        <f>IF(A596=""," ",B596*VLOOKUP(A596,'01.01.2026 - 24.01.2026'!A:H,8,FALSE))</f>
        <v xml:space="preserve"> </v>
      </c>
    </row>
    <row r="597" spans="1:7" x14ac:dyDescent="0.3">
      <c r="A597" s="18"/>
      <c r="B597" s="23"/>
      <c r="C597" s="6" t="str">
        <f>IF(A597=""," ",VLOOKUP(A597,'01.01.2026 - 24.01.2026'!A:H,2,FALSE))</f>
        <v xml:space="preserve"> </v>
      </c>
      <c r="D597" s="30" t="str">
        <f>IF(A597=""," ",VLOOKUP(A597,'01.01.2026 - 24.01.2026'!A:H,5,FALSE))</f>
        <v xml:space="preserve"> </v>
      </c>
      <c r="E597" s="7" t="str">
        <f>IF(A597=""," ",B597*VLOOKUP(A597,'01.01.2026 - 24.01.2026'!A:H,6,FALSE))</f>
        <v xml:space="preserve"> </v>
      </c>
      <c r="F597" s="7" t="str">
        <f>IF(A597=""," ",B597*VLOOKUP(A597,'01.01.2026 - 24.01.2026'!A:H,7,FALSE))</f>
        <v xml:space="preserve"> </v>
      </c>
      <c r="G597" s="7" t="str">
        <f>IF(A597=""," ",B597*VLOOKUP(A597,'01.01.2026 - 24.01.2026'!A:H,8,FALSE))</f>
        <v xml:space="preserve"> </v>
      </c>
    </row>
    <row r="598" spans="1:7" x14ac:dyDescent="0.3">
      <c r="A598" s="18"/>
      <c r="B598" s="23"/>
      <c r="C598" s="6" t="str">
        <f>IF(A598=""," ",VLOOKUP(A598,'01.01.2026 - 24.01.2026'!A:H,2,FALSE))</f>
        <v xml:space="preserve"> </v>
      </c>
      <c r="D598" s="30" t="str">
        <f>IF(A598=""," ",VLOOKUP(A598,'01.01.2026 - 24.01.2026'!A:H,5,FALSE))</f>
        <v xml:space="preserve"> </v>
      </c>
      <c r="E598" s="7" t="str">
        <f>IF(A598=""," ",B598*VLOOKUP(A598,'01.01.2026 - 24.01.2026'!A:H,6,FALSE))</f>
        <v xml:space="preserve"> </v>
      </c>
      <c r="F598" s="7" t="str">
        <f>IF(A598=""," ",B598*VLOOKUP(A598,'01.01.2026 - 24.01.2026'!A:H,7,FALSE))</f>
        <v xml:space="preserve"> </v>
      </c>
      <c r="G598" s="7" t="str">
        <f>IF(A598=""," ",B598*VLOOKUP(A598,'01.01.2026 - 24.01.2026'!A:H,8,FALSE))</f>
        <v xml:space="preserve"> </v>
      </c>
    </row>
    <row r="599" spans="1:7" x14ac:dyDescent="0.3">
      <c r="A599" s="18"/>
      <c r="B599" s="23"/>
      <c r="C599" s="6" t="str">
        <f>IF(A599=""," ",VLOOKUP(A599,'01.01.2026 - 24.01.2026'!A:H,2,FALSE))</f>
        <v xml:space="preserve"> </v>
      </c>
      <c r="D599" s="30" t="str">
        <f>IF(A599=""," ",VLOOKUP(A599,'01.01.2026 - 24.01.2026'!A:H,5,FALSE))</f>
        <v xml:space="preserve"> </v>
      </c>
      <c r="E599" s="7" t="str">
        <f>IF(A599=""," ",B599*VLOOKUP(A599,'01.01.2026 - 24.01.2026'!A:H,6,FALSE))</f>
        <v xml:space="preserve"> </v>
      </c>
      <c r="F599" s="7" t="str">
        <f>IF(A599=""," ",B599*VLOOKUP(A599,'01.01.2026 - 24.01.2026'!A:H,7,FALSE))</f>
        <v xml:space="preserve"> </v>
      </c>
      <c r="G599" s="7" t="str">
        <f>IF(A599=""," ",B599*VLOOKUP(A599,'01.01.2026 - 24.01.2026'!A:H,8,FALSE))</f>
        <v xml:space="preserve"> </v>
      </c>
    </row>
    <row r="600" spans="1:7" x14ac:dyDescent="0.3">
      <c r="A600" s="18"/>
      <c r="B600" s="23"/>
      <c r="C600" s="6" t="str">
        <f>IF(A600=""," ",VLOOKUP(A600,'01.01.2026 - 24.01.2026'!A:H,2,FALSE))</f>
        <v xml:space="preserve"> </v>
      </c>
      <c r="D600" s="30" t="str">
        <f>IF(A600=""," ",VLOOKUP(A600,'01.01.2026 - 24.01.2026'!A:H,5,FALSE))</f>
        <v xml:space="preserve"> </v>
      </c>
      <c r="E600" s="7" t="str">
        <f>IF(A600=""," ",B600*VLOOKUP(A600,'01.01.2026 - 24.01.2026'!A:H,6,FALSE))</f>
        <v xml:space="preserve"> </v>
      </c>
      <c r="F600" s="7" t="str">
        <f>IF(A600=""," ",B600*VLOOKUP(A600,'01.01.2026 - 24.01.2026'!A:H,7,FALSE))</f>
        <v xml:space="preserve"> </v>
      </c>
      <c r="G600" s="7" t="str">
        <f>IF(A600=""," ",B600*VLOOKUP(A600,'01.01.2026 - 24.01.2026'!A:H,8,FALSE))</f>
        <v xml:space="preserve"> </v>
      </c>
    </row>
    <row r="601" spans="1:7" x14ac:dyDescent="0.3">
      <c r="A601" s="18"/>
      <c r="B601" s="23"/>
      <c r="C601" s="6" t="str">
        <f>IF(A601=""," ",VLOOKUP(A601,'01.01.2026 - 24.01.2026'!A:H,2,FALSE))</f>
        <v xml:space="preserve"> </v>
      </c>
      <c r="D601" s="30" t="str">
        <f>IF(A601=""," ",VLOOKUP(A601,'01.01.2026 - 24.01.2026'!A:H,5,FALSE))</f>
        <v xml:space="preserve"> </v>
      </c>
      <c r="E601" s="7" t="str">
        <f>IF(A601=""," ",B601*VLOOKUP(A601,'01.01.2026 - 24.01.2026'!A:H,6,FALSE))</f>
        <v xml:space="preserve"> </v>
      </c>
      <c r="F601" s="7" t="str">
        <f>IF(A601=""," ",B601*VLOOKUP(A601,'01.01.2026 - 24.01.2026'!A:H,7,FALSE))</f>
        <v xml:space="preserve"> </v>
      </c>
      <c r="G601" s="7" t="str">
        <f>IF(A601=""," ",B601*VLOOKUP(A601,'01.01.2026 - 24.01.2026'!A:H,8,FALSE))</f>
        <v xml:space="preserve"> </v>
      </c>
    </row>
    <row r="602" spans="1:7" x14ac:dyDescent="0.3">
      <c r="A602" s="18"/>
      <c r="B602" s="23"/>
      <c r="C602" s="6" t="str">
        <f>IF(A602=""," ",VLOOKUP(A602,'01.01.2026 - 24.01.2026'!A:H,2,FALSE))</f>
        <v xml:space="preserve"> </v>
      </c>
      <c r="D602" s="30" t="str">
        <f>IF(A602=""," ",VLOOKUP(A602,'01.01.2026 - 24.01.2026'!A:H,5,FALSE))</f>
        <v xml:space="preserve"> </v>
      </c>
      <c r="E602" s="7" t="str">
        <f>IF(A602=""," ",B602*VLOOKUP(A602,'01.01.2026 - 24.01.2026'!A:H,6,FALSE))</f>
        <v xml:space="preserve"> </v>
      </c>
      <c r="F602" s="7" t="str">
        <f>IF(A602=""," ",B602*VLOOKUP(A602,'01.01.2026 - 24.01.2026'!A:H,7,FALSE))</f>
        <v xml:space="preserve"> </v>
      </c>
      <c r="G602" s="7" t="str">
        <f>IF(A602=""," ",B602*VLOOKUP(A602,'01.01.2026 - 24.01.2026'!A:H,8,FALSE))</f>
        <v xml:space="preserve"> </v>
      </c>
    </row>
    <row r="603" spans="1:7" x14ac:dyDescent="0.3">
      <c r="A603" s="18"/>
      <c r="B603" s="23"/>
      <c r="C603" s="6" t="str">
        <f>IF(A603=""," ",VLOOKUP(A603,'01.01.2026 - 24.01.2026'!A:H,2,FALSE))</f>
        <v xml:space="preserve"> </v>
      </c>
      <c r="D603" s="30" t="str">
        <f>IF(A603=""," ",VLOOKUP(A603,'01.01.2026 - 24.01.2026'!A:H,5,FALSE))</f>
        <v xml:space="preserve"> </v>
      </c>
      <c r="E603" s="7" t="str">
        <f>IF(A603=""," ",B603*VLOOKUP(A603,'01.01.2026 - 24.01.2026'!A:H,6,FALSE))</f>
        <v xml:space="preserve"> </v>
      </c>
      <c r="F603" s="7" t="str">
        <f>IF(A603=""," ",B603*VLOOKUP(A603,'01.01.2026 - 24.01.2026'!A:H,7,FALSE))</f>
        <v xml:space="preserve"> </v>
      </c>
      <c r="G603" s="7" t="str">
        <f>IF(A603=""," ",B603*VLOOKUP(A603,'01.01.2026 - 24.01.2026'!A:H,8,FALSE))</f>
        <v xml:space="preserve"> </v>
      </c>
    </row>
    <row r="604" spans="1:7" x14ac:dyDescent="0.3">
      <c r="A604" s="18"/>
      <c r="B604" s="23"/>
      <c r="C604" s="6" t="str">
        <f>IF(A604=""," ",VLOOKUP(A604,'01.01.2026 - 24.01.2026'!A:H,2,FALSE))</f>
        <v xml:space="preserve"> </v>
      </c>
      <c r="D604" s="30" t="str">
        <f>IF(A604=""," ",VLOOKUP(A604,'01.01.2026 - 24.01.2026'!A:H,5,FALSE))</f>
        <v xml:space="preserve"> </v>
      </c>
      <c r="E604" s="7" t="str">
        <f>IF(A604=""," ",B604*VLOOKUP(A604,'01.01.2026 - 24.01.2026'!A:H,6,FALSE))</f>
        <v xml:space="preserve"> </v>
      </c>
      <c r="F604" s="7" t="str">
        <f>IF(A604=""," ",B604*VLOOKUP(A604,'01.01.2026 - 24.01.2026'!A:H,7,FALSE))</f>
        <v xml:space="preserve"> </v>
      </c>
      <c r="G604" s="7" t="str">
        <f>IF(A604=""," ",B604*VLOOKUP(A604,'01.01.2026 - 24.01.2026'!A:H,8,FALSE))</f>
        <v xml:space="preserve"> </v>
      </c>
    </row>
    <row r="605" spans="1:7" x14ac:dyDescent="0.3">
      <c r="A605" s="18"/>
      <c r="B605" s="23"/>
      <c r="C605" s="6" t="str">
        <f>IF(A605=""," ",VLOOKUP(A605,'01.01.2026 - 24.01.2026'!A:H,2,FALSE))</f>
        <v xml:space="preserve"> </v>
      </c>
      <c r="D605" s="30" t="str">
        <f>IF(A605=""," ",VLOOKUP(A605,'01.01.2026 - 24.01.2026'!A:H,5,FALSE))</f>
        <v xml:space="preserve"> </v>
      </c>
      <c r="E605" s="7" t="str">
        <f>IF(A605=""," ",B605*VLOOKUP(A605,'01.01.2026 - 24.01.2026'!A:H,6,FALSE))</f>
        <v xml:space="preserve"> </v>
      </c>
      <c r="F605" s="7" t="str">
        <f>IF(A605=""," ",B605*VLOOKUP(A605,'01.01.2026 - 24.01.2026'!A:H,7,FALSE))</f>
        <v xml:space="preserve"> </v>
      </c>
      <c r="G605" s="7" t="str">
        <f>IF(A605=""," ",B605*VLOOKUP(A605,'01.01.2026 - 24.01.2026'!A:H,8,FALSE))</f>
        <v xml:space="preserve"> </v>
      </c>
    </row>
    <row r="606" spans="1:7" x14ac:dyDescent="0.3">
      <c r="A606" s="18"/>
      <c r="B606" s="23"/>
      <c r="C606" s="6" t="str">
        <f>IF(A606=""," ",VLOOKUP(A606,'01.01.2026 - 24.01.2026'!A:H,2,FALSE))</f>
        <v xml:space="preserve"> </v>
      </c>
      <c r="D606" s="30" t="str">
        <f>IF(A606=""," ",VLOOKUP(A606,'01.01.2026 - 24.01.2026'!A:H,5,FALSE))</f>
        <v xml:space="preserve"> </v>
      </c>
      <c r="E606" s="7" t="str">
        <f>IF(A606=""," ",B606*VLOOKUP(A606,'01.01.2026 - 24.01.2026'!A:H,6,FALSE))</f>
        <v xml:space="preserve"> </v>
      </c>
      <c r="F606" s="7" t="str">
        <f>IF(A606=""," ",B606*VLOOKUP(A606,'01.01.2026 - 24.01.2026'!A:H,7,FALSE))</f>
        <v xml:space="preserve"> </v>
      </c>
      <c r="G606" s="7" t="str">
        <f>IF(A606=""," ",B606*VLOOKUP(A606,'01.01.2026 - 24.01.2026'!A:H,8,FALSE))</f>
        <v xml:space="preserve"> </v>
      </c>
    </row>
    <row r="607" spans="1:7" x14ac:dyDescent="0.3">
      <c r="A607" s="18"/>
      <c r="B607" s="23"/>
      <c r="C607" s="6" t="str">
        <f>IF(A607=""," ",VLOOKUP(A607,'01.01.2026 - 24.01.2026'!A:H,2,FALSE))</f>
        <v xml:space="preserve"> </v>
      </c>
      <c r="D607" s="30" t="str">
        <f>IF(A607=""," ",VLOOKUP(A607,'01.01.2026 - 24.01.2026'!A:H,5,FALSE))</f>
        <v xml:space="preserve"> </v>
      </c>
      <c r="E607" s="7" t="str">
        <f>IF(A607=""," ",B607*VLOOKUP(A607,'01.01.2026 - 24.01.2026'!A:H,6,FALSE))</f>
        <v xml:space="preserve"> </v>
      </c>
      <c r="F607" s="7" t="str">
        <f>IF(A607=""," ",B607*VLOOKUP(A607,'01.01.2026 - 24.01.2026'!A:H,7,FALSE))</f>
        <v xml:space="preserve"> </v>
      </c>
      <c r="G607" s="7" t="str">
        <f>IF(A607=""," ",B607*VLOOKUP(A607,'01.01.2026 - 24.01.2026'!A:H,8,FALSE))</f>
        <v xml:space="preserve"> </v>
      </c>
    </row>
    <row r="608" spans="1:7" x14ac:dyDescent="0.3">
      <c r="A608" s="18"/>
      <c r="B608" s="23"/>
      <c r="C608" s="6" t="str">
        <f>IF(A608=""," ",VLOOKUP(A608,'01.01.2026 - 24.01.2026'!A:H,2,FALSE))</f>
        <v xml:space="preserve"> </v>
      </c>
      <c r="D608" s="30" t="str">
        <f>IF(A608=""," ",VLOOKUP(A608,'01.01.2026 - 24.01.2026'!A:H,5,FALSE))</f>
        <v xml:space="preserve"> </v>
      </c>
      <c r="E608" s="7" t="str">
        <f>IF(A608=""," ",B608*VLOOKUP(A608,'01.01.2026 - 24.01.2026'!A:H,6,FALSE))</f>
        <v xml:space="preserve"> </v>
      </c>
      <c r="F608" s="7" t="str">
        <f>IF(A608=""," ",B608*VLOOKUP(A608,'01.01.2026 - 24.01.2026'!A:H,7,FALSE))</f>
        <v xml:space="preserve"> </v>
      </c>
      <c r="G608" s="7" t="str">
        <f>IF(A608=""," ",B608*VLOOKUP(A608,'01.01.2026 - 24.01.2026'!A:H,8,FALSE))</f>
        <v xml:space="preserve"> </v>
      </c>
    </row>
    <row r="609" spans="1:7" x14ac:dyDescent="0.3">
      <c r="A609" s="18"/>
      <c r="B609" s="23"/>
      <c r="C609" s="6" t="str">
        <f>IF(A609=""," ",VLOOKUP(A609,'01.01.2026 - 24.01.2026'!A:H,2,FALSE))</f>
        <v xml:space="preserve"> </v>
      </c>
      <c r="D609" s="30" t="str">
        <f>IF(A609=""," ",VLOOKUP(A609,'01.01.2026 - 24.01.2026'!A:H,5,FALSE))</f>
        <v xml:space="preserve"> </v>
      </c>
      <c r="E609" s="7" t="str">
        <f>IF(A609=""," ",B609*VLOOKUP(A609,'01.01.2026 - 24.01.2026'!A:H,6,FALSE))</f>
        <v xml:space="preserve"> </v>
      </c>
      <c r="F609" s="7" t="str">
        <f>IF(A609=""," ",B609*VLOOKUP(A609,'01.01.2026 - 24.01.2026'!A:H,7,FALSE))</f>
        <v xml:space="preserve"> </v>
      </c>
      <c r="G609" s="7" t="str">
        <f>IF(A609=""," ",B609*VLOOKUP(A609,'01.01.2026 - 24.01.2026'!A:H,8,FALSE))</f>
        <v xml:space="preserve"> </v>
      </c>
    </row>
    <row r="610" spans="1:7" x14ac:dyDescent="0.3">
      <c r="A610" s="18"/>
      <c r="B610" s="23"/>
      <c r="C610" s="6" t="str">
        <f>IF(A610=""," ",VLOOKUP(A610,'01.01.2026 - 24.01.2026'!A:H,2,FALSE))</f>
        <v xml:space="preserve"> </v>
      </c>
      <c r="D610" s="30" t="str">
        <f>IF(A610=""," ",VLOOKUP(A610,'01.01.2026 - 24.01.2026'!A:H,5,FALSE))</f>
        <v xml:space="preserve"> </v>
      </c>
      <c r="E610" s="7" t="str">
        <f>IF(A610=""," ",B610*VLOOKUP(A610,'01.01.2026 - 24.01.2026'!A:H,6,FALSE))</f>
        <v xml:space="preserve"> </v>
      </c>
      <c r="F610" s="7" t="str">
        <f>IF(A610=""," ",B610*VLOOKUP(A610,'01.01.2026 - 24.01.2026'!A:H,7,FALSE))</f>
        <v xml:space="preserve"> </v>
      </c>
      <c r="G610" s="7" t="str">
        <f>IF(A610=""," ",B610*VLOOKUP(A610,'01.01.2026 - 24.01.2026'!A:H,8,FALSE))</f>
        <v xml:space="preserve"> </v>
      </c>
    </row>
    <row r="611" spans="1:7" x14ac:dyDescent="0.3">
      <c r="A611" s="18"/>
      <c r="B611" s="23"/>
      <c r="C611" s="6" t="str">
        <f>IF(A611=""," ",VLOOKUP(A611,'01.01.2026 - 24.01.2026'!A:H,2,FALSE))</f>
        <v xml:space="preserve"> </v>
      </c>
      <c r="D611" s="30" t="str">
        <f>IF(A611=""," ",VLOOKUP(A611,'01.01.2026 - 24.01.2026'!A:H,5,FALSE))</f>
        <v xml:space="preserve"> </v>
      </c>
      <c r="E611" s="7" t="str">
        <f>IF(A611=""," ",B611*VLOOKUP(A611,'01.01.2026 - 24.01.2026'!A:H,6,FALSE))</f>
        <v xml:space="preserve"> </v>
      </c>
      <c r="F611" s="7" t="str">
        <f>IF(A611=""," ",B611*VLOOKUP(A611,'01.01.2026 - 24.01.2026'!A:H,7,FALSE))</f>
        <v xml:space="preserve"> </v>
      </c>
      <c r="G611" s="7" t="str">
        <f>IF(A611=""," ",B611*VLOOKUP(A611,'01.01.2026 - 24.01.2026'!A:H,8,FALSE))</f>
        <v xml:space="preserve"> </v>
      </c>
    </row>
    <row r="612" spans="1:7" x14ac:dyDescent="0.3">
      <c r="A612" s="18"/>
      <c r="B612" s="23"/>
      <c r="C612" s="6" t="str">
        <f>IF(A612=""," ",VLOOKUP(A612,'01.01.2026 - 24.01.2026'!A:H,2,FALSE))</f>
        <v xml:space="preserve"> </v>
      </c>
      <c r="D612" s="30" t="str">
        <f>IF(A612=""," ",VLOOKUP(A612,'01.01.2026 - 24.01.2026'!A:H,5,FALSE))</f>
        <v xml:space="preserve"> </v>
      </c>
      <c r="E612" s="7" t="str">
        <f>IF(A612=""," ",B612*VLOOKUP(A612,'01.01.2026 - 24.01.2026'!A:H,6,FALSE))</f>
        <v xml:space="preserve"> </v>
      </c>
      <c r="F612" s="7" t="str">
        <f>IF(A612=""," ",B612*VLOOKUP(A612,'01.01.2026 - 24.01.2026'!A:H,7,FALSE))</f>
        <v xml:space="preserve"> </v>
      </c>
      <c r="G612" s="7" t="str">
        <f>IF(A612=""," ",B612*VLOOKUP(A612,'01.01.2026 - 24.01.2026'!A:H,8,FALSE))</f>
        <v xml:space="preserve"> </v>
      </c>
    </row>
    <row r="613" spans="1:7" x14ac:dyDescent="0.3">
      <c r="A613" s="18"/>
      <c r="B613" s="23"/>
      <c r="C613" s="6" t="str">
        <f>IF(A613=""," ",VLOOKUP(A613,'01.01.2026 - 24.01.2026'!A:H,2,FALSE))</f>
        <v xml:space="preserve"> </v>
      </c>
      <c r="D613" s="30" t="str">
        <f>IF(A613=""," ",VLOOKUP(A613,'01.01.2026 - 24.01.2026'!A:H,5,FALSE))</f>
        <v xml:space="preserve"> </v>
      </c>
      <c r="E613" s="7" t="str">
        <f>IF(A613=""," ",B613*VLOOKUP(A613,'01.01.2026 - 24.01.2026'!A:H,6,FALSE))</f>
        <v xml:space="preserve"> </v>
      </c>
      <c r="F613" s="7" t="str">
        <f>IF(A613=""," ",B613*VLOOKUP(A613,'01.01.2026 - 24.01.2026'!A:H,7,FALSE))</f>
        <v xml:space="preserve"> </v>
      </c>
      <c r="G613" s="7" t="str">
        <f>IF(A613=""," ",B613*VLOOKUP(A613,'01.01.2026 - 24.01.2026'!A:H,8,FALSE))</f>
        <v xml:space="preserve"> </v>
      </c>
    </row>
    <row r="614" spans="1:7" x14ac:dyDescent="0.3">
      <c r="A614" s="18"/>
      <c r="B614" s="23"/>
      <c r="C614" s="6" t="str">
        <f>IF(A614=""," ",VLOOKUP(A614,'01.01.2026 - 24.01.2026'!A:H,2,FALSE))</f>
        <v xml:space="preserve"> </v>
      </c>
      <c r="D614" s="30" t="str">
        <f>IF(A614=""," ",VLOOKUP(A614,'01.01.2026 - 24.01.2026'!A:H,5,FALSE))</f>
        <v xml:space="preserve"> </v>
      </c>
      <c r="E614" s="7" t="str">
        <f>IF(A614=""," ",B614*VLOOKUP(A614,'01.01.2026 - 24.01.2026'!A:H,6,FALSE))</f>
        <v xml:space="preserve"> </v>
      </c>
      <c r="F614" s="7" t="str">
        <f>IF(A614=""," ",B614*VLOOKUP(A614,'01.01.2026 - 24.01.2026'!A:H,7,FALSE))</f>
        <v xml:space="preserve"> </v>
      </c>
      <c r="G614" s="7" t="str">
        <f>IF(A614=""," ",B614*VLOOKUP(A614,'01.01.2026 - 24.01.2026'!A:H,8,FALSE))</f>
        <v xml:space="preserve"> </v>
      </c>
    </row>
    <row r="615" spans="1:7" x14ac:dyDescent="0.3">
      <c r="A615" s="18"/>
      <c r="B615" s="23"/>
      <c r="C615" s="6" t="str">
        <f>IF(A615=""," ",VLOOKUP(A615,'01.01.2026 - 24.01.2026'!A:H,2,FALSE))</f>
        <v xml:space="preserve"> </v>
      </c>
      <c r="D615" s="30" t="str">
        <f>IF(A615=""," ",VLOOKUP(A615,'01.01.2026 - 24.01.2026'!A:H,5,FALSE))</f>
        <v xml:space="preserve"> </v>
      </c>
      <c r="E615" s="7" t="str">
        <f>IF(A615=""," ",B615*VLOOKUP(A615,'01.01.2026 - 24.01.2026'!A:H,6,FALSE))</f>
        <v xml:space="preserve"> </v>
      </c>
      <c r="F615" s="7" t="str">
        <f>IF(A615=""," ",B615*VLOOKUP(A615,'01.01.2026 - 24.01.2026'!A:H,7,FALSE))</f>
        <v xml:space="preserve"> </v>
      </c>
      <c r="G615" s="7" t="str">
        <f>IF(A615=""," ",B615*VLOOKUP(A615,'01.01.2026 - 24.01.2026'!A:H,8,FALSE))</f>
        <v xml:space="preserve"> </v>
      </c>
    </row>
    <row r="616" spans="1:7" x14ac:dyDescent="0.3">
      <c r="A616" s="18"/>
      <c r="B616" s="23"/>
      <c r="C616" s="6" t="str">
        <f>IF(A616=""," ",VLOOKUP(A616,'01.01.2026 - 24.01.2026'!A:H,2,FALSE))</f>
        <v xml:space="preserve"> </v>
      </c>
      <c r="D616" s="30" t="str">
        <f>IF(A616=""," ",VLOOKUP(A616,'01.01.2026 - 24.01.2026'!A:H,5,FALSE))</f>
        <v xml:space="preserve"> </v>
      </c>
      <c r="E616" s="7" t="str">
        <f>IF(A616=""," ",B616*VLOOKUP(A616,'01.01.2026 - 24.01.2026'!A:H,6,FALSE))</f>
        <v xml:space="preserve"> </v>
      </c>
      <c r="F616" s="7" t="str">
        <f>IF(A616=""," ",B616*VLOOKUP(A616,'01.01.2026 - 24.01.2026'!A:H,7,FALSE))</f>
        <v xml:space="preserve"> </v>
      </c>
      <c r="G616" s="7" t="str">
        <f>IF(A616=""," ",B616*VLOOKUP(A616,'01.01.2026 - 24.01.2026'!A:H,8,FALSE))</f>
        <v xml:space="preserve"> </v>
      </c>
    </row>
    <row r="617" spans="1:7" x14ac:dyDescent="0.3">
      <c r="A617" s="18"/>
      <c r="B617" s="23"/>
      <c r="C617" s="6" t="str">
        <f>IF(A617=""," ",VLOOKUP(A617,'01.01.2026 - 24.01.2026'!A:H,2,FALSE))</f>
        <v xml:space="preserve"> </v>
      </c>
      <c r="D617" s="30" t="str">
        <f>IF(A617=""," ",VLOOKUP(A617,'01.01.2026 - 24.01.2026'!A:H,5,FALSE))</f>
        <v xml:space="preserve"> </v>
      </c>
      <c r="E617" s="7" t="str">
        <f>IF(A617=""," ",B617*VLOOKUP(A617,'01.01.2026 - 24.01.2026'!A:H,6,FALSE))</f>
        <v xml:space="preserve"> </v>
      </c>
      <c r="F617" s="7" t="str">
        <f>IF(A617=""," ",B617*VLOOKUP(A617,'01.01.2026 - 24.01.2026'!A:H,7,FALSE))</f>
        <v xml:space="preserve"> </v>
      </c>
      <c r="G617" s="7" t="str">
        <f>IF(A617=""," ",B617*VLOOKUP(A617,'01.01.2026 - 24.01.2026'!A:H,8,FALSE))</f>
        <v xml:space="preserve"> </v>
      </c>
    </row>
    <row r="618" spans="1:7" x14ac:dyDescent="0.3">
      <c r="A618" s="18"/>
      <c r="B618" s="23"/>
      <c r="C618" s="6" t="str">
        <f>IF(A618=""," ",VLOOKUP(A618,'01.01.2026 - 24.01.2026'!A:H,2,FALSE))</f>
        <v xml:space="preserve"> </v>
      </c>
      <c r="D618" s="30" t="str">
        <f>IF(A618=""," ",VLOOKUP(A618,'01.01.2026 - 24.01.2026'!A:H,5,FALSE))</f>
        <v xml:space="preserve"> </v>
      </c>
      <c r="E618" s="7" t="str">
        <f>IF(A618=""," ",B618*VLOOKUP(A618,'01.01.2026 - 24.01.2026'!A:H,6,FALSE))</f>
        <v xml:space="preserve"> </v>
      </c>
      <c r="F618" s="7" t="str">
        <f>IF(A618=""," ",B618*VLOOKUP(A618,'01.01.2026 - 24.01.2026'!A:H,7,FALSE))</f>
        <v xml:space="preserve"> </v>
      </c>
      <c r="G618" s="7" t="str">
        <f>IF(A618=""," ",B618*VLOOKUP(A618,'01.01.2026 - 24.01.2026'!A:H,8,FALSE))</f>
        <v xml:space="preserve"> </v>
      </c>
    </row>
    <row r="619" spans="1:7" x14ac:dyDescent="0.3">
      <c r="A619" s="18"/>
      <c r="B619" s="23"/>
      <c r="C619" s="6" t="str">
        <f>IF(A619=""," ",VLOOKUP(A619,'01.01.2026 - 24.01.2026'!A:H,2,FALSE))</f>
        <v xml:space="preserve"> </v>
      </c>
      <c r="D619" s="30" t="str">
        <f>IF(A619=""," ",VLOOKUP(A619,'01.01.2026 - 24.01.2026'!A:H,5,FALSE))</f>
        <v xml:space="preserve"> </v>
      </c>
      <c r="E619" s="7" t="str">
        <f>IF(A619=""," ",B619*VLOOKUP(A619,'01.01.2026 - 24.01.2026'!A:H,6,FALSE))</f>
        <v xml:space="preserve"> </v>
      </c>
      <c r="F619" s="7" t="str">
        <f>IF(A619=""," ",B619*VLOOKUP(A619,'01.01.2026 - 24.01.2026'!A:H,7,FALSE))</f>
        <v xml:space="preserve"> </v>
      </c>
      <c r="G619" s="7" t="str">
        <f>IF(A619=""," ",B619*VLOOKUP(A619,'01.01.2026 - 24.01.2026'!A:H,8,FALSE))</f>
        <v xml:space="preserve"> </v>
      </c>
    </row>
    <row r="620" spans="1:7" x14ac:dyDescent="0.3">
      <c r="A620" s="18"/>
      <c r="B620" s="23"/>
      <c r="C620" s="6" t="str">
        <f>IF(A620=""," ",VLOOKUP(A620,'01.01.2026 - 24.01.2026'!A:H,2,FALSE))</f>
        <v xml:space="preserve"> </v>
      </c>
      <c r="D620" s="30" t="str">
        <f>IF(A620=""," ",VLOOKUP(A620,'01.01.2026 - 24.01.2026'!A:H,5,FALSE))</f>
        <v xml:space="preserve"> </v>
      </c>
      <c r="E620" s="7" t="str">
        <f>IF(A620=""," ",B620*VLOOKUP(A620,'01.01.2026 - 24.01.2026'!A:H,6,FALSE))</f>
        <v xml:space="preserve"> </v>
      </c>
      <c r="F620" s="7" t="str">
        <f>IF(A620=""," ",B620*VLOOKUP(A620,'01.01.2026 - 24.01.2026'!A:H,7,FALSE))</f>
        <v xml:space="preserve"> </v>
      </c>
      <c r="G620" s="7" t="str">
        <f>IF(A620=""," ",B620*VLOOKUP(A620,'01.01.2026 - 24.01.2026'!A:H,8,FALSE))</f>
        <v xml:space="preserve"> </v>
      </c>
    </row>
    <row r="621" spans="1:7" x14ac:dyDescent="0.3">
      <c r="A621" s="18"/>
      <c r="B621" s="23"/>
      <c r="C621" s="6" t="str">
        <f>IF(A621=""," ",VLOOKUP(A621,'01.01.2026 - 24.01.2026'!A:H,2,FALSE))</f>
        <v xml:space="preserve"> </v>
      </c>
      <c r="D621" s="30" t="str">
        <f>IF(A621=""," ",VLOOKUP(A621,'01.01.2026 - 24.01.2026'!A:H,5,FALSE))</f>
        <v xml:space="preserve"> </v>
      </c>
      <c r="E621" s="7" t="str">
        <f>IF(A621=""," ",B621*VLOOKUP(A621,'01.01.2026 - 24.01.2026'!A:H,6,FALSE))</f>
        <v xml:space="preserve"> </v>
      </c>
      <c r="F621" s="7" t="str">
        <f>IF(A621=""," ",B621*VLOOKUP(A621,'01.01.2026 - 24.01.2026'!A:H,7,FALSE))</f>
        <v xml:space="preserve"> </v>
      </c>
      <c r="G621" s="7" t="str">
        <f>IF(A621=""," ",B621*VLOOKUP(A621,'01.01.2026 - 24.01.2026'!A:H,8,FALSE))</f>
        <v xml:space="preserve"> </v>
      </c>
    </row>
    <row r="622" spans="1:7" x14ac:dyDescent="0.3">
      <c r="A622" s="18"/>
      <c r="B622" s="23"/>
      <c r="C622" s="6" t="str">
        <f>IF(A622=""," ",VLOOKUP(A622,'01.01.2026 - 24.01.2026'!A:H,2,FALSE))</f>
        <v xml:space="preserve"> </v>
      </c>
      <c r="D622" s="30" t="str">
        <f>IF(A622=""," ",VLOOKUP(A622,'01.01.2026 - 24.01.2026'!A:H,5,FALSE))</f>
        <v xml:space="preserve"> </v>
      </c>
      <c r="E622" s="7" t="str">
        <f>IF(A622=""," ",B622*VLOOKUP(A622,'01.01.2026 - 24.01.2026'!A:H,6,FALSE))</f>
        <v xml:space="preserve"> </v>
      </c>
      <c r="F622" s="7" t="str">
        <f>IF(A622=""," ",B622*VLOOKUP(A622,'01.01.2026 - 24.01.2026'!A:H,7,FALSE))</f>
        <v xml:space="preserve"> </v>
      </c>
      <c r="G622" s="7" t="str">
        <f>IF(A622=""," ",B622*VLOOKUP(A622,'01.01.2026 - 24.01.2026'!A:H,8,FALSE))</f>
        <v xml:space="preserve"> </v>
      </c>
    </row>
    <row r="623" spans="1:7" x14ac:dyDescent="0.3">
      <c r="A623" s="18"/>
      <c r="B623" s="23"/>
      <c r="C623" s="6" t="str">
        <f>IF(A623=""," ",VLOOKUP(A623,'01.01.2026 - 24.01.2026'!A:H,2,FALSE))</f>
        <v xml:space="preserve"> </v>
      </c>
      <c r="D623" s="30" t="str">
        <f>IF(A623=""," ",VLOOKUP(A623,'01.01.2026 - 24.01.2026'!A:H,5,FALSE))</f>
        <v xml:space="preserve"> </v>
      </c>
      <c r="E623" s="7" t="str">
        <f>IF(A623=""," ",B623*VLOOKUP(A623,'01.01.2026 - 24.01.2026'!A:H,6,FALSE))</f>
        <v xml:space="preserve"> </v>
      </c>
      <c r="F623" s="7" t="str">
        <f>IF(A623=""," ",B623*VLOOKUP(A623,'01.01.2026 - 24.01.2026'!A:H,7,FALSE))</f>
        <v xml:space="preserve"> </v>
      </c>
      <c r="G623" s="7" t="str">
        <f>IF(A623=""," ",B623*VLOOKUP(A623,'01.01.2026 - 24.01.2026'!A:H,8,FALSE))</f>
        <v xml:space="preserve"> </v>
      </c>
    </row>
    <row r="624" spans="1:7" x14ac:dyDescent="0.3">
      <c r="A624" s="18"/>
      <c r="B624" s="23"/>
      <c r="C624" s="6" t="str">
        <f>IF(A624=""," ",VLOOKUP(A624,'01.01.2026 - 24.01.2026'!A:H,2,FALSE))</f>
        <v xml:space="preserve"> </v>
      </c>
      <c r="D624" s="30" t="str">
        <f>IF(A624=""," ",VLOOKUP(A624,'01.01.2026 - 24.01.2026'!A:H,5,FALSE))</f>
        <v xml:space="preserve"> </v>
      </c>
      <c r="E624" s="7" t="str">
        <f>IF(A624=""," ",B624*VLOOKUP(A624,'01.01.2026 - 24.01.2026'!A:H,6,FALSE))</f>
        <v xml:space="preserve"> </v>
      </c>
      <c r="F624" s="7" t="str">
        <f>IF(A624=""," ",B624*VLOOKUP(A624,'01.01.2026 - 24.01.2026'!A:H,7,FALSE))</f>
        <v xml:space="preserve"> </v>
      </c>
      <c r="G624" s="7" t="str">
        <f>IF(A624=""," ",B624*VLOOKUP(A624,'01.01.2026 - 24.01.2026'!A:H,8,FALSE))</f>
        <v xml:space="preserve"> </v>
      </c>
    </row>
    <row r="625" spans="1:7" x14ac:dyDescent="0.3">
      <c r="A625" s="18"/>
      <c r="B625" s="23"/>
      <c r="C625" s="6" t="str">
        <f>IF(A625=""," ",VLOOKUP(A625,'01.01.2026 - 24.01.2026'!A:H,2,FALSE))</f>
        <v xml:space="preserve"> </v>
      </c>
      <c r="D625" s="30" t="str">
        <f>IF(A625=""," ",VLOOKUP(A625,'01.01.2026 - 24.01.2026'!A:H,5,FALSE))</f>
        <v xml:space="preserve"> </v>
      </c>
      <c r="E625" s="7" t="str">
        <f>IF(A625=""," ",B625*VLOOKUP(A625,'01.01.2026 - 24.01.2026'!A:H,6,FALSE))</f>
        <v xml:space="preserve"> </v>
      </c>
      <c r="F625" s="7" t="str">
        <f>IF(A625=""," ",B625*VLOOKUP(A625,'01.01.2026 - 24.01.2026'!A:H,7,FALSE))</f>
        <v xml:space="preserve"> </v>
      </c>
      <c r="G625" s="7" t="str">
        <f>IF(A625=""," ",B625*VLOOKUP(A625,'01.01.2026 - 24.01.2026'!A:H,8,FALSE))</f>
        <v xml:space="preserve"> </v>
      </c>
    </row>
    <row r="626" spans="1:7" x14ac:dyDescent="0.3">
      <c r="A626" s="18"/>
      <c r="B626" s="23"/>
      <c r="C626" s="6" t="str">
        <f>IF(A626=""," ",VLOOKUP(A626,'01.01.2026 - 24.01.2026'!A:H,2,FALSE))</f>
        <v xml:space="preserve"> </v>
      </c>
      <c r="D626" s="30" t="str">
        <f>IF(A626=""," ",VLOOKUP(A626,'01.01.2026 - 24.01.2026'!A:H,5,FALSE))</f>
        <v xml:space="preserve"> </v>
      </c>
      <c r="E626" s="7" t="str">
        <f>IF(A626=""," ",B626*VLOOKUP(A626,'01.01.2026 - 24.01.2026'!A:H,6,FALSE))</f>
        <v xml:space="preserve"> </v>
      </c>
      <c r="F626" s="7" t="str">
        <f>IF(A626=""," ",B626*VLOOKUP(A626,'01.01.2026 - 24.01.2026'!A:H,7,FALSE))</f>
        <v xml:space="preserve"> </v>
      </c>
      <c r="G626" s="7" t="str">
        <f>IF(A626=""," ",B626*VLOOKUP(A626,'01.01.2026 - 24.01.2026'!A:H,8,FALSE))</f>
        <v xml:space="preserve"> </v>
      </c>
    </row>
    <row r="627" spans="1:7" x14ac:dyDescent="0.3">
      <c r="A627" s="18"/>
      <c r="B627" s="23"/>
      <c r="C627" s="6" t="str">
        <f>IF(A627=""," ",VLOOKUP(A627,'01.01.2026 - 24.01.2026'!A:H,2,FALSE))</f>
        <v xml:space="preserve"> </v>
      </c>
      <c r="D627" s="30" t="str">
        <f>IF(A627=""," ",VLOOKUP(A627,'01.01.2026 - 24.01.2026'!A:H,5,FALSE))</f>
        <v xml:space="preserve"> </v>
      </c>
      <c r="E627" s="7" t="str">
        <f>IF(A627=""," ",B627*VLOOKUP(A627,'01.01.2026 - 24.01.2026'!A:H,6,FALSE))</f>
        <v xml:space="preserve"> </v>
      </c>
      <c r="F627" s="7" t="str">
        <f>IF(A627=""," ",B627*VLOOKUP(A627,'01.01.2026 - 24.01.2026'!A:H,7,FALSE))</f>
        <v xml:space="preserve"> </v>
      </c>
      <c r="G627" s="7" t="str">
        <f>IF(A627=""," ",B627*VLOOKUP(A627,'01.01.2026 - 24.01.2026'!A:H,8,FALSE))</f>
        <v xml:space="preserve"> </v>
      </c>
    </row>
    <row r="628" spans="1:7" x14ac:dyDescent="0.3">
      <c r="A628" s="18"/>
      <c r="B628" s="23"/>
      <c r="C628" s="6" t="str">
        <f>IF(A628=""," ",VLOOKUP(A628,'01.01.2026 - 24.01.2026'!A:H,2,FALSE))</f>
        <v xml:space="preserve"> </v>
      </c>
      <c r="D628" s="30" t="str">
        <f>IF(A628=""," ",VLOOKUP(A628,'01.01.2026 - 24.01.2026'!A:H,5,FALSE))</f>
        <v xml:space="preserve"> </v>
      </c>
      <c r="E628" s="7" t="str">
        <f>IF(A628=""," ",B628*VLOOKUP(A628,'01.01.2026 - 24.01.2026'!A:H,6,FALSE))</f>
        <v xml:space="preserve"> </v>
      </c>
      <c r="F628" s="7" t="str">
        <f>IF(A628=""," ",B628*VLOOKUP(A628,'01.01.2026 - 24.01.2026'!A:H,7,FALSE))</f>
        <v xml:space="preserve"> </v>
      </c>
      <c r="G628" s="7" t="str">
        <f>IF(A628=""," ",B628*VLOOKUP(A628,'01.01.2026 - 24.01.2026'!A:H,8,FALSE))</f>
        <v xml:space="preserve"> </v>
      </c>
    </row>
    <row r="629" spans="1:7" x14ac:dyDescent="0.3">
      <c r="A629" s="18"/>
      <c r="B629" s="23"/>
      <c r="C629" s="6" t="str">
        <f>IF(A629=""," ",VLOOKUP(A629,'01.01.2026 - 24.01.2026'!A:H,2,FALSE))</f>
        <v xml:space="preserve"> </v>
      </c>
      <c r="D629" s="30" t="str">
        <f>IF(A629=""," ",VLOOKUP(A629,'01.01.2026 - 24.01.2026'!A:H,5,FALSE))</f>
        <v xml:space="preserve"> </v>
      </c>
      <c r="E629" s="7" t="str">
        <f>IF(A629=""," ",B629*VLOOKUP(A629,'01.01.2026 - 24.01.2026'!A:H,6,FALSE))</f>
        <v xml:space="preserve"> </v>
      </c>
      <c r="F629" s="7" t="str">
        <f>IF(A629=""," ",B629*VLOOKUP(A629,'01.01.2026 - 24.01.2026'!A:H,7,FALSE))</f>
        <v xml:space="preserve"> </v>
      </c>
      <c r="G629" s="7" t="str">
        <f>IF(A629=""," ",B629*VLOOKUP(A629,'01.01.2026 - 24.01.2026'!A:H,8,FALSE))</f>
        <v xml:space="preserve"> </v>
      </c>
    </row>
    <row r="630" spans="1:7" x14ac:dyDescent="0.3">
      <c r="A630" s="18"/>
      <c r="B630" s="23"/>
      <c r="C630" s="6" t="str">
        <f>IF(A630=""," ",VLOOKUP(A630,'01.01.2026 - 24.01.2026'!A:H,2,FALSE))</f>
        <v xml:space="preserve"> </v>
      </c>
      <c r="D630" s="30" t="str">
        <f>IF(A630=""," ",VLOOKUP(A630,'01.01.2026 - 24.01.2026'!A:H,5,FALSE))</f>
        <v xml:space="preserve"> </v>
      </c>
      <c r="E630" s="7" t="str">
        <f>IF(A630=""," ",B630*VLOOKUP(A630,'01.01.2026 - 24.01.2026'!A:H,6,FALSE))</f>
        <v xml:space="preserve"> </v>
      </c>
      <c r="F630" s="7" t="str">
        <f>IF(A630=""," ",B630*VLOOKUP(A630,'01.01.2026 - 24.01.2026'!A:H,7,FALSE))</f>
        <v xml:space="preserve"> </v>
      </c>
      <c r="G630" s="7" t="str">
        <f>IF(A630=""," ",B630*VLOOKUP(A630,'01.01.2026 - 24.01.2026'!A:H,8,FALSE))</f>
        <v xml:space="preserve"> </v>
      </c>
    </row>
    <row r="631" spans="1:7" x14ac:dyDescent="0.3">
      <c r="A631" s="18"/>
      <c r="B631" s="23"/>
      <c r="C631" s="6" t="str">
        <f>IF(A631=""," ",VLOOKUP(A631,'01.01.2026 - 24.01.2026'!A:H,2,FALSE))</f>
        <v xml:space="preserve"> </v>
      </c>
      <c r="D631" s="30" t="str">
        <f>IF(A631=""," ",VLOOKUP(A631,'01.01.2026 - 24.01.2026'!A:H,5,FALSE))</f>
        <v xml:space="preserve"> </v>
      </c>
      <c r="E631" s="7" t="str">
        <f>IF(A631=""," ",B631*VLOOKUP(A631,'01.01.2026 - 24.01.2026'!A:H,6,FALSE))</f>
        <v xml:space="preserve"> </v>
      </c>
      <c r="F631" s="7" t="str">
        <f>IF(A631=""," ",B631*VLOOKUP(A631,'01.01.2026 - 24.01.2026'!A:H,7,FALSE))</f>
        <v xml:space="preserve"> </v>
      </c>
      <c r="G631" s="7" t="str">
        <f>IF(A631=""," ",B631*VLOOKUP(A631,'01.01.2026 - 24.01.2026'!A:H,8,FALSE))</f>
        <v xml:space="preserve"> </v>
      </c>
    </row>
    <row r="632" spans="1:7" x14ac:dyDescent="0.3">
      <c r="A632" s="18"/>
      <c r="B632" s="23"/>
      <c r="C632" s="6" t="str">
        <f>IF(A632=""," ",VLOOKUP(A632,'01.01.2026 - 24.01.2026'!A:H,2,FALSE))</f>
        <v xml:space="preserve"> </v>
      </c>
      <c r="D632" s="30" t="str">
        <f>IF(A632=""," ",VLOOKUP(A632,'01.01.2026 - 24.01.2026'!A:H,5,FALSE))</f>
        <v xml:space="preserve"> </v>
      </c>
      <c r="E632" s="7" t="str">
        <f>IF(A632=""," ",B632*VLOOKUP(A632,'01.01.2026 - 24.01.2026'!A:H,6,FALSE))</f>
        <v xml:space="preserve"> </v>
      </c>
      <c r="F632" s="7" t="str">
        <f>IF(A632=""," ",B632*VLOOKUP(A632,'01.01.2026 - 24.01.2026'!A:H,7,FALSE))</f>
        <v xml:space="preserve"> </v>
      </c>
      <c r="G632" s="7" t="str">
        <f>IF(A632=""," ",B632*VLOOKUP(A632,'01.01.2026 - 24.01.2026'!A:H,8,FALSE))</f>
        <v xml:space="preserve"> </v>
      </c>
    </row>
    <row r="633" spans="1:7" x14ac:dyDescent="0.3">
      <c r="A633" s="18"/>
      <c r="B633" s="23"/>
      <c r="C633" s="6" t="str">
        <f>IF(A633=""," ",VLOOKUP(A633,'01.01.2026 - 24.01.2026'!A:H,2,FALSE))</f>
        <v xml:space="preserve"> </v>
      </c>
      <c r="D633" s="30" t="str">
        <f>IF(A633=""," ",VLOOKUP(A633,'01.01.2026 - 24.01.2026'!A:H,5,FALSE))</f>
        <v xml:space="preserve"> </v>
      </c>
      <c r="E633" s="7" t="str">
        <f>IF(A633=""," ",B633*VLOOKUP(A633,'01.01.2026 - 24.01.2026'!A:H,6,FALSE))</f>
        <v xml:space="preserve"> </v>
      </c>
      <c r="F633" s="7" t="str">
        <f>IF(A633=""," ",B633*VLOOKUP(A633,'01.01.2026 - 24.01.2026'!A:H,7,FALSE))</f>
        <v xml:space="preserve"> </v>
      </c>
      <c r="G633" s="7" t="str">
        <f>IF(A633=""," ",B633*VLOOKUP(A633,'01.01.2026 - 24.01.2026'!A:H,8,FALSE))</f>
        <v xml:space="preserve"> </v>
      </c>
    </row>
    <row r="634" spans="1:7" x14ac:dyDescent="0.3">
      <c r="A634" s="18"/>
      <c r="B634" s="23"/>
      <c r="C634" s="6" t="str">
        <f>IF(A634=""," ",VLOOKUP(A634,'01.01.2026 - 24.01.2026'!A:H,2,FALSE))</f>
        <v xml:space="preserve"> </v>
      </c>
      <c r="D634" s="30" t="str">
        <f>IF(A634=""," ",VLOOKUP(A634,'01.01.2026 - 24.01.2026'!A:H,5,FALSE))</f>
        <v xml:space="preserve"> </v>
      </c>
      <c r="E634" s="7" t="str">
        <f>IF(A634=""," ",B634*VLOOKUP(A634,'01.01.2026 - 24.01.2026'!A:H,6,FALSE))</f>
        <v xml:space="preserve"> </v>
      </c>
      <c r="F634" s="7" t="str">
        <f>IF(A634=""," ",B634*VLOOKUP(A634,'01.01.2026 - 24.01.2026'!A:H,7,FALSE))</f>
        <v xml:space="preserve"> </v>
      </c>
      <c r="G634" s="7" t="str">
        <f>IF(A634=""," ",B634*VLOOKUP(A634,'01.01.2026 - 24.01.2026'!A:H,8,FALSE))</f>
        <v xml:space="preserve"> </v>
      </c>
    </row>
    <row r="635" spans="1:7" x14ac:dyDescent="0.3">
      <c r="A635" s="18"/>
      <c r="B635" s="23"/>
      <c r="C635" s="6" t="str">
        <f>IF(A635=""," ",VLOOKUP(A635,'01.01.2026 - 24.01.2026'!A:H,2,FALSE))</f>
        <v xml:space="preserve"> </v>
      </c>
      <c r="D635" s="30" t="str">
        <f>IF(A635=""," ",VLOOKUP(A635,'01.01.2026 - 24.01.2026'!A:H,5,FALSE))</f>
        <v xml:space="preserve"> </v>
      </c>
      <c r="E635" s="7" t="str">
        <f>IF(A635=""," ",B635*VLOOKUP(A635,'01.01.2026 - 24.01.2026'!A:H,6,FALSE))</f>
        <v xml:space="preserve"> </v>
      </c>
      <c r="F635" s="7" t="str">
        <f>IF(A635=""," ",B635*VLOOKUP(A635,'01.01.2026 - 24.01.2026'!A:H,7,FALSE))</f>
        <v xml:space="preserve"> </v>
      </c>
      <c r="G635" s="7" t="str">
        <f>IF(A635=""," ",B635*VLOOKUP(A635,'01.01.2026 - 24.01.2026'!A:H,8,FALSE))</f>
        <v xml:space="preserve"> </v>
      </c>
    </row>
    <row r="636" spans="1:7" x14ac:dyDescent="0.3">
      <c r="A636" s="18"/>
      <c r="B636" s="23"/>
      <c r="C636" s="6" t="str">
        <f>IF(A636=""," ",VLOOKUP(A636,'01.01.2026 - 24.01.2026'!A:H,2,FALSE))</f>
        <v xml:space="preserve"> </v>
      </c>
      <c r="D636" s="30" t="str">
        <f>IF(A636=""," ",VLOOKUP(A636,'01.01.2026 - 24.01.2026'!A:H,5,FALSE))</f>
        <v xml:space="preserve"> </v>
      </c>
      <c r="E636" s="7" t="str">
        <f>IF(A636=""," ",B636*VLOOKUP(A636,'01.01.2026 - 24.01.2026'!A:H,6,FALSE))</f>
        <v xml:space="preserve"> </v>
      </c>
      <c r="F636" s="7" t="str">
        <f>IF(A636=""," ",B636*VLOOKUP(A636,'01.01.2026 - 24.01.2026'!A:H,7,FALSE))</f>
        <v xml:space="preserve"> </v>
      </c>
      <c r="G636" s="7" t="str">
        <f>IF(A636=""," ",B636*VLOOKUP(A636,'01.01.2026 - 24.01.2026'!A:H,8,FALSE))</f>
        <v xml:space="preserve"> </v>
      </c>
    </row>
    <row r="637" spans="1:7" x14ac:dyDescent="0.3">
      <c r="A637" s="18"/>
      <c r="B637" s="23"/>
      <c r="C637" s="6" t="str">
        <f>IF(A637=""," ",VLOOKUP(A637,'01.01.2026 - 24.01.2026'!A:H,2,FALSE))</f>
        <v xml:space="preserve"> </v>
      </c>
      <c r="D637" s="30" t="str">
        <f>IF(A637=""," ",VLOOKUP(A637,'01.01.2026 - 24.01.2026'!A:H,5,FALSE))</f>
        <v xml:space="preserve"> </v>
      </c>
      <c r="E637" s="7" t="str">
        <f>IF(A637=""," ",B637*VLOOKUP(A637,'01.01.2026 - 24.01.2026'!A:H,6,FALSE))</f>
        <v xml:space="preserve"> </v>
      </c>
      <c r="F637" s="7" t="str">
        <f>IF(A637=""," ",B637*VLOOKUP(A637,'01.01.2026 - 24.01.2026'!A:H,7,FALSE))</f>
        <v xml:space="preserve"> </v>
      </c>
      <c r="G637" s="7" t="str">
        <f>IF(A637=""," ",B637*VLOOKUP(A637,'01.01.2026 - 24.01.2026'!A:H,8,FALSE))</f>
        <v xml:space="preserve"> </v>
      </c>
    </row>
    <row r="638" spans="1:7" x14ac:dyDescent="0.3">
      <c r="A638" s="18"/>
      <c r="B638" s="23"/>
      <c r="C638" s="6" t="str">
        <f>IF(A638=""," ",VLOOKUP(A638,'01.01.2026 - 24.01.2026'!A:H,2,FALSE))</f>
        <v xml:space="preserve"> </v>
      </c>
      <c r="D638" s="30" t="str">
        <f>IF(A638=""," ",VLOOKUP(A638,'01.01.2026 - 24.01.2026'!A:H,5,FALSE))</f>
        <v xml:space="preserve"> </v>
      </c>
      <c r="E638" s="7" t="str">
        <f>IF(A638=""," ",B638*VLOOKUP(A638,'01.01.2026 - 24.01.2026'!A:H,6,FALSE))</f>
        <v xml:space="preserve"> </v>
      </c>
      <c r="F638" s="7" t="str">
        <f>IF(A638=""," ",B638*VLOOKUP(A638,'01.01.2026 - 24.01.2026'!A:H,7,FALSE))</f>
        <v xml:space="preserve"> </v>
      </c>
      <c r="G638" s="7" t="str">
        <f>IF(A638=""," ",B638*VLOOKUP(A638,'01.01.2026 - 24.01.2026'!A:H,8,FALSE))</f>
        <v xml:space="preserve"> </v>
      </c>
    </row>
    <row r="639" spans="1:7" x14ac:dyDescent="0.3">
      <c r="A639" s="18"/>
      <c r="B639" s="23"/>
      <c r="C639" s="6" t="str">
        <f>IF(A639=""," ",VLOOKUP(A639,'01.01.2026 - 24.01.2026'!A:H,2,FALSE))</f>
        <v xml:space="preserve"> </v>
      </c>
      <c r="D639" s="30" t="str">
        <f>IF(A639=""," ",VLOOKUP(A639,'01.01.2026 - 24.01.2026'!A:H,5,FALSE))</f>
        <v xml:space="preserve"> </v>
      </c>
      <c r="E639" s="7" t="str">
        <f>IF(A639=""," ",B639*VLOOKUP(A639,'01.01.2026 - 24.01.2026'!A:H,6,FALSE))</f>
        <v xml:space="preserve"> </v>
      </c>
      <c r="F639" s="7" t="str">
        <f>IF(A639=""," ",B639*VLOOKUP(A639,'01.01.2026 - 24.01.2026'!A:H,7,FALSE))</f>
        <v xml:space="preserve"> </v>
      </c>
      <c r="G639" s="7" t="str">
        <f>IF(A639=""," ",B639*VLOOKUP(A639,'01.01.2026 - 24.01.2026'!A:H,8,FALSE))</f>
        <v xml:space="preserve"> </v>
      </c>
    </row>
    <row r="640" spans="1:7" x14ac:dyDescent="0.3">
      <c r="A640" s="18"/>
      <c r="B640" s="23"/>
      <c r="C640" s="6" t="str">
        <f>IF(A640=""," ",VLOOKUP(A640,'01.01.2026 - 24.01.2026'!A:H,2,FALSE))</f>
        <v xml:space="preserve"> </v>
      </c>
      <c r="D640" s="30" t="str">
        <f>IF(A640=""," ",VLOOKUP(A640,'01.01.2026 - 24.01.2026'!A:H,5,FALSE))</f>
        <v xml:space="preserve"> </v>
      </c>
      <c r="E640" s="7" t="str">
        <f>IF(A640=""," ",B640*VLOOKUP(A640,'01.01.2026 - 24.01.2026'!A:H,6,FALSE))</f>
        <v xml:space="preserve"> </v>
      </c>
      <c r="F640" s="7" t="str">
        <f>IF(A640=""," ",B640*VLOOKUP(A640,'01.01.2026 - 24.01.2026'!A:H,7,FALSE))</f>
        <v xml:space="preserve"> </v>
      </c>
      <c r="G640" s="7" t="str">
        <f>IF(A640=""," ",B640*VLOOKUP(A640,'01.01.2026 - 24.01.2026'!A:H,8,FALSE))</f>
        <v xml:space="preserve"> </v>
      </c>
    </row>
    <row r="641" spans="1:7" x14ac:dyDescent="0.3">
      <c r="A641" s="18"/>
      <c r="B641" s="23"/>
      <c r="C641" s="6" t="str">
        <f>IF(A641=""," ",VLOOKUP(A641,'01.01.2026 - 24.01.2026'!A:H,2,FALSE))</f>
        <v xml:space="preserve"> </v>
      </c>
      <c r="D641" s="30" t="str">
        <f>IF(A641=""," ",VLOOKUP(A641,'01.01.2026 - 24.01.2026'!A:H,5,FALSE))</f>
        <v xml:space="preserve"> </v>
      </c>
      <c r="E641" s="7" t="str">
        <f>IF(A641=""," ",B641*VLOOKUP(A641,'01.01.2026 - 24.01.2026'!A:H,6,FALSE))</f>
        <v xml:space="preserve"> </v>
      </c>
      <c r="F641" s="7" t="str">
        <f>IF(A641=""," ",B641*VLOOKUP(A641,'01.01.2026 - 24.01.2026'!A:H,7,FALSE))</f>
        <v xml:space="preserve"> </v>
      </c>
      <c r="G641" s="7" t="str">
        <f>IF(A641=""," ",B641*VLOOKUP(A641,'01.01.2026 - 24.01.2026'!A:H,8,FALSE))</f>
        <v xml:space="preserve"> </v>
      </c>
    </row>
    <row r="642" spans="1:7" x14ac:dyDescent="0.3">
      <c r="A642" s="18"/>
      <c r="B642" s="23"/>
      <c r="C642" s="6" t="str">
        <f>IF(A642=""," ",VLOOKUP(A642,'01.01.2026 - 24.01.2026'!A:H,2,FALSE))</f>
        <v xml:space="preserve"> </v>
      </c>
      <c r="D642" s="30" t="str">
        <f>IF(A642=""," ",VLOOKUP(A642,'01.01.2026 - 24.01.2026'!A:H,5,FALSE))</f>
        <v xml:space="preserve"> </v>
      </c>
      <c r="E642" s="7" t="str">
        <f>IF(A642=""," ",B642*VLOOKUP(A642,'01.01.2026 - 24.01.2026'!A:H,6,FALSE))</f>
        <v xml:space="preserve"> </v>
      </c>
      <c r="F642" s="7" t="str">
        <f>IF(A642=""," ",B642*VLOOKUP(A642,'01.01.2026 - 24.01.2026'!A:H,7,FALSE))</f>
        <v xml:space="preserve"> </v>
      </c>
      <c r="G642" s="7" t="str">
        <f>IF(A642=""," ",B642*VLOOKUP(A642,'01.01.2026 - 24.01.2026'!A:H,8,FALSE))</f>
        <v xml:space="preserve"> </v>
      </c>
    </row>
    <row r="643" spans="1:7" x14ac:dyDescent="0.3">
      <c r="A643" s="18"/>
      <c r="B643" s="23"/>
      <c r="C643" s="6" t="str">
        <f>IF(A643=""," ",VLOOKUP(A643,'01.01.2026 - 24.01.2026'!A:H,2,FALSE))</f>
        <v xml:space="preserve"> </v>
      </c>
      <c r="D643" s="30" t="str">
        <f>IF(A643=""," ",VLOOKUP(A643,'01.01.2026 - 24.01.2026'!A:H,5,FALSE))</f>
        <v xml:space="preserve"> </v>
      </c>
      <c r="E643" s="7" t="str">
        <f>IF(A643=""," ",B643*VLOOKUP(A643,'01.01.2026 - 24.01.2026'!A:H,6,FALSE))</f>
        <v xml:space="preserve"> </v>
      </c>
      <c r="F643" s="7" t="str">
        <f>IF(A643=""," ",B643*VLOOKUP(A643,'01.01.2026 - 24.01.2026'!A:H,7,FALSE))</f>
        <v xml:space="preserve"> </v>
      </c>
      <c r="G643" s="7" t="str">
        <f>IF(A643=""," ",B643*VLOOKUP(A643,'01.01.2026 - 24.01.2026'!A:H,8,FALSE))</f>
        <v xml:space="preserve"> </v>
      </c>
    </row>
    <row r="644" spans="1:7" x14ac:dyDescent="0.3">
      <c r="A644" s="18"/>
      <c r="B644" s="23"/>
      <c r="C644" s="6" t="str">
        <f>IF(A644=""," ",VLOOKUP(A644,'01.01.2026 - 24.01.2026'!A:H,2,FALSE))</f>
        <v xml:space="preserve"> </v>
      </c>
      <c r="D644" s="30" t="str">
        <f>IF(A644=""," ",VLOOKUP(A644,'01.01.2026 - 24.01.2026'!A:H,5,FALSE))</f>
        <v xml:space="preserve"> </v>
      </c>
      <c r="E644" s="7" t="str">
        <f>IF(A644=""," ",B644*VLOOKUP(A644,'01.01.2026 - 24.01.2026'!A:H,6,FALSE))</f>
        <v xml:space="preserve"> </v>
      </c>
      <c r="F644" s="7" t="str">
        <f>IF(A644=""," ",B644*VLOOKUP(A644,'01.01.2026 - 24.01.2026'!A:H,7,FALSE))</f>
        <v xml:space="preserve"> </v>
      </c>
      <c r="G644" s="7" t="str">
        <f>IF(A644=""," ",B644*VLOOKUP(A644,'01.01.2026 - 24.01.2026'!A:H,8,FALSE))</f>
        <v xml:space="preserve"> </v>
      </c>
    </row>
    <row r="645" spans="1:7" x14ac:dyDescent="0.3">
      <c r="A645" s="18"/>
      <c r="B645" s="23"/>
      <c r="C645" s="6" t="str">
        <f>IF(A645=""," ",VLOOKUP(A645,'01.01.2026 - 24.01.2026'!A:H,2,FALSE))</f>
        <v xml:space="preserve"> </v>
      </c>
      <c r="D645" s="30" t="str">
        <f>IF(A645=""," ",VLOOKUP(A645,'01.01.2026 - 24.01.2026'!A:H,5,FALSE))</f>
        <v xml:space="preserve"> </v>
      </c>
      <c r="E645" s="7" t="str">
        <f>IF(A645=""," ",B645*VLOOKUP(A645,'01.01.2026 - 24.01.2026'!A:H,6,FALSE))</f>
        <v xml:space="preserve"> </v>
      </c>
      <c r="F645" s="7" t="str">
        <f>IF(A645=""," ",B645*VLOOKUP(A645,'01.01.2026 - 24.01.2026'!A:H,7,FALSE))</f>
        <v xml:space="preserve"> </v>
      </c>
      <c r="G645" s="7" t="str">
        <f>IF(A645=""," ",B645*VLOOKUP(A645,'01.01.2026 - 24.01.2026'!A:H,8,FALSE))</f>
        <v xml:space="preserve"> </v>
      </c>
    </row>
    <row r="646" spans="1:7" x14ac:dyDescent="0.3">
      <c r="A646" s="18"/>
      <c r="B646" s="23"/>
      <c r="C646" s="6" t="str">
        <f>IF(A646=""," ",VLOOKUP(A646,'01.01.2026 - 24.01.2026'!A:H,2,FALSE))</f>
        <v xml:space="preserve"> </v>
      </c>
      <c r="D646" s="30" t="str">
        <f>IF(A646=""," ",VLOOKUP(A646,'01.01.2026 - 24.01.2026'!A:H,5,FALSE))</f>
        <v xml:space="preserve"> </v>
      </c>
      <c r="E646" s="7" t="str">
        <f>IF(A646=""," ",B646*VLOOKUP(A646,'01.01.2026 - 24.01.2026'!A:H,6,FALSE))</f>
        <v xml:space="preserve"> </v>
      </c>
      <c r="F646" s="7" t="str">
        <f>IF(A646=""," ",B646*VLOOKUP(A646,'01.01.2026 - 24.01.2026'!A:H,7,FALSE))</f>
        <v xml:space="preserve"> </v>
      </c>
      <c r="G646" s="7" t="str">
        <f>IF(A646=""," ",B646*VLOOKUP(A646,'01.01.2026 - 24.01.2026'!A:H,8,FALSE))</f>
        <v xml:space="preserve"> </v>
      </c>
    </row>
    <row r="647" spans="1:7" x14ac:dyDescent="0.3">
      <c r="A647" s="18"/>
      <c r="B647" s="23"/>
      <c r="C647" s="6" t="str">
        <f>IF(A647=""," ",VLOOKUP(A647,'01.01.2026 - 24.01.2026'!A:H,2,FALSE))</f>
        <v xml:space="preserve"> </v>
      </c>
      <c r="D647" s="30" t="str">
        <f>IF(A647=""," ",VLOOKUP(A647,'01.01.2026 - 24.01.2026'!A:H,5,FALSE))</f>
        <v xml:space="preserve"> </v>
      </c>
      <c r="E647" s="7" t="str">
        <f>IF(A647=""," ",B647*VLOOKUP(A647,'01.01.2026 - 24.01.2026'!A:H,6,FALSE))</f>
        <v xml:space="preserve"> </v>
      </c>
      <c r="F647" s="7" t="str">
        <f>IF(A647=""," ",B647*VLOOKUP(A647,'01.01.2026 - 24.01.2026'!A:H,7,FALSE))</f>
        <v xml:space="preserve"> </v>
      </c>
      <c r="G647" s="7" t="str">
        <f>IF(A647=""," ",B647*VLOOKUP(A647,'01.01.2026 - 24.01.2026'!A:H,8,FALSE))</f>
        <v xml:space="preserve"> </v>
      </c>
    </row>
    <row r="648" spans="1:7" x14ac:dyDescent="0.3">
      <c r="A648" s="18"/>
      <c r="B648" s="23"/>
      <c r="C648" s="6" t="str">
        <f>IF(A648=""," ",VLOOKUP(A648,'01.01.2026 - 24.01.2026'!A:H,2,FALSE))</f>
        <v xml:space="preserve"> </v>
      </c>
      <c r="D648" s="30" t="str">
        <f>IF(A648=""," ",VLOOKUP(A648,'01.01.2026 - 24.01.2026'!A:H,5,FALSE))</f>
        <v xml:space="preserve"> </v>
      </c>
      <c r="E648" s="7" t="str">
        <f>IF(A648=""," ",B648*VLOOKUP(A648,'01.01.2026 - 24.01.2026'!A:H,6,FALSE))</f>
        <v xml:space="preserve"> </v>
      </c>
      <c r="F648" s="7" t="str">
        <f>IF(A648=""," ",B648*VLOOKUP(A648,'01.01.2026 - 24.01.2026'!A:H,7,FALSE))</f>
        <v xml:space="preserve"> </v>
      </c>
      <c r="G648" s="7" t="str">
        <f>IF(A648=""," ",B648*VLOOKUP(A648,'01.01.2026 - 24.01.2026'!A:H,8,FALSE))</f>
        <v xml:space="preserve"> </v>
      </c>
    </row>
    <row r="649" spans="1:7" x14ac:dyDescent="0.3">
      <c r="A649" s="18"/>
      <c r="B649" s="23"/>
      <c r="C649" s="6" t="str">
        <f>IF(A649=""," ",VLOOKUP(A649,'01.01.2026 - 24.01.2026'!A:H,2,FALSE))</f>
        <v xml:space="preserve"> </v>
      </c>
      <c r="D649" s="30" t="str">
        <f>IF(A649=""," ",VLOOKUP(A649,'01.01.2026 - 24.01.2026'!A:H,5,FALSE))</f>
        <v xml:space="preserve"> </v>
      </c>
      <c r="E649" s="7" t="str">
        <f>IF(A649=""," ",B649*VLOOKUP(A649,'01.01.2026 - 24.01.2026'!A:H,6,FALSE))</f>
        <v xml:space="preserve"> </v>
      </c>
      <c r="F649" s="7" t="str">
        <f>IF(A649=""," ",B649*VLOOKUP(A649,'01.01.2026 - 24.01.2026'!A:H,7,FALSE))</f>
        <v xml:space="preserve"> </v>
      </c>
      <c r="G649" s="7" t="str">
        <f>IF(A649=""," ",B649*VLOOKUP(A649,'01.01.2026 - 24.01.2026'!A:H,8,FALSE))</f>
        <v xml:space="preserve"> </v>
      </c>
    </row>
    <row r="650" spans="1:7" x14ac:dyDescent="0.3">
      <c r="A650" s="18"/>
      <c r="B650" s="23"/>
      <c r="C650" s="6" t="str">
        <f>IF(A650=""," ",VLOOKUP(A650,'01.01.2026 - 24.01.2026'!A:H,2,FALSE))</f>
        <v xml:space="preserve"> </v>
      </c>
      <c r="D650" s="30" t="str">
        <f>IF(A650=""," ",VLOOKUP(A650,'01.01.2026 - 24.01.2026'!A:H,5,FALSE))</f>
        <v xml:space="preserve"> </v>
      </c>
      <c r="E650" s="7" t="str">
        <f>IF(A650=""," ",B650*VLOOKUP(A650,'01.01.2026 - 24.01.2026'!A:H,6,FALSE))</f>
        <v xml:space="preserve"> </v>
      </c>
      <c r="F650" s="7" t="str">
        <f>IF(A650=""," ",B650*VLOOKUP(A650,'01.01.2026 - 24.01.2026'!A:H,7,FALSE))</f>
        <v xml:space="preserve"> </v>
      </c>
      <c r="G650" s="7" t="str">
        <f>IF(A650=""," ",B650*VLOOKUP(A650,'01.01.2026 - 24.01.2026'!A:H,8,FALSE))</f>
        <v xml:space="preserve"> </v>
      </c>
    </row>
    <row r="651" spans="1:7" x14ac:dyDescent="0.3">
      <c r="A651" s="18"/>
      <c r="B651" s="23"/>
      <c r="C651" s="6" t="str">
        <f>IF(A651=""," ",VLOOKUP(A651,'01.01.2026 - 24.01.2026'!A:H,2,FALSE))</f>
        <v xml:space="preserve"> </v>
      </c>
      <c r="D651" s="30" t="str">
        <f>IF(A651=""," ",VLOOKUP(A651,'01.01.2026 - 24.01.2026'!A:H,5,FALSE))</f>
        <v xml:space="preserve"> </v>
      </c>
      <c r="E651" s="7" t="str">
        <f>IF(A651=""," ",B651*VLOOKUP(A651,'01.01.2026 - 24.01.2026'!A:H,6,FALSE))</f>
        <v xml:space="preserve"> </v>
      </c>
      <c r="F651" s="7" t="str">
        <f>IF(A651=""," ",B651*VLOOKUP(A651,'01.01.2026 - 24.01.2026'!A:H,7,FALSE))</f>
        <v xml:space="preserve"> </v>
      </c>
      <c r="G651" s="7" t="str">
        <f>IF(A651=""," ",B651*VLOOKUP(A651,'01.01.2026 - 24.01.2026'!A:H,8,FALSE))</f>
        <v xml:space="preserve"> </v>
      </c>
    </row>
    <row r="652" spans="1:7" x14ac:dyDescent="0.3">
      <c r="A652" s="18"/>
      <c r="B652" s="23"/>
      <c r="C652" s="6" t="str">
        <f>IF(A652=""," ",VLOOKUP(A652,'01.01.2026 - 24.01.2026'!A:H,2,FALSE))</f>
        <v xml:space="preserve"> </v>
      </c>
      <c r="D652" s="30" t="str">
        <f>IF(A652=""," ",VLOOKUP(A652,'01.01.2026 - 24.01.2026'!A:H,5,FALSE))</f>
        <v xml:space="preserve"> </v>
      </c>
      <c r="E652" s="7" t="str">
        <f>IF(A652=""," ",B652*VLOOKUP(A652,'01.01.2026 - 24.01.2026'!A:H,6,FALSE))</f>
        <v xml:space="preserve"> </v>
      </c>
      <c r="F652" s="7" t="str">
        <f>IF(A652=""," ",B652*VLOOKUP(A652,'01.01.2026 - 24.01.2026'!A:H,7,FALSE))</f>
        <v xml:space="preserve"> </v>
      </c>
      <c r="G652" s="7" t="str">
        <f>IF(A652=""," ",B652*VLOOKUP(A652,'01.01.2026 - 24.01.2026'!A:H,8,FALSE))</f>
        <v xml:space="preserve"> </v>
      </c>
    </row>
    <row r="653" spans="1:7" x14ac:dyDescent="0.3">
      <c r="A653" s="18"/>
      <c r="B653" s="23"/>
      <c r="C653" s="6" t="str">
        <f>IF(A653=""," ",VLOOKUP(A653,'01.01.2026 - 24.01.2026'!A:H,2,FALSE))</f>
        <v xml:space="preserve"> </v>
      </c>
      <c r="D653" s="30" t="str">
        <f>IF(A653=""," ",VLOOKUP(A653,'01.01.2026 - 24.01.2026'!A:H,5,FALSE))</f>
        <v xml:space="preserve"> </v>
      </c>
      <c r="E653" s="7" t="str">
        <f>IF(A653=""," ",B653*VLOOKUP(A653,'01.01.2026 - 24.01.2026'!A:H,6,FALSE))</f>
        <v xml:space="preserve"> </v>
      </c>
      <c r="F653" s="7" t="str">
        <f>IF(A653=""," ",B653*VLOOKUP(A653,'01.01.2026 - 24.01.2026'!A:H,7,FALSE))</f>
        <v xml:space="preserve"> </v>
      </c>
      <c r="G653" s="7" t="str">
        <f>IF(A653=""," ",B653*VLOOKUP(A653,'01.01.2026 - 24.01.2026'!A:H,8,FALSE))</f>
        <v xml:space="preserve"> </v>
      </c>
    </row>
    <row r="654" spans="1:7" x14ac:dyDescent="0.3">
      <c r="A654" s="18"/>
      <c r="B654" s="23"/>
      <c r="C654" s="6" t="str">
        <f>IF(A654=""," ",VLOOKUP(A654,'01.01.2026 - 24.01.2026'!A:H,2,FALSE))</f>
        <v xml:space="preserve"> </v>
      </c>
      <c r="D654" s="30" t="str">
        <f>IF(A654=""," ",VLOOKUP(A654,'01.01.2026 - 24.01.2026'!A:H,5,FALSE))</f>
        <v xml:space="preserve"> </v>
      </c>
      <c r="E654" s="7" t="str">
        <f>IF(A654=""," ",B654*VLOOKUP(A654,'01.01.2026 - 24.01.2026'!A:H,6,FALSE))</f>
        <v xml:space="preserve"> </v>
      </c>
      <c r="F654" s="7" t="str">
        <f>IF(A654=""," ",B654*VLOOKUP(A654,'01.01.2026 - 24.01.2026'!A:H,7,FALSE))</f>
        <v xml:space="preserve"> </v>
      </c>
      <c r="G654" s="7" t="str">
        <f>IF(A654=""," ",B654*VLOOKUP(A654,'01.01.2026 - 24.01.2026'!A:H,8,FALSE))</f>
        <v xml:space="preserve"> </v>
      </c>
    </row>
    <row r="655" spans="1:7" x14ac:dyDescent="0.3">
      <c r="A655" s="18"/>
      <c r="B655" s="23"/>
      <c r="C655" s="6" t="str">
        <f>IF(A655=""," ",VLOOKUP(A655,'01.01.2026 - 24.01.2026'!A:H,2,FALSE))</f>
        <v xml:space="preserve"> </v>
      </c>
      <c r="D655" s="30" t="str">
        <f>IF(A655=""," ",VLOOKUP(A655,'01.01.2026 - 24.01.2026'!A:H,5,FALSE))</f>
        <v xml:space="preserve"> </v>
      </c>
      <c r="E655" s="7" t="str">
        <f>IF(A655=""," ",B655*VLOOKUP(A655,'01.01.2026 - 24.01.2026'!A:H,6,FALSE))</f>
        <v xml:space="preserve"> </v>
      </c>
      <c r="F655" s="7" t="str">
        <f>IF(A655=""," ",B655*VLOOKUP(A655,'01.01.2026 - 24.01.2026'!A:H,7,FALSE))</f>
        <v xml:space="preserve"> </v>
      </c>
      <c r="G655" s="7" t="str">
        <f>IF(A655=""," ",B655*VLOOKUP(A655,'01.01.2026 - 24.01.2026'!A:H,8,FALSE))</f>
        <v xml:space="preserve"> </v>
      </c>
    </row>
    <row r="656" spans="1:7" x14ac:dyDescent="0.3">
      <c r="A656" s="18"/>
      <c r="B656" s="23"/>
      <c r="C656" s="6" t="str">
        <f>IF(A656=""," ",VLOOKUP(A656,'01.01.2026 - 24.01.2026'!A:H,2,FALSE))</f>
        <v xml:space="preserve"> </v>
      </c>
      <c r="D656" s="30" t="str">
        <f>IF(A656=""," ",VLOOKUP(A656,'01.01.2026 - 24.01.2026'!A:H,5,FALSE))</f>
        <v xml:space="preserve"> </v>
      </c>
      <c r="E656" s="7" t="str">
        <f>IF(A656=""," ",B656*VLOOKUP(A656,'01.01.2026 - 24.01.2026'!A:H,6,FALSE))</f>
        <v xml:space="preserve"> </v>
      </c>
      <c r="F656" s="7" t="str">
        <f>IF(A656=""," ",B656*VLOOKUP(A656,'01.01.2026 - 24.01.2026'!A:H,7,FALSE))</f>
        <v xml:space="preserve"> </v>
      </c>
      <c r="G656" s="7" t="str">
        <f>IF(A656=""," ",B656*VLOOKUP(A656,'01.01.2026 - 24.01.2026'!A:H,8,FALSE))</f>
        <v xml:space="preserve"> </v>
      </c>
    </row>
    <row r="657" spans="1:7" x14ac:dyDescent="0.3">
      <c r="A657" s="18"/>
      <c r="B657" s="23"/>
      <c r="C657" s="6" t="str">
        <f>IF(A657=""," ",VLOOKUP(A657,'01.01.2026 - 24.01.2026'!A:H,2,FALSE))</f>
        <v xml:space="preserve"> </v>
      </c>
      <c r="D657" s="30" t="str">
        <f>IF(A657=""," ",VLOOKUP(A657,'01.01.2026 - 24.01.2026'!A:H,5,FALSE))</f>
        <v xml:space="preserve"> </v>
      </c>
      <c r="E657" s="7" t="str">
        <f>IF(A657=""," ",B657*VLOOKUP(A657,'01.01.2026 - 24.01.2026'!A:H,6,FALSE))</f>
        <v xml:space="preserve"> </v>
      </c>
      <c r="F657" s="7" t="str">
        <f>IF(A657=""," ",B657*VLOOKUP(A657,'01.01.2026 - 24.01.2026'!A:H,7,FALSE))</f>
        <v xml:space="preserve"> </v>
      </c>
      <c r="G657" s="7" t="str">
        <f>IF(A657=""," ",B657*VLOOKUP(A657,'01.01.2026 - 24.01.2026'!A:H,8,FALSE))</f>
        <v xml:space="preserve"> </v>
      </c>
    </row>
    <row r="658" spans="1:7" x14ac:dyDescent="0.3">
      <c r="A658" s="18"/>
      <c r="B658" s="23"/>
      <c r="C658" s="6" t="str">
        <f>IF(A658=""," ",VLOOKUP(A658,'01.01.2026 - 24.01.2026'!A:H,2,FALSE))</f>
        <v xml:space="preserve"> </v>
      </c>
      <c r="D658" s="30" t="str">
        <f>IF(A658=""," ",VLOOKUP(A658,'01.01.2026 - 24.01.2026'!A:H,5,FALSE))</f>
        <v xml:space="preserve"> </v>
      </c>
      <c r="E658" s="7" t="str">
        <f>IF(A658=""," ",B658*VLOOKUP(A658,'01.01.2026 - 24.01.2026'!A:H,6,FALSE))</f>
        <v xml:space="preserve"> </v>
      </c>
      <c r="F658" s="7" t="str">
        <f>IF(A658=""," ",B658*VLOOKUP(A658,'01.01.2026 - 24.01.2026'!A:H,7,FALSE))</f>
        <v xml:space="preserve"> </v>
      </c>
      <c r="G658" s="7" t="str">
        <f>IF(A658=""," ",B658*VLOOKUP(A658,'01.01.2026 - 24.01.2026'!A:H,8,FALSE))</f>
        <v xml:space="preserve"> </v>
      </c>
    </row>
    <row r="659" spans="1:7" x14ac:dyDescent="0.3">
      <c r="A659" s="18"/>
      <c r="B659" s="23"/>
      <c r="C659" s="6" t="str">
        <f>IF(A659=""," ",VLOOKUP(A659,'01.01.2026 - 24.01.2026'!A:H,2,FALSE))</f>
        <v xml:space="preserve"> </v>
      </c>
      <c r="D659" s="30" t="str">
        <f>IF(A659=""," ",VLOOKUP(A659,'01.01.2026 - 24.01.2026'!A:H,5,FALSE))</f>
        <v xml:space="preserve"> </v>
      </c>
      <c r="E659" s="7" t="str">
        <f>IF(A659=""," ",B659*VLOOKUP(A659,'01.01.2026 - 24.01.2026'!A:H,6,FALSE))</f>
        <v xml:space="preserve"> </v>
      </c>
      <c r="F659" s="7" t="str">
        <f>IF(A659=""," ",B659*VLOOKUP(A659,'01.01.2026 - 24.01.2026'!A:H,7,FALSE))</f>
        <v xml:space="preserve"> </v>
      </c>
      <c r="G659" s="7" t="str">
        <f>IF(A659=""," ",B659*VLOOKUP(A659,'01.01.2026 - 24.01.2026'!A:H,8,FALSE))</f>
        <v xml:space="preserve"> </v>
      </c>
    </row>
    <row r="660" spans="1:7" x14ac:dyDescent="0.3">
      <c r="A660" s="18"/>
      <c r="B660" s="23"/>
      <c r="C660" s="6" t="str">
        <f>IF(A660=""," ",VLOOKUP(A660,'01.01.2026 - 24.01.2026'!A:H,2,FALSE))</f>
        <v xml:space="preserve"> </v>
      </c>
      <c r="D660" s="30" t="str">
        <f>IF(A660=""," ",VLOOKUP(A660,'01.01.2026 - 24.01.2026'!A:H,5,FALSE))</f>
        <v xml:space="preserve"> </v>
      </c>
      <c r="E660" s="7" t="str">
        <f>IF(A660=""," ",B660*VLOOKUP(A660,'01.01.2026 - 24.01.2026'!A:H,6,FALSE))</f>
        <v xml:space="preserve"> </v>
      </c>
      <c r="F660" s="7" t="str">
        <f>IF(A660=""," ",B660*VLOOKUP(A660,'01.01.2026 - 24.01.2026'!A:H,7,FALSE))</f>
        <v xml:space="preserve"> </v>
      </c>
      <c r="G660" s="7" t="str">
        <f>IF(A660=""," ",B660*VLOOKUP(A660,'01.01.2026 - 24.01.2026'!A:H,8,FALSE))</f>
        <v xml:space="preserve"> </v>
      </c>
    </row>
    <row r="661" spans="1:7" x14ac:dyDescent="0.3">
      <c r="A661" s="18"/>
      <c r="B661" s="23"/>
      <c r="C661" s="6" t="str">
        <f>IF(A661=""," ",VLOOKUP(A661,'01.01.2026 - 24.01.2026'!A:H,2,FALSE))</f>
        <v xml:space="preserve"> </v>
      </c>
      <c r="D661" s="30" t="str">
        <f>IF(A661=""," ",VLOOKUP(A661,'01.01.2026 - 24.01.2026'!A:H,5,FALSE))</f>
        <v xml:space="preserve"> </v>
      </c>
      <c r="E661" s="7" t="str">
        <f>IF(A661=""," ",B661*VLOOKUP(A661,'01.01.2026 - 24.01.2026'!A:H,6,FALSE))</f>
        <v xml:space="preserve"> </v>
      </c>
      <c r="F661" s="7" t="str">
        <f>IF(A661=""," ",B661*VLOOKUP(A661,'01.01.2026 - 24.01.2026'!A:H,7,FALSE))</f>
        <v xml:space="preserve"> </v>
      </c>
      <c r="G661" s="7" t="str">
        <f>IF(A661=""," ",B661*VLOOKUP(A661,'01.01.2026 - 24.01.2026'!A:H,8,FALSE))</f>
        <v xml:space="preserve"> </v>
      </c>
    </row>
    <row r="662" spans="1:7" x14ac:dyDescent="0.3">
      <c r="A662" s="18"/>
      <c r="B662" s="23"/>
      <c r="C662" s="6" t="str">
        <f>IF(A662=""," ",VLOOKUP(A662,'01.01.2026 - 24.01.2026'!A:H,2,FALSE))</f>
        <v xml:space="preserve"> </v>
      </c>
      <c r="D662" s="30" t="str">
        <f>IF(A662=""," ",VLOOKUP(A662,'01.01.2026 - 24.01.2026'!A:H,5,FALSE))</f>
        <v xml:space="preserve"> </v>
      </c>
      <c r="E662" s="7" t="str">
        <f>IF(A662=""," ",B662*VLOOKUP(A662,'01.01.2026 - 24.01.2026'!A:H,6,FALSE))</f>
        <v xml:space="preserve"> </v>
      </c>
      <c r="F662" s="7" t="str">
        <f>IF(A662=""," ",B662*VLOOKUP(A662,'01.01.2026 - 24.01.2026'!A:H,7,FALSE))</f>
        <v xml:space="preserve"> </v>
      </c>
      <c r="G662" s="7" t="str">
        <f>IF(A662=""," ",B662*VLOOKUP(A662,'01.01.2026 - 24.01.2026'!A:H,8,FALSE))</f>
        <v xml:space="preserve"> </v>
      </c>
    </row>
    <row r="663" spans="1:7" x14ac:dyDescent="0.3">
      <c r="A663" s="18"/>
      <c r="B663" s="23"/>
      <c r="C663" s="6" t="str">
        <f>IF(A663=""," ",VLOOKUP(A663,'01.01.2026 - 24.01.2026'!A:H,2,FALSE))</f>
        <v xml:space="preserve"> </v>
      </c>
      <c r="D663" s="30" t="str">
        <f>IF(A663=""," ",VLOOKUP(A663,'01.01.2026 - 24.01.2026'!A:H,5,FALSE))</f>
        <v xml:space="preserve"> </v>
      </c>
      <c r="E663" s="7" t="str">
        <f>IF(A663=""," ",B663*VLOOKUP(A663,'01.01.2026 - 24.01.2026'!A:H,6,FALSE))</f>
        <v xml:space="preserve"> </v>
      </c>
      <c r="F663" s="7" t="str">
        <f>IF(A663=""," ",B663*VLOOKUP(A663,'01.01.2026 - 24.01.2026'!A:H,7,FALSE))</f>
        <v xml:space="preserve"> </v>
      </c>
      <c r="G663" s="7" t="str">
        <f>IF(A663=""," ",B663*VLOOKUP(A663,'01.01.2026 - 24.01.2026'!A:H,8,FALSE))</f>
        <v xml:space="preserve"> </v>
      </c>
    </row>
    <row r="664" spans="1:7" x14ac:dyDescent="0.3">
      <c r="A664" s="18"/>
      <c r="B664" s="23"/>
      <c r="C664" s="6" t="str">
        <f>IF(A664=""," ",VLOOKUP(A664,'01.01.2026 - 24.01.2026'!A:H,2,FALSE))</f>
        <v xml:space="preserve"> </v>
      </c>
      <c r="D664" s="30" t="str">
        <f>IF(A664=""," ",VLOOKUP(A664,'01.01.2026 - 24.01.2026'!A:H,5,FALSE))</f>
        <v xml:space="preserve"> </v>
      </c>
      <c r="E664" s="7" t="str">
        <f>IF(A664=""," ",B664*VLOOKUP(A664,'01.01.2026 - 24.01.2026'!A:H,6,FALSE))</f>
        <v xml:space="preserve"> </v>
      </c>
      <c r="F664" s="7" t="str">
        <f>IF(A664=""," ",B664*VLOOKUP(A664,'01.01.2026 - 24.01.2026'!A:H,7,FALSE))</f>
        <v xml:space="preserve"> </v>
      </c>
      <c r="G664" s="7" t="str">
        <f>IF(A664=""," ",B664*VLOOKUP(A664,'01.01.2026 - 24.01.2026'!A:H,8,FALSE))</f>
        <v xml:space="preserve"> </v>
      </c>
    </row>
    <row r="665" spans="1:7" x14ac:dyDescent="0.3">
      <c r="A665" s="18"/>
      <c r="B665" s="23"/>
      <c r="C665" s="6" t="str">
        <f>IF(A665=""," ",VLOOKUP(A665,'01.01.2026 - 24.01.2026'!A:H,2,FALSE))</f>
        <v xml:space="preserve"> </v>
      </c>
      <c r="D665" s="30" t="str">
        <f>IF(A665=""," ",VLOOKUP(A665,'01.01.2026 - 24.01.2026'!A:H,5,FALSE))</f>
        <v xml:space="preserve"> </v>
      </c>
      <c r="E665" s="7" t="str">
        <f>IF(A665=""," ",B665*VLOOKUP(A665,'01.01.2026 - 24.01.2026'!A:H,6,FALSE))</f>
        <v xml:space="preserve"> </v>
      </c>
      <c r="F665" s="7" t="str">
        <f>IF(A665=""," ",B665*VLOOKUP(A665,'01.01.2026 - 24.01.2026'!A:H,7,FALSE))</f>
        <v xml:space="preserve"> </v>
      </c>
      <c r="G665" s="7" t="str">
        <f>IF(A665=""," ",B665*VLOOKUP(A665,'01.01.2026 - 24.01.2026'!A:H,8,FALSE))</f>
        <v xml:space="preserve"> </v>
      </c>
    </row>
    <row r="666" spans="1:7" x14ac:dyDescent="0.3">
      <c r="A666" s="18"/>
      <c r="B666" s="23"/>
      <c r="C666" s="6" t="str">
        <f>IF(A666=""," ",VLOOKUP(A666,'01.01.2026 - 24.01.2026'!A:H,2,FALSE))</f>
        <v xml:space="preserve"> </v>
      </c>
      <c r="D666" s="30" t="str">
        <f>IF(A666=""," ",VLOOKUP(A666,'01.01.2026 - 24.01.2026'!A:H,5,FALSE))</f>
        <v xml:space="preserve"> </v>
      </c>
      <c r="E666" s="7" t="str">
        <f>IF(A666=""," ",B666*VLOOKUP(A666,'01.01.2026 - 24.01.2026'!A:H,6,FALSE))</f>
        <v xml:space="preserve"> </v>
      </c>
      <c r="F666" s="7" t="str">
        <f>IF(A666=""," ",B666*VLOOKUP(A666,'01.01.2026 - 24.01.2026'!A:H,7,FALSE))</f>
        <v xml:space="preserve"> </v>
      </c>
      <c r="G666" s="7" t="str">
        <f>IF(A666=""," ",B666*VLOOKUP(A666,'01.01.2026 - 24.01.2026'!A:H,8,FALSE))</f>
        <v xml:space="preserve"> </v>
      </c>
    </row>
    <row r="667" spans="1:7" x14ac:dyDescent="0.3">
      <c r="A667" s="18"/>
      <c r="B667" s="23"/>
      <c r="C667" s="6" t="str">
        <f>IF(A667=""," ",VLOOKUP(A667,'01.01.2026 - 24.01.2026'!A:H,2,FALSE))</f>
        <v xml:space="preserve"> </v>
      </c>
      <c r="D667" s="30" t="str">
        <f>IF(A667=""," ",VLOOKUP(A667,'01.01.2026 - 24.01.2026'!A:H,5,FALSE))</f>
        <v xml:space="preserve"> </v>
      </c>
      <c r="E667" s="7" t="str">
        <f>IF(A667=""," ",B667*VLOOKUP(A667,'01.01.2026 - 24.01.2026'!A:H,6,FALSE))</f>
        <v xml:space="preserve"> </v>
      </c>
      <c r="F667" s="7" t="str">
        <f>IF(A667=""," ",B667*VLOOKUP(A667,'01.01.2026 - 24.01.2026'!A:H,7,FALSE))</f>
        <v xml:space="preserve"> </v>
      </c>
      <c r="G667" s="7" t="str">
        <f>IF(A667=""," ",B667*VLOOKUP(A667,'01.01.2026 - 24.01.2026'!A:H,8,FALSE))</f>
        <v xml:space="preserve"> </v>
      </c>
    </row>
    <row r="668" spans="1:7" x14ac:dyDescent="0.3">
      <c r="A668" s="18"/>
      <c r="B668" s="23"/>
      <c r="C668" s="6" t="str">
        <f>IF(A668=""," ",VLOOKUP(A668,'01.01.2026 - 24.01.2026'!A:H,2,FALSE))</f>
        <v xml:space="preserve"> </v>
      </c>
      <c r="D668" s="30" t="str">
        <f>IF(A668=""," ",VLOOKUP(A668,'01.01.2026 - 24.01.2026'!A:H,5,FALSE))</f>
        <v xml:space="preserve"> </v>
      </c>
      <c r="E668" s="7" t="str">
        <f>IF(A668=""," ",B668*VLOOKUP(A668,'01.01.2026 - 24.01.2026'!A:H,6,FALSE))</f>
        <v xml:space="preserve"> </v>
      </c>
      <c r="F668" s="7" t="str">
        <f>IF(A668=""," ",B668*VLOOKUP(A668,'01.01.2026 - 24.01.2026'!A:H,7,FALSE))</f>
        <v xml:space="preserve"> </v>
      </c>
      <c r="G668" s="7" t="str">
        <f>IF(A668=""," ",B668*VLOOKUP(A668,'01.01.2026 - 24.01.2026'!A:H,8,FALSE))</f>
        <v xml:space="preserve"> </v>
      </c>
    </row>
    <row r="669" spans="1:7" x14ac:dyDescent="0.3">
      <c r="A669" s="18"/>
      <c r="B669" s="23"/>
      <c r="C669" s="6" t="str">
        <f>IF(A669=""," ",VLOOKUP(A669,'01.01.2026 - 24.01.2026'!A:H,2,FALSE))</f>
        <v xml:space="preserve"> </v>
      </c>
      <c r="D669" s="30" t="str">
        <f>IF(A669=""," ",VLOOKUP(A669,'01.01.2026 - 24.01.2026'!A:H,5,FALSE))</f>
        <v xml:space="preserve"> </v>
      </c>
      <c r="E669" s="7" t="str">
        <f>IF(A669=""," ",B669*VLOOKUP(A669,'01.01.2026 - 24.01.2026'!A:H,6,FALSE))</f>
        <v xml:space="preserve"> </v>
      </c>
      <c r="F669" s="7" t="str">
        <f>IF(A669=""," ",B669*VLOOKUP(A669,'01.01.2026 - 24.01.2026'!A:H,7,FALSE))</f>
        <v xml:space="preserve"> </v>
      </c>
      <c r="G669" s="7" t="str">
        <f>IF(A669=""," ",B669*VLOOKUP(A669,'01.01.2026 - 24.01.2026'!A:H,8,FALSE))</f>
        <v xml:space="preserve"> </v>
      </c>
    </row>
    <row r="670" spans="1:7" x14ac:dyDescent="0.3">
      <c r="A670" s="18"/>
      <c r="B670" s="23"/>
      <c r="C670" s="6" t="str">
        <f>IF(A670=""," ",VLOOKUP(A670,'01.01.2026 - 24.01.2026'!A:H,2,FALSE))</f>
        <v xml:space="preserve"> </v>
      </c>
      <c r="D670" s="30" t="str">
        <f>IF(A670=""," ",VLOOKUP(A670,'01.01.2026 - 24.01.2026'!A:H,5,FALSE))</f>
        <v xml:space="preserve"> </v>
      </c>
      <c r="E670" s="7" t="str">
        <f>IF(A670=""," ",B670*VLOOKUP(A670,'01.01.2026 - 24.01.2026'!A:H,6,FALSE))</f>
        <v xml:space="preserve"> </v>
      </c>
      <c r="F670" s="7" t="str">
        <f>IF(A670=""," ",B670*VLOOKUP(A670,'01.01.2026 - 24.01.2026'!A:H,7,FALSE))</f>
        <v xml:space="preserve"> </v>
      </c>
      <c r="G670" s="7" t="str">
        <f>IF(A670=""," ",B670*VLOOKUP(A670,'01.01.2026 - 24.01.2026'!A:H,8,FALSE))</f>
        <v xml:space="preserve"> </v>
      </c>
    </row>
    <row r="671" spans="1:7" x14ac:dyDescent="0.3">
      <c r="A671" s="18"/>
      <c r="B671" s="23"/>
      <c r="C671" s="6" t="str">
        <f>IF(A671=""," ",VLOOKUP(A671,'01.01.2026 - 24.01.2026'!A:H,2,FALSE))</f>
        <v xml:space="preserve"> </v>
      </c>
      <c r="D671" s="30" t="str">
        <f>IF(A671=""," ",VLOOKUP(A671,'01.01.2026 - 24.01.2026'!A:H,5,FALSE))</f>
        <v xml:space="preserve"> </v>
      </c>
      <c r="E671" s="7" t="str">
        <f>IF(A671=""," ",B671*VLOOKUP(A671,'01.01.2026 - 24.01.2026'!A:H,6,FALSE))</f>
        <v xml:space="preserve"> </v>
      </c>
      <c r="F671" s="7" t="str">
        <f>IF(A671=""," ",B671*VLOOKUP(A671,'01.01.2026 - 24.01.2026'!A:H,7,FALSE))</f>
        <v xml:space="preserve"> </v>
      </c>
      <c r="G671" s="7" t="str">
        <f>IF(A671=""," ",B671*VLOOKUP(A671,'01.01.2026 - 24.01.2026'!A:H,8,FALSE))</f>
        <v xml:space="preserve"> </v>
      </c>
    </row>
    <row r="672" spans="1:7" x14ac:dyDescent="0.3">
      <c r="A672" s="18"/>
      <c r="B672" s="23"/>
      <c r="C672" s="6" t="str">
        <f>IF(A672=""," ",VLOOKUP(A672,'01.01.2026 - 24.01.2026'!A:H,2,FALSE))</f>
        <v xml:space="preserve"> </v>
      </c>
      <c r="D672" s="30" t="str">
        <f>IF(A672=""," ",VLOOKUP(A672,'01.01.2026 - 24.01.2026'!A:H,5,FALSE))</f>
        <v xml:space="preserve"> </v>
      </c>
      <c r="E672" s="7" t="str">
        <f>IF(A672=""," ",B672*VLOOKUP(A672,'01.01.2026 - 24.01.2026'!A:H,6,FALSE))</f>
        <v xml:space="preserve"> </v>
      </c>
      <c r="F672" s="7" t="str">
        <f>IF(A672=""," ",B672*VLOOKUP(A672,'01.01.2026 - 24.01.2026'!A:H,7,FALSE))</f>
        <v xml:space="preserve"> </v>
      </c>
      <c r="G672" s="7" t="str">
        <f>IF(A672=""," ",B672*VLOOKUP(A672,'01.01.2026 - 24.01.2026'!A:H,8,FALSE))</f>
        <v xml:space="preserve"> </v>
      </c>
    </row>
    <row r="673" spans="1:7" x14ac:dyDescent="0.3">
      <c r="A673" s="18"/>
      <c r="B673" s="23"/>
      <c r="C673" s="6" t="str">
        <f>IF(A673=""," ",VLOOKUP(A673,'01.01.2026 - 24.01.2026'!A:H,2,FALSE))</f>
        <v xml:space="preserve"> </v>
      </c>
      <c r="D673" s="30" t="str">
        <f>IF(A673=""," ",VLOOKUP(A673,'01.01.2026 - 24.01.2026'!A:H,5,FALSE))</f>
        <v xml:space="preserve"> </v>
      </c>
      <c r="E673" s="7" t="str">
        <f>IF(A673=""," ",B673*VLOOKUP(A673,'01.01.2026 - 24.01.2026'!A:H,6,FALSE))</f>
        <v xml:space="preserve"> </v>
      </c>
      <c r="F673" s="7" t="str">
        <f>IF(A673=""," ",B673*VLOOKUP(A673,'01.01.2026 - 24.01.2026'!A:H,7,FALSE))</f>
        <v xml:space="preserve"> </v>
      </c>
      <c r="G673" s="7" t="str">
        <f>IF(A673=""," ",B673*VLOOKUP(A673,'01.01.2026 - 24.01.2026'!A:H,8,FALSE))</f>
        <v xml:space="preserve"> </v>
      </c>
    </row>
    <row r="674" spans="1:7" x14ac:dyDescent="0.3">
      <c r="A674" s="18"/>
      <c r="B674" s="23"/>
      <c r="C674" s="6" t="str">
        <f>IF(A674=""," ",VLOOKUP(A674,'01.01.2026 - 24.01.2026'!A:H,2,FALSE))</f>
        <v xml:space="preserve"> </v>
      </c>
      <c r="D674" s="30" t="str">
        <f>IF(A674=""," ",VLOOKUP(A674,'01.01.2026 - 24.01.2026'!A:H,5,FALSE))</f>
        <v xml:space="preserve"> </v>
      </c>
      <c r="E674" s="7" t="str">
        <f>IF(A674=""," ",B674*VLOOKUP(A674,'01.01.2026 - 24.01.2026'!A:H,6,FALSE))</f>
        <v xml:space="preserve"> </v>
      </c>
      <c r="F674" s="7" t="str">
        <f>IF(A674=""," ",B674*VLOOKUP(A674,'01.01.2026 - 24.01.2026'!A:H,7,FALSE))</f>
        <v xml:space="preserve"> </v>
      </c>
      <c r="G674" s="7" t="str">
        <f>IF(A674=""," ",B674*VLOOKUP(A674,'01.01.2026 - 24.01.2026'!A:H,8,FALSE))</f>
        <v xml:space="preserve"> </v>
      </c>
    </row>
    <row r="675" spans="1:7" x14ac:dyDescent="0.3">
      <c r="A675" s="18"/>
      <c r="B675" s="23"/>
      <c r="C675" s="6" t="str">
        <f>IF(A675=""," ",VLOOKUP(A675,'01.01.2026 - 24.01.2026'!A:H,2,FALSE))</f>
        <v xml:space="preserve"> </v>
      </c>
      <c r="D675" s="30" t="str">
        <f>IF(A675=""," ",VLOOKUP(A675,'01.01.2026 - 24.01.2026'!A:H,5,FALSE))</f>
        <v xml:space="preserve"> </v>
      </c>
      <c r="E675" s="7" t="str">
        <f>IF(A675=""," ",B675*VLOOKUP(A675,'01.01.2026 - 24.01.2026'!A:H,6,FALSE))</f>
        <v xml:space="preserve"> </v>
      </c>
      <c r="F675" s="7" t="str">
        <f>IF(A675=""," ",B675*VLOOKUP(A675,'01.01.2026 - 24.01.2026'!A:H,7,FALSE))</f>
        <v xml:space="preserve"> </v>
      </c>
      <c r="G675" s="7" t="str">
        <f>IF(A675=""," ",B675*VLOOKUP(A675,'01.01.2026 - 24.01.2026'!A:H,8,FALSE))</f>
        <v xml:space="preserve"> </v>
      </c>
    </row>
    <row r="676" spans="1:7" x14ac:dyDescent="0.3">
      <c r="A676" s="18"/>
      <c r="B676" s="23"/>
      <c r="C676" s="6" t="str">
        <f>IF(A676=""," ",VLOOKUP(A676,'01.01.2026 - 24.01.2026'!A:H,2,FALSE))</f>
        <v xml:space="preserve"> </v>
      </c>
      <c r="D676" s="30" t="str">
        <f>IF(A676=""," ",VLOOKUP(A676,'01.01.2026 - 24.01.2026'!A:H,5,FALSE))</f>
        <v xml:space="preserve"> </v>
      </c>
      <c r="E676" s="7" t="str">
        <f>IF(A676=""," ",B676*VLOOKUP(A676,'01.01.2026 - 24.01.2026'!A:H,6,FALSE))</f>
        <v xml:space="preserve"> </v>
      </c>
      <c r="F676" s="7" t="str">
        <f>IF(A676=""," ",B676*VLOOKUP(A676,'01.01.2026 - 24.01.2026'!A:H,7,FALSE))</f>
        <v xml:space="preserve"> </v>
      </c>
      <c r="G676" s="7" t="str">
        <f>IF(A676=""," ",B676*VLOOKUP(A676,'01.01.2026 - 24.01.2026'!A:H,8,FALSE))</f>
        <v xml:space="preserve"> </v>
      </c>
    </row>
    <row r="677" spans="1:7" x14ac:dyDescent="0.3">
      <c r="A677" s="18"/>
      <c r="B677" s="23"/>
      <c r="C677" s="6" t="str">
        <f>IF(A677=""," ",VLOOKUP(A677,'01.01.2026 - 24.01.2026'!A:H,2,FALSE))</f>
        <v xml:space="preserve"> </v>
      </c>
      <c r="D677" s="30" t="str">
        <f>IF(A677=""," ",VLOOKUP(A677,'01.01.2026 - 24.01.2026'!A:H,5,FALSE))</f>
        <v xml:space="preserve"> </v>
      </c>
      <c r="E677" s="7" t="str">
        <f>IF(A677=""," ",B677*VLOOKUP(A677,'01.01.2026 - 24.01.2026'!A:H,6,FALSE))</f>
        <v xml:space="preserve"> </v>
      </c>
      <c r="F677" s="7" t="str">
        <f>IF(A677=""," ",B677*VLOOKUP(A677,'01.01.2026 - 24.01.2026'!A:H,7,FALSE))</f>
        <v xml:space="preserve"> </v>
      </c>
      <c r="G677" s="7" t="str">
        <f>IF(A677=""," ",B677*VLOOKUP(A677,'01.01.2026 - 24.01.2026'!A:H,8,FALSE))</f>
        <v xml:space="preserve"> </v>
      </c>
    </row>
    <row r="678" spans="1:7" x14ac:dyDescent="0.3">
      <c r="A678" s="18"/>
      <c r="B678" s="23"/>
      <c r="C678" s="6" t="str">
        <f>IF(A678=""," ",VLOOKUP(A678,'01.01.2026 - 24.01.2026'!A:H,2,FALSE))</f>
        <v xml:space="preserve"> </v>
      </c>
      <c r="D678" s="30" t="str">
        <f>IF(A678=""," ",VLOOKUP(A678,'01.01.2026 - 24.01.2026'!A:H,5,FALSE))</f>
        <v xml:space="preserve"> </v>
      </c>
      <c r="E678" s="7" t="str">
        <f>IF(A678=""," ",B678*VLOOKUP(A678,'01.01.2026 - 24.01.2026'!A:H,6,FALSE))</f>
        <v xml:space="preserve"> </v>
      </c>
      <c r="F678" s="7" t="str">
        <f>IF(A678=""," ",B678*VLOOKUP(A678,'01.01.2026 - 24.01.2026'!A:H,7,FALSE))</f>
        <v xml:space="preserve"> </v>
      </c>
      <c r="G678" s="7" t="str">
        <f>IF(A678=""," ",B678*VLOOKUP(A678,'01.01.2026 - 24.01.2026'!A:H,8,FALSE))</f>
        <v xml:space="preserve"> </v>
      </c>
    </row>
    <row r="679" spans="1:7" x14ac:dyDescent="0.3">
      <c r="A679" s="18"/>
      <c r="B679" s="23"/>
      <c r="C679" s="6" t="str">
        <f>IF(A679=""," ",VLOOKUP(A679,'01.01.2026 - 24.01.2026'!A:H,2,FALSE))</f>
        <v xml:space="preserve"> </v>
      </c>
      <c r="D679" s="30" t="str">
        <f>IF(A679=""," ",VLOOKUP(A679,'01.01.2026 - 24.01.2026'!A:H,5,FALSE))</f>
        <v xml:space="preserve"> </v>
      </c>
      <c r="E679" s="7" t="str">
        <f>IF(A679=""," ",B679*VLOOKUP(A679,'01.01.2026 - 24.01.2026'!A:H,6,FALSE))</f>
        <v xml:space="preserve"> </v>
      </c>
      <c r="F679" s="7" t="str">
        <f>IF(A679=""," ",B679*VLOOKUP(A679,'01.01.2026 - 24.01.2026'!A:H,7,FALSE))</f>
        <v xml:space="preserve"> </v>
      </c>
      <c r="G679" s="7" t="str">
        <f>IF(A679=""," ",B679*VLOOKUP(A679,'01.01.2026 - 24.01.2026'!A:H,8,FALSE))</f>
        <v xml:space="preserve"> </v>
      </c>
    </row>
    <row r="680" spans="1:7" x14ac:dyDescent="0.3">
      <c r="A680" s="18"/>
      <c r="B680" s="23"/>
      <c r="C680" s="6" t="str">
        <f>IF(A680=""," ",VLOOKUP(A680,'01.01.2026 - 24.01.2026'!A:H,2,FALSE))</f>
        <v xml:space="preserve"> </v>
      </c>
      <c r="D680" s="30" t="str">
        <f>IF(A680=""," ",VLOOKUP(A680,'01.01.2026 - 24.01.2026'!A:H,5,FALSE))</f>
        <v xml:space="preserve"> </v>
      </c>
      <c r="E680" s="7" t="str">
        <f>IF(A680=""," ",B680*VLOOKUP(A680,'01.01.2026 - 24.01.2026'!A:H,6,FALSE))</f>
        <v xml:space="preserve"> </v>
      </c>
      <c r="F680" s="7" t="str">
        <f>IF(A680=""," ",B680*VLOOKUP(A680,'01.01.2026 - 24.01.2026'!A:H,7,FALSE))</f>
        <v xml:space="preserve"> </v>
      </c>
      <c r="G680" s="7" t="str">
        <f>IF(A680=""," ",B680*VLOOKUP(A680,'01.01.2026 - 24.01.2026'!A:H,8,FALSE))</f>
        <v xml:space="preserve"> </v>
      </c>
    </row>
    <row r="681" spans="1:7" x14ac:dyDescent="0.3">
      <c r="A681" s="18"/>
      <c r="B681" s="23"/>
      <c r="C681" s="6" t="str">
        <f>IF(A681=""," ",VLOOKUP(A681,'01.01.2026 - 24.01.2026'!A:H,2,FALSE))</f>
        <v xml:space="preserve"> </v>
      </c>
      <c r="D681" s="30" t="str">
        <f>IF(A681=""," ",VLOOKUP(A681,'01.01.2026 - 24.01.2026'!A:H,5,FALSE))</f>
        <v xml:space="preserve"> </v>
      </c>
      <c r="E681" s="7" t="str">
        <f>IF(A681=""," ",B681*VLOOKUP(A681,'01.01.2026 - 24.01.2026'!A:H,6,FALSE))</f>
        <v xml:space="preserve"> </v>
      </c>
      <c r="F681" s="7" t="str">
        <f>IF(A681=""," ",B681*VLOOKUP(A681,'01.01.2026 - 24.01.2026'!A:H,7,FALSE))</f>
        <v xml:space="preserve"> </v>
      </c>
      <c r="G681" s="7" t="str">
        <f>IF(A681=""," ",B681*VLOOKUP(A681,'01.01.2026 - 24.01.2026'!A:H,8,FALSE))</f>
        <v xml:space="preserve"> </v>
      </c>
    </row>
    <row r="682" spans="1:7" x14ac:dyDescent="0.3">
      <c r="A682" s="18"/>
      <c r="B682" s="23"/>
      <c r="C682" s="6" t="str">
        <f>IF(A682=""," ",VLOOKUP(A682,'01.01.2026 - 24.01.2026'!A:H,2,FALSE))</f>
        <v xml:space="preserve"> </v>
      </c>
      <c r="D682" s="30" t="str">
        <f>IF(A682=""," ",VLOOKUP(A682,'01.01.2026 - 24.01.2026'!A:H,5,FALSE))</f>
        <v xml:space="preserve"> </v>
      </c>
      <c r="E682" s="7" t="str">
        <f>IF(A682=""," ",B682*VLOOKUP(A682,'01.01.2026 - 24.01.2026'!A:H,6,FALSE))</f>
        <v xml:space="preserve"> </v>
      </c>
      <c r="F682" s="7" t="str">
        <f>IF(A682=""," ",B682*VLOOKUP(A682,'01.01.2026 - 24.01.2026'!A:H,7,FALSE))</f>
        <v xml:space="preserve"> </v>
      </c>
      <c r="G682" s="7" t="str">
        <f>IF(A682=""," ",B682*VLOOKUP(A682,'01.01.2026 - 24.01.2026'!A:H,8,FALSE))</f>
        <v xml:space="preserve"> </v>
      </c>
    </row>
    <row r="683" spans="1:7" x14ac:dyDescent="0.3">
      <c r="A683" s="18"/>
      <c r="B683" s="23"/>
      <c r="C683" s="6" t="str">
        <f>IF(A683=""," ",VLOOKUP(A683,'01.01.2026 - 24.01.2026'!A:H,2,FALSE))</f>
        <v xml:space="preserve"> </v>
      </c>
      <c r="D683" s="30" t="str">
        <f>IF(A683=""," ",VLOOKUP(A683,'01.01.2026 - 24.01.2026'!A:H,5,FALSE))</f>
        <v xml:space="preserve"> </v>
      </c>
      <c r="E683" s="7" t="str">
        <f>IF(A683=""," ",B683*VLOOKUP(A683,'01.01.2026 - 24.01.2026'!A:H,6,FALSE))</f>
        <v xml:space="preserve"> </v>
      </c>
      <c r="F683" s="7" t="str">
        <f>IF(A683=""," ",B683*VLOOKUP(A683,'01.01.2026 - 24.01.2026'!A:H,7,FALSE))</f>
        <v xml:space="preserve"> </v>
      </c>
      <c r="G683" s="7" t="str">
        <f>IF(A683=""," ",B683*VLOOKUP(A683,'01.01.2026 - 24.01.2026'!A:H,8,FALSE))</f>
        <v xml:space="preserve"> </v>
      </c>
    </row>
    <row r="684" spans="1:7" x14ac:dyDescent="0.3">
      <c r="A684" s="18"/>
      <c r="B684" s="23"/>
      <c r="C684" s="6" t="str">
        <f>IF(A684=""," ",VLOOKUP(A684,'01.01.2026 - 24.01.2026'!A:H,2,FALSE))</f>
        <v xml:space="preserve"> </v>
      </c>
      <c r="D684" s="30" t="str">
        <f>IF(A684=""," ",VLOOKUP(A684,'01.01.2026 - 24.01.2026'!A:H,5,FALSE))</f>
        <v xml:space="preserve"> </v>
      </c>
      <c r="E684" s="7" t="str">
        <f>IF(A684=""," ",B684*VLOOKUP(A684,'01.01.2026 - 24.01.2026'!A:H,6,FALSE))</f>
        <v xml:space="preserve"> </v>
      </c>
      <c r="F684" s="7" t="str">
        <f>IF(A684=""," ",B684*VLOOKUP(A684,'01.01.2026 - 24.01.2026'!A:H,7,FALSE))</f>
        <v xml:space="preserve"> </v>
      </c>
      <c r="G684" s="7" t="str">
        <f>IF(A684=""," ",B684*VLOOKUP(A684,'01.01.2026 - 24.01.2026'!A:H,8,FALSE))</f>
        <v xml:space="preserve"> </v>
      </c>
    </row>
    <row r="685" spans="1:7" x14ac:dyDescent="0.3">
      <c r="A685" s="18"/>
      <c r="B685" s="23"/>
      <c r="C685" s="6" t="str">
        <f>IF(A685=""," ",VLOOKUP(A685,'01.01.2026 - 24.01.2026'!A:H,2,FALSE))</f>
        <v xml:space="preserve"> </v>
      </c>
      <c r="D685" s="30" t="str">
        <f>IF(A685=""," ",VLOOKUP(A685,'01.01.2026 - 24.01.2026'!A:H,5,FALSE))</f>
        <v xml:space="preserve"> </v>
      </c>
      <c r="E685" s="7" t="str">
        <f>IF(A685=""," ",B685*VLOOKUP(A685,'01.01.2026 - 24.01.2026'!A:H,6,FALSE))</f>
        <v xml:space="preserve"> </v>
      </c>
      <c r="F685" s="7" t="str">
        <f>IF(A685=""," ",B685*VLOOKUP(A685,'01.01.2026 - 24.01.2026'!A:H,7,FALSE))</f>
        <v xml:space="preserve"> </v>
      </c>
      <c r="G685" s="7" t="str">
        <f>IF(A685=""," ",B685*VLOOKUP(A685,'01.01.2026 - 24.01.2026'!A:H,8,FALSE))</f>
        <v xml:space="preserve"> </v>
      </c>
    </row>
    <row r="686" spans="1:7" x14ac:dyDescent="0.3">
      <c r="A686" s="18"/>
      <c r="B686" s="23"/>
      <c r="C686" s="6" t="str">
        <f>IF(A686=""," ",VLOOKUP(A686,'01.01.2026 - 24.01.2026'!A:H,2,FALSE))</f>
        <v xml:space="preserve"> </v>
      </c>
      <c r="D686" s="30" t="str">
        <f>IF(A686=""," ",VLOOKUP(A686,'01.01.2026 - 24.01.2026'!A:H,5,FALSE))</f>
        <v xml:space="preserve"> </v>
      </c>
      <c r="E686" s="7" t="str">
        <f>IF(A686=""," ",B686*VLOOKUP(A686,'01.01.2026 - 24.01.2026'!A:H,6,FALSE))</f>
        <v xml:space="preserve"> </v>
      </c>
      <c r="F686" s="7" t="str">
        <f>IF(A686=""," ",B686*VLOOKUP(A686,'01.01.2026 - 24.01.2026'!A:H,7,FALSE))</f>
        <v xml:space="preserve"> </v>
      </c>
      <c r="G686" s="7" t="str">
        <f>IF(A686=""," ",B686*VLOOKUP(A686,'01.01.2026 - 24.01.2026'!A:H,8,FALSE))</f>
        <v xml:space="preserve"> </v>
      </c>
    </row>
    <row r="687" spans="1:7" x14ac:dyDescent="0.3">
      <c r="A687" s="18"/>
      <c r="B687" s="23"/>
      <c r="C687" s="6" t="str">
        <f>IF(A687=""," ",VLOOKUP(A687,'01.01.2026 - 24.01.2026'!A:H,2,FALSE))</f>
        <v xml:space="preserve"> </v>
      </c>
      <c r="D687" s="30" t="str">
        <f>IF(A687=""," ",VLOOKUP(A687,'01.01.2026 - 24.01.2026'!A:H,5,FALSE))</f>
        <v xml:space="preserve"> </v>
      </c>
      <c r="E687" s="7" t="str">
        <f>IF(A687=""," ",B687*VLOOKUP(A687,'01.01.2026 - 24.01.2026'!A:H,6,FALSE))</f>
        <v xml:space="preserve"> </v>
      </c>
      <c r="F687" s="7" t="str">
        <f>IF(A687=""," ",B687*VLOOKUP(A687,'01.01.2026 - 24.01.2026'!A:H,7,FALSE))</f>
        <v xml:space="preserve"> </v>
      </c>
      <c r="G687" s="7" t="str">
        <f>IF(A687=""," ",B687*VLOOKUP(A687,'01.01.2026 - 24.01.2026'!A:H,8,FALSE))</f>
        <v xml:space="preserve"> </v>
      </c>
    </row>
    <row r="688" spans="1:7" x14ac:dyDescent="0.3">
      <c r="A688" s="18"/>
      <c r="B688" s="23"/>
      <c r="C688" s="6" t="str">
        <f>IF(A688=""," ",VLOOKUP(A688,'01.01.2026 - 24.01.2026'!A:H,2,FALSE))</f>
        <v xml:space="preserve"> </v>
      </c>
      <c r="D688" s="30" t="str">
        <f>IF(A688=""," ",VLOOKUP(A688,'01.01.2026 - 24.01.2026'!A:H,5,FALSE))</f>
        <v xml:space="preserve"> </v>
      </c>
      <c r="E688" s="7" t="str">
        <f>IF(A688=""," ",B688*VLOOKUP(A688,'01.01.2026 - 24.01.2026'!A:H,6,FALSE))</f>
        <v xml:space="preserve"> </v>
      </c>
      <c r="F688" s="7" t="str">
        <f>IF(A688=""," ",B688*VLOOKUP(A688,'01.01.2026 - 24.01.2026'!A:H,7,FALSE))</f>
        <v xml:space="preserve"> </v>
      </c>
      <c r="G688" s="7" t="str">
        <f>IF(A688=""," ",B688*VLOOKUP(A688,'01.01.2026 - 24.01.2026'!A:H,8,FALSE))</f>
        <v xml:space="preserve"> </v>
      </c>
    </row>
    <row r="689" spans="1:7" x14ac:dyDescent="0.3">
      <c r="A689" s="18"/>
      <c r="B689" s="23"/>
      <c r="C689" s="6" t="str">
        <f>IF(A689=""," ",VLOOKUP(A689,'01.01.2026 - 24.01.2026'!A:H,2,FALSE))</f>
        <v xml:space="preserve"> </v>
      </c>
      <c r="D689" s="30" t="str">
        <f>IF(A689=""," ",VLOOKUP(A689,'01.01.2026 - 24.01.2026'!A:H,5,FALSE))</f>
        <v xml:space="preserve"> </v>
      </c>
      <c r="E689" s="7" t="str">
        <f>IF(A689=""," ",B689*VLOOKUP(A689,'01.01.2026 - 24.01.2026'!A:H,6,FALSE))</f>
        <v xml:space="preserve"> </v>
      </c>
      <c r="F689" s="7" t="str">
        <f>IF(A689=""," ",B689*VLOOKUP(A689,'01.01.2026 - 24.01.2026'!A:H,7,FALSE))</f>
        <v xml:space="preserve"> </v>
      </c>
      <c r="G689" s="7" t="str">
        <f>IF(A689=""," ",B689*VLOOKUP(A689,'01.01.2026 - 24.01.2026'!A:H,8,FALSE))</f>
        <v xml:space="preserve"> </v>
      </c>
    </row>
    <row r="690" spans="1:7" x14ac:dyDescent="0.3">
      <c r="A690" s="18"/>
      <c r="B690" s="23"/>
      <c r="C690" s="6" t="str">
        <f>IF(A690=""," ",VLOOKUP(A690,'01.01.2026 - 24.01.2026'!A:H,2,FALSE))</f>
        <v xml:space="preserve"> </v>
      </c>
      <c r="D690" s="30" t="str">
        <f>IF(A690=""," ",VLOOKUP(A690,'01.01.2026 - 24.01.2026'!A:H,5,FALSE))</f>
        <v xml:space="preserve"> </v>
      </c>
      <c r="E690" s="7" t="str">
        <f>IF(A690=""," ",B690*VLOOKUP(A690,'01.01.2026 - 24.01.2026'!A:H,6,FALSE))</f>
        <v xml:space="preserve"> </v>
      </c>
      <c r="F690" s="7" t="str">
        <f>IF(A690=""," ",B690*VLOOKUP(A690,'01.01.2026 - 24.01.2026'!A:H,7,FALSE))</f>
        <v xml:space="preserve"> </v>
      </c>
      <c r="G690" s="7" t="str">
        <f>IF(A690=""," ",B690*VLOOKUP(A690,'01.01.2026 - 24.01.2026'!A:H,8,FALSE))</f>
        <v xml:space="preserve"> </v>
      </c>
    </row>
    <row r="691" spans="1:7" x14ac:dyDescent="0.3">
      <c r="A691" s="18"/>
      <c r="B691" s="23"/>
      <c r="C691" s="6" t="str">
        <f>IF(A691=""," ",VLOOKUP(A691,'01.01.2026 - 24.01.2026'!A:H,2,FALSE))</f>
        <v xml:space="preserve"> </v>
      </c>
      <c r="D691" s="30" t="str">
        <f>IF(A691=""," ",VLOOKUP(A691,'01.01.2026 - 24.01.2026'!A:H,5,FALSE))</f>
        <v xml:space="preserve"> </v>
      </c>
      <c r="E691" s="7" t="str">
        <f>IF(A691=""," ",B691*VLOOKUP(A691,'01.01.2026 - 24.01.2026'!A:H,6,FALSE))</f>
        <v xml:space="preserve"> </v>
      </c>
      <c r="F691" s="7" t="str">
        <f>IF(A691=""," ",B691*VLOOKUP(A691,'01.01.2026 - 24.01.2026'!A:H,7,FALSE))</f>
        <v xml:space="preserve"> </v>
      </c>
      <c r="G691" s="7" t="str">
        <f>IF(A691=""," ",B691*VLOOKUP(A691,'01.01.2026 - 24.01.2026'!A:H,8,FALSE))</f>
        <v xml:space="preserve"> </v>
      </c>
    </row>
    <row r="692" spans="1:7" x14ac:dyDescent="0.3">
      <c r="A692" s="18"/>
      <c r="B692" s="23"/>
      <c r="C692" s="6" t="str">
        <f>IF(A692=""," ",VLOOKUP(A692,'01.01.2026 - 24.01.2026'!A:H,2,FALSE))</f>
        <v xml:space="preserve"> </v>
      </c>
      <c r="D692" s="30" t="str">
        <f>IF(A692=""," ",VLOOKUP(A692,'01.01.2026 - 24.01.2026'!A:H,5,FALSE))</f>
        <v xml:space="preserve"> </v>
      </c>
      <c r="E692" s="7" t="str">
        <f>IF(A692=""," ",B692*VLOOKUP(A692,'01.01.2026 - 24.01.2026'!A:H,6,FALSE))</f>
        <v xml:space="preserve"> </v>
      </c>
      <c r="F692" s="7" t="str">
        <f>IF(A692=""," ",B692*VLOOKUP(A692,'01.01.2026 - 24.01.2026'!A:H,7,FALSE))</f>
        <v xml:space="preserve"> </v>
      </c>
      <c r="G692" s="7" t="str">
        <f>IF(A692=""," ",B692*VLOOKUP(A692,'01.01.2026 - 24.01.2026'!A:H,8,FALSE))</f>
        <v xml:space="preserve"> </v>
      </c>
    </row>
    <row r="693" spans="1:7" x14ac:dyDescent="0.3">
      <c r="A693" s="18"/>
      <c r="B693" s="23"/>
      <c r="C693" s="6" t="str">
        <f>IF(A693=""," ",VLOOKUP(A693,'01.01.2026 - 24.01.2026'!A:H,2,FALSE))</f>
        <v xml:space="preserve"> </v>
      </c>
      <c r="D693" s="30" t="str">
        <f>IF(A693=""," ",VLOOKUP(A693,'01.01.2026 - 24.01.2026'!A:H,5,FALSE))</f>
        <v xml:space="preserve"> </v>
      </c>
      <c r="E693" s="7" t="str">
        <f>IF(A693=""," ",B693*VLOOKUP(A693,'01.01.2026 - 24.01.2026'!A:H,6,FALSE))</f>
        <v xml:space="preserve"> </v>
      </c>
      <c r="F693" s="7" t="str">
        <f>IF(A693=""," ",B693*VLOOKUP(A693,'01.01.2026 - 24.01.2026'!A:H,7,FALSE))</f>
        <v xml:space="preserve"> </v>
      </c>
      <c r="G693" s="7" t="str">
        <f>IF(A693=""," ",B693*VLOOKUP(A693,'01.01.2026 - 24.01.2026'!A:H,8,FALSE))</f>
        <v xml:space="preserve"> </v>
      </c>
    </row>
    <row r="694" spans="1:7" x14ac:dyDescent="0.3">
      <c r="A694" s="18"/>
      <c r="B694" s="23"/>
      <c r="C694" s="6" t="str">
        <f>IF(A694=""," ",VLOOKUP(A694,'01.01.2026 - 24.01.2026'!A:H,2,FALSE))</f>
        <v xml:space="preserve"> </v>
      </c>
      <c r="D694" s="30" t="str">
        <f>IF(A694=""," ",VLOOKUP(A694,'01.01.2026 - 24.01.2026'!A:H,5,FALSE))</f>
        <v xml:space="preserve"> </v>
      </c>
      <c r="E694" s="7" t="str">
        <f>IF(A694=""," ",B694*VLOOKUP(A694,'01.01.2026 - 24.01.2026'!A:H,6,FALSE))</f>
        <v xml:space="preserve"> </v>
      </c>
      <c r="F694" s="7" t="str">
        <f>IF(A694=""," ",B694*VLOOKUP(A694,'01.01.2026 - 24.01.2026'!A:H,7,FALSE))</f>
        <v xml:space="preserve"> </v>
      </c>
      <c r="G694" s="7" t="str">
        <f>IF(A694=""," ",B694*VLOOKUP(A694,'01.01.2026 - 24.01.2026'!A:H,8,FALSE))</f>
        <v xml:space="preserve"> </v>
      </c>
    </row>
    <row r="695" spans="1:7" x14ac:dyDescent="0.3">
      <c r="A695" s="18"/>
      <c r="B695" s="23"/>
      <c r="C695" s="6" t="str">
        <f>IF(A695=""," ",VLOOKUP(A695,'01.01.2026 - 24.01.2026'!A:H,2,FALSE))</f>
        <v xml:space="preserve"> </v>
      </c>
      <c r="D695" s="30" t="str">
        <f>IF(A695=""," ",VLOOKUP(A695,'01.01.2026 - 24.01.2026'!A:H,5,FALSE))</f>
        <v xml:space="preserve"> </v>
      </c>
      <c r="E695" s="7" t="str">
        <f>IF(A695=""," ",B695*VLOOKUP(A695,'01.01.2026 - 24.01.2026'!A:H,6,FALSE))</f>
        <v xml:space="preserve"> </v>
      </c>
      <c r="F695" s="7" t="str">
        <f>IF(A695=""," ",B695*VLOOKUP(A695,'01.01.2026 - 24.01.2026'!A:H,7,FALSE))</f>
        <v xml:space="preserve"> </v>
      </c>
      <c r="G695" s="7" t="str">
        <f>IF(A695=""," ",B695*VLOOKUP(A695,'01.01.2026 - 24.01.2026'!A:H,8,FALSE))</f>
        <v xml:space="preserve"> </v>
      </c>
    </row>
    <row r="696" spans="1:7" x14ac:dyDescent="0.3">
      <c r="A696" s="18"/>
      <c r="B696" s="23"/>
      <c r="C696" s="6" t="str">
        <f>IF(A696=""," ",VLOOKUP(A696,'01.01.2026 - 24.01.2026'!A:H,2,FALSE))</f>
        <v xml:space="preserve"> </v>
      </c>
      <c r="D696" s="30" t="str">
        <f>IF(A696=""," ",VLOOKUP(A696,'01.01.2026 - 24.01.2026'!A:H,5,FALSE))</f>
        <v xml:space="preserve"> </v>
      </c>
      <c r="E696" s="7" t="str">
        <f>IF(A696=""," ",B696*VLOOKUP(A696,'01.01.2026 - 24.01.2026'!A:H,6,FALSE))</f>
        <v xml:space="preserve"> </v>
      </c>
      <c r="F696" s="7" t="str">
        <f>IF(A696=""," ",B696*VLOOKUP(A696,'01.01.2026 - 24.01.2026'!A:H,7,FALSE))</f>
        <v xml:space="preserve"> </v>
      </c>
      <c r="G696" s="7" t="str">
        <f>IF(A696=""," ",B696*VLOOKUP(A696,'01.01.2026 - 24.01.2026'!A:H,8,FALSE))</f>
        <v xml:space="preserve"> </v>
      </c>
    </row>
    <row r="697" spans="1:7" x14ac:dyDescent="0.3">
      <c r="A697" s="18"/>
      <c r="B697" s="23"/>
      <c r="C697" s="6" t="str">
        <f>IF(A697=""," ",VLOOKUP(A697,'01.01.2026 - 24.01.2026'!A:H,2,FALSE))</f>
        <v xml:space="preserve"> </v>
      </c>
      <c r="D697" s="30" t="str">
        <f>IF(A697=""," ",VLOOKUP(A697,'01.01.2026 - 24.01.2026'!A:H,5,FALSE))</f>
        <v xml:space="preserve"> </v>
      </c>
      <c r="E697" s="7" t="str">
        <f>IF(A697=""," ",B697*VLOOKUP(A697,'01.01.2026 - 24.01.2026'!A:H,6,FALSE))</f>
        <v xml:space="preserve"> </v>
      </c>
      <c r="F697" s="7" t="str">
        <f>IF(A697=""," ",B697*VLOOKUP(A697,'01.01.2026 - 24.01.2026'!A:H,7,FALSE))</f>
        <v xml:space="preserve"> </v>
      </c>
      <c r="G697" s="7" t="str">
        <f>IF(A697=""," ",B697*VLOOKUP(A697,'01.01.2026 - 24.01.2026'!A:H,8,FALSE))</f>
        <v xml:space="preserve"> </v>
      </c>
    </row>
    <row r="698" spans="1:7" x14ac:dyDescent="0.3">
      <c r="A698" s="18"/>
      <c r="B698" s="23"/>
      <c r="C698" s="6" t="str">
        <f>IF(A698=""," ",VLOOKUP(A698,'01.01.2026 - 24.01.2026'!A:H,2,FALSE))</f>
        <v xml:space="preserve"> </v>
      </c>
      <c r="D698" s="30" t="str">
        <f>IF(A698=""," ",VLOOKUP(A698,'01.01.2026 - 24.01.2026'!A:H,5,FALSE))</f>
        <v xml:space="preserve"> </v>
      </c>
      <c r="E698" s="7" t="str">
        <f>IF(A698=""," ",B698*VLOOKUP(A698,'01.01.2026 - 24.01.2026'!A:H,6,FALSE))</f>
        <v xml:space="preserve"> </v>
      </c>
      <c r="F698" s="7" t="str">
        <f>IF(A698=""," ",B698*VLOOKUP(A698,'01.01.2026 - 24.01.2026'!A:H,7,FALSE))</f>
        <v xml:space="preserve"> </v>
      </c>
      <c r="G698" s="7" t="str">
        <f>IF(A698=""," ",B698*VLOOKUP(A698,'01.01.2026 - 24.01.2026'!A:H,8,FALSE))</f>
        <v xml:space="preserve"> </v>
      </c>
    </row>
    <row r="699" spans="1:7" x14ac:dyDescent="0.3">
      <c r="A699" s="18"/>
      <c r="B699" s="23"/>
      <c r="C699" s="6" t="str">
        <f>IF(A699=""," ",VLOOKUP(A699,'01.01.2026 - 24.01.2026'!A:H,2,FALSE))</f>
        <v xml:space="preserve"> </v>
      </c>
      <c r="D699" s="30" t="str">
        <f>IF(A699=""," ",VLOOKUP(A699,'01.01.2026 - 24.01.2026'!A:H,5,FALSE))</f>
        <v xml:space="preserve"> </v>
      </c>
      <c r="E699" s="7" t="str">
        <f>IF(A699=""," ",B699*VLOOKUP(A699,'01.01.2026 - 24.01.2026'!A:H,6,FALSE))</f>
        <v xml:space="preserve"> </v>
      </c>
      <c r="F699" s="7" t="str">
        <f>IF(A699=""," ",B699*VLOOKUP(A699,'01.01.2026 - 24.01.2026'!A:H,7,FALSE))</f>
        <v xml:space="preserve"> </v>
      </c>
      <c r="G699" s="7" t="str">
        <f>IF(A699=""," ",B699*VLOOKUP(A699,'01.01.2026 - 24.01.2026'!A:H,8,FALSE))</f>
        <v xml:space="preserve"> </v>
      </c>
    </row>
    <row r="700" spans="1:7" x14ac:dyDescent="0.3">
      <c r="A700" s="18"/>
      <c r="B700" s="23"/>
      <c r="C700" s="6" t="str">
        <f>IF(A700=""," ",VLOOKUP(A700,'01.01.2026 - 24.01.2026'!A:H,2,FALSE))</f>
        <v xml:space="preserve"> </v>
      </c>
      <c r="D700" s="30" t="str">
        <f>IF(A700=""," ",VLOOKUP(A700,'01.01.2026 - 24.01.2026'!A:H,5,FALSE))</f>
        <v xml:space="preserve"> </v>
      </c>
      <c r="E700" s="7" t="str">
        <f>IF(A700=""," ",B700*VLOOKUP(A700,'01.01.2026 - 24.01.2026'!A:H,6,FALSE))</f>
        <v xml:space="preserve"> </v>
      </c>
      <c r="F700" s="7" t="str">
        <f>IF(A700=""," ",B700*VLOOKUP(A700,'01.01.2026 - 24.01.2026'!A:H,7,FALSE))</f>
        <v xml:space="preserve"> </v>
      </c>
      <c r="G700" s="7" t="str">
        <f>IF(A700=""," ",B700*VLOOKUP(A700,'01.01.2026 - 24.01.2026'!A:H,8,FALSE))</f>
        <v xml:space="preserve"> </v>
      </c>
    </row>
    <row r="701" spans="1:7" x14ac:dyDescent="0.3">
      <c r="A701" s="18"/>
      <c r="B701" s="23"/>
      <c r="C701" s="6" t="str">
        <f>IF(A701=""," ",VLOOKUP(A701,'01.01.2026 - 24.01.2026'!A:H,2,FALSE))</f>
        <v xml:space="preserve"> </v>
      </c>
      <c r="D701" s="30" t="str">
        <f>IF(A701=""," ",VLOOKUP(A701,'01.01.2026 - 24.01.2026'!A:H,5,FALSE))</f>
        <v xml:space="preserve"> </v>
      </c>
      <c r="E701" s="7" t="str">
        <f>IF(A701=""," ",B701*VLOOKUP(A701,'01.01.2026 - 24.01.2026'!A:H,6,FALSE))</f>
        <v xml:space="preserve"> </v>
      </c>
      <c r="F701" s="7" t="str">
        <f>IF(A701=""," ",B701*VLOOKUP(A701,'01.01.2026 - 24.01.2026'!A:H,7,FALSE))</f>
        <v xml:space="preserve"> </v>
      </c>
      <c r="G701" s="7" t="str">
        <f>IF(A701=""," ",B701*VLOOKUP(A701,'01.01.2026 - 24.01.2026'!A:H,8,FALSE))</f>
        <v xml:space="preserve"> </v>
      </c>
    </row>
    <row r="702" spans="1:7" x14ac:dyDescent="0.3">
      <c r="A702" s="18"/>
      <c r="B702" s="23"/>
      <c r="C702" s="6" t="str">
        <f>IF(A702=""," ",VLOOKUP(A702,'01.01.2026 - 24.01.2026'!A:H,2,FALSE))</f>
        <v xml:space="preserve"> </v>
      </c>
      <c r="D702" s="30" t="str">
        <f>IF(A702=""," ",VLOOKUP(A702,'01.01.2026 - 24.01.2026'!A:H,5,FALSE))</f>
        <v xml:space="preserve"> </v>
      </c>
      <c r="E702" s="7" t="str">
        <f>IF(A702=""," ",B702*VLOOKUP(A702,'01.01.2026 - 24.01.2026'!A:H,6,FALSE))</f>
        <v xml:space="preserve"> </v>
      </c>
      <c r="F702" s="7" t="str">
        <f>IF(A702=""," ",B702*VLOOKUP(A702,'01.01.2026 - 24.01.2026'!A:H,7,FALSE))</f>
        <v xml:space="preserve"> </v>
      </c>
      <c r="G702" s="7" t="str">
        <f>IF(A702=""," ",B702*VLOOKUP(A702,'01.01.2026 - 24.01.2026'!A:H,8,FALSE))</f>
        <v xml:space="preserve"> </v>
      </c>
    </row>
    <row r="703" spans="1:7" x14ac:dyDescent="0.3">
      <c r="A703" s="18"/>
      <c r="B703" s="23"/>
      <c r="C703" s="6" t="str">
        <f>IF(A703=""," ",VLOOKUP(A703,'01.01.2026 - 24.01.2026'!A:H,2,FALSE))</f>
        <v xml:space="preserve"> </v>
      </c>
      <c r="D703" s="30" t="str">
        <f>IF(A703=""," ",VLOOKUP(A703,'01.01.2026 - 24.01.2026'!A:H,5,FALSE))</f>
        <v xml:space="preserve"> </v>
      </c>
      <c r="E703" s="7" t="str">
        <f>IF(A703=""," ",B703*VLOOKUP(A703,'01.01.2026 - 24.01.2026'!A:H,6,FALSE))</f>
        <v xml:space="preserve"> </v>
      </c>
      <c r="F703" s="7" t="str">
        <f>IF(A703=""," ",B703*VLOOKUP(A703,'01.01.2026 - 24.01.2026'!A:H,7,FALSE))</f>
        <v xml:space="preserve"> </v>
      </c>
      <c r="G703" s="7" t="str">
        <f>IF(A703=""," ",B703*VLOOKUP(A703,'01.01.2026 - 24.01.2026'!A:H,8,FALSE))</f>
        <v xml:space="preserve"> </v>
      </c>
    </row>
    <row r="704" spans="1:7" x14ac:dyDescent="0.3">
      <c r="A704" s="18"/>
      <c r="B704" s="23"/>
      <c r="C704" s="6" t="str">
        <f>IF(A704=""," ",VLOOKUP(A704,'01.01.2026 - 24.01.2026'!A:H,2,FALSE))</f>
        <v xml:space="preserve"> </v>
      </c>
      <c r="D704" s="30" t="str">
        <f>IF(A704=""," ",VLOOKUP(A704,'01.01.2026 - 24.01.2026'!A:H,5,FALSE))</f>
        <v xml:space="preserve"> </v>
      </c>
      <c r="E704" s="7" t="str">
        <f>IF(A704=""," ",B704*VLOOKUP(A704,'01.01.2026 - 24.01.2026'!A:H,6,FALSE))</f>
        <v xml:space="preserve"> </v>
      </c>
      <c r="F704" s="7" t="str">
        <f>IF(A704=""," ",B704*VLOOKUP(A704,'01.01.2026 - 24.01.2026'!A:H,7,FALSE))</f>
        <v xml:space="preserve"> </v>
      </c>
      <c r="G704" s="7" t="str">
        <f>IF(A704=""," ",B704*VLOOKUP(A704,'01.01.2026 - 24.01.2026'!A:H,8,FALSE))</f>
        <v xml:space="preserve"> </v>
      </c>
    </row>
    <row r="705" spans="1:7" x14ac:dyDescent="0.3">
      <c r="A705" s="18"/>
      <c r="B705" s="23"/>
      <c r="C705" s="6" t="str">
        <f>IF(A705=""," ",VLOOKUP(A705,'01.01.2026 - 24.01.2026'!A:H,2,FALSE))</f>
        <v xml:space="preserve"> </v>
      </c>
      <c r="D705" s="30" t="str">
        <f>IF(A705=""," ",VLOOKUP(A705,'01.01.2026 - 24.01.2026'!A:H,5,FALSE))</f>
        <v xml:space="preserve"> </v>
      </c>
      <c r="E705" s="7" t="str">
        <f>IF(A705=""," ",B705*VLOOKUP(A705,'01.01.2026 - 24.01.2026'!A:H,6,FALSE))</f>
        <v xml:space="preserve"> </v>
      </c>
      <c r="F705" s="7" t="str">
        <f>IF(A705=""," ",B705*VLOOKUP(A705,'01.01.2026 - 24.01.2026'!A:H,7,FALSE))</f>
        <v xml:space="preserve"> </v>
      </c>
      <c r="G705" s="7" t="str">
        <f>IF(A705=""," ",B705*VLOOKUP(A705,'01.01.2026 - 24.01.2026'!A:H,8,FALSE))</f>
        <v xml:space="preserve"> </v>
      </c>
    </row>
    <row r="706" spans="1:7" x14ac:dyDescent="0.3">
      <c r="A706" s="18"/>
      <c r="B706" s="23"/>
      <c r="C706" s="6" t="str">
        <f>IF(A706=""," ",VLOOKUP(A706,'01.01.2026 - 24.01.2026'!A:H,2,FALSE))</f>
        <v xml:space="preserve"> </v>
      </c>
      <c r="D706" s="30" t="str">
        <f>IF(A706=""," ",VLOOKUP(A706,'01.01.2026 - 24.01.2026'!A:H,5,FALSE))</f>
        <v xml:space="preserve"> </v>
      </c>
      <c r="E706" s="7" t="str">
        <f>IF(A706=""," ",B706*VLOOKUP(A706,'01.01.2026 - 24.01.2026'!A:H,6,FALSE))</f>
        <v xml:space="preserve"> </v>
      </c>
      <c r="F706" s="7" t="str">
        <f>IF(A706=""," ",B706*VLOOKUP(A706,'01.01.2026 - 24.01.2026'!A:H,7,FALSE))</f>
        <v xml:space="preserve"> </v>
      </c>
      <c r="G706" s="7" t="str">
        <f>IF(A706=""," ",B706*VLOOKUP(A706,'01.01.2026 - 24.01.2026'!A:H,8,FALSE))</f>
        <v xml:space="preserve"> </v>
      </c>
    </row>
    <row r="707" spans="1:7" x14ac:dyDescent="0.3">
      <c r="A707" s="18"/>
      <c r="B707" s="23"/>
      <c r="C707" s="6" t="str">
        <f>IF(A707=""," ",VLOOKUP(A707,'01.01.2026 - 24.01.2026'!A:H,2,FALSE))</f>
        <v xml:space="preserve"> </v>
      </c>
      <c r="D707" s="30" t="str">
        <f>IF(A707=""," ",VLOOKUP(A707,'01.01.2026 - 24.01.2026'!A:H,5,FALSE))</f>
        <v xml:space="preserve"> </v>
      </c>
      <c r="E707" s="7" t="str">
        <f>IF(A707=""," ",B707*VLOOKUP(A707,'01.01.2026 - 24.01.2026'!A:H,6,FALSE))</f>
        <v xml:space="preserve"> </v>
      </c>
      <c r="F707" s="7" t="str">
        <f>IF(A707=""," ",B707*VLOOKUP(A707,'01.01.2026 - 24.01.2026'!A:H,7,FALSE))</f>
        <v xml:space="preserve"> </v>
      </c>
      <c r="G707" s="7" t="str">
        <f>IF(A707=""," ",B707*VLOOKUP(A707,'01.01.2026 - 24.01.2026'!A:H,8,FALSE))</f>
        <v xml:space="preserve"> </v>
      </c>
    </row>
    <row r="708" spans="1:7" x14ac:dyDescent="0.3">
      <c r="A708" s="18"/>
      <c r="B708" s="23"/>
      <c r="C708" s="6" t="str">
        <f>IF(A708=""," ",VLOOKUP(A708,'01.01.2026 - 24.01.2026'!A:H,2,FALSE))</f>
        <v xml:space="preserve"> </v>
      </c>
      <c r="D708" s="30" t="str">
        <f>IF(A708=""," ",VLOOKUP(A708,'01.01.2026 - 24.01.2026'!A:H,5,FALSE))</f>
        <v xml:space="preserve"> </v>
      </c>
      <c r="E708" s="7" t="str">
        <f>IF(A708=""," ",B708*VLOOKUP(A708,'01.01.2026 - 24.01.2026'!A:H,6,FALSE))</f>
        <v xml:space="preserve"> </v>
      </c>
      <c r="F708" s="7" t="str">
        <f>IF(A708=""," ",B708*VLOOKUP(A708,'01.01.2026 - 24.01.2026'!A:H,7,FALSE))</f>
        <v xml:space="preserve"> </v>
      </c>
      <c r="G708" s="7" t="str">
        <f>IF(A708=""," ",B708*VLOOKUP(A708,'01.01.2026 - 24.01.2026'!A:H,8,FALSE))</f>
        <v xml:space="preserve"> </v>
      </c>
    </row>
    <row r="709" spans="1:7" x14ac:dyDescent="0.3">
      <c r="A709" s="18"/>
      <c r="B709" s="23"/>
      <c r="C709" s="6" t="str">
        <f>IF(A709=""," ",VLOOKUP(A709,'01.01.2026 - 24.01.2026'!A:H,2,FALSE))</f>
        <v xml:space="preserve"> </v>
      </c>
      <c r="D709" s="30" t="str">
        <f>IF(A709=""," ",VLOOKUP(A709,'01.01.2026 - 24.01.2026'!A:H,5,FALSE))</f>
        <v xml:space="preserve"> </v>
      </c>
      <c r="E709" s="7" t="str">
        <f>IF(A709=""," ",B709*VLOOKUP(A709,'01.01.2026 - 24.01.2026'!A:H,6,FALSE))</f>
        <v xml:space="preserve"> </v>
      </c>
      <c r="F709" s="7" t="str">
        <f>IF(A709=""," ",B709*VLOOKUP(A709,'01.01.2026 - 24.01.2026'!A:H,7,FALSE))</f>
        <v xml:space="preserve"> </v>
      </c>
      <c r="G709" s="7" t="str">
        <f>IF(A709=""," ",B709*VLOOKUP(A709,'01.01.2026 - 24.01.2026'!A:H,8,FALSE))</f>
        <v xml:space="preserve"> </v>
      </c>
    </row>
    <row r="710" spans="1:7" x14ac:dyDescent="0.3">
      <c r="A710" s="18"/>
      <c r="B710" s="23"/>
      <c r="C710" s="6" t="str">
        <f>IF(A710=""," ",VLOOKUP(A710,'01.01.2026 - 24.01.2026'!A:H,2,FALSE))</f>
        <v xml:space="preserve"> </v>
      </c>
      <c r="D710" s="30" t="str">
        <f>IF(A710=""," ",VLOOKUP(A710,'01.01.2026 - 24.01.2026'!A:H,5,FALSE))</f>
        <v xml:space="preserve"> </v>
      </c>
      <c r="E710" s="7" t="str">
        <f>IF(A710=""," ",B710*VLOOKUP(A710,'01.01.2026 - 24.01.2026'!A:H,6,FALSE))</f>
        <v xml:space="preserve"> </v>
      </c>
      <c r="F710" s="7" t="str">
        <f>IF(A710=""," ",B710*VLOOKUP(A710,'01.01.2026 - 24.01.2026'!A:H,7,FALSE))</f>
        <v xml:space="preserve"> </v>
      </c>
      <c r="G710" s="7" t="str">
        <f>IF(A710=""," ",B710*VLOOKUP(A710,'01.01.2026 - 24.01.2026'!A:H,8,FALSE))</f>
        <v xml:space="preserve"> </v>
      </c>
    </row>
    <row r="711" spans="1:7" x14ac:dyDescent="0.3">
      <c r="A711" s="18"/>
      <c r="B711" s="23"/>
      <c r="C711" s="6" t="str">
        <f>IF(A711=""," ",VLOOKUP(A711,'01.01.2026 - 24.01.2026'!A:H,2,FALSE))</f>
        <v xml:space="preserve"> </v>
      </c>
      <c r="D711" s="30" t="str">
        <f>IF(A711=""," ",VLOOKUP(A711,'01.01.2026 - 24.01.2026'!A:H,5,FALSE))</f>
        <v xml:space="preserve"> </v>
      </c>
      <c r="E711" s="7" t="str">
        <f>IF(A711=""," ",B711*VLOOKUP(A711,'01.01.2026 - 24.01.2026'!A:H,6,FALSE))</f>
        <v xml:space="preserve"> </v>
      </c>
      <c r="F711" s="7" t="str">
        <f>IF(A711=""," ",B711*VLOOKUP(A711,'01.01.2026 - 24.01.2026'!A:H,7,FALSE))</f>
        <v xml:space="preserve"> </v>
      </c>
      <c r="G711" s="7" t="str">
        <f>IF(A711=""," ",B711*VLOOKUP(A711,'01.01.2026 - 24.01.2026'!A:H,8,FALSE))</f>
        <v xml:space="preserve"> </v>
      </c>
    </row>
    <row r="712" spans="1:7" x14ac:dyDescent="0.3">
      <c r="A712" s="18"/>
      <c r="B712" s="23"/>
      <c r="C712" s="6" t="str">
        <f>IF(A712=""," ",VLOOKUP(A712,'01.01.2026 - 24.01.2026'!A:H,2,FALSE))</f>
        <v xml:space="preserve"> </v>
      </c>
      <c r="D712" s="30" t="str">
        <f>IF(A712=""," ",VLOOKUP(A712,'01.01.2026 - 24.01.2026'!A:H,5,FALSE))</f>
        <v xml:space="preserve"> </v>
      </c>
      <c r="E712" s="7" t="str">
        <f>IF(A712=""," ",B712*VLOOKUP(A712,'01.01.2026 - 24.01.2026'!A:H,6,FALSE))</f>
        <v xml:space="preserve"> </v>
      </c>
      <c r="F712" s="7" t="str">
        <f>IF(A712=""," ",B712*VLOOKUP(A712,'01.01.2026 - 24.01.2026'!A:H,7,FALSE))</f>
        <v xml:space="preserve"> </v>
      </c>
      <c r="G712" s="7" t="str">
        <f>IF(A712=""," ",B712*VLOOKUP(A712,'01.01.2026 - 24.01.2026'!A:H,8,FALSE))</f>
        <v xml:space="preserve"> </v>
      </c>
    </row>
    <row r="713" spans="1:7" x14ac:dyDescent="0.3">
      <c r="A713" s="18"/>
      <c r="B713" s="23"/>
      <c r="C713" s="6" t="str">
        <f>IF(A713=""," ",VLOOKUP(A713,'01.01.2026 - 24.01.2026'!A:H,2,FALSE))</f>
        <v xml:space="preserve"> </v>
      </c>
      <c r="D713" s="30" t="str">
        <f>IF(A713=""," ",VLOOKUP(A713,'01.01.2026 - 24.01.2026'!A:H,5,FALSE))</f>
        <v xml:space="preserve"> </v>
      </c>
      <c r="E713" s="7" t="str">
        <f>IF(A713=""," ",B713*VLOOKUP(A713,'01.01.2026 - 24.01.2026'!A:H,6,FALSE))</f>
        <v xml:space="preserve"> </v>
      </c>
      <c r="F713" s="7" t="str">
        <f>IF(A713=""," ",B713*VLOOKUP(A713,'01.01.2026 - 24.01.2026'!A:H,7,FALSE))</f>
        <v xml:space="preserve"> </v>
      </c>
      <c r="G713" s="7" t="str">
        <f>IF(A713=""," ",B713*VLOOKUP(A713,'01.01.2026 - 24.01.2026'!A:H,8,FALSE))</f>
        <v xml:space="preserve"> </v>
      </c>
    </row>
    <row r="714" spans="1:7" x14ac:dyDescent="0.3">
      <c r="A714" s="18"/>
      <c r="B714" s="23"/>
      <c r="C714" s="6" t="str">
        <f>IF(A714=""," ",VLOOKUP(A714,'01.01.2026 - 24.01.2026'!A:H,2,FALSE))</f>
        <v xml:space="preserve"> </v>
      </c>
      <c r="D714" s="30" t="str">
        <f>IF(A714=""," ",VLOOKUP(A714,'01.01.2026 - 24.01.2026'!A:H,5,FALSE))</f>
        <v xml:space="preserve"> </v>
      </c>
      <c r="E714" s="7" t="str">
        <f>IF(A714=""," ",B714*VLOOKUP(A714,'01.01.2026 - 24.01.2026'!A:H,6,FALSE))</f>
        <v xml:space="preserve"> </v>
      </c>
      <c r="F714" s="7" t="str">
        <f>IF(A714=""," ",B714*VLOOKUP(A714,'01.01.2026 - 24.01.2026'!A:H,7,FALSE))</f>
        <v xml:space="preserve"> </v>
      </c>
      <c r="G714" s="7" t="str">
        <f>IF(A714=""," ",B714*VLOOKUP(A714,'01.01.2026 - 24.01.2026'!A:H,8,FALSE))</f>
        <v xml:space="preserve"> </v>
      </c>
    </row>
    <row r="715" spans="1:7" x14ac:dyDescent="0.3">
      <c r="A715" s="18"/>
      <c r="B715" s="23"/>
      <c r="C715" s="6" t="str">
        <f>IF(A715=""," ",VLOOKUP(A715,'01.01.2026 - 24.01.2026'!A:H,2,FALSE))</f>
        <v xml:space="preserve"> </v>
      </c>
      <c r="D715" s="30" t="str">
        <f>IF(A715=""," ",VLOOKUP(A715,'01.01.2026 - 24.01.2026'!A:H,5,FALSE))</f>
        <v xml:space="preserve"> </v>
      </c>
      <c r="E715" s="7" t="str">
        <f>IF(A715=""," ",B715*VLOOKUP(A715,'01.01.2026 - 24.01.2026'!A:H,6,FALSE))</f>
        <v xml:space="preserve"> </v>
      </c>
      <c r="F715" s="7" t="str">
        <f>IF(A715=""," ",B715*VLOOKUP(A715,'01.01.2026 - 24.01.2026'!A:H,7,FALSE))</f>
        <v xml:space="preserve"> </v>
      </c>
      <c r="G715" s="7" t="str">
        <f>IF(A715=""," ",B715*VLOOKUP(A715,'01.01.2026 - 24.01.2026'!A:H,8,FALSE))</f>
        <v xml:space="preserve"> </v>
      </c>
    </row>
    <row r="716" spans="1:7" x14ac:dyDescent="0.3">
      <c r="A716" s="18"/>
      <c r="B716" s="23"/>
      <c r="C716" s="6" t="str">
        <f>IF(A716=""," ",VLOOKUP(A716,'01.01.2026 - 24.01.2026'!A:H,2,FALSE))</f>
        <v xml:space="preserve"> </v>
      </c>
      <c r="D716" s="30" t="str">
        <f>IF(A716=""," ",VLOOKUP(A716,'01.01.2026 - 24.01.2026'!A:H,5,FALSE))</f>
        <v xml:space="preserve"> </v>
      </c>
      <c r="E716" s="7" t="str">
        <f>IF(A716=""," ",B716*VLOOKUP(A716,'01.01.2026 - 24.01.2026'!A:H,6,FALSE))</f>
        <v xml:space="preserve"> </v>
      </c>
      <c r="F716" s="7" t="str">
        <f>IF(A716=""," ",B716*VLOOKUP(A716,'01.01.2026 - 24.01.2026'!A:H,7,FALSE))</f>
        <v xml:space="preserve"> </v>
      </c>
      <c r="G716" s="7" t="str">
        <f>IF(A716=""," ",B716*VLOOKUP(A716,'01.01.2026 - 24.01.2026'!A:H,8,FALSE))</f>
        <v xml:space="preserve"> </v>
      </c>
    </row>
    <row r="717" spans="1:7" x14ac:dyDescent="0.3">
      <c r="A717" s="18"/>
      <c r="B717" s="23"/>
      <c r="C717" s="6" t="str">
        <f>IF(A717=""," ",VLOOKUP(A717,'01.01.2026 - 24.01.2026'!A:H,2,FALSE))</f>
        <v xml:space="preserve"> </v>
      </c>
      <c r="D717" s="30" t="str">
        <f>IF(A717=""," ",VLOOKUP(A717,'01.01.2026 - 24.01.2026'!A:H,5,FALSE))</f>
        <v xml:space="preserve"> </v>
      </c>
      <c r="E717" s="7" t="str">
        <f>IF(A717=""," ",B717*VLOOKUP(A717,'01.01.2026 - 24.01.2026'!A:H,6,FALSE))</f>
        <v xml:space="preserve"> </v>
      </c>
      <c r="F717" s="7" t="str">
        <f>IF(A717=""," ",B717*VLOOKUP(A717,'01.01.2026 - 24.01.2026'!A:H,7,FALSE))</f>
        <v xml:space="preserve"> </v>
      </c>
      <c r="G717" s="7" t="str">
        <f>IF(A717=""," ",B717*VLOOKUP(A717,'01.01.2026 - 24.01.2026'!A:H,8,FALSE))</f>
        <v xml:space="preserve"> </v>
      </c>
    </row>
    <row r="718" spans="1:7" x14ac:dyDescent="0.3">
      <c r="A718" s="18"/>
      <c r="B718" s="23"/>
      <c r="C718" s="6" t="str">
        <f>IF(A718=""," ",VLOOKUP(A718,'01.01.2026 - 24.01.2026'!A:H,2,FALSE))</f>
        <v xml:space="preserve"> </v>
      </c>
      <c r="D718" s="30" t="str">
        <f>IF(A718=""," ",VLOOKUP(A718,'01.01.2026 - 24.01.2026'!A:H,5,FALSE))</f>
        <v xml:space="preserve"> </v>
      </c>
      <c r="E718" s="7" t="str">
        <f>IF(A718=""," ",B718*VLOOKUP(A718,'01.01.2026 - 24.01.2026'!A:H,6,FALSE))</f>
        <v xml:space="preserve"> </v>
      </c>
      <c r="F718" s="7" t="str">
        <f>IF(A718=""," ",B718*VLOOKUP(A718,'01.01.2026 - 24.01.2026'!A:H,7,FALSE))</f>
        <v xml:space="preserve"> </v>
      </c>
      <c r="G718" s="7" t="str">
        <f>IF(A718=""," ",B718*VLOOKUP(A718,'01.01.2026 - 24.01.2026'!A:H,8,FALSE))</f>
        <v xml:space="preserve"> </v>
      </c>
    </row>
    <row r="719" spans="1:7" x14ac:dyDescent="0.3">
      <c r="A719" s="18"/>
      <c r="B719" s="23"/>
      <c r="C719" s="6" t="str">
        <f>IF(A719=""," ",VLOOKUP(A719,'01.01.2026 - 24.01.2026'!A:H,2,FALSE))</f>
        <v xml:space="preserve"> </v>
      </c>
      <c r="D719" s="30" t="str">
        <f>IF(A719=""," ",VLOOKUP(A719,'01.01.2026 - 24.01.2026'!A:H,5,FALSE))</f>
        <v xml:space="preserve"> </v>
      </c>
      <c r="E719" s="7" t="str">
        <f>IF(A719=""," ",B719*VLOOKUP(A719,'01.01.2026 - 24.01.2026'!A:H,6,FALSE))</f>
        <v xml:space="preserve"> </v>
      </c>
      <c r="F719" s="7" t="str">
        <f>IF(A719=""," ",B719*VLOOKUP(A719,'01.01.2026 - 24.01.2026'!A:H,7,FALSE))</f>
        <v xml:space="preserve"> </v>
      </c>
      <c r="G719" s="7" t="str">
        <f>IF(A719=""," ",B719*VLOOKUP(A719,'01.01.2026 - 24.01.2026'!A:H,8,FALSE))</f>
        <v xml:space="preserve"> </v>
      </c>
    </row>
    <row r="720" spans="1:7" x14ac:dyDescent="0.3">
      <c r="A720" s="18"/>
      <c r="B720" s="23"/>
      <c r="C720" s="6" t="str">
        <f>IF(A720=""," ",VLOOKUP(A720,'01.01.2026 - 24.01.2026'!A:H,2,FALSE))</f>
        <v xml:space="preserve"> </v>
      </c>
      <c r="D720" s="30" t="str">
        <f>IF(A720=""," ",VLOOKUP(A720,'01.01.2026 - 24.01.2026'!A:H,5,FALSE))</f>
        <v xml:space="preserve"> </v>
      </c>
      <c r="E720" s="7" t="str">
        <f>IF(A720=""," ",B720*VLOOKUP(A720,'01.01.2026 - 24.01.2026'!A:H,6,FALSE))</f>
        <v xml:space="preserve"> </v>
      </c>
      <c r="F720" s="7" t="str">
        <f>IF(A720=""," ",B720*VLOOKUP(A720,'01.01.2026 - 24.01.2026'!A:H,7,FALSE))</f>
        <v xml:space="preserve"> </v>
      </c>
      <c r="G720" s="7" t="str">
        <f>IF(A720=""," ",B720*VLOOKUP(A720,'01.01.2026 - 24.01.2026'!A:H,8,FALSE))</f>
        <v xml:space="preserve"> </v>
      </c>
    </row>
    <row r="721" spans="1:7" x14ac:dyDescent="0.3">
      <c r="A721" s="18"/>
      <c r="B721" s="23"/>
      <c r="C721" s="6" t="str">
        <f>IF(A721=""," ",VLOOKUP(A721,'01.01.2026 - 24.01.2026'!A:H,2,FALSE))</f>
        <v xml:space="preserve"> </v>
      </c>
      <c r="D721" s="30" t="str">
        <f>IF(A721=""," ",VLOOKUP(A721,'01.01.2026 - 24.01.2026'!A:H,5,FALSE))</f>
        <v xml:space="preserve"> </v>
      </c>
      <c r="E721" s="7" t="str">
        <f>IF(A721=""," ",B721*VLOOKUP(A721,'01.01.2026 - 24.01.2026'!A:H,6,FALSE))</f>
        <v xml:space="preserve"> </v>
      </c>
      <c r="F721" s="7" t="str">
        <f>IF(A721=""," ",B721*VLOOKUP(A721,'01.01.2026 - 24.01.2026'!A:H,7,FALSE))</f>
        <v xml:space="preserve"> </v>
      </c>
      <c r="G721" s="7" t="str">
        <f>IF(A721=""," ",B721*VLOOKUP(A721,'01.01.2026 - 24.01.2026'!A:H,8,FALSE))</f>
        <v xml:space="preserve"> </v>
      </c>
    </row>
    <row r="722" spans="1:7" x14ac:dyDescent="0.3">
      <c r="A722" s="18"/>
      <c r="B722" s="23"/>
      <c r="C722" s="6" t="str">
        <f>IF(A722=""," ",VLOOKUP(A722,'01.01.2026 - 24.01.2026'!A:H,2,FALSE))</f>
        <v xml:space="preserve"> </v>
      </c>
      <c r="D722" s="30" t="str">
        <f>IF(A722=""," ",VLOOKUP(A722,'01.01.2026 - 24.01.2026'!A:H,5,FALSE))</f>
        <v xml:space="preserve"> </v>
      </c>
      <c r="E722" s="7" t="str">
        <f>IF(A722=""," ",B722*VLOOKUP(A722,'01.01.2026 - 24.01.2026'!A:H,6,FALSE))</f>
        <v xml:space="preserve"> </v>
      </c>
      <c r="F722" s="7" t="str">
        <f>IF(A722=""," ",B722*VLOOKUP(A722,'01.01.2026 - 24.01.2026'!A:H,7,FALSE))</f>
        <v xml:space="preserve"> </v>
      </c>
      <c r="G722" s="7" t="str">
        <f>IF(A722=""," ",B722*VLOOKUP(A722,'01.01.2026 - 24.01.2026'!A:H,8,FALSE))</f>
        <v xml:space="preserve"> </v>
      </c>
    </row>
    <row r="723" spans="1:7" x14ac:dyDescent="0.3">
      <c r="A723" s="18"/>
      <c r="B723" s="23"/>
      <c r="C723" s="6" t="str">
        <f>IF(A723=""," ",VLOOKUP(A723,'01.01.2026 - 24.01.2026'!A:H,2,FALSE))</f>
        <v xml:space="preserve"> </v>
      </c>
      <c r="D723" s="30" t="str">
        <f>IF(A723=""," ",VLOOKUP(A723,'01.01.2026 - 24.01.2026'!A:H,5,FALSE))</f>
        <v xml:space="preserve"> </v>
      </c>
      <c r="E723" s="7" t="str">
        <f>IF(A723=""," ",B723*VLOOKUP(A723,'01.01.2026 - 24.01.2026'!A:H,6,FALSE))</f>
        <v xml:space="preserve"> </v>
      </c>
      <c r="F723" s="7" t="str">
        <f>IF(A723=""," ",B723*VLOOKUP(A723,'01.01.2026 - 24.01.2026'!A:H,7,FALSE))</f>
        <v xml:space="preserve"> </v>
      </c>
      <c r="G723" s="7" t="str">
        <f>IF(A723=""," ",B723*VLOOKUP(A723,'01.01.2026 - 24.01.2026'!A:H,8,FALSE))</f>
        <v xml:space="preserve"> </v>
      </c>
    </row>
    <row r="724" spans="1:7" x14ac:dyDescent="0.3">
      <c r="A724" s="18"/>
      <c r="B724" s="23"/>
      <c r="C724" s="6" t="str">
        <f>IF(A724=""," ",VLOOKUP(A724,'01.01.2026 - 24.01.2026'!A:H,2,FALSE))</f>
        <v xml:space="preserve"> </v>
      </c>
      <c r="D724" s="30" t="str">
        <f>IF(A724=""," ",VLOOKUP(A724,'01.01.2026 - 24.01.2026'!A:H,5,FALSE))</f>
        <v xml:space="preserve"> </v>
      </c>
      <c r="E724" s="7" t="str">
        <f>IF(A724=""," ",B724*VLOOKUP(A724,'01.01.2026 - 24.01.2026'!A:H,6,FALSE))</f>
        <v xml:space="preserve"> </v>
      </c>
      <c r="F724" s="7" t="str">
        <f>IF(A724=""," ",B724*VLOOKUP(A724,'01.01.2026 - 24.01.2026'!A:H,7,FALSE))</f>
        <v xml:space="preserve"> </v>
      </c>
      <c r="G724" s="7" t="str">
        <f>IF(A724=""," ",B724*VLOOKUP(A724,'01.01.2026 - 24.01.2026'!A:H,8,FALSE))</f>
        <v xml:space="preserve"> </v>
      </c>
    </row>
    <row r="725" spans="1:7" x14ac:dyDescent="0.3">
      <c r="A725" s="18"/>
      <c r="B725" s="23"/>
      <c r="C725" s="6" t="str">
        <f>IF(A725=""," ",VLOOKUP(A725,'01.01.2026 - 24.01.2026'!A:H,2,FALSE))</f>
        <v xml:space="preserve"> </v>
      </c>
      <c r="D725" s="30" t="str">
        <f>IF(A725=""," ",VLOOKUP(A725,'01.01.2026 - 24.01.2026'!A:H,5,FALSE))</f>
        <v xml:space="preserve"> </v>
      </c>
      <c r="E725" s="7" t="str">
        <f>IF(A725=""," ",B725*VLOOKUP(A725,'01.01.2026 - 24.01.2026'!A:H,6,FALSE))</f>
        <v xml:space="preserve"> </v>
      </c>
      <c r="F725" s="7" t="str">
        <f>IF(A725=""," ",B725*VLOOKUP(A725,'01.01.2026 - 24.01.2026'!A:H,7,FALSE))</f>
        <v xml:space="preserve"> </v>
      </c>
      <c r="G725" s="7" t="str">
        <f>IF(A725=""," ",B725*VLOOKUP(A725,'01.01.2026 - 24.01.2026'!A:H,8,FALSE))</f>
        <v xml:space="preserve"> </v>
      </c>
    </row>
    <row r="726" spans="1:7" x14ac:dyDescent="0.3">
      <c r="A726" s="18"/>
      <c r="B726" s="23"/>
      <c r="C726" s="6" t="str">
        <f>IF(A726=""," ",VLOOKUP(A726,'01.01.2026 - 24.01.2026'!A:H,2,FALSE))</f>
        <v xml:space="preserve"> </v>
      </c>
      <c r="D726" s="30" t="str">
        <f>IF(A726=""," ",VLOOKUP(A726,'01.01.2026 - 24.01.2026'!A:H,5,FALSE))</f>
        <v xml:space="preserve"> </v>
      </c>
      <c r="E726" s="7" t="str">
        <f>IF(A726=""," ",B726*VLOOKUP(A726,'01.01.2026 - 24.01.2026'!A:H,6,FALSE))</f>
        <v xml:space="preserve"> </v>
      </c>
      <c r="F726" s="7" t="str">
        <f>IF(A726=""," ",B726*VLOOKUP(A726,'01.01.2026 - 24.01.2026'!A:H,7,FALSE))</f>
        <v xml:space="preserve"> </v>
      </c>
      <c r="G726" s="7" t="str">
        <f>IF(A726=""," ",B726*VLOOKUP(A726,'01.01.2026 - 24.01.2026'!A:H,8,FALSE))</f>
        <v xml:space="preserve"> </v>
      </c>
    </row>
    <row r="727" spans="1:7" x14ac:dyDescent="0.3">
      <c r="A727" s="18"/>
      <c r="B727" s="23"/>
      <c r="C727" s="6" t="str">
        <f>IF(A727=""," ",VLOOKUP(A727,'01.01.2026 - 24.01.2026'!A:H,2,FALSE))</f>
        <v xml:space="preserve"> </v>
      </c>
      <c r="D727" s="30" t="str">
        <f>IF(A727=""," ",VLOOKUP(A727,'01.01.2026 - 24.01.2026'!A:H,5,FALSE))</f>
        <v xml:space="preserve"> </v>
      </c>
      <c r="E727" s="7" t="str">
        <f>IF(A727=""," ",B727*VLOOKUP(A727,'01.01.2026 - 24.01.2026'!A:H,6,FALSE))</f>
        <v xml:space="preserve"> </v>
      </c>
      <c r="F727" s="7" t="str">
        <f>IF(A727=""," ",B727*VLOOKUP(A727,'01.01.2026 - 24.01.2026'!A:H,7,FALSE))</f>
        <v xml:space="preserve"> </v>
      </c>
      <c r="G727" s="7" t="str">
        <f>IF(A727=""," ",B727*VLOOKUP(A727,'01.01.2026 - 24.01.2026'!A:H,8,FALSE))</f>
        <v xml:space="preserve"> </v>
      </c>
    </row>
    <row r="728" spans="1:7" x14ac:dyDescent="0.3">
      <c r="A728" s="18"/>
      <c r="B728" s="23"/>
      <c r="C728" s="6" t="str">
        <f>IF(A728=""," ",VLOOKUP(A728,'01.01.2026 - 24.01.2026'!A:H,2,FALSE))</f>
        <v xml:space="preserve"> </v>
      </c>
      <c r="D728" s="30" t="str">
        <f>IF(A728=""," ",VLOOKUP(A728,'01.01.2026 - 24.01.2026'!A:H,5,FALSE))</f>
        <v xml:space="preserve"> </v>
      </c>
      <c r="E728" s="7" t="str">
        <f>IF(A728=""," ",B728*VLOOKUP(A728,'01.01.2026 - 24.01.2026'!A:H,6,FALSE))</f>
        <v xml:space="preserve"> </v>
      </c>
      <c r="F728" s="7" t="str">
        <f>IF(A728=""," ",B728*VLOOKUP(A728,'01.01.2026 - 24.01.2026'!A:H,7,FALSE))</f>
        <v xml:space="preserve"> </v>
      </c>
      <c r="G728" s="7" t="str">
        <f>IF(A728=""," ",B728*VLOOKUP(A728,'01.01.2026 - 24.01.2026'!A:H,8,FALSE))</f>
        <v xml:space="preserve"> </v>
      </c>
    </row>
    <row r="729" spans="1:7" x14ac:dyDescent="0.3">
      <c r="A729" s="18"/>
      <c r="B729" s="23"/>
      <c r="C729" s="6" t="str">
        <f>IF(A729=""," ",VLOOKUP(A729,'01.01.2026 - 24.01.2026'!A:H,2,FALSE))</f>
        <v xml:space="preserve"> </v>
      </c>
      <c r="D729" s="30" t="str">
        <f>IF(A729=""," ",VLOOKUP(A729,'01.01.2026 - 24.01.2026'!A:H,5,FALSE))</f>
        <v xml:space="preserve"> </v>
      </c>
      <c r="E729" s="7" t="str">
        <f>IF(A729=""," ",B729*VLOOKUP(A729,'01.01.2026 - 24.01.2026'!A:H,6,FALSE))</f>
        <v xml:space="preserve"> </v>
      </c>
      <c r="F729" s="7" t="str">
        <f>IF(A729=""," ",B729*VLOOKUP(A729,'01.01.2026 - 24.01.2026'!A:H,7,FALSE))</f>
        <v xml:space="preserve"> </v>
      </c>
      <c r="G729" s="7" t="str">
        <f>IF(A729=""," ",B729*VLOOKUP(A729,'01.01.2026 - 24.01.2026'!A:H,8,FALSE))</f>
        <v xml:space="preserve"> </v>
      </c>
    </row>
    <row r="730" spans="1:7" x14ac:dyDescent="0.3">
      <c r="A730" s="18"/>
      <c r="B730" s="23"/>
      <c r="C730" s="6" t="str">
        <f>IF(A730=""," ",VLOOKUP(A730,'01.01.2026 - 24.01.2026'!A:H,2,FALSE))</f>
        <v xml:space="preserve"> </v>
      </c>
      <c r="D730" s="30" t="str">
        <f>IF(A730=""," ",VLOOKUP(A730,'01.01.2026 - 24.01.2026'!A:H,5,FALSE))</f>
        <v xml:space="preserve"> </v>
      </c>
      <c r="E730" s="7" t="str">
        <f>IF(A730=""," ",B730*VLOOKUP(A730,'01.01.2026 - 24.01.2026'!A:H,6,FALSE))</f>
        <v xml:space="preserve"> </v>
      </c>
      <c r="F730" s="7" t="str">
        <f>IF(A730=""," ",B730*VLOOKUP(A730,'01.01.2026 - 24.01.2026'!A:H,7,FALSE))</f>
        <v xml:space="preserve"> </v>
      </c>
      <c r="G730" s="7" t="str">
        <f>IF(A730=""," ",B730*VLOOKUP(A730,'01.01.2026 - 24.01.2026'!A:H,8,FALSE))</f>
        <v xml:space="preserve"> </v>
      </c>
    </row>
    <row r="731" spans="1:7" x14ac:dyDescent="0.3">
      <c r="A731" s="18"/>
      <c r="B731" s="23"/>
      <c r="C731" s="6" t="str">
        <f>IF(A731=""," ",VLOOKUP(A731,'01.01.2026 - 24.01.2026'!A:H,2,FALSE))</f>
        <v xml:space="preserve"> </v>
      </c>
      <c r="D731" s="30" t="str">
        <f>IF(A731=""," ",VLOOKUP(A731,'01.01.2026 - 24.01.2026'!A:H,5,FALSE))</f>
        <v xml:space="preserve"> </v>
      </c>
      <c r="E731" s="7" t="str">
        <f>IF(A731=""," ",B731*VLOOKUP(A731,'01.01.2026 - 24.01.2026'!A:H,6,FALSE))</f>
        <v xml:space="preserve"> </v>
      </c>
      <c r="F731" s="7" t="str">
        <f>IF(A731=""," ",B731*VLOOKUP(A731,'01.01.2026 - 24.01.2026'!A:H,7,FALSE))</f>
        <v xml:space="preserve"> </v>
      </c>
      <c r="G731" s="7" t="str">
        <f>IF(A731=""," ",B731*VLOOKUP(A731,'01.01.2026 - 24.01.2026'!A:H,8,FALSE))</f>
        <v xml:space="preserve"> </v>
      </c>
    </row>
    <row r="732" spans="1:7" x14ac:dyDescent="0.3">
      <c r="A732" s="18"/>
      <c r="B732" s="23"/>
      <c r="C732" s="6" t="str">
        <f>IF(A732=""," ",VLOOKUP(A732,'01.01.2026 - 24.01.2026'!A:H,2,FALSE))</f>
        <v xml:space="preserve"> </v>
      </c>
      <c r="D732" s="30" t="str">
        <f>IF(A732=""," ",VLOOKUP(A732,'01.01.2026 - 24.01.2026'!A:H,5,FALSE))</f>
        <v xml:space="preserve"> </v>
      </c>
      <c r="E732" s="7" t="str">
        <f>IF(A732=""," ",B732*VLOOKUP(A732,'01.01.2026 - 24.01.2026'!A:H,6,FALSE))</f>
        <v xml:space="preserve"> </v>
      </c>
      <c r="F732" s="7" t="str">
        <f>IF(A732=""," ",B732*VLOOKUP(A732,'01.01.2026 - 24.01.2026'!A:H,7,FALSE))</f>
        <v xml:space="preserve"> </v>
      </c>
      <c r="G732" s="7" t="str">
        <f>IF(A732=""," ",B732*VLOOKUP(A732,'01.01.2026 - 24.01.2026'!A:H,8,FALSE))</f>
        <v xml:space="preserve"> </v>
      </c>
    </row>
    <row r="733" spans="1:7" x14ac:dyDescent="0.3">
      <c r="A733" s="18"/>
      <c r="B733" s="23"/>
      <c r="C733" s="6" t="str">
        <f>IF(A733=""," ",VLOOKUP(A733,'01.01.2026 - 24.01.2026'!A:H,2,FALSE))</f>
        <v xml:space="preserve"> </v>
      </c>
      <c r="D733" s="30" t="str">
        <f>IF(A733=""," ",VLOOKUP(A733,'01.01.2026 - 24.01.2026'!A:H,5,FALSE))</f>
        <v xml:space="preserve"> </v>
      </c>
      <c r="E733" s="7" t="str">
        <f>IF(A733=""," ",B733*VLOOKUP(A733,'01.01.2026 - 24.01.2026'!A:H,6,FALSE))</f>
        <v xml:space="preserve"> </v>
      </c>
      <c r="F733" s="7" t="str">
        <f>IF(A733=""," ",B733*VLOOKUP(A733,'01.01.2026 - 24.01.2026'!A:H,7,FALSE))</f>
        <v xml:space="preserve"> </v>
      </c>
      <c r="G733" s="7" t="str">
        <f>IF(A733=""," ",B733*VLOOKUP(A733,'01.01.2026 - 24.01.2026'!A:H,8,FALSE))</f>
        <v xml:space="preserve"> </v>
      </c>
    </row>
    <row r="734" spans="1:7" x14ac:dyDescent="0.3">
      <c r="A734" s="18"/>
      <c r="B734" s="23"/>
      <c r="C734" s="6" t="str">
        <f>IF(A734=""," ",VLOOKUP(A734,'01.01.2026 - 24.01.2026'!A:H,2,FALSE))</f>
        <v xml:space="preserve"> </v>
      </c>
      <c r="D734" s="30" t="str">
        <f>IF(A734=""," ",VLOOKUP(A734,'01.01.2026 - 24.01.2026'!A:H,5,FALSE))</f>
        <v xml:space="preserve"> </v>
      </c>
      <c r="E734" s="7" t="str">
        <f>IF(A734=""," ",B734*VLOOKUP(A734,'01.01.2026 - 24.01.2026'!A:H,6,FALSE))</f>
        <v xml:space="preserve"> </v>
      </c>
      <c r="F734" s="7" t="str">
        <f>IF(A734=""," ",B734*VLOOKUP(A734,'01.01.2026 - 24.01.2026'!A:H,7,FALSE))</f>
        <v xml:space="preserve"> </v>
      </c>
      <c r="G734" s="7" t="str">
        <f>IF(A734=""," ",B734*VLOOKUP(A734,'01.01.2026 - 24.01.2026'!A:H,8,FALSE))</f>
        <v xml:space="preserve"> </v>
      </c>
    </row>
    <row r="735" spans="1:7" x14ac:dyDescent="0.3">
      <c r="A735" s="18"/>
      <c r="B735" s="23"/>
      <c r="C735" s="6" t="str">
        <f>IF(A735=""," ",VLOOKUP(A735,'01.01.2026 - 24.01.2026'!A:H,2,FALSE))</f>
        <v xml:space="preserve"> </v>
      </c>
      <c r="D735" s="30" t="str">
        <f>IF(A735=""," ",VLOOKUP(A735,'01.01.2026 - 24.01.2026'!A:H,5,FALSE))</f>
        <v xml:space="preserve"> </v>
      </c>
      <c r="E735" s="7" t="str">
        <f>IF(A735=""," ",B735*VLOOKUP(A735,'01.01.2026 - 24.01.2026'!A:H,6,FALSE))</f>
        <v xml:space="preserve"> </v>
      </c>
      <c r="F735" s="7" t="str">
        <f>IF(A735=""," ",B735*VLOOKUP(A735,'01.01.2026 - 24.01.2026'!A:H,7,FALSE))</f>
        <v xml:space="preserve"> </v>
      </c>
      <c r="G735" s="7" t="str">
        <f>IF(A735=""," ",B735*VLOOKUP(A735,'01.01.2026 - 24.01.2026'!A:H,8,FALSE))</f>
        <v xml:space="preserve"> </v>
      </c>
    </row>
    <row r="736" spans="1:7" x14ac:dyDescent="0.3">
      <c r="A736" s="18"/>
      <c r="B736" s="23"/>
      <c r="C736" s="6" t="str">
        <f>IF(A736=""," ",VLOOKUP(A736,'01.01.2026 - 24.01.2026'!A:H,2,FALSE))</f>
        <v xml:space="preserve"> </v>
      </c>
      <c r="D736" s="30" t="str">
        <f>IF(A736=""," ",VLOOKUP(A736,'01.01.2026 - 24.01.2026'!A:H,5,FALSE))</f>
        <v xml:space="preserve"> </v>
      </c>
      <c r="E736" s="7" t="str">
        <f>IF(A736=""," ",B736*VLOOKUP(A736,'01.01.2026 - 24.01.2026'!A:H,6,FALSE))</f>
        <v xml:space="preserve"> </v>
      </c>
      <c r="F736" s="7" t="str">
        <f>IF(A736=""," ",B736*VLOOKUP(A736,'01.01.2026 - 24.01.2026'!A:H,7,FALSE))</f>
        <v xml:space="preserve"> </v>
      </c>
      <c r="G736" s="7" t="str">
        <f>IF(A736=""," ",B736*VLOOKUP(A736,'01.01.2026 - 24.01.2026'!A:H,8,FALSE))</f>
        <v xml:space="preserve"> </v>
      </c>
    </row>
    <row r="737" spans="1:7" x14ac:dyDescent="0.3">
      <c r="A737" s="18"/>
      <c r="B737" s="23"/>
      <c r="C737" s="6" t="str">
        <f>IF(A737=""," ",VLOOKUP(A737,'01.01.2026 - 24.01.2026'!A:H,2,FALSE))</f>
        <v xml:space="preserve"> </v>
      </c>
      <c r="D737" s="30" t="str">
        <f>IF(A737=""," ",VLOOKUP(A737,'01.01.2026 - 24.01.2026'!A:H,5,FALSE))</f>
        <v xml:space="preserve"> </v>
      </c>
      <c r="E737" s="7" t="str">
        <f>IF(A737=""," ",B737*VLOOKUP(A737,'01.01.2026 - 24.01.2026'!A:H,6,FALSE))</f>
        <v xml:space="preserve"> </v>
      </c>
      <c r="F737" s="7" t="str">
        <f>IF(A737=""," ",B737*VLOOKUP(A737,'01.01.2026 - 24.01.2026'!A:H,7,FALSE))</f>
        <v xml:space="preserve"> </v>
      </c>
      <c r="G737" s="7" t="str">
        <f>IF(A737=""," ",B737*VLOOKUP(A737,'01.01.2026 - 24.01.2026'!A:H,8,FALSE))</f>
        <v xml:space="preserve"> </v>
      </c>
    </row>
    <row r="738" spans="1:7" x14ac:dyDescent="0.3">
      <c r="A738" s="18"/>
      <c r="B738" s="23"/>
      <c r="C738" s="6" t="str">
        <f>IF(A738=""," ",VLOOKUP(A738,'01.01.2026 - 24.01.2026'!A:H,2,FALSE))</f>
        <v xml:space="preserve"> </v>
      </c>
      <c r="D738" s="30" t="str">
        <f>IF(A738=""," ",VLOOKUP(A738,'01.01.2026 - 24.01.2026'!A:H,5,FALSE))</f>
        <v xml:space="preserve"> </v>
      </c>
      <c r="E738" s="7" t="str">
        <f>IF(A738=""," ",B738*VLOOKUP(A738,'01.01.2026 - 24.01.2026'!A:H,6,FALSE))</f>
        <v xml:space="preserve"> </v>
      </c>
      <c r="F738" s="7" t="str">
        <f>IF(A738=""," ",B738*VLOOKUP(A738,'01.01.2026 - 24.01.2026'!A:H,7,FALSE))</f>
        <v xml:space="preserve"> </v>
      </c>
      <c r="G738" s="7" t="str">
        <f>IF(A738=""," ",B738*VLOOKUP(A738,'01.01.2026 - 24.01.2026'!A:H,8,FALSE))</f>
        <v xml:space="preserve"> </v>
      </c>
    </row>
    <row r="739" spans="1:7" x14ac:dyDescent="0.3">
      <c r="A739" s="18"/>
      <c r="B739" s="23"/>
      <c r="C739" s="6" t="str">
        <f>IF(A739=""," ",VLOOKUP(A739,'01.01.2026 - 24.01.2026'!A:H,2,FALSE))</f>
        <v xml:space="preserve"> </v>
      </c>
      <c r="D739" s="30" t="str">
        <f>IF(A739=""," ",VLOOKUP(A739,'01.01.2026 - 24.01.2026'!A:H,5,FALSE))</f>
        <v xml:space="preserve"> </v>
      </c>
      <c r="E739" s="7" t="str">
        <f>IF(A739=""," ",B739*VLOOKUP(A739,'01.01.2026 - 24.01.2026'!A:H,6,FALSE))</f>
        <v xml:space="preserve"> </v>
      </c>
      <c r="F739" s="7" t="str">
        <f>IF(A739=""," ",B739*VLOOKUP(A739,'01.01.2026 - 24.01.2026'!A:H,7,FALSE))</f>
        <v xml:space="preserve"> </v>
      </c>
      <c r="G739" s="7" t="str">
        <f>IF(A739=""," ",B739*VLOOKUP(A739,'01.01.2026 - 24.01.2026'!A:H,8,FALSE))</f>
        <v xml:space="preserve"> </v>
      </c>
    </row>
    <row r="740" spans="1:7" x14ac:dyDescent="0.3">
      <c r="A740" s="18"/>
      <c r="B740" s="23"/>
      <c r="C740" s="6" t="str">
        <f>IF(A740=""," ",VLOOKUP(A740,'01.01.2026 - 24.01.2026'!A:H,2,FALSE))</f>
        <v xml:space="preserve"> </v>
      </c>
      <c r="D740" s="30" t="str">
        <f>IF(A740=""," ",VLOOKUP(A740,'01.01.2026 - 24.01.2026'!A:H,5,FALSE))</f>
        <v xml:space="preserve"> </v>
      </c>
      <c r="E740" s="7" t="str">
        <f>IF(A740=""," ",B740*VLOOKUP(A740,'01.01.2026 - 24.01.2026'!A:H,6,FALSE))</f>
        <v xml:space="preserve"> </v>
      </c>
      <c r="F740" s="7" t="str">
        <f>IF(A740=""," ",B740*VLOOKUP(A740,'01.01.2026 - 24.01.2026'!A:H,7,FALSE))</f>
        <v xml:space="preserve"> </v>
      </c>
      <c r="G740" s="7" t="str">
        <f>IF(A740=""," ",B740*VLOOKUP(A740,'01.01.2026 - 24.01.2026'!A:H,8,FALSE))</f>
        <v xml:space="preserve"> </v>
      </c>
    </row>
    <row r="741" spans="1:7" x14ac:dyDescent="0.3">
      <c r="A741" s="18"/>
      <c r="B741" s="23"/>
      <c r="C741" s="6" t="str">
        <f>IF(A741=""," ",VLOOKUP(A741,'01.01.2026 - 24.01.2026'!A:H,2,FALSE))</f>
        <v xml:space="preserve"> </v>
      </c>
      <c r="D741" s="30" t="str">
        <f>IF(A741=""," ",VLOOKUP(A741,'01.01.2026 - 24.01.2026'!A:H,5,FALSE))</f>
        <v xml:space="preserve"> </v>
      </c>
      <c r="E741" s="7" t="str">
        <f>IF(A741=""," ",B741*VLOOKUP(A741,'01.01.2026 - 24.01.2026'!A:H,6,FALSE))</f>
        <v xml:space="preserve"> </v>
      </c>
      <c r="F741" s="7" t="str">
        <f>IF(A741=""," ",B741*VLOOKUP(A741,'01.01.2026 - 24.01.2026'!A:H,7,FALSE))</f>
        <v xml:space="preserve"> </v>
      </c>
      <c r="G741" s="7" t="str">
        <f>IF(A741=""," ",B741*VLOOKUP(A741,'01.01.2026 - 24.01.2026'!A:H,8,FALSE))</f>
        <v xml:space="preserve"> </v>
      </c>
    </row>
    <row r="742" spans="1:7" x14ac:dyDescent="0.3">
      <c r="A742" s="18"/>
      <c r="B742" s="23"/>
      <c r="C742" s="6" t="str">
        <f>IF(A742=""," ",VLOOKUP(A742,'01.01.2026 - 24.01.2026'!A:H,2,FALSE))</f>
        <v xml:space="preserve"> </v>
      </c>
      <c r="D742" s="30" t="str">
        <f>IF(A742=""," ",VLOOKUP(A742,'01.01.2026 - 24.01.2026'!A:H,5,FALSE))</f>
        <v xml:space="preserve"> </v>
      </c>
      <c r="E742" s="7" t="str">
        <f>IF(A742=""," ",B742*VLOOKUP(A742,'01.01.2026 - 24.01.2026'!A:H,6,FALSE))</f>
        <v xml:space="preserve"> </v>
      </c>
      <c r="F742" s="7" t="str">
        <f>IF(A742=""," ",B742*VLOOKUP(A742,'01.01.2026 - 24.01.2026'!A:H,7,FALSE))</f>
        <v xml:space="preserve"> </v>
      </c>
      <c r="G742" s="7" t="str">
        <f>IF(A742=""," ",B742*VLOOKUP(A742,'01.01.2026 - 24.01.2026'!A:H,8,FALSE))</f>
        <v xml:space="preserve"> </v>
      </c>
    </row>
    <row r="743" spans="1:7" x14ac:dyDescent="0.3">
      <c r="A743" s="18"/>
      <c r="B743" s="23"/>
      <c r="C743" s="6" t="str">
        <f>IF(A743=""," ",VLOOKUP(A743,'01.01.2026 - 24.01.2026'!A:H,2,FALSE))</f>
        <v xml:space="preserve"> </v>
      </c>
      <c r="D743" s="30" t="str">
        <f>IF(A743=""," ",VLOOKUP(A743,'01.01.2026 - 24.01.2026'!A:H,5,FALSE))</f>
        <v xml:space="preserve"> </v>
      </c>
      <c r="E743" s="7" t="str">
        <f>IF(A743=""," ",B743*VLOOKUP(A743,'01.01.2026 - 24.01.2026'!A:H,6,FALSE))</f>
        <v xml:space="preserve"> </v>
      </c>
      <c r="F743" s="7" t="str">
        <f>IF(A743=""," ",B743*VLOOKUP(A743,'01.01.2026 - 24.01.2026'!A:H,7,FALSE))</f>
        <v xml:space="preserve"> </v>
      </c>
      <c r="G743" s="7" t="str">
        <f>IF(A743=""," ",B743*VLOOKUP(A743,'01.01.2026 - 24.01.2026'!A:H,8,FALSE))</f>
        <v xml:space="preserve"> </v>
      </c>
    </row>
    <row r="744" spans="1:7" x14ac:dyDescent="0.3">
      <c r="A744" s="18"/>
      <c r="B744" s="23"/>
      <c r="C744" s="6" t="str">
        <f>IF(A744=""," ",VLOOKUP(A744,'01.01.2026 - 24.01.2026'!A:H,2,FALSE))</f>
        <v xml:space="preserve"> </v>
      </c>
      <c r="D744" s="30" t="str">
        <f>IF(A744=""," ",VLOOKUP(A744,'01.01.2026 - 24.01.2026'!A:H,5,FALSE))</f>
        <v xml:space="preserve"> </v>
      </c>
      <c r="E744" s="7" t="str">
        <f>IF(A744=""," ",B744*VLOOKUP(A744,'01.01.2026 - 24.01.2026'!A:H,6,FALSE))</f>
        <v xml:space="preserve"> </v>
      </c>
      <c r="F744" s="7" t="str">
        <f>IF(A744=""," ",B744*VLOOKUP(A744,'01.01.2026 - 24.01.2026'!A:H,7,FALSE))</f>
        <v xml:space="preserve"> </v>
      </c>
      <c r="G744" s="7" t="str">
        <f>IF(A744=""," ",B744*VLOOKUP(A744,'01.01.2026 - 24.01.2026'!A:H,8,FALSE))</f>
        <v xml:space="preserve"> </v>
      </c>
    </row>
    <row r="745" spans="1:7" x14ac:dyDescent="0.3">
      <c r="A745" s="18"/>
      <c r="B745" s="23"/>
      <c r="C745" s="6" t="str">
        <f>IF(A745=""," ",VLOOKUP(A745,'01.01.2026 - 24.01.2026'!A:H,2,FALSE))</f>
        <v xml:space="preserve"> </v>
      </c>
      <c r="D745" s="30" t="str">
        <f>IF(A745=""," ",VLOOKUP(A745,'01.01.2026 - 24.01.2026'!A:H,5,FALSE))</f>
        <v xml:space="preserve"> </v>
      </c>
      <c r="E745" s="7" t="str">
        <f>IF(A745=""," ",B745*VLOOKUP(A745,'01.01.2026 - 24.01.2026'!A:H,6,FALSE))</f>
        <v xml:space="preserve"> </v>
      </c>
      <c r="F745" s="7" t="str">
        <f>IF(A745=""," ",B745*VLOOKUP(A745,'01.01.2026 - 24.01.2026'!A:H,7,FALSE))</f>
        <v xml:space="preserve"> </v>
      </c>
      <c r="G745" s="7" t="str">
        <f>IF(A745=""," ",B745*VLOOKUP(A745,'01.01.2026 - 24.01.2026'!A:H,8,FALSE))</f>
        <v xml:space="preserve"> </v>
      </c>
    </row>
    <row r="746" spans="1:7" x14ac:dyDescent="0.3">
      <c r="A746" s="18"/>
      <c r="B746" s="23"/>
      <c r="C746" s="6" t="str">
        <f>IF(A746=""," ",VLOOKUP(A746,'01.01.2026 - 24.01.2026'!A:H,2,FALSE))</f>
        <v xml:space="preserve"> </v>
      </c>
      <c r="D746" s="30" t="str">
        <f>IF(A746=""," ",VLOOKUP(A746,'01.01.2026 - 24.01.2026'!A:H,5,FALSE))</f>
        <v xml:space="preserve"> </v>
      </c>
      <c r="E746" s="7" t="str">
        <f>IF(A746=""," ",B746*VLOOKUP(A746,'01.01.2026 - 24.01.2026'!A:H,6,FALSE))</f>
        <v xml:space="preserve"> </v>
      </c>
      <c r="F746" s="7" t="str">
        <f>IF(A746=""," ",B746*VLOOKUP(A746,'01.01.2026 - 24.01.2026'!A:H,7,FALSE))</f>
        <v xml:space="preserve"> </v>
      </c>
      <c r="G746" s="7" t="str">
        <f>IF(A746=""," ",B746*VLOOKUP(A746,'01.01.2026 - 24.01.2026'!A:H,8,FALSE))</f>
        <v xml:space="preserve"> </v>
      </c>
    </row>
    <row r="747" spans="1:7" x14ac:dyDescent="0.3">
      <c r="A747" s="18"/>
      <c r="B747" s="23"/>
      <c r="C747" s="6" t="str">
        <f>IF(A747=""," ",VLOOKUP(A747,'01.01.2026 - 24.01.2026'!A:H,2,FALSE))</f>
        <v xml:space="preserve"> </v>
      </c>
      <c r="D747" s="30" t="str">
        <f>IF(A747=""," ",VLOOKUP(A747,'01.01.2026 - 24.01.2026'!A:H,5,FALSE))</f>
        <v xml:space="preserve"> </v>
      </c>
      <c r="E747" s="7" t="str">
        <f>IF(A747=""," ",B747*VLOOKUP(A747,'01.01.2026 - 24.01.2026'!A:H,6,FALSE))</f>
        <v xml:space="preserve"> </v>
      </c>
      <c r="F747" s="7" t="str">
        <f>IF(A747=""," ",B747*VLOOKUP(A747,'01.01.2026 - 24.01.2026'!A:H,7,FALSE))</f>
        <v xml:space="preserve"> </v>
      </c>
      <c r="G747" s="7" t="str">
        <f>IF(A747=""," ",B747*VLOOKUP(A747,'01.01.2026 - 24.01.2026'!A:H,8,FALSE))</f>
        <v xml:space="preserve"> </v>
      </c>
    </row>
    <row r="748" spans="1:7" x14ac:dyDescent="0.3">
      <c r="A748" s="18"/>
      <c r="B748" s="23"/>
      <c r="C748" s="6" t="str">
        <f>IF(A748=""," ",VLOOKUP(A748,'01.01.2026 - 24.01.2026'!A:H,2,FALSE))</f>
        <v xml:space="preserve"> </v>
      </c>
      <c r="D748" s="30" t="str">
        <f>IF(A748=""," ",VLOOKUP(A748,'01.01.2026 - 24.01.2026'!A:H,5,FALSE))</f>
        <v xml:space="preserve"> </v>
      </c>
      <c r="E748" s="7" t="str">
        <f>IF(A748=""," ",B748*VLOOKUP(A748,'01.01.2026 - 24.01.2026'!A:H,6,FALSE))</f>
        <v xml:space="preserve"> </v>
      </c>
      <c r="F748" s="7" t="str">
        <f>IF(A748=""," ",B748*VLOOKUP(A748,'01.01.2026 - 24.01.2026'!A:H,7,FALSE))</f>
        <v xml:space="preserve"> </v>
      </c>
      <c r="G748" s="7" t="str">
        <f>IF(A748=""," ",B748*VLOOKUP(A748,'01.01.2026 - 24.01.2026'!A:H,8,FALSE))</f>
        <v xml:space="preserve"> </v>
      </c>
    </row>
    <row r="749" spans="1:7" x14ac:dyDescent="0.3">
      <c r="A749" s="18"/>
      <c r="B749" s="23"/>
      <c r="C749" s="6" t="str">
        <f>IF(A749=""," ",VLOOKUP(A749,'01.01.2026 - 24.01.2026'!A:H,2,FALSE))</f>
        <v xml:space="preserve"> </v>
      </c>
      <c r="D749" s="30" t="str">
        <f>IF(A749=""," ",VLOOKUP(A749,'01.01.2026 - 24.01.2026'!A:H,5,FALSE))</f>
        <v xml:space="preserve"> </v>
      </c>
      <c r="E749" s="7" t="str">
        <f>IF(A749=""," ",B749*VLOOKUP(A749,'01.01.2026 - 24.01.2026'!A:H,6,FALSE))</f>
        <v xml:space="preserve"> </v>
      </c>
      <c r="F749" s="7" t="str">
        <f>IF(A749=""," ",B749*VLOOKUP(A749,'01.01.2026 - 24.01.2026'!A:H,7,FALSE))</f>
        <v xml:space="preserve"> </v>
      </c>
      <c r="G749" s="7" t="str">
        <f>IF(A749=""," ",B749*VLOOKUP(A749,'01.01.2026 - 24.01.2026'!A:H,8,FALSE))</f>
        <v xml:space="preserve"> </v>
      </c>
    </row>
    <row r="750" spans="1:7" x14ac:dyDescent="0.3">
      <c r="A750" s="18"/>
      <c r="B750" s="23"/>
      <c r="C750" s="6" t="str">
        <f>IF(A750=""," ",VLOOKUP(A750,'01.01.2026 - 24.01.2026'!A:H,2,FALSE))</f>
        <v xml:space="preserve"> </v>
      </c>
      <c r="D750" s="30" t="str">
        <f>IF(A750=""," ",VLOOKUP(A750,'01.01.2026 - 24.01.2026'!A:H,5,FALSE))</f>
        <v xml:space="preserve"> </v>
      </c>
      <c r="E750" s="7" t="str">
        <f>IF(A750=""," ",B750*VLOOKUP(A750,'01.01.2026 - 24.01.2026'!A:H,6,FALSE))</f>
        <v xml:space="preserve"> </v>
      </c>
      <c r="F750" s="7" t="str">
        <f>IF(A750=""," ",B750*VLOOKUP(A750,'01.01.2026 - 24.01.2026'!A:H,7,FALSE))</f>
        <v xml:space="preserve"> </v>
      </c>
      <c r="G750" s="7" t="str">
        <f>IF(A750=""," ",B750*VLOOKUP(A750,'01.01.2026 - 24.01.2026'!A:H,8,FALSE))</f>
        <v xml:space="preserve"> </v>
      </c>
    </row>
    <row r="751" spans="1:7" x14ac:dyDescent="0.3">
      <c r="A751" s="18"/>
      <c r="B751" s="23"/>
      <c r="C751" s="6" t="str">
        <f>IF(A751=""," ",VLOOKUP(A751,'01.01.2026 - 24.01.2026'!A:H,2,FALSE))</f>
        <v xml:space="preserve"> </v>
      </c>
      <c r="D751" s="30" t="str">
        <f>IF(A751=""," ",VLOOKUP(A751,'01.01.2026 - 24.01.2026'!A:H,5,FALSE))</f>
        <v xml:space="preserve"> </v>
      </c>
      <c r="E751" s="7" t="str">
        <f>IF(A751=""," ",B751*VLOOKUP(A751,'01.01.2026 - 24.01.2026'!A:H,6,FALSE))</f>
        <v xml:space="preserve"> </v>
      </c>
      <c r="F751" s="7" t="str">
        <f>IF(A751=""," ",B751*VLOOKUP(A751,'01.01.2026 - 24.01.2026'!A:H,7,FALSE))</f>
        <v xml:space="preserve"> </v>
      </c>
      <c r="G751" s="7" t="str">
        <f>IF(A751=""," ",B751*VLOOKUP(A751,'01.01.2026 - 24.01.2026'!A:H,8,FALSE))</f>
        <v xml:space="preserve"> </v>
      </c>
    </row>
    <row r="752" spans="1:7" x14ac:dyDescent="0.3">
      <c r="A752" s="18"/>
      <c r="B752" s="23"/>
      <c r="C752" s="6" t="str">
        <f>IF(A752=""," ",VLOOKUP(A752,'01.01.2026 - 24.01.2026'!A:H,2,FALSE))</f>
        <v xml:space="preserve"> </v>
      </c>
      <c r="D752" s="30" t="str">
        <f>IF(A752=""," ",VLOOKUP(A752,'01.01.2026 - 24.01.2026'!A:H,5,FALSE))</f>
        <v xml:space="preserve"> </v>
      </c>
      <c r="E752" s="7" t="str">
        <f>IF(A752=""," ",B752*VLOOKUP(A752,'01.01.2026 - 24.01.2026'!A:H,6,FALSE))</f>
        <v xml:space="preserve"> </v>
      </c>
      <c r="F752" s="7" t="str">
        <f>IF(A752=""," ",B752*VLOOKUP(A752,'01.01.2026 - 24.01.2026'!A:H,7,FALSE))</f>
        <v xml:space="preserve"> </v>
      </c>
      <c r="G752" s="7" t="str">
        <f>IF(A752=""," ",B752*VLOOKUP(A752,'01.01.2026 - 24.01.2026'!A:H,8,FALSE))</f>
        <v xml:space="preserve"> </v>
      </c>
    </row>
    <row r="753" spans="1:7" x14ac:dyDescent="0.3">
      <c r="A753" s="18"/>
      <c r="B753" s="23"/>
      <c r="C753" s="6" t="str">
        <f>IF(A753=""," ",VLOOKUP(A753,'01.01.2026 - 24.01.2026'!A:H,2,FALSE))</f>
        <v xml:space="preserve"> </v>
      </c>
      <c r="D753" s="30" t="str">
        <f>IF(A753=""," ",VLOOKUP(A753,'01.01.2026 - 24.01.2026'!A:H,5,FALSE))</f>
        <v xml:space="preserve"> </v>
      </c>
      <c r="E753" s="7" t="str">
        <f>IF(A753=""," ",B753*VLOOKUP(A753,'01.01.2026 - 24.01.2026'!A:H,6,FALSE))</f>
        <v xml:space="preserve"> </v>
      </c>
      <c r="F753" s="7" t="str">
        <f>IF(A753=""," ",B753*VLOOKUP(A753,'01.01.2026 - 24.01.2026'!A:H,7,FALSE))</f>
        <v xml:space="preserve"> </v>
      </c>
      <c r="G753" s="7" t="str">
        <f>IF(A753=""," ",B753*VLOOKUP(A753,'01.01.2026 - 24.01.2026'!A:H,8,FALSE))</f>
        <v xml:space="preserve"> </v>
      </c>
    </row>
    <row r="754" spans="1:7" x14ac:dyDescent="0.3">
      <c r="A754" s="18"/>
      <c r="B754" s="23"/>
      <c r="C754" s="6" t="str">
        <f>IF(A754=""," ",VLOOKUP(A754,'01.01.2026 - 24.01.2026'!A:H,2,FALSE))</f>
        <v xml:space="preserve"> </v>
      </c>
      <c r="D754" s="30" t="str">
        <f>IF(A754=""," ",VLOOKUP(A754,'01.01.2026 - 24.01.2026'!A:H,5,FALSE))</f>
        <v xml:space="preserve"> </v>
      </c>
      <c r="E754" s="7" t="str">
        <f>IF(A754=""," ",B754*VLOOKUP(A754,'01.01.2026 - 24.01.2026'!A:H,6,FALSE))</f>
        <v xml:space="preserve"> </v>
      </c>
      <c r="F754" s="7" t="str">
        <f>IF(A754=""," ",B754*VLOOKUP(A754,'01.01.2026 - 24.01.2026'!A:H,7,FALSE))</f>
        <v xml:space="preserve"> </v>
      </c>
      <c r="G754" s="7" t="str">
        <f>IF(A754=""," ",B754*VLOOKUP(A754,'01.01.2026 - 24.01.2026'!A:H,8,FALSE))</f>
        <v xml:space="preserve"> </v>
      </c>
    </row>
    <row r="755" spans="1:7" x14ac:dyDescent="0.3">
      <c r="A755" s="18"/>
      <c r="B755" s="23"/>
      <c r="C755" s="6" t="str">
        <f>IF(A755=""," ",VLOOKUP(A755,'01.01.2026 - 24.01.2026'!A:H,2,FALSE))</f>
        <v xml:space="preserve"> </v>
      </c>
      <c r="D755" s="30" t="str">
        <f>IF(A755=""," ",VLOOKUP(A755,'01.01.2026 - 24.01.2026'!A:H,5,FALSE))</f>
        <v xml:space="preserve"> </v>
      </c>
      <c r="E755" s="7" t="str">
        <f>IF(A755=""," ",B755*VLOOKUP(A755,'01.01.2026 - 24.01.2026'!A:H,6,FALSE))</f>
        <v xml:space="preserve"> </v>
      </c>
      <c r="F755" s="7" t="str">
        <f>IF(A755=""," ",B755*VLOOKUP(A755,'01.01.2026 - 24.01.2026'!A:H,7,FALSE))</f>
        <v xml:space="preserve"> </v>
      </c>
      <c r="G755" s="7" t="str">
        <f>IF(A755=""," ",B755*VLOOKUP(A755,'01.01.2026 - 24.01.2026'!A:H,8,FALSE))</f>
        <v xml:space="preserve"> </v>
      </c>
    </row>
    <row r="756" spans="1:7" x14ac:dyDescent="0.3">
      <c r="A756" s="18"/>
      <c r="B756" s="23"/>
      <c r="C756" s="6" t="str">
        <f>IF(A756=""," ",VLOOKUP(A756,'01.01.2026 - 24.01.2026'!A:H,2,FALSE))</f>
        <v xml:space="preserve"> </v>
      </c>
      <c r="D756" s="30" t="str">
        <f>IF(A756=""," ",VLOOKUP(A756,'01.01.2026 - 24.01.2026'!A:H,5,FALSE))</f>
        <v xml:space="preserve"> </v>
      </c>
      <c r="E756" s="7" t="str">
        <f>IF(A756=""," ",B756*VLOOKUP(A756,'01.01.2026 - 24.01.2026'!A:H,6,FALSE))</f>
        <v xml:space="preserve"> </v>
      </c>
      <c r="F756" s="7" t="str">
        <f>IF(A756=""," ",B756*VLOOKUP(A756,'01.01.2026 - 24.01.2026'!A:H,7,FALSE))</f>
        <v xml:space="preserve"> </v>
      </c>
      <c r="G756" s="7" t="str">
        <f>IF(A756=""," ",B756*VLOOKUP(A756,'01.01.2026 - 24.01.2026'!A:H,8,FALSE))</f>
        <v xml:space="preserve"> </v>
      </c>
    </row>
    <row r="757" spans="1:7" x14ac:dyDescent="0.3">
      <c r="A757" s="18"/>
      <c r="B757" s="23"/>
      <c r="C757" s="6" t="str">
        <f>IF(A757=""," ",VLOOKUP(A757,'01.01.2026 - 24.01.2026'!A:H,2,FALSE))</f>
        <v xml:space="preserve"> </v>
      </c>
      <c r="D757" s="30" t="str">
        <f>IF(A757=""," ",VLOOKUP(A757,'01.01.2026 - 24.01.2026'!A:H,5,FALSE))</f>
        <v xml:space="preserve"> </v>
      </c>
      <c r="E757" s="7" t="str">
        <f>IF(A757=""," ",B757*VLOOKUP(A757,'01.01.2026 - 24.01.2026'!A:H,6,FALSE))</f>
        <v xml:space="preserve"> </v>
      </c>
      <c r="F757" s="7" t="str">
        <f>IF(A757=""," ",B757*VLOOKUP(A757,'01.01.2026 - 24.01.2026'!A:H,7,FALSE))</f>
        <v xml:space="preserve"> </v>
      </c>
      <c r="G757" s="7" t="str">
        <f>IF(A757=""," ",B757*VLOOKUP(A757,'01.01.2026 - 24.01.2026'!A:H,8,FALSE))</f>
        <v xml:space="preserve"> </v>
      </c>
    </row>
    <row r="758" spans="1:7" x14ac:dyDescent="0.3">
      <c r="A758" s="18"/>
      <c r="B758" s="23"/>
      <c r="C758" s="6" t="str">
        <f>IF(A758=""," ",VLOOKUP(A758,'01.01.2026 - 24.01.2026'!A:H,2,FALSE))</f>
        <v xml:space="preserve"> </v>
      </c>
      <c r="D758" s="30" t="str">
        <f>IF(A758=""," ",VLOOKUP(A758,'01.01.2026 - 24.01.2026'!A:H,5,FALSE))</f>
        <v xml:space="preserve"> </v>
      </c>
      <c r="E758" s="7" t="str">
        <f>IF(A758=""," ",B758*VLOOKUP(A758,'01.01.2026 - 24.01.2026'!A:H,6,FALSE))</f>
        <v xml:space="preserve"> </v>
      </c>
      <c r="F758" s="7" t="str">
        <f>IF(A758=""," ",B758*VLOOKUP(A758,'01.01.2026 - 24.01.2026'!A:H,7,FALSE))</f>
        <v xml:space="preserve"> </v>
      </c>
      <c r="G758" s="7" t="str">
        <f>IF(A758=""," ",B758*VLOOKUP(A758,'01.01.2026 - 24.01.2026'!A:H,8,FALSE))</f>
        <v xml:space="preserve"> </v>
      </c>
    </row>
    <row r="759" spans="1:7" x14ac:dyDescent="0.3">
      <c r="A759" s="18"/>
      <c r="B759" s="23"/>
      <c r="C759" s="6" t="str">
        <f>IF(A759=""," ",VLOOKUP(A759,'01.01.2026 - 24.01.2026'!A:H,2,FALSE))</f>
        <v xml:space="preserve"> </v>
      </c>
      <c r="D759" s="30" t="str">
        <f>IF(A759=""," ",VLOOKUP(A759,'01.01.2026 - 24.01.2026'!A:H,5,FALSE))</f>
        <v xml:space="preserve"> </v>
      </c>
      <c r="E759" s="7" t="str">
        <f>IF(A759=""," ",B759*VLOOKUP(A759,'01.01.2026 - 24.01.2026'!A:H,6,FALSE))</f>
        <v xml:space="preserve"> </v>
      </c>
      <c r="F759" s="7" t="str">
        <f>IF(A759=""," ",B759*VLOOKUP(A759,'01.01.2026 - 24.01.2026'!A:H,7,FALSE))</f>
        <v xml:space="preserve"> </v>
      </c>
      <c r="G759" s="7" t="str">
        <f>IF(A759=""," ",B759*VLOOKUP(A759,'01.01.2026 - 24.01.2026'!A:H,8,FALSE))</f>
        <v xml:space="preserve"> </v>
      </c>
    </row>
    <row r="760" spans="1:7" x14ac:dyDescent="0.3">
      <c r="A760" s="18"/>
      <c r="B760" s="23"/>
      <c r="C760" s="6" t="str">
        <f>IF(A760=""," ",VLOOKUP(A760,'01.01.2026 - 24.01.2026'!A:H,2,FALSE))</f>
        <v xml:space="preserve"> </v>
      </c>
      <c r="D760" s="30" t="str">
        <f>IF(A760=""," ",VLOOKUP(A760,'01.01.2026 - 24.01.2026'!A:H,5,FALSE))</f>
        <v xml:space="preserve"> </v>
      </c>
      <c r="E760" s="7" t="str">
        <f>IF(A760=""," ",B760*VLOOKUP(A760,'01.01.2026 - 24.01.2026'!A:H,6,FALSE))</f>
        <v xml:space="preserve"> </v>
      </c>
      <c r="F760" s="7" t="str">
        <f>IF(A760=""," ",B760*VLOOKUP(A760,'01.01.2026 - 24.01.2026'!A:H,7,FALSE))</f>
        <v xml:space="preserve"> </v>
      </c>
      <c r="G760" s="7" t="str">
        <f>IF(A760=""," ",B760*VLOOKUP(A760,'01.01.2026 - 24.01.2026'!A:H,8,FALSE))</f>
        <v xml:space="preserve"> </v>
      </c>
    </row>
    <row r="761" spans="1:7" x14ac:dyDescent="0.3">
      <c r="A761" s="18"/>
      <c r="B761" s="23"/>
      <c r="C761" s="6" t="str">
        <f>IF(A761=""," ",VLOOKUP(A761,'01.01.2026 - 24.01.2026'!A:H,2,FALSE))</f>
        <v xml:space="preserve"> </v>
      </c>
      <c r="D761" s="30" t="str">
        <f>IF(A761=""," ",VLOOKUP(A761,'01.01.2026 - 24.01.2026'!A:H,5,FALSE))</f>
        <v xml:space="preserve"> </v>
      </c>
      <c r="E761" s="7" t="str">
        <f>IF(A761=""," ",B761*VLOOKUP(A761,'01.01.2026 - 24.01.2026'!A:H,6,FALSE))</f>
        <v xml:space="preserve"> </v>
      </c>
      <c r="F761" s="7" t="str">
        <f>IF(A761=""," ",B761*VLOOKUP(A761,'01.01.2026 - 24.01.2026'!A:H,7,FALSE))</f>
        <v xml:space="preserve"> </v>
      </c>
      <c r="G761" s="7" t="str">
        <f>IF(A761=""," ",B761*VLOOKUP(A761,'01.01.2026 - 24.01.2026'!A:H,8,FALSE))</f>
        <v xml:space="preserve"> </v>
      </c>
    </row>
    <row r="762" spans="1:7" x14ac:dyDescent="0.3">
      <c r="A762" s="18"/>
      <c r="B762" s="23"/>
      <c r="C762" s="6" t="str">
        <f>IF(A762=""," ",VLOOKUP(A762,'01.01.2026 - 24.01.2026'!A:H,2,FALSE))</f>
        <v xml:space="preserve"> </v>
      </c>
      <c r="D762" s="30" t="str">
        <f>IF(A762=""," ",VLOOKUP(A762,'01.01.2026 - 24.01.2026'!A:H,5,FALSE))</f>
        <v xml:space="preserve"> </v>
      </c>
      <c r="E762" s="7" t="str">
        <f>IF(A762=""," ",B762*VLOOKUP(A762,'01.01.2026 - 24.01.2026'!A:H,6,FALSE))</f>
        <v xml:space="preserve"> </v>
      </c>
      <c r="F762" s="7" t="str">
        <f>IF(A762=""," ",B762*VLOOKUP(A762,'01.01.2026 - 24.01.2026'!A:H,7,FALSE))</f>
        <v xml:space="preserve"> </v>
      </c>
      <c r="G762" s="7" t="str">
        <f>IF(A762=""," ",B762*VLOOKUP(A762,'01.01.2026 - 24.01.2026'!A:H,8,FALSE))</f>
        <v xml:space="preserve"> </v>
      </c>
    </row>
    <row r="763" spans="1:7" x14ac:dyDescent="0.3">
      <c r="A763" s="18"/>
      <c r="B763" s="23"/>
      <c r="C763" s="6" t="str">
        <f>IF(A763=""," ",VLOOKUP(A763,'01.01.2026 - 24.01.2026'!A:H,2,FALSE))</f>
        <v xml:space="preserve"> </v>
      </c>
      <c r="D763" s="30" t="str">
        <f>IF(A763=""," ",VLOOKUP(A763,'01.01.2026 - 24.01.2026'!A:H,5,FALSE))</f>
        <v xml:space="preserve"> </v>
      </c>
      <c r="E763" s="7" t="str">
        <f>IF(A763=""," ",B763*VLOOKUP(A763,'01.01.2026 - 24.01.2026'!A:H,6,FALSE))</f>
        <v xml:space="preserve"> </v>
      </c>
      <c r="F763" s="7" t="str">
        <f>IF(A763=""," ",B763*VLOOKUP(A763,'01.01.2026 - 24.01.2026'!A:H,7,FALSE))</f>
        <v xml:space="preserve"> </v>
      </c>
      <c r="G763" s="7" t="str">
        <f>IF(A763=""," ",B763*VLOOKUP(A763,'01.01.2026 - 24.01.2026'!A:H,8,FALSE))</f>
        <v xml:space="preserve"> </v>
      </c>
    </row>
    <row r="764" spans="1:7" x14ac:dyDescent="0.3">
      <c r="A764" s="18"/>
      <c r="B764" s="23"/>
      <c r="C764" s="6" t="str">
        <f>IF(A764=""," ",VLOOKUP(A764,'01.01.2026 - 24.01.2026'!A:H,2,FALSE))</f>
        <v xml:space="preserve"> </v>
      </c>
      <c r="D764" s="30" t="str">
        <f>IF(A764=""," ",VLOOKUP(A764,'01.01.2026 - 24.01.2026'!A:H,5,FALSE))</f>
        <v xml:space="preserve"> </v>
      </c>
      <c r="E764" s="7" t="str">
        <f>IF(A764=""," ",B764*VLOOKUP(A764,'01.01.2026 - 24.01.2026'!A:H,6,FALSE))</f>
        <v xml:space="preserve"> </v>
      </c>
      <c r="F764" s="7" t="str">
        <f>IF(A764=""," ",B764*VLOOKUP(A764,'01.01.2026 - 24.01.2026'!A:H,7,FALSE))</f>
        <v xml:space="preserve"> </v>
      </c>
      <c r="G764" s="7" t="str">
        <f>IF(A764=""," ",B764*VLOOKUP(A764,'01.01.2026 - 24.01.2026'!A:H,8,FALSE))</f>
        <v xml:space="preserve"> </v>
      </c>
    </row>
    <row r="765" spans="1:7" x14ac:dyDescent="0.3">
      <c r="A765" s="18"/>
      <c r="B765" s="23"/>
      <c r="C765" s="6" t="str">
        <f>IF(A765=""," ",VLOOKUP(A765,'01.01.2026 - 24.01.2026'!A:H,2,FALSE))</f>
        <v xml:space="preserve"> </v>
      </c>
      <c r="D765" s="30" t="str">
        <f>IF(A765=""," ",VLOOKUP(A765,'01.01.2026 - 24.01.2026'!A:H,5,FALSE))</f>
        <v xml:space="preserve"> </v>
      </c>
      <c r="E765" s="7" t="str">
        <f>IF(A765=""," ",B765*VLOOKUP(A765,'01.01.2026 - 24.01.2026'!A:H,6,FALSE))</f>
        <v xml:space="preserve"> </v>
      </c>
      <c r="F765" s="7" t="str">
        <f>IF(A765=""," ",B765*VLOOKUP(A765,'01.01.2026 - 24.01.2026'!A:H,7,FALSE))</f>
        <v xml:space="preserve"> </v>
      </c>
      <c r="G765" s="7" t="str">
        <f>IF(A765=""," ",B765*VLOOKUP(A765,'01.01.2026 - 24.01.2026'!A:H,8,FALSE))</f>
        <v xml:space="preserve"> </v>
      </c>
    </row>
    <row r="766" spans="1:7" x14ac:dyDescent="0.3">
      <c r="A766" s="18"/>
      <c r="B766" s="23"/>
      <c r="C766" s="6" t="str">
        <f>IF(A766=""," ",VLOOKUP(A766,'01.01.2026 - 24.01.2026'!A:H,2,FALSE))</f>
        <v xml:space="preserve"> </v>
      </c>
      <c r="D766" s="30" t="str">
        <f>IF(A766=""," ",VLOOKUP(A766,'01.01.2026 - 24.01.2026'!A:H,5,FALSE))</f>
        <v xml:space="preserve"> </v>
      </c>
      <c r="E766" s="7" t="str">
        <f>IF(A766=""," ",B766*VLOOKUP(A766,'01.01.2026 - 24.01.2026'!A:H,6,FALSE))</f>
        <v xml:space="preserve"> </v>
      </c>
      <c r="F766" s="7" t="str">
        <f>IF(A766=""," ",B766*VLOOKUP(A766,'01.01.2026 - 24.01.2026'!A:H,7,FALSE))</f>
        <v xml:space="preserve"> </v>
      </c>
      <c r="G766" s="7" t="str">
        <f>IF(A766=""," ",B766*VLOOKUP(A766,'01.01.2026 - 24.01.2026'!A:H,8,FALSE))</f>
        <v xml:space="preserve"> </v>
      </c>
    </row>
    <row r="767" spans="1:7" x14ac:dyDescent="0.3">
      <c r="A767" s="18"/>
      <c r="B767" s="23"/>
      <c r="C767" s="6" t="str">
        <f>IF(A767=""," ",VLOOKUP(A767,'01.01.2026 - 24.01.2026'!A:H,2,FALSE))</f>
        <v xml:space="preserve"> </v>
      </c>
      <c r="D767" s="30" t="str">
        <f>IF(A767=""," ",VLOOKUP(A767,'01.01.2026 - 24.01.2026'!A:H,5,FALSE))</f>
        <v xml:space="preserve"> </v>
      </c>
      <c r="E767" s="7" t="str">
        <f>IF(A767=""," ",B767*VLOOKUP(A767,'01.01.2026 - 24.01.2026'!A:H,6,FALSE))</f>
        <v xml:space="preserve"> </v>
      </c>
      <c r="F767" s="7" t="str">
        <f>IF(A767=""," ",B767*VLOOKUP(A767,'01.01.2026 - 24.01.2026'!A:H,7,FALSE))</f>
        <v xml:space="preserve"> </v>
      </c>
      <c r="G767" s="7" t="str">
        <f>IF(A767=""," ",B767*VLOOKUP(A767,'01.01.2026 - 24.01.2026'!A:H,8,FALSE))</f>
        <v xml:space="preserve"> </v>
      </c>
    </row>
    <row r="768" spans="1:7" x14ac:dyDescent="0.3">
      <c r="A768" s="18"/>
      <c r="B768" s="23"/>
      <c r="C768" s="6" t="str">
        <f>IF(A768=""," ",VLOOKUP(A768,'01.01.2026 - 24.01.2026'!A:H,2,FALSE))</f>
        <v xml:space="preserve"> </v>
      </c>
      <c r="D768" s="30" t="str">
        <f>IF(A768=""," ",VLOOKUP(A768,'01.01.2026 - 24.01.2026'!A:H,5,FALSE))</f>
        <v xml:space="preserve"> </v>
      </c>
      <c r="E768" s="7" t="str">
        <f>IF(A768=""," ",B768*VLOOKUP(A768,'01.01.2026 - 24.01.2026'!A:H,6,FALSE))</f>
        <v xml:space="preserve"> </v>
      </c>
      <c r="F768" s="7" t="str">
        <f>IF(A768=""," ",B768*VLOOKUP(A768,'01.01.2026 - 24.01.2026'!A:H,7,FALSE))</f>
        <v xml:space="preserve"> </v>
      </c>
      <c r="G768" s="7" t="str">
        <f>IF(A768=""," ",B768*VLOOKUP(A768,'01.01.2026 - 24.01.2026'!A:H,8,FALSE))</f>
        <v xml:space="preserve"> </v>
      </c>
    </row>
    <row r="769" spans="1:7" x14ac:dyDescent="0.3">
      <c r="A769" s="18"/>
      <c r="B769" s="23"/>
      <c r="C769" s="6" t="str">
        <f>IF(A769=""," ",VLOOKUP(A769,'01.01.2026 - 24.01.2026'!A:H,2,FALSE))</f>
        <v xml:space="preserve"> </v>
      </c>
      <c r="D769" s="30" t="str">
        <f>IF(A769=""," ",VLOOKUP(A769,'01.01.2026 - 24.01.2026'!A:H,5,FALSE))</f>
        <v xml:space="preserve"> </v>
      </c>
      <c r="E769" s="7" t="str">
        <f>IF(A769=""," ",B769*VLOOKUP(A769,'01.01.2026 - 24.01.2026'!A:H,6,FALSE))</f>
        <v xml:space="preserve"> </v>
      </c>
      <c r="F769" s="7" t="str">
        <f>IF(A769=""," ",B769*VLOOKUP(A769,'01.01.2026 - 24.01.2026'!A:H,7,FALSE))</f>
        <v xml:space="preserve"> </v>
      </c>
      <c r="G769" s="7" t="str">
        <f>IF(A769=""," ",B769*VLOOKUP(A769,'01.01.2026 - 24.01.2026'!A:H,8,FALSE))</f>
        <v xml:space="preserve"> </v>
      </c>
    </row>
    <row r="770" spans="1:7" x14ac:dyDescent="0.3">
      <c r="A770" s="18"/>
      <c r="B770" s="23"/>
      <c r="C770" s="6" t="str">
        <f>IF(A770=""," ",VLOOKUP(A770,'01.01.2026 - 24.01.2026'!A:H,2,FALSE))</f>
        <v xml:space="preserve"> </v>
      </c>
      <c r="D770" s="30" t="str">
        <f>IF(A770=""," ",VLOOKUP(A770,'01.01.2026 - 24.01.2026'!A:H,5,FALSE))</f>
        <v xml:space="preserve"> </v>
      </c>
      <c r="E770" s="7" t="str">
        <f>IF(A770=""," ",B770*VLOOKUP(A770,'01.01.2026 - 24.01.2026'!A:H,6,FALSE))</f>
        <v xml:space="preserve"> </v>
      </c>
      <c r="F770" s="7" t="str">
        <f>IF(A770=""," ",B770*VLOOKUP(A770,'01.01.2026 - 24.01.2026'!A:H,7,FALSE))</f>
        <v xml:space="preserve"> </v>
      </c>
      <c r="G770" s="7" t="str">
        <f>IF(A770=""," ",B770*VLOOKUP(A770,'01.01.2026 - 24.01.2026'!A:H,8,FALSE))</f>
        <v xml:space="preserve"> </v>
      </c>
    </row>
    <row r="771" spans="1:7" x14ac:dyDescent="0.3">
      <c r="A771" s="18"/>
      <c r="B771" s="23"/>
      <c r="C771" s="6" t="str">
        <f>IF(A771=""," ",VLOOKUP(A771,'01.01.2026 - 24.01.2026'!A:H,2,FALSE))</f>
        <v xml:space="preserve"> </v>
      </c>
      <c r="D771" s="30" t="str">
        <f>IF(A771=""," ",VLOOKUP(A771,'01.01.2026 - 24.01.2026'!A:H,5,FALSE))</f>
        <v xml:space="preserve"> </v>
      </c>
      <c r="E771" s="7" t="str">
        <f>IF(A771=""," ",B771*VLOOKUP(A771,'01.01.2026 - 24.01.2026'!A:H,6,FALSE))</f>
        <v xml:space="preserve"> </v>
      </c>
      <c r="F771" s="7" t="str">
        <f>IF(A771=""," ",B771*VLOOKUP(A771,'01.01.2026 - 24.01.2026'!A:H,7,FALSE))</f>
        <v xml:space="preserve"> </v>
      </c>
      <c r="G771" s="7" t="str">
        <f>IF(A771=""," ",B771*VLOOKUP(A771,'01.01.2026 - 24.01.2026'!A:H,8,FALSE))</f>
        <v xml:space="preserve"> </v>
      </c>
    </row>
    <row r="772" spans="1:7" x14ac:dyDescent="0.3">
      <c r="A772" s="18"/>
      <c r="B772" s="23"/>
      <c r="C772" s="6" t="str">
        <f>IF(A772=""," ",VLOOKUP(A772,'01.01.2026 - 24.01.2026'!A:H,2,FALSE))</f>
        <v xml:space="preserve"> </v>
      </c>
      <c r="D772" s="30" t="str">
        <f>IF(A772=""," ",VLOOKUP(A772,'01.01.2026 - 24.01.2026'!A:H,5,FALSE))</f>
        <v xml:space="preserve"> </v>
      </c>
      <c r="E772" s="7" t="str">
        <f>IF(A772=""," ",B772*VLOOKUP(A772,'01.01.2026 - 24.01.2026'!A:H,6,FALSE))</f>
        <v xml:space="preserve"> </v>
      </c>
      <c r="F772" s="7" t="str">
        <f>IF(A772=""," ",B772*VLOOKUP(A772,'01.01.2026 - 24.01.2026'!A:H,7,FALSE))</f>
        <v xml:space="preserve"> </v>
      </c>
      <c r="G772" s="7" t="str">
        <f>IF(A772=""," ",B772*VLOOKUP(A772,'01.01.2026 - 24.01.2026'!A:H,8,FALSE))</f>
        <v xml:space="preserve"> </v>
      </c>
    </row>
    <row r="773" spans="1:7" x14ac:dyDescent="0.3">
      <c r="A773" s="18"/>
      <c r="B773" s="23"/>
      <c r="C773" s="6" t="str">
        <f>IF(A773=""," ",VLOOKUP(A773,'01.01.2026 - 24.01.2026'!A:H,2,FALSE))</f>
        <v xml:space="preserve"> </v>
      </c>
      <c r="D773" s="30" t="str">
        <f>IF(A773=""," ",VLOOKUP(A773,'01.01.2026 - 24.01.2026'!A:H,5,FALSE))</f>
        <v xml:space="preserve"> </v>
      </c>
      <c r="E773" s="7" t="str">
        <f>IF(A773=""," ",B773*VLOOKUP(A773,'01.01.2026 - 24.01.2026'!A:H,6,FALSE))</f>
        <v xml:space="preserve"> </v>
      </c>
      <c r="F773" s="7" t="str">
        <f>IF(A773=""," ",B773*VLOOKUP(A773,'01.01.2026 - 24.01.2026'!A:H,7,FALSE))</f>
        <v xml:space="preserve"> </v>
      </c>
      <c r="G773" s="7" t="str">
        <f>IF(A773=""," ",B773*VLOOKUP(A773,'01.01.2026 - 24.01.2026'!A:H,8,FALSE))</f>
        <v xml:space="preserve"> </v>
      </c>
    </row>
    <row r="774" spans="1:7" x14ac:dyDescent="0.3">
      <c r="A774" s="18"/>
      <c r="B774" s="23"/>
      <c r="C774" s="6" t="str">
        <f>IF(A774=""," ",VLOOKUP(A774,'01.01.2026 - 24.01.2026'!A:H,2,FALSE))</f>
        <v xml:space="preserve"> </v>
      </c>
      <c r="D774" s="30" t="str">
        <f>IF(A774=""," ",VLOOKUP(A774,'01.01.2026 - 24.01.2026'!A:H,5,FALSE))</f>
        <v xml:space="preserve"> </v>
      </c>
      <c r="E774" s="7" t="str">
        <f>IF(A774=""," ",B774*VLOOKUP(A774,'01.01.2026 - 24.01.2026'!A:H,6,FALSE))</f>
        <v xml:space="preserve"> </v>
      </c>
      <c r="F774" s="7" t="str">
        <f>IF(A774=""," ",B774*VLOOKUP(A774,'01.01.2026 - 24.01.2026'!A:H,7,FALSE))</f>
        <v xml:space="preserve"> </v>
      </c>
      <c r="G774" s="7" t="str">
        <f>IF(A774=""," ",B774*VLOOKUP(A774,'01.01.2026 - 24.01.2026'!A:H,8,FALSE))</f>
        <v xml:space="preserve"> </v>
      </c>
    </row>
    <row r="775" spans="1:7" x14ac:dyDescent="0.3">
      <c r="A775" s="18"/>
      <c r="B775" s="23"/>
      <c r="C775" s="6" t="str">
        <f>IF(A775=""," ",VLOOKUP(A775,'01.01.2026 - 24.01.2026'!A:H,2,FALSE))</f>
        <v xml:space="preserve"> </v>
      </c>
      <c r="D775" s="30" t="str">
        <f>IF(A775=""," ",VLOOKUP(A775,'01.01.2026 - 24.01.2026'!A:H,5,FALSE))</f>
        <v xml:space="preserve"> </v>
      </c>
      <c r="E775" s="7" t="str">
        <f>IF(A775=""," ",B775*VLOOKUP(A775,'01.01.2026 - 24.01.2026'!A:H,6,FALSE))</f>
        <v xml:space="preserve"> </v>
      </c>
      <c r="F775" s="7" t="str">
        <f>IF(A775=""," ",B775*VLOOKUP(A775,'01.01.2026 - 24.01.2026'!A:H,7,FALSE))</f>
        <v xml:space="preserve"> </v>
      </c>
      <c r="G775" s="7" t="str">
        <f>IF(A775=""," ",B775*VLOOKUP(A775,'01.01.2026 - 24.01.2026'!A:H,8,FALSE))</f>
        <v xml:space="preserve"> </v>
      </c>
    </row>
    <row r="776" spans="1:7" x14ac:dyDescent="0.3">
      <c r="A776" s="18"/>
      <c r="B776" s="23"/>
      <c r="C776" s="6" t="str">
        <f>IF(A776=""," ",VLOOKUP(A776,'01.01.2026 - 24.01.2026'!A:H,2,FALSE))</f>
        <v xml:space="preserve"> </v>
      </c>
      <c r="D776" s="30" t="str">
        <f>IF(A776=""," ",VLOOKUP(A776,'01.01.2026 - 24.01.2026'!A:H,5,FALSE))</f>
        <v xml:space="preserve"> </v>
      </c>
      <c r="E776" s="7" t="str">
        <f>IF(A776=""," ",B776*VLOOKUP(A776,'01.01.2026 - 24.01.2026'!A:H,6,FALSE))</f>
        <v xml:space="preserve"> </v>
      </c>
      <c r="F776" s="7" t="str">
        <f>IF(A776=""," ",B776*VLOOKUP(A776,'01.01.2026 - 24.01.2026'!A:H,7,FALSE))</f>
        <v xml:space="preserve"> </v>
      </c>
      <c r="G776" s="7" t="str">
        <f>IF(A776=""," ",B776*VLOOKUP(A776,'01.01.2026 - 24.01.2026'!A:H,8,FALSE))</f>
        <v xml:space="preserve"> </v>
      </c>
    </row>
    <row r="777" spans="1:7" x14ac:dyDescent="0.3">
      <c r="A777" s="18"/>
      <c r="B777" s="23"/>
      <c r="C777" s="6" t="str">
        <f>IF(A777=""," ",VLOOKUP(A777,'01.01.2026 - 24.01.2026'!A:H,2,FALSE))</f>
        <v xml:space="preserve"> </v>
      </c>
      <c r="D777" s="30" t="str">
        <f>IF(A777=""," ",VLOOKUP(A777,'01.01.2026 - 24.01.2026'!A:H,5,FALSE))</f>
        <v xml:space="preserve"> </v>
      </c>
      <c r="E777" s="7" t="str">
        <f>IF(A777=""," ",B777*VLOOKUP(A777,'01.01.2026 - 24.01.2026'!A:H,6,FALSE))</f>
        <v xml:space="preserve"> </v>
      </c>
      <c r="F777" s="7" t="str">
        <f>IF(A777=""," ",B777*VLOOKUP(A777,'01.01.2026 - 24.01.2026'!A:H,7,FALSE))</f>
        <v xml:space="preserve"> </v>
      </c>
      <c r="G777" s="7" t="str">
        <f>IF(A777=""," ",B777*VLOOKUP(A777,'01.01.2026 - 24.01.2026'!A:H,8,FALSE))</f>
        <v xml:space="preserve"> </v>
      </c>
    </row>
    <row r="778" spans="1:7" x14ac:dyDescent="0.3">
      <c r="A778" s="18"/>
      <c r="B778" s="23"/>
      <c r="C778" s="6" t="str">
        <f>IF(A778=""," ",VLOOKUP(A778,'01.01.2026 - 24.01.2026'!A:H,2,FALSE))</f>
        <v xml:space="preserve"> </v>
      </c>
      <c r="D778" s="30" t="str">
        <f>IF(A778=""," ",VLOOKUP(A778,'01.01.2026 - 24.01.2026'!A:H,5,FALSE))</f>
        <v xml:space="preserve"> </v>
      </c>
      <c r="E778" s="7" t="str">
        <f>IF(A778=""," ",B778*VLOOKUP(A778,'01.01.2026 - 24.01.2026'!A:H,6,FALSE))</f>
        <v xml:space="preserve"> </v>
      </c>
      <c r="F778" s="7" t="str">
        <f>IF(A778=""," ",B778*VLOOKUP(A778,'01.01.2026 - 24.01.2026'!A:H,7,FALSE))</f>
        <v xml:space="preserve"> </v>
      </c>
      <c r="G778" s="7" t="str">
        <f>IF(A778=""," ",B778*VLOOKUP(A778,'01.01.2026 - 24.01.2026'!A:H,8,FALSE))</f>
        <v xml:space="preserve"> </v>
      </c>
    </row>
    <row r="779" spans="1:7" x14ac:dyDescent="0.3">
      <c r="A779" s="18"/>
      <c r="B779" s="23"/>
      <c r="C779" s="6" t="str">
        <f>IF(A779=""," ",VLOOKUP(A779,'01.01.2026 - 24.01.2026'!A:H,2,FALSE))</f>
        <v xml:space="preserve"> </v>
      </c>
      <c r="D779" s="30" t="str">
        <f>IF(A779=""," ",VLOOKUP(A779,'01.01.2026 - 24.01.2026'!A:H,5,FALSE))</f>
        <v xml:space="preserve"> </v>
      </c>
      <c r="E779" s="7" t="str">
        <f>IF(A779=""," ",B779*VLOOKUP(A779,'01.01.2026 - 24.01.2026'!A:H,6,FALSE))</f>
        <v xml:space="preserve"> </v>
      </c>
      <c r="F779" s="7" t="str">
        <f>IF(A779=""," ",B779*VLOOKUP(A779,'01.01.2026 - 24.01.2026'!A:H,7,FALSE))</f>
        <v xml:space="preserve"> </v>
      </c>
      <c r="G779" s="7" t="str">
        <f>IF(A779=""," ",B779*VLOOKUP(A779,'01.01.2026 - 24.01.2026'!A:H,8,FALSE))</f>
        <v xml:space="preserve"> </v>
      </c>
    </row>
    <row r="780" spans="1:7" x14ac:dyDescent="0.3">
      <c r="A780" s="18"/>
      <c r="B780" s="23"/>
      <c r="C780" s="6" t="str">
        <f>IF(A780=""," ",VLOOKUP(A780,'01.01.2026 - 24.01.2026'!A:H,2,FALSE))</f>
        <v xml:space="preserve"> </v>
      </c>
      <c r="D780" s="30" t="str">
        <f>IF(A780=""," ",VLOOKUP(A780,'01.01.2026 - 24.01.2026'!A:H,5,FALSE))</f>
        <v xml:space="preserve"> </v>
      </c>
      <c r="E780" s="7" t="str">
        <f>IF(A780=""," ",B780*VLOOKUP(A780,'01.01.2026 - 24.01.2026'!A:H,6,FALSE))</f>
        <v xml:space="preserve"> </v>
      </c>
      <c r="F780" s="7" t="str">
        <f>IF(A780=""," ",B780*VLOOKUP(A780,'01.01.2026 - 24.01.2026'!A:H,7,FALSE))</f>
        <v xml:space="preserve"> </v>
      </c>
      <c r="G780" s="7" t="str">
        <f>IF(A780=""," ",B780*VLOOKUP(A780,'01.01.2026 - 24.01.2026'!A:H,8,FALSE))</f>
        <v xml:space="preserve"> </v>
      </c>
    </row>
    <row r="781" spans="1:7" x14ac:dyDescent="0.3">
      <c r="A781" s="18"/>
      <c r="B781" s="23"/>
      <c r="C781" s="6" t="str">
        <f>IF(A781=""," ",VLOOKUP(A781,'01.01.2026 - 24.01.2026'!A:H,2,FALSE))</f>
        <v xml:space="preserve"> </v>
      </c>
      <c r="D781" s="30" t="str">
        <f>IF(A781=""," ",VLOOKUP(A781,'01.01.2026 - 24.01.2026'!A:H,5,FALSE))</f>
        <v xml:space="preserve"> </v>
      </c>
      <c r="E781" s="7" t="str">
        <f>IF(A781=""," ",B781*VLOOKUP(A781,'01.01.2026 - 24.01.2026'!A:H,6,FALSE))</f>
        <v xml:space="preserve"> </v>
      </c>
      <c r="F781" s="7" t="str">
        <f>IF(A781=""," ",B781*VLOOKUP(A781,'01.01.2026 - 24.01.2026'!A:H,7,FALSE))</f>
        <v xml:space="preserve"> </v>
      </c>
      <c r="G781" s="7" t="str">
        <f>IF(A781=""," ",B781*VLOOKUP(A781,'01.01.2026 - 24.01.2026'!A:H,8,FALSE))</f>
        <v xml:space="preserve"> </v>
      </c>
    </row>
    <row r="782" spans="1:7" x14ac:dyDescent="0.3">
      <c r="A782" s="18"/>
      <c r="B782" s="23"/>
      <c r="C782" s="6" t="str">
        <f>IF(A782=""," ",VLOOKUP(A782,'01.01.2026 - 24.01.2026'!A:H,2,FALSE))</f>
        <v xml:space="preserve"> </v>
      </c>
      <c r="D782" s="30" t="str">
        <f>IF(A782=""," ",VLOOKUP(A782,'01.01.2026 - 24.01.2026'!A:H,5,FALSE))</f>
        <v xml:space="preserve"> </v>
      </c>
      <c r="E782" s="7" t="str">
        <f>IF(A782=""," ",B782*VLOOKUP(A782,'01.01.2026 - 24.01.2026'!A:H,6,FALSE))</f>
        <v xml:space="preserve"> </v>
      </c>
      <c r="F782" s="7" t="str">
        <f>IF(A782=""," ",B782*VLOOKUP(A782,'01.01.2026 - 24.01.2026'!A:H,7,FALSE))</f>
        <v xml:space="preserve"> </v>
      </c>
      <c r="G782" s="7" t="str">
        <f>IF(A782=""," ",B782*VLOOKUP(A782,'01.01.2026 - 24.01.2026'!A:H,8,FALSE))</f>
        <v xml:space="preserve"> </v>
      </c>
    </row>
    <row r="783" spans="1:7" x14ac:dyDescent="0.3">
      <c r="A783" s="18"/>
      <c r="B783" s="23"/>
      <c r="C783" s="6" t="str">
        <f>IF(A783=""," ",VLOOKUP(A783,'01.01.2026 - 24.01.2026'!A:H,2,FALSE))</f>
        <v xml:space="preserve"> </v>
      </c>
      <c r="D783" s="30" t="str">
        <f>IF(A783=""," ",VLOOKUP(A783,'01.01.2026 - 24.01.2026'!A:H,5,FALSE))</f>
        <v xml:space="preserve"> </v>
      </c>
      <c r="E783" s="7" t="str">
        <f>IF(A783=""," ",B783*VLOOKUP(A783,'01.01.2026 - 24.01.2026'!A:H,6,FALSE))</f>
        <v xml:space="preserve"> </v>
      </c>
      <c r="F783" s="7" t="str">
        <f>IF(A783=""," ",B783*VLOOKUP(A783,'01.01.2026 - 24.01.2026'!A:H,7,FALSE))</f>
        <v xml:space="preserve"> </v>
      </c>
      <c r="G783" s="7" t="str">
        <f>IF(A783=""," ",B783*VLOOKUP(A783,'01.01.2026 - 24.01.2026'!A:H,8,FALSE))</f>
        <v xml:space="preserve"> </v>
      </c>
    </row>
    <row r="784" spans="1:7" x14ac:dyDescent="0.3">
      <c r="A784" s="18"/>
      <c r="B784" s="23"/>
      <c r="C784" s="6" t="str">
        <f>IF(A784=""," ",VLOOKUP(A784,'01.01.2026 - 24.01.2026'!A:H,2,FALSE))</f>
        <v xml:space="preserve"> </v>
      </c>
      <c r="D784" s="30" t="str">
        <f>IF(A784=""," ",VLOOKUP(A784,'01.01.2026 - 24.01.2026'!A:H,5,FALSE))</f>
        <v xml:space="preserve"> </v>
      </c>
      <c r="E784" s="7" t="str">
        <f>IF(A784=""," ",B784*VLOOKUP(A784,'01.01.2026 - 24.01.2026'!A:H,6,FALSE))</f>
        <v xml:space="preserve"> </v>
      </c>
      <c r="F784" s="7" t="str">
        <f>IF(A784=""," ",B784*VLOOKUP(A784,'01.01.2026 - 24.01.2026'!A:H,7,FALSE))</f>
        <v xml:space="preserve"> </v>
      </c>
      <c r="G784" s="7" t="str">
        <f>IF(A784=""," ",B784*VLOOKUP(A784,'01.01.2026 - 24.01.2026'!A:H,8,FALSE))</f>
        <v xml:space="preserve"> </v>
      </c>
    </row>
    <row r="785" spans="1:7" x14ac:dyDescent="0.3">
      <c r="A785" s="18"/>
      <c r="B785" s="23"/>
      <c r="C785" s="6" t="str">
        <f>IF(A785=""," ",VLOOKUP(A785,'01.01.2026 - 24.01.2026'!A:H,2,FALSE))</f>
        <v xml:space="preserve"> </v>
      </c>
      <c r="D785" s="30" t="str">
        <f>IF(A785=""," ",VLOOKUP(A785,'01.01.2026 - 24.01.2026'!A:H,5,FALSE))</f>
        <v xml:space="preserve"> </v>
      </c>
      <c r="E785" s="7" t="str">
        <f>IF(A785=""," ",B785*VLOOKUP(A785,'01.01.2026 - 24.01.2026'!A:H,6,FALSE))</f>
        <v xml:space="preserve"> </v>
      </c>
      <c r="F785" s="7" t="str">
        <f>IF(A785=""," ",B785*VLOOKUP(A785,'01.01.2026 - 24.01.2026'!A:H,7,FALSE))</f>
        <v xml:space="preserve"> </v>
      </c>
      <c r="G785" s="7" t="str">
        <f>IF(A785=""," ",B785*VLOOKUP(A785,'01.01.2026 - 24.01.2026'!A:H,8,FALSE))</f>
        <v xml:space="preserve"> </v>
      </c>
    </row>
    <row r="786" spans="1:7" x14ac:dyDescent="0.3">
      <c r="A786" s="18"/>
      <c r="B786" s="23"/>
      <c r="C786" s="6" t="str">
        <f>IF(A786=""," ",VLOOKUP(A786,'01.01.2026 - 24.01.2026'!A:H,2,FALSE))</f>
        <v xml:space="preserve"> </v>
      </c>
      <c r="D786" s="30" t="str">
        <f>IF(A786=""," ",VLOOKUP(A786,'01.01.2026 - 24.01.2026'!A:H,5,FALSE))</f>
        <v xml:space="preserve"> </v>
      </c>
      <c r="E786" s="7" t="str">
        <f>IF(A786=""," ",B786*VLOOKUP(A786,'01.01.2026 - 24.01.2026'!A:H,6,FALSE))</f>
        <v xml:space="preserve"> </v>
      </c>
      <c r="F786" s="7" t="str">
        <f>IF(A786=""," ",B786*VLOOKUP(A786,'01.01.2026 - 24.01.2026'!A:H,7,FALSE))</f>
        <v xml:space="preserve"> </v>
      </c>
      <c r="G786" s="7" t="str">
        <f>IF(A786=""," ",B786*VLOOKUP(A786,'01.01.2026 - 24.01.2026'!A:H,8,FALSE))</f>
        <v xml:space="preserve"> </v>
      </c>
    </row>
    <row r="787" spans="1:7" x14ac:dyDescent="0.3">
      <c r="A787" s="18"/>
      <c r="B787" s="23"/>
      <c r="C787" s="6" t="str">
        <f>IF(A787=""," ",VLOOKUP(A787,'01.01.2026 - 24.01.2026'!A:H,2,FALSE))</f>
        <v xml:space="preserve"> </v>
      </c>
      <c r="D787" s="30" t="str">
        <f>IF(A787=""," ",VLOOKUP(A787,'01.01.2026 - 24.01.2026'!A:H,5,FALSE))</f>
        <v xml:space="preserve"> </v>
      </c>
      <c r="E787" s="7" t="str">
        <f>IF(A787=""," ",B787*VLOOKUP(A787,'01.01.2026 - 24.01.2026'!A:H,6,FALSE))</f>
        <v xml:space="preserve"> </v>
      </c>
      <c r="F787" s="7" t="str">
        <f>IF(A787=""," ",B787*VLOOKUP(A787,'01.01.2026 - 24.01.2026'!A:H,7,FALSE))</f>
        <v xml:space="preserve"> </v>
      </c>
      <c r="G787" s="7" t="str">
        <f>IF(A787=""," ",B787*VLOOKUP(A787,'01.01.2026 - 24.01.2026'!A:H,8,FALSE))</f>
        <v xml:space="preserve"> </v>
      </c>
    </row>
    <row r="788" spans="1:7" x14ac:dyDescent="0.3">
      <c r="A788" s="18"/>
      <c r="B788" s="23"/>
      <c r="C788" s="6" t="str">
        <f>IF(A788=""," ",VLOOKUP(A788,'01.01.2026 - 24.01.2026'!A:H,2,FALSE))</f>
        <v xml:space="preserve"> </v>
      </c>
      <c r="D788" s="30" t="str">
        <f>IF(A788=""," ",VLOOKUP(A788,'01.01.2026 - 24.01.2026'!A:H,5,FALSE))</f>
        <v xml:space="preserve"> </v>
      </c>
      <c r="E788" s="7" t="str">
        <f>IF(A788=""," ",B788*VLOOKUP(A788,'01.01.2026 - 24.01.2026'!A:H,6,FALSE))</f>
        <v xml:space="preserve"> </v>
      </c>
      <c r="F788" s="7" t="str">
        <f>IF(A788=""," ",B788*VLOOKUP(A788,'01.01.2026 - 24.01.2026'!A:H,7,FALSE))</f>
        <v xml:space="preserve"> </v>
      </c>
      <c r="G788" s="7" t="str">
        <f>IF(A788=""," ",B788*VLOOKUP(A788,'01.01.2026 - 24.01.2026'!A:H,8,FALSE))</f>
        <v xml:space="preserve"> </v>
      </c>
    </row>
    <row r="789" spans="1:7" x14ac:dyDescent="0.3">
      <c r="A789" s="18"/>
      <c r="B789" s="23"/>
      <c r="C789" s="6" t="str">
        <f>IF(A789=""," ",VLOOKUP(A789,'01.01.2026 - 24.01.2026'!A:H,2,FALSE))</f>
        <v xml:space="preserve"> </v>
      </c>
      <c r="D789" s="30" t="str">
        <f>IF(A789=""," ",VLOOKUP(A789,'01.01.2026 - 24.01.2026'!A:H,5,FALSE))</f>
        <v xml:space="preserve"> </v>
      </c>
      <c r="E789" s="7" t="str">
        <f>IF(A789=""," ",B789*VLOOKUP(A789,'01.01.2026 - 24.01.2026'!A:H,6,FALSE))</f>
        <v xml:space="preserve"> </v>
      </c>
      <c r="F789" s="7" t="str">
        <f>IF(A789=""," ",B789*VLOOKUP(A789,'01.01.2026 - 24.01.2026'!A:H,7,FALSE))</f>
        <v xml:space="preserve"> </v>
      </c>
      <c r="G789" s="7" t="str">
        <f>IF(A789=""," ",B789*VLOOKUP(A789,'01.01.2026 - 24.01.2026'!A:H,8,FALSE))</f>
        <v xml:space="preserve"> </v>
      </c>
    </row>
    <row r="790" spans="1:7" x14ac:dyDescent="0.3">
      <c r="A790" s="18"/>
      <c r="B790" s="23"/>
      <c r="C790" s="6" t="str">
        <f>IF(A790=""," ",VLOOKUP(A790,'01.01.2026 - 24.01.2026'!A:H,2,FALSE))</f>
        <v xml:space="preserve"> </v>
      </c>
      <c r="D790" s="30" t="str">
        <f>IF(A790=""," ",VLOOKUP(A790,'01.01.2026 - 24.01.2026'!A:H,5,FALSE))</f>
        <v xml:space="preserve"> </v>
      </c>
      <c r="E790" s="7" t="str">
        <f>IF(A790=""," ",B790*VLOOKUP(A790,'01.01.2026 - 24.01.2026'!A:H,6,FALSE))</f>
        <v xml:space="preserve"> </v>
      </c>
      <c r="F790" s="7" t="str">
        <f>IF(A790=""," ",B790*VLOOKUP(A790,'01.01.2026 - 24.01.2026'!A:H,7,FALSE))</f>
        <v xml:space="preserve"> </v>
      </c>
      <c r="G790" s="7" t="str">
        <f>IF(A790=""," ",B790*VLOOKUP(A790,'01.01.2026 - 24.01.2026'!A:H,8,FALSE))</f>
        <v xml:space="preserve"> </v>
      </c>
    </row>
    <row r="791" spans="1:7" x14ac:dyDescent="0.3">
      <c r="A791" s="18"/>
      <c r="B791" s="23"/>
      <c r="C791" s="6" t="str">
        <f>IF(A791=""," ",VLOOKUP(A791,'01.01.2026 - 24.01.2026'!A:H,2,FALSE))</f>
        <v xml:space="preserve"> </v>
      </c>
      <c r="D791" s="30" t="str">
        <f>IF(A791=""," ",VLOOKUP(A791,'01.01.2026 - 24.01.2026'!A:H,5,FALSE))</f>
        <v xml:space="preserve"> </v>
      </c>
      <c r="E791" s="7" t="str">
        <f>IF(A791=""," ",B791*VLOOKUP(A791,'01.01.2026 - 24.01.2026'!A:H,6,FALSE))</f>
        <v xml:space="preserve"> </v>
      </c>
      <c r="F791" s="7" t="str">
        <f>IF(A791=""," ",B791*VLOOKUP(A791,'01.01.2026 - 24.01.2026'!A:H,7,FALSE))</f>
        <v xml:space="preserve"> </v>
      </c>
      <c r="G791" s="7" t="str">
        <f>IF(A791=""," ",B791*VLOOKUP(A791,'01.01.2026 - 24.01.2026'!A:H,8,FALSE))</f>
        <v xml:space="preserve"> </v>
      </c>
    </row>
    <row r="792" spans="1:7" x14ac:dyDescent="0.3">
      <c r="A792" s="18"/>
      <c r="B792" s="23"/>
      <c r="C792" s="6" t="str">
        <f>IF(A792=""," ",VLOOKUP(A792,'01.01.2026 - 24.01.2026'!A:H,2,FALSE))</f>
        <v xml:space="preserve"> </v>
      </c>
      <c r="D792" s="30" t="str">
        <f>IF(A792=""," ",VLOOKUP(A792,'01.01.2026 - 24.01.2026'!A:H,5,FALSE))</f>
        <v xml:space="preserve"> </v>
      </c>
      <c r="E792" s="7" t="str">
        <f>IF(A792=""," ",B792*VLOOKUP(A792,'01.01.2026 - 24.01.2026'!A:H,6,FALSE))</f>
        <v xml:space="preserve"> </v>
      </c>
      <c r="F792" s="7" t="str">
        <f>IF(A792=""," ",B792*VLOOKUP(A792,'01.01.2026 - 24.01.2026'!A:H,7,FALSE))</f>
        <v xml:space="preserve"> </v>
      </c>
      <c r="G792" s="7" t="str">
        <f>IF(A792=""," ",B792*VLOOKUP(A792,'01.01.2026 - 24.01.2026'!A:H,8,FALSE))</f>
        <v xml:space="preserve"> </v>
      </c>
    </row>
    <row r="793" spans="1:7" x14ac:dyDescent="0.3">
      <c r="A793" s="18"/>
      <c r="B793" s="23"/>
      <c r="C793" s="6" t="str">
        <f>IF(A793=""," ",VLOOKUP(A793,'01.01.2026 - 24.01.2026'!A:H,2,FALSE))</f>
        <v xml:space="preserve"> </v>
      </c>
      <c r="D793" s="30" t="str">
        <f>IF(A793=""," ",VLOOKUP(A793,'01.01.2026 - 24.01.2026'!A:H,5,FALSE))</f>
        <v xml:space="preserve"> </v>
      </c>
      <c r="E793" s="7" t="str">
        <f>IF(A793=""," ",B793*VLOOKUP(A793,'01.01.2026 - 24.01.2026'!A:H,6,FALSE))</f>
        <v xml:space="preserve"> </v>
      </c>
      <c r="F793" s="7" t="str">
        <f>IF(A793=""," ",B793*VLOOKUP(A793,'01.01.2026 - 24.01.2026'!A:H,7,FALSE))</f>
        <v xml:space="preserve"> </v>
      </c>
      <c r="G793" s="7" t="str">
        <f>IF(A793=""," ",B793*VLOOKUP(A793,'01.01.2026 - 24.01.2026'!A:H,8,FALSE))</f>
        <v xml:space="preserve"> </v>
      </c>
    </row>
    <row r="794" spans="1:7" x14ac:dyDescent="0.3">
      <c r="A794" s="18"/>
      <c r="B794" s="23"/>
      <c r="C794" s="6" t="str">
        <f>IF(A794=""," ",VLOOKUP(A794,'01.01.2026 - 24.01.2026'!A:H,2,FALSE))</f>
        <v xml:space="preserve"> </v>
      </c>
      <c r="D794" s="30" t="str">
        <f>IF(A794=""," ",VLOOKUP(A794,'01.01.2026 - 24.01.2026'!A:H,5,FALSE))</f>
        <v xml:space="preserve"> </v>
      </c>
      <c r="E794" s="7" t="str">
        <f>IF(A794=""," ",B794*VLOOKUP(A794,'01.01.2026 - 24.01.2026'!A:H,6,FALSE))</f>
        <v xml:space="preserve"> </v>
      </c>
      <c r="F794" s="7" t="str">
        <f>IF(A794=""," ",B794*VLOOKUP(A794,'01.01.2026 - 24.01.2026'!A:H,7,FALSE))</f>
        <v xml:space="preserve"> </v>
      </c>
      <c r="G794" s="7" t="str">
        <f>IF(A794=""," ",B794*VLOOKUP(A794,'01.01.2026 - 24.01.2026'!A:H,8,FALSE))</f>
        <v xml:space="preserve"> </v>
      </c>
    </row>
    <row r="795" spans="1:7" x14ac:dyDescent="0.3">
      <c r="A795" s="18"/>
      <c r="B795" s="23"/>
      <c r="C795" s="6" t="str">
        <f>IF(A795=""," ",VLOOKUP(A795,'01.01.2026 - 24.01.2026'!A:H,2,FALSE))</f>
        <v xml:space="preserve"> </v>
      </c>
      <c r="D795" s="30" t="str">
        <f>IF(A795=""," ",VLOOKUP(A795,'01.01.2026 - 24.01.2026'!A:H,5,FALSE))</f>
        <v xml:space="preserve"> </v>
      </c>
      <c r="E795" s="7" t="str">
        <f>IF(A795=""," ",B795*VLOOKUP(A795,'01.01.2026 - 24.01.2026'!A:H,6,FALSE))</f>
        <v xml:space="preserve"> </v>
      </c>
      <c r="F795" s="7" t="str">
        <f>IF(A795=""," ",B795*VLOOKUP(A795,'01.01.2026 - 24.01.2026'!A:H,7,FALSE))</f>
        <v xml:space="preserve"> </v>
      </c>
      <c r="G795" s="7" t="str">
        <f>IF(A795=""," ",B795*VLOOKUP(A795,'01.01.2026 - 24.01.2026'!A:H,8,FALSE))</f>
        <v xml:space="preserve"> </v>
      </c>
    </row>
    <row r="796" spans="1:7" x14ac:dyDescent="0.3">
      <c r="A796" s="18"/>
      <c r="B796" s="23"/>
      <c r="C796" s="6" t="str">
        <f>IF(A796=""," ",VLOOKUP(A796,'01.01.2026 - 24.01.2026'!A:H,2,FALSE))</f>
        <v xml:space="preserve"> </v>
      </c>
      <c r="D796" s="30" t="str">
        <f>IF(A796=""," ",VLOOKUP(A796,'01.01.2026 - 24.01.2026'!A:H,5,FALSE))</f>
        <v xml:space="preserve"> </v>
      </c>
      <c r="E796" s="7" t="str">
        <f>IF(A796=""," ",B796*VLOOKUP(A796,'01.01.2026 - 24.01.2026'!A:H,6,FALSE))</f>
        <v xml:space="preserve"> </v>
      </c>
      <c r="F796" s="7" t="str">
        <f>IF(A796=""," ",B796*VLOOKUP(A796,'01.01.2026 - 24.01.2026'!A:H,7,FALSE))</f>
        <v xml:space="preserve"> </v>
      </c>
      <c r="G796" s="7" t="str">
        <f>IF(A796=""," ",B796*VLOOKUP(A796,'01.01.2026 - 24.01.2026'!A:H,8,FALSE))</f>
        <v xml:space="preserve"> </v>
      </c>
    </row>
    <row r="797" spans="1:7" x14ac:dyDescent="0.3">
      <c r="A797" s="18"/>
      <c r="B797" s="23"/>
      <c r="C797" s="6" t="str">
        <f>IF(A797=""," ",VLOOKUP(A797,'01.01.2026 - 24.01.2026'!A:H,2,FALSE))</f>
        <v xml:space="preserve"> </v>
      </c>
      <c r="D797" s="30" t="str">
        <f>IF(A797=""," ",VLOOKUP(A797,'01.01.2026 - 24.01.2026'!A:H,5,FALSE))</f>
        <v xml:space="preserve"> </v>
      </c>
      <c r="E797" s="7" t="str">
        <f>IF(A797=""," ",B797*VLOOKUP(A797,'01.01.2026 - 24.01.2026'!A:H,6,FALSE))</f>
        <v xml:space="preserve"> </v>
      </c>
      <c r="F797" s="7" t="str">
        <f>IF(A797=""," ",B797*VLOOKUP(A797,'01.01.2026 - 24.01.2026'!A:H,7,FALSE))</f>
        <v xml:space="preserve"> </v>
      </c>
      <c r="G797" s="7" t="str">
        <f>IF(A797=""," ",B797*VLOOKUP(A797,'01.01.2026 - 24.01.2026'!A:H,8,FALSE))</f>
        <v xml:space="preserve"> </v>
      </c>
    </row>
    <row r="798" spans="1:7" x14ac:dyDescent="0.3">
      <c r="A798" s="18"/>
      <c r="B798" s="23"/>
      <c r="C798" s="6" t="str">
        <f>IF(A798=""," ",VLOOKUP(A798,'01.01.2026 - 24.01.2026'!A:H,2,FALSE))</f>
        <v xml:space="preserve"> </v>
      </c>
      <c r="D798" s="30" t="str">
        <f>IF(A798=""," ",VLOOKUP(A798,'01.01.2026 - 24.01.2026'!A:H,5,FALSE))</f>
        <v xml:space="preserve"> </v>
      </c>
      <c r="E798" s="7" t="str">
        <f>IF(A798=""," ",B798*VLOOKUP(A798,'01.01.2026 - 24.01.2026'!A:H,6,FALSE))</f>
        <v xml:space="preserve"> </v>
      </c>
      <c r="F798" s="7" t="str">
        <f>IF(A798=""," ",B798*VLOOKUP(A798,'01.01.2026 - 24.01.2026'!A:H,7,FALSE))</f>
        <v xml:space="preserve"> </v>
      </c>
      <c r="G798" s="7" t="str">
        <f>IF(A798=""," ",B798*VLOOKUP(A798,'01.01.2026 - 24.01.2026'!A:H,8,FALSE))</f>
        <v xml:space="preserve"> </v>
      </c>
    </row>
    <row r="799" spans="1:7" x14ac:dyDescent="0.3">
      <c r="A799" s="18"/>
      <c r="B799" s="23"/>
      <c r="C799" s="6" t="str">
        <f>IF(A799=""," ",VLOOKUP(A799,'01.01.2026 - 24.01.2026'!A:H,2,FALSE))</f>
        <v xml:space="preserve"> </v>
      </c>
      <c r="D799" s="30" t="str">
        <f>IF(A799=""," ",VLOOKUP(A799,'01.01.2026 - 24.01.2026'!A:H,5,FALSE))</f>
        <v xml:space="preserve"> </v>
      </c>
      <c r="E799" s="7" t="str">
        <f>IF(A799=""," ",B799*VLOOKUP(A799,'01.01.2026 - 24.01.2026'!A:H,6,FALSE))</f>
        <v xml:space="preserve"> </v>
      </c>
      <c r="F799" s="7" t="str">
        <f>IF(A799=""," ",B799*VLOOKUP(A799,'01.01.2026 - 24.01.2026'!A:H,7,FALSE))</f>
        <v xml:space="preserve"> </v>
      </c>
      <c r="G799" s="7" t="str">
        <f>IF(A799=""," ",B799*VLOOKUP(A799,'01.01.2026 - 24.01.2026'!A:H,8,FALSE))</f>
        <v xml:space="preserve"> </v>
      </c>
    </row>
    <row r="800" spans="1:7" x14ac:dyDescent="0.3">
      <c r="A800" s="18"/>
      <c r="B800" s="23"/>
      <c r="C800" s="6" t="str">
        <f>IF(A800=""," ",VLOOKUP(A800,'01.01.2026 - 24.01.2026'!A:H,2,FALSE))</f>
        <v xml:space="preserve"> </v>
      </c>
      <c r="D800" s="30" t="str">
        <f>IF(A800=""," ",VLOOKUP(A800,'01.01.2026 - 24.01.2026'!A:H,5,FALSE))</f>
        <v xml:space="preserve"> </v>
      </c>
      <c r="E800" s="7" t="str">
        <f>IF(A800=""," ",B800*VLOOKUP(A800,'01.01.2026 - 24.01.2026'!A:H,6,FALSE))</f>
        <v xml:space="preserve"> </v>
      </c>
      <c r="F800" s="7" t="str">
        <f>IF(A800=""," ",B800*VLOOKUP(A800,'01.01.2026 - 24.01.2026'!A:H,7,FALSE))</f>
        <v xml:space="preserve"> </v>
      </c>
      <c r="G800" s="7" t="str">
        <f>IF(A800=""," ",B800*VLOOKUP(A800,'01.01.2026 - 24.01.2026'!A:H,8,FALSE))</f>
        <v xml:space="preserve"> </v>
      </c>
    </row>
    <row r="801" spans="1:7" x14ac:dyDescent="0.3">
      <c r="A801" s="18"/>
      <c r="B801" s="23"/>
      <c r="C801" s="6" t="str">
        <f>IF(A801=""," ",VLOOKUP(A801,'01.01.2026 - 24.01.2026'!A:H,2,FALSE))</f>
        <v xml:space="preserve"> </v>
      </c>
      <c r="D801" s="30" t="str">
        <f>IF(A801=""," ",VLOOKUP(A801,'01.01.2026 - 24.01.2026'!A:H,5,FALSE))</f>
        <v xml:space="preserve"> </v>
      </c>
      <c r="E801" s="7" t="str">
        <f>IF(A801=""," ",B801*VLOOKUP(A801,'01.01.2026 - 24.01.2026'!A:H,6,FALSE))</f>
        <v xml:space="preserve"> </v>
      </c>
      <c r="F801" s="7" t="str">
        <f>IF(A801=""," ",B801*VLOOKUP(A801,'01.01.2026 - 24.01.2026'!A:H,7,FALSE))</f>
        <v xml:space="preserve"> </v>
      </c>
      <c r="G801" s="7" t="str">
        <f>IF(A801=""," ",B801*VLOOKUP(A801,'01.01.2026 - 24.01.2026'!A:H,8,FALSE))</f>
        <v xml:space="preserve"> </v>
      </c>
    </row>
    <row r="802" spans="1:7" x14ac:dyDescent="0.3">
      <c r="A802" s="18"/>
      <c r="B802" s="23"/>
      <c r="C802" s="6" t="str">
        <f>IF(A802=""," ",VLOOKUP(A802,'01.01.2026 - 24.01.2026'!A:H,2,FALSE))</f>
        <v xml:space="preserve"> </v>
      </c>
      <c r="D802" s="30" t="str">
        <f>IF(A802=""," ",VLOOKUP(A802,'01.01.2026 - 24.01.2026'!A:H,5,FALSE))</f>
        <v xml:space="preserve"> </v>
      </c>
      <c r="E802" s="7" t="str">
        <f>IF(A802=""," ",B802*VLOOKUP(A802,'01.01.2026 - 24.01.2026'!A:H,6,FALSE))</f>
        <v xml:space="preserve"> </v>
      </c>
      <c r="F802" s="7" t="str">
        <f>IF(A802=""," ",B802*VLOOKUP(A802,'01.01.2026 - 24.01.2026'!A:H,7,FALSE))</f>
        <v xml:space="preserve"> </v>
      </c>
      <c r="G802" s="7" t="str">
        <f>IF(A802=""," ",B802*VLOOKUP(A802,'01.01.2026 - 24.01.2026'!A:H,8,FALSE))</f>
        <v xml:space="preserve"> </v>
      </c>
    </row>
    <row r="803" spans="1:7" x14ac:dyDescent="0.3">
      <c r="A803" s="18"/>
      <c r="B803" s="23"/>
      <c r="C803" s="6" t="str">
        <f>IF(A803=""," ",VLOOKUP(A803,'01.01.2026 - 24.01.2026'!A:H,2,FALSE))</f>
        <v xml:space="preserve"> </v>
      </c>
      <c r="D803" s="30" t="str">
        <f>IF(A803=""," ",VLOOKUP(A803,'01.01.2026 - 24.01.2026'!A:H,5,FALSE))</f>
        <v xml:space="preserve"> </v>
      </c>
      <c r="E803" s="7" t="str">
        <f>IF(A803=""," ",B803*VLOOKUP(A803,'01.01.2026 - 24.01.2026'!A:H,6,FALSE))</f>
        <v xml:space="preserve"> </v>
      </c>
      <c r="F803" s="7" t="str">
        <f>IF(A803=""," ",B803*VLOOKUP(A803,'01.01.2026 - 24.01.2026'!A:H,7,FALSE))</f>
        <v xml:space="preserve"> </v>
      </c>
      <c r="G803" s="7" t="str">
        <f>IF(A803=""," ",B803*VLOOKUP(A803,'01.01.2026 - 24.01.2026'!A:H,8,FALSE))</f>
        <v xml:space="preserve"> </v>
      </c>
    </row>
    <row r="804" spans="1:7" x14ac:dyDescent="0.3">
      <c r="A804" s="18"/>
      <c r="B804" s="23"/>
      <c r="C804" s="6" t="str">
        <f>IF(A804=""," ",VLOOKUP(A804,'01.01.2026 - 24.01.2026'!A:H,2,FALSE))</f>
        <v xml:space="preserve"> </v>
      </c>
      <c r="D804" s="30" t="str">
        <f>IF(A804=""," ",VLOOKUP(A804,'01.01.2026 - 24.01.2026'!A:H,5,FALSE))</f>
        <v xml:space="preserve"> </v>
      </c>
      <c r="E804" s="7" t="str">
        <f>IF(A804=""," ",B804*VLOOKUP(A804,'01.01.2026 - 24.01.2026'!A:H,6,FALSE))</f>
        <v xml:space="preserve"> </v>
      </c>
      <c r="F804" s="7" t="str">
        <f>IF(A804=""," ",B804*VLOOKUP(A804,'01.01.2026 - 24.01.2026'!A:H,7,FALSE))</f>
        <v xml:space="preserve"> </v>
      </c>
      <c r="G804" s="7" t="str">
        <f>IF(A804=""," ",B804*VLOOKUP(A804,'01.01.2026 - 24.01.2026'!A:H,8,FALSE))</f>
        <v xml:space="preserve"> </v>
      </c>
    </row>
    <row r="805" spans="1:7" x14ac:dyDescent="0.3">
      <c r="A805" s="18"/>
      <c r="B805" s="23"/>
      <c r="C805" s="6" t="str">
        <f>IF(A805=""," ",VLOOKUP(A805,'01.01.2026 - 24.01.2026'!A:H,2,FALSE))</f>
        <v xml:space="preserve"> </v>
      </c>
      <c r="D805" s="30" t="str">
        <f>IF(A805=""," ",VLOOKUP(A805,'01.01.2026 - 24.01.2026'!A:H,5,FALSE))</f>
        <v xml:space="preserve"> </v>
      </c>
      <c r="E805" s="7" t="str">
        <f>IF(A805=""," ",B805*VLOOKUP(A805,'01.01.2026 - 24.01.2026'!A:H,6,FALSE))</f>
        <v xml:space="preserve"> </v>
      </c>
      <c r="F805" s="7" t="str">
        <f>IF(A805=""," ",B805*VLOOKUP(A805,'01.01.2026 - 24.01.2026'!A:H,7,FALSE))</f>
        <v xml:space="preserve"> </v>
      </c>
      <c r="G805" s="7" t="str">
        <f>IF(A805=""," ",B805*VLOOKUP(A805,'01.01.2026 - 24.01.2026'!A:H,8,FALSE))</f>
        <v xml:space="preserve"> </v>
      </c>
    </row>
    <row r="806" spans="1:7" x14ac:dyDescent="0.3">
      <c r="A806" s="18"/>
      <c r="B806" s="23"/>
      <c r="C806" s="6" t="str">
        <f>IF(A806=""," ",VLOOKUP(A806,'01.01.2026 - 24.01.2026'!A:H,2,FALSE))</f>
        <v xml:space="preserve"> </v>
      </c>
      <c r="D806" s="30" t="str">
        <f>IF(A806=""," ",VLOOKUP(A806,'01.01.2026 - 24.01.2026'!A:H,5,FALSE))</f>
        <v xml:space="preserve"> </v>
      </c>
      <c r="E806" s="7" t="str">
        <f>IF(A806=""," ",B806*VLOOKUP(A806,'01.01.2026 - 24.01.2026'!A:H,6,FALSE))</f>
        <v xml:space="preserve"> </v>
      </c>
      <c r="F806" s="7" t="str">
        <f>IF(A806=""," ",B806*VLOOKUP(A806,'01.01.2026 - 24.01.2026'!A:H,7,FALSE))</f>
        <v xml:space="preserve"> </v>
      </c>
      <c r="G806" s="7" t="str">
        <f>IF(A806=""," ",B806*VLOOKUP(A806,'01.01.2026 - 24.01.2026'!A:H,8,FALSE))</f>
        <v xml:space="preserve"> </v>
      </c>
    </row>
    <row r="807" spans="1:7" x14ac:dyDescent="0.3">
      <c r="A807" s="18"/>
      <c r="B807" s="23"/>
      <c r="C807" s="6" t="str">
        <f>IF(A807=""," ",VLOOKUP(A807,'01.01.2026 - 24.01.2026'!A:H,2,FALSE))</f>
        <v xml:space="preserve"> </v>
      </c>
      <c r="D807" s="30" t="str">
        <f>IF(A807=""," ",VLOOKUP(A807,'01.01.2026 - 24.01.2026'!A:H,5,FALSE))</f>
        <v xml:space="preserve"> </v>
      </c>
      <c r="E807" s="7" t="str">
        <f>IF(A807=""," ",B807*VLOOKUP(A807,'01.01.2026 - 24.01.2026'!A:H,6,FALSE))</f>
        <v xml:space="preserve"> </v>
      </c>
      <c r="F807" s="7" t="str">
        <f>IF(A807=""," ",B807*VLOOKUP(A807,'01.01.2026 - 24.01.2026'!A:H,7,FALSE))</f>
        <v xml:space="preserve"> </v>
      </c>
      <c r="G807" s="7" t="str">
        <f>IF(A807=""," ",B807*VLOOKUP(A807,'01.01.2026 - 24.01.2026'!A:H,8,FALSE))</f>
        <v xml:space="preserve"> </v>
      </c>
    </row>
    <row r="808" spans="1:7" x14ac:dyDescent="0.3">
      <c r="A808" s="18"/>
      <c r="B808" s="23"/>
      <c r="C808" s="6" t="str">
        <f>IF(A808=""," ",VLOOKUP(A808,'01.01.2026 - 24.01.2026'!A:H,2,FALSE))</f>
        <v xml:space="preserve"> </v>
      </c>
      <c r="D808" s="30" t="str">
        <f>IF(A808=""," ",VLOOKUP(A808,'01.01.2026 - 24.01.2026'!A:H,5,FALSE))</f>
        <v xml:space="preserve"> </v>
      </c>
      <c r="E808" s="7" t="str">
        <f>IF(A808=""," ",B808*VLOOKUP(A808,'01.01.2026 - 24.01.2026'!A:H,6,FALSE))</f>
        <v xml:space="preserve"> </v>
      </c>
      <c r="F808" s="7" t="str">
        <f>IF(A808=""," ",B808*VLOOKUP(A808,'01.01.2026 - 24.01.2026'!A:H,7,FALSE))</f>
        <v xml:space="preserve"> </v>
      </c>
      <c r="G808" s="7" t="str">
        <f>IF(A808=""," ",B808*VLOOKUP(A808,'01.01.2026 - 24.01.2026'!A:H,8,FALSE))</f>
        <v xml:space="preserve"> </v>
      </c>
    </row>
    <row r="809" spans="1:7" x14ac:dyDescent="0.3">
      <c r="A809" s="18"/>
      <c r="B809" s="23"/>
      <c r="C809" s="6" t="str">
        <f>IF(A809=""," ",VLOOKUP(A809,'01.01.2026 - 24.01.2026'!A:H,2,FALSE))</f>
        <v xml:space="preserve"> </v>
      </c>
      <c r="D809" s="30" t="str">
        <f>IF(A809=""," ",VLOOKUP(A809,'01.01.2026 - 24.01.2026'!A:H,5,FALSE))</f>
        <v xml:space="preserve"> </v>
      </c>
      <c r="E809" s="7" t="str">
        <f>IF(A809=""," ",B809*VLOOKUP(A809,'01.01.2026 - 24.01.2026'!A:H,6,FALSE))</f>
        <v xml:space="preserve"> </v>
      </c>
      <c r="F809" s="7" t="str">
        <f>IF(A809=""," ",B809*VLOOKUP(A809,'01.01.2026 - 24.01.2026'!A:H,7,FALSE))</f>
        <v xml:space="preserve"> </v>
      </c>
      <c r="G809" s="7" t="str">
        <f>IF(A809=""," ",B809*VLOOKUP(A809,'01.01.2026 - 24.01.2026'!A:H,8,FALSE))</f>
        <v xml:space="preserve"> </v>
      </c>
    </row>
    <row r="810" spans="1:7" x14ac:dyDescent="0.3">
      <c r="A810" s="18"/>
      <c r="B810" s="23"/>
      <c r="C810" s="6" t="str">
        <f>IF(A810=""," ",VLOOKUP(A810,'01.01.2026 - 24.01.2026'!A:H,2,FALSE))</f>
        <v xml:space="preserve"> </v>
      </c>
      <c r="D810" s="30" t="str">
        <f>IF(A810=""," ",VLOOKUP(A810,'01.01.2026 - 24.01.2026'!A:H,5,FALSE))</f>
        <v xml:space="preserve"> </v>
      </c>
      <c r="E810" s="7" t="str">
        <f>IF(A810=""," ",B810*VLOOKUP(A810,'01.01.2026 - 24.01.2026'!A:H,6,FALSE))</f>
        <v xml:space="preserve"> </v>
      </c>
      <c r="F810" s="7" t="str">
        <f>IF(A810=""," ",B810*VLOOKUP(A810,'01.01.2026 - 24.01.2026'!A:H,7,FALSE))</f>
        <v xml:space="preserve"> </v>
      </c>
      <c r="G810" s="7" t="str">
        <f>IF(A810=""," ",B810*VLOOKUP(A810,'01.01.2026 - 24.01.2026'!A:H,8,FALSE))</f>
        <v xml:space="preserve"> </v>
      </c>
    </row>
    <row r="811" spans="1:7" x14ac:dyDescent="0.3">
      <c r="A811" s="18"/>
      <c r="B811" s="23"/>
      <c r="C811" s="6" t="str">
        <f>IF(A811=""," ",VLOOKUP(A811,'01.01.2026 - 24.01.2026'!A:H,2,FALSE))</f>
        <v xml:space="preserve"> </v>
      </c>
      <c r="D811" s="30" t="str">
        <f>IF(A811=""," ",VLOOKUP(A811,'01.01.2026 - 24.01.2026'!A:H,5,FALSE))</f>
        <v xml:space="preserve"> </v>
      </c>
      <c r="E811" s="7" t="str">
        <f>IF(A811=""," ",B811*VLOOKUP(A811,'01.01.2026 - 24.01.2026'!A:H,6,FALSE))</f>
        <v xml:space="preserve"> </v>
      </c>
      <c r="F811" s="7" t="str">
        <f>IF(A811=""," ",B811*VLOOKUP(A811,'01.01.2026 - 24.01.2026'!A:H,7,FALSE))</f>
        <v xml:space="preserve"> </v>
      </c>
      <c r="G811" s="7" t="str">
        <f>IF(A811=""," ",B811*VLOOKUP(A811,'01.01.2026 - 24.01.2026'!A:H,8,FALSE))</f>
        <v xml:space="preserve"> </v>
      </c>
    </row>
    <row r="812" spans="1:7" x14ac:dyDescent="0.3">
      <c r="A812" s="18"/>
      <c r="B812" s="23"/>
      <c r="C812" s="6" t="str">
        <f>IF(A812=""," ",VLOOKUP(A812,'01.01.2026 - 24.01.2026'!A:H,2,FALSE))</f>
        <v xml:space="preserve"> </v>
      </c>
      <c r="D812" s="30" t="str">
        <f>IF(A812=""," ",VLOOKUP(A812,'01.01.2026 - 24.01.2026'!A:H,5,FALSE))</f>
        <v xml:space="preserve"> </v>
      </c>
      <c r="E812" s="7" t="str">
        <f>IF(A812=""," ",B812*VLOOKUP(A812,'01.01.2026 - 24.01.2026'!A:H,6,FALSE))</f>
        <v xml:space="preserve"> </v>
      </c>
      <c r="F812" s="7" t="str">
        <f>IF(A812=""," ",B812*VLOOKUP(A812,'01.01.2026 - 24.01.2026'!A:H,7,FALSE))</f>
        <v xml:space="preserve"> </v>
      </c>
      <c r="G812" s="7" t="str">
        <f>IF(A812=""," ",B812*VLOOKUP(A812,'01.01.2026 - 24.01.2026'!A:H,8,FALSE))</f>
        <v xml:space="preserve"> </v>
      </c>
    </row>
    <row r="813" spans="1:7" x14ac:dyDescent="0.3">
      <c r="A813" s="18"/>
      <c r="B813" s="23"/>
      <c r="C813" s="6" t="str">
        <f>IF(A813=""," ",VLOOKUP(A813,'01.01.2026 - 24.01.2026'!A:H,2,FALSE))</f>
        <v xml:space="preserve"> </v>
      </c>
      <c r="D813" s="30" t="str">
        <f>IF(A813=""," ",VLOOKUP(A813,'01.01.2026 - 24.01.2026'!A:H,5,FALSE))</f>
        <v xml:space="preserve"> </v>
      </c>
      <c r="E813" s="7" t="str">
        <f>IF(A813=""," ",B813*VLOOKUP(A813,'01.01.2026 - 24.01.2026'!A:H,6,FALSE))</f>
        <v xml:space="preserve"> </v>
      </c>
      <c r="F813" s="7" t="str">
        <f>IF(A813=""," ",B813*VLOOKUP(A813,'01.01.2026 - 24.01.2026'!A:H,7,FALSE))</f>
        <v xml:space="preserve"> </v>
      </c>
      <c r="G813" s="7" t="str">
        <f>IF(A813=""," ",B813*VLOOKUP(A813,'01.01.2026 - 24.01.2026'!A:H,8,FALSE))</f>
        <v xml:space="preserve"> </v>
      </c>
    </row>
    <row r="814" spans="1:7" x14ac:dyDescent="0.3">
      <c r="A814" s="18"/>
      <c r="B814" s="23"/>
      <c r="C814" s="6" t="str">
        <f>IF(A814=""," ",VLOOKUP(A814,'01.01.2026 - 24.01.2026'!A:H,2,FALSE))</f>
        <v xml:space="preserve"> </v>
      </c>
      <c r="D814" s="30" t="str">
        <f>IF(A814=""," ",VLOOKUP(A814,'01.01.2026 - 24.01.2026'!A:H,5,FALSE))</f>
        <v xml:space="preserve"> </v>
      </c>
      <c r="E814" s="7" t="str">
        <f>IF(A814=""," ",B814*VLOOKUP(A814,'01.01.2026 - 24.01.2026'!A:H,6,FALSE))</f>
        <v xml:space="preserve"> </v>
      </c>
      <c r="F814" s="7" t="str">
        <f>IF(A814=""," ",B814*VLOOKUP(A814,'01.01.2026 - 24.01.2026'!A:H,7,FALSE))</f>
        <v xml:space="preserve"> </v>
      </c>
      <c r="G814" s="7" t="str">
        <f>IF(A814=""," ",B814*VLOOKUP(A814,'01.01.2026 - 24.01.2026'!A:H,8,FALSE))</f>
        <v xml:space="preserve"> </v>
      </c>
    </row>
    <row r="815" spans="1:7" x14ac:dyDescent="0.3">
      <c r="A815" s="18"/>
      <c r="B815" s="23"/>
      <c r="C815" s="6" t="str">
        <f>IF(A815=""," ",VLOOKUP(A815,'01.01.2026 - 24.01.2026'!A:H,2,FALSE))</f>
        <v xml:space="preserve"> </v>
      </c>
      <c r="D815" s="30" t="str">
        <f>IF(A815=""," ",VLOOKUP(A815,'01.01.2026 - 24.01.2026'!A:H,5,FALSE))</f>
        <v xml:space="preserve"> </v>
      </c>
      <c r="E815" s="7" t="str">
        <f>IF(A815=""," ",B815*VLOOKUP(A815,'01.01.2026 - 24.01.2026'!A:H,6,FALSE))</f>
        <v xml:space="preserve"> </v>
      </c>
      <c r="F815" s="7" t="str">
        <f>IF(A815=""," ",B815*VLOOKUP(A815,'01.01.2026 - 24.01.2026'!A:H,7,FALSE))</f>
        <v xml:space="preserve"> </v>
      </c>
      <c r="G815" s="7" t="str">
        <f>IF(A815=""," ",B815*VLOOKUP(A815,'01.01.2026 - 24.01.2026'!A:H,8,FALSE))</f>
        <v xml:space="preserve"> </v>
      </c>
    </row>
    <row r="816" spans="1:7" x14ac:dyDescent="0.3">
      <c r="A816" s="18"/>
      <c r="B816" s="23"/>
      <c r="C816" s="6" t="str">
        <f>IF(A816=""," ",VLOOKUP(A816,'01.01.2026 - 24.01.2026'!A:H,2,FALSE))</f>
        <v xml:space="preserve"> </v>
      </c>
      <c r="D816" s="30" t="str">
        <f>IF(A816=""," ",VLOOKUP(A816,'01.01.2026 - 24.01.2026'!A:H,5,FALSE))</f>
        <v xml:space="preserve"> </v>
      </c>
      <c r="E816" s="7" t="str">
        <f>IF(A816=""," ",B816*VLOOKUP(A816,'01.01.2026 - 24.01.2026'!A:H,6,FALSE))</f>
        <v xml:space="preserve"> </v>
      </c>
      <c r="F816" s="7" t="str">
        <f>IF(A816=""," ",B816*VLOOKUP(A816,'01.01.2026 - 24.01.2026'!A:H,7,FALSE))</f>
        <v xml:space="preserve"> </v>
      </c>
      <c r="G816" s="7" t="str">
        <f>IF(A816=""," ",B816*VLOOKUP(A816,'01.01.2026 - 24.01.2026'!A:H,8,FALSE))</f>
        <v xml:space="preserve"> </v>
      </c>
    </row>
    <row r="817" spans="1:7" x14ac:dyDescent="0.3">
      <c r="A817" s="18"/>
      <c r="B817" s="23"/>
      <c r="C817" s="6" t="str">
        <f>IF(A817=""," ",VLOOKUP(A817,'01.01.2026 - 24.01.2026'!A:H,2,FALSE))</f>
        <v xml:space="preserve"> </v>
      </c>
      <c r="D817" s="30" t="str">
        <f>IF(A817=""," ",VLOOKUP(A817,'01.01.2026 - 24.01.2026'!A:H,5,FALSE))</f>
        <v xml:space="preserve"> </v>
      </c>
      <c r="E817" s="7" t="str">
        <f>IF(A817=""," ",B817*VLOOKUP(A817,'01.01.2026 - 24.01.2026'!A:H,6,FALSE))</f>
        <v xml:space="preserve"> </v>
      </c>
      <c r="F817" s="7" t="str">
        <f>IF(A817=""," ",B817*VLOOKUP(A817,'01.01.2026 - 24.01.2026'!A:H,7,FALSE))</f>
        <v xml:space="preserve"> </v>
      </c>
      <c r="G817" s="7" t="str">
        <f>IF(A817=""," ",B817*VLOOKUP(A817,'01.01.2026 - 24.01.2026'!A:H,8,FALSE))</f>
        <v xml:space="preserve"> </v>
      </c>
    </row>
    <row r="818" spans="1:7" x14ac:dyDescent="0.3">
      <c r="A818" s="18"/>
      <c r="B818" s="23"/>
      <c r="C818" s="6" t="str">
        <f>IF(A818=""," ",VLOOKUP(A818,'01.01.2026 - 24.01.2026'!A:H,2,FALSE))</f>
        <v xml:space="preserve"> </v>
      </c>
      <c r="D818" s="30" t="str">
        <f>IF(A818=""," ",VLOOKUP(A818,'01.01.2026 - 24.01.2026'!A:H,5,FALSE))</f>
        <v xml:space="preserve"> </v>
      </c>
      <c r="E818" s="7" t="str">
        <f>IF(A818=""," ",B818*VLOOKUP(A818,'01.01.2026 - 24.01.2026'!A:H,6,FALSE))</f>
        <v xml:space="preserve"> </v>
      </c>
      <c r="F818" s="7" t="str">
        <f>IF(A818=""," ",B818*VLOOKUP(A818,'01.01.2026 - 24.01.2026'!A:H,7,FALSE))</f>
        <v xml:space="preserve"> </v>
      </c>
      <c r="G818" s="7" t="str">
        <f>IF(A818=""," ",B818*VLOOKUP(A818,'01.01.2026 - 24.01.2026'!A:H,8,FALSE))</f>
        <v xml:space="preserve"> </v>
      </c>
    </row>
    <row r="819" spans="1:7" x14ac:dyDescent="0.3">
      <c r="A819" s="18"/>
      <c r="B819" s="23"/>
      <c r="C819" s="6" t="str">
        <f>IF(A819=""," ",VLOOKUP(A819,'01.01.2026 - 24.01.2026'!A:H,2,FALSE))</f>
        <v xml:space="preserve"> </v>
      </c>
      <c r="D819" s="30" t="str">
        <f>IF(A819=""," ",VLOOKUP(A819,'01.01.2026 - 24.01.2026'!A:H,5,FALSE))</f>
        <v xml:space="preserve"> </v>
      </c>
      <c r="E819" s="7" t="str">
        <f>IF(A819=""," ",B819*VLOOKUP(A819,'01.01.2026 - 24.01.2026'!A:H,6,FALSE))</f>
        <v xml:space="preserve"> </v>
      </c>
      <c r="F819" s="7" t="str">
        <f>IF(A819=""," ",B819*VLOOKUP(A819,'01.01.2026 - 24.01.2026'!A:H,7,FALSE))</f>
        <v xml:space="preserve"> </v>
      </c>
      <c r="G819" s="7" t="str">
        <f>IF(A819=""," ",B819*VLOOKUP(A819,'01.01.2026 - 24.01.2026'!A:H,8,FALSE))</f>
        <v xml:space="preserve"> </v>
      </c>
    </row>
    <row r="820" spans="1:7" x14ac:dyDescent="0.3">
      <c r="A820" s="18"/>
      <c r="B820" s="23"/>
      <c r="C820" s="6" t="str">
        <f>IF(A820=""," ",VLOOKUP(A820,'01.01.2026 - 24.01.2026'!A:H,2,FALSE))</f>
        <v xml:space="preserve"> </v>
      </c>
      <c r="D820" s="30" t="str">
        <f>IF(A820=""," ",VLOOKUP(A820,'01.01.2026 - 24.01.2026'!A:H,5,FALSE))</f>
        <v xml:space="preserve"> </v>
      </c>
      <c r="E820" s="7" t="str">
        <f>IF(A820=""," ",B820*VLOOKUP(A820,'01.01.2026 - 24.01.2026'!A:H,6,FALSE))</f>
        <v xml:space="preserve"> </v>
      </c>
      <c r="F820" s="7" t="str">
        <f>IF(A820=""," ",B820*VLOOKUP(A820,'01.01.2026 - 24.01.2026'!A:H,7,FALSE))</f>
        <v xml:space="preserve"> </v>
      </c>
      <c r="G820" s="7" t="str">
        <f>IF(A820=""," ",B820*VLOOKUP(A820,'01.01.2026 - 24.01.2026'!A:H,8,FALSE))</f>
        <v xml:space="preserve"> </v>
      </c>
    </row>
    <row r="821" spans="1:7" x14ac:dyDescent="0.3">
      <c r="A821" s="18"/>
      <c r="B821" s="23"/>
      <c r="C821" s="6" t="str">
        <f>IF(A821=""," ",VLOOKUP(A821,'01.01.2026 - 24.01.2026'!A:H,2,FALSE))</f>
        <v xml:space="preserve"> </v>
      </c>
      <c r="D821" s="30" t="str">
        <f>IF(A821=""," ",VLOOKUP(A821,'01.01.2026 - 24.01.2026'!A:H,5,FALSE))</f>
        <v xml:space="preserve"> </v>
      </c>
      <c r="E821" s="7" t="str">
        <f>IF(A821=""," ",B821*VLOOKUP(A821,'01.01.2026 - 24.01.2026'!A:H,6,FALSE))</f>
        <v xml:space="preserve"> </v>
      </c>
      <c r="F821" s="7" t="str">
        <f>IF(A821=""," ",B821*VLOOKUP(A821,'01.01.2026 - 24.01.2026'!A:H,7,FALSE))</f>
        <v xml:space="preserve"> </v>
      </c>
      <c r="G821" s="7" t="str">
        <f>IF(A821=""," ",B821*VLOOKUP(A821,'01.01.2026 - 24.01.2026'!A:H,8,FALSE))</f>
        <v xml:space="preserve"> </v>
      </c>
    </row>
    <row r="822" spans="1:7" x14ac:dyDescent="0.3">
      <c r="A822" s="18"/>
      <c r="B822" s="23"/>
      <c r="C822" s="6" t="str">
        <f>IF(A822=""," ",VLOOKUP(A822,'01.01.2026 - 24.01.2026'!A:H,2,FALSE))</f>
        <v xml:space="preserve"> </v>
      </c>
      <c r="D822" s="30" t="str">
        <f>IF(A822=""," ",VLOOKUP(A822,'01.01.2026 - 24.01.2026'!A:H,5,FALSE))</f>
        <v xml:space="preserve"> </v>
      </c>
      <c r="E822" s="7" t="str">
        <f>IF(A822=""," ",B822*VLOOKUP(A822,'01.01.2026 - 24.01.2026'!A:H,6,FALSE))</f>
        <v xml:space="preserve"> </v>
      </c>
      <c r="F822" s="7" t="str">
        <f>IF(A822=""," ",B822*VLOOKUP(A822,'01.01.2026 - 24.01.2026'!A:H,7,FALSE))</f>
        <v xml:space="preserve"> </v>
      </c>
      <c r="G822" s="7" t="str">
        <f>IF(A822=""," ",B822*VLOOKUP(A822,'01.01.2026 - 24.01.2026'!A:H,8,FALSE))</f>
        <v xml:space="preserve"> </v>
      </c>
    </row>
    <row r="823" spans="1:7" x14ac:dyDescent="0.3">
      <c r="A823" s="18"/>
      <c r="B823" s="23"/>
      <c r="C823" s="6" t="str">
        <f>IF(A823=""," ",VLOOKUP(A823,'01.01.2026 - 24.01.2026'!A:H,2,FALSE))</f>
        <v xml:space="preserve"> </v>
      </c>
      <c r="D823" s="30" t="str">
        <f>IF(A823=""," ",VLOOKUP(A823,'01.01.2026 - 24.01.2026'!A:H,5,FALSE))</f>
        <v xml:space="preserve"> </v>
      </c>
      <c r="E823" s="7" t="str">
        <f>IF(A823=""," ",B823*VLOOKUP(A823,'01.01.2026 - 24.01.2026'!A:H,6,FALSE))</f>
        <v xml:space="preserve"> </v>
      </c>
      <c r="F823" s="7" t="str">
        <f>IF(A823=""," ",B823*VLOOKUP(A823,'01.01.2026 - 24.01.2026'!A:H,7,FALSE))</f>
        <v xml:space="preserve"> </v>
      </c>
      <c r="G823" s="7" t="str">
        <f>IF(A823=""," ",B823*VLOOKUP(A823,'01.01.2026 - 24.01.2026'!A:H,8,FALSE))</f>
        <v xml:space="preserve"> </v>
      </c>
    </row>
    <row r="824" spans="1:7" x14ac:dyDescent="0.3">
      <c r="A824" s="18"/>
      <c r="B824" s="23"/>
      <c r="C824" s="6" t="str">
        <f>IF(A824=""," ",VLOOKUP(A824,'01.01.2026 - 24.01.2026'!A:H,2,FALSE))</f>
        <v xml:space="preserve"> </v>
      </c>
      <c r="D824" s="30" t="str">
        <f>IF(A824=""," ",VLOOKUP(A824,'01.01.2026 - 24.01.2026'!A:H,5,FALSE))</f>
        <v xml:space="preserve"> </v>
      </c>
      <c r="E824" s="7" t="str">
        <f>IF(A824=""," ",B824*VLOOKUP(A824,'01.01.2026 - 24.01.2026'!A:H,6,FALSE))</f>
        <v xml:space="preserve"> </v>
      </c>
      <c r="F824" s="7" t="str">
        <f>IF(A824=""," ",B824*VLOOKUP(A824,'01.01.2026 - 24.01.2026'!A:H,7,FALSE))</f>
        <v xml:space="preserve"> </v>
      </c>
      <c r="G824" s="7" t="str">
        <f>IF(A824=""," ",B824*VLOOKUP(A824,'01.01.2026 - 24.01.2026'!A:H,8,FALSE))</f>
        <v xml:space="preserve"> </v>
      </c>
    </row>
    <row r="825" spans="1:7" x14ac:dyDescent="0.3">
      <c r="A825" s="18"/>
      <c r="B825" s="23"/>
      <c r="C825" s="6" t="str">
        <f>IF(A825=""," ",VLOOKUP(A825,'01.01.2026 - 24.01.2026'!A:H,2,FALSE))</f>
        <v xml:space="preserve"> </v>
      </c>
      <c r="D825" s="30" t="str">
        <f>IF(A825=""," ",VLOOKUP(A825,'01.01.2026 - 24.01.2026'!A:H,5,FALSE))</f>
        <v xml:space="preserve"> </v>
      </c>
      <c r="E825" s="7" t="str">
        <f>IF(A825=""," ",B825*VLOOKUP(A825,'01.01.2026 - 24.01.2026'!A:H,6,FALSE))</f>
        <v xml:space="preserve"> </v>
      </c>
      <c r="F825" s="7" t="str">
        <f>IF(A825=""," ",B825*VLOOKUP(A825,'01.01.2026 - 24.01.2026'!A:H,7,FALSE))</f>
        <v xml:space="preserve"> </v>
      </c>
      <c r="G825" s="7" t="str">
        <f>IF(A825=""," ",B825*VLOOKUP(A825,'01.01.2026 - 24.01.2026'!A:H,8,FALSE))</f>
        <v xml:space="preserve"> </v>
      </c>
    </row>
    <row r="826" spans="1:7" x14ac:dyDescent="0.3">
      <c r="A826" s="18"/>
      <c r="B826" s="23"/>
      <c r="C826" s="6" t="str">
        <f>IF(A826=""," ",VLOOKUP(A826,'01.01.2026 - 24.01.2026'!A:H,2,FALSE))</f>
        <v xml:space="preserve"> </v>
      </c>
      <c r="D826" s="30" t="str">
        <f>IF(A826=""," ",VLOOKUP(A826,'01.01.2026 - 24.01.2026'!A:H,5,FALSE))</f>
        <v xml:space="preserve"> </v>
      </c>
      <c r="E826" s="7" t="str">
        <f>IF(A826=""," ",B826*VLOOKUP(A826,'01.01.2026 - 24.01.2026'!A:H,6,FALSE))</f>
        <v xml:space="preserve"> </v>
      </c>
      <c r="F826" s="7" t="str">
        <f>IF(A826=""," ",B826*VLOOKUP(A826,'01.01.2026 - 24.01.2026'!A:H,7,FALSE))</f>
        <v xml:space="preserve"> </v>
      </c>
      <c r="G826" s="7" t="str">
        <f>IF(A826=""," ",B826*VLOOKUP(A826,'01.01.2026 - 24.01.2026'!A:H,8,FALSE))</f>
        <v xml:space="preserve"> </v>
      </c>
    </row>
    <row r="827" spans="1:7" x14ac:dyDescent="0.3">
      <c r="A827" s="18"/>
      <c r="B827" s="23"/>
      <c r="C827" s="6" t="str">
        <f>IF(A827=""," ",VLOOKUP(A827,'01.01.2026 - 24.01.2026'!A:H,2,FALSE))</f>
        <v xml:space="preserve"> </v>
      </c>
      <c r="D827" s="30" t="str">
        <f>IF(A827=""," ",VLOOKUP(A827,'01.01.2026 - 24.01.2026'!A:H,5,FALSE))</f>
        <v xml:space="preserve"> </v>
      </c>
      <c r="E827" s="7" t="str">
        <f>IF(A827=""," ",B827*VLOOKUP(A827,'01.01.2026 - 24.01.2026'!A:H,6,FALSE))</f>
        <v xml:space="preserve"> </v>
      </c>
      <c r="F827" s="7" t="str">
        <f>IF(A827=""," ",B827*VLOOKUP(A827,'01.01.2026 - 24.01.2026'!A:H,7,FALSE))</f>
        <v xml:space="preserve"> </v>
      </c>
      <c r="G827" s="7" t="str">
        <f>IF(A827=""," ",B827*VLOOKUP(A827,'01.01.2026 - 24.01.2026'!A:H,8,FALSE))</f>
        <v xml:space="preserve"> </v>
      </c>
    </row>
    <row r="828" spans="1:7" x14ac:dyDescent="0.3">
      <c r="A828" s="18"/>
      <c r="B828" s="23"/>
      <c r="C828" s="6" t="str">
        <f>IF(A828=""," ",VLOOKUP(A828,'01.01.2026 - 24.01.2026'!A:H,2,FALSE))</f>
        <v xml:space="preserve"> </v>
      </c>
      <c r="D828" s="30" t="str">
        <f>IF(A828=""," ",VLOOKUP(A828,'01.01.2026 - 24.01.2026'!A:H,5,FALSE))</f>
        <v xml:space="preserve"> </v>
      </c>
      <c r="E828" s="7" t="str">
        <f>IF(A828=""," ",B828*VLOOKUP(A828,'01.01.2026 - 24.01.2026'!A:H,6,FALSE))</f>
        <v xml:space="preserve"> </v>
      </c>
      <c r="F828" s="7" t="str">
        <f>IF(A828=""," ",B828*VLOOKUP(A828,'01.01.2026 - 24.01.2026'!A:H,7,FALSE))</f>
        <v xml:space="preserve"> </v>
      </c>
      <c r="G828" s="7" t="str">
        <f>IF(A828=""," ",B828*VLOOKUP(A828,'01.01.2026 - 24.01.2026'!A:H,8,FALSE))</f>
        <v xml:space="preserve"> </v>
      </c>
    </row>
    <row r="829" spans="1:7" x14ac:dyDescent="0.3">
      <c r="A829" s="18"/>
      <c r="B829" s="23"/>
      <c r="C829" s="6" t="str">
        <f>IF(A829=""," ",VLOOKUP(A829,'01.01.2026 - 24.01.2026'!A:H,2,FALSE))</f>
        <v xml:space="preserve"> </v>
      </c>
      <c r="D829" s="30" t="str">
        <f>IF(A829=""," ",VLOOKUP(A829,'01.01.2026 - 24.01.2026'!A:H,5,FALSE))</f>
        <v xml:space="preserve"> </v>
      </c>
      <c r="E829" s="7" t="str">
        <f>IF(A829=""," ",B829*VLOOKUP(A829,'01.01.2026 - 24.01.2026'!A:H,6,FALSE))</f>
        <v xml:space="preserve"> </v>
      </c>
      <c r="F829" s="7" t="str">
        <f>IF(A829=""," ",B829*VLOOKUP(A829,'01.01.2026 - 24.01.2026'!A:H,7,FALSE))</f>
        <v xml:space="preserve"> </v>
      </c>
      <c r="G829" s="7" t="str">
        <f>IF(A829=""," ",B829*VLOOKUP(A829,'01.01.2026 - 24.01.2026'!A:H,8,FALSE))</f>
        <v xml:space="preserve"> </v>
      </c>
    </row>
    <row r="830" spans="1:7" x14ac:dyDescent="0.3">
      <c r="A830" s="18"/>
      <c r="B830" s="23"/>
      <c r="C830" s="6" t="str">
        <f>IF(A830=""," ",VLOOKUP(A830,'01.01.2026 - 24.01.2026'!A:H,2,FALSE))</f>
        <v xml:space="preserve"> </v>
      </c>
      <c r="D830" s="30" t="str">
        <f>IF(A830=""," ",VLOOKUP(A830,'01.01.2026 - 24.01.2026'!A:H,5,FALSE))</f>
        <v xml:space="preserve"> </v>
      </c>
      <c r="E830" s="7" t="str">
        <f>IF(A830=""," ",B830*VLOOKUP(A830,'01.01.2026 - 24.01.2026'!A:H,6,FALSE))</f>
        <v xml:space="preserve"> </v>
      </c>
      <c r="F830" s="7" t="str">
        <f>IF(A830=""," ",B830*VLOOKUP(A830,'01.01.2026 - 24.01.2026'!A:H,7,FALSE))</f>
        <v xml:space="preserve"> </v>
      </c>
      <c r="G830" s="7" t="str">
        <f>IF(A830=""," ",B830*VLOOKUP(A830,'01.01.2026 - 24.01.2026'!A:H,8,FALSE))</f>
        <v xml:space="preserve"> </v>
      </c>
    </row>
    <row r="831" spans="1:7" x14ac:dyDescent="0.3">
      <c r="A831" s="18"/>
      <c r="B831" s="23"/>
      <c r="C831" s="6" t="str">
        <f>IF(A831=""," ",VLOOKUP(A831,'01.01.2026 - 24.01.2026'!A:H,2,FALSE))</f>
        <v xml:space="preserve"> </v>
      </c>
      <c r="D831" s="30" t="str">
        <f>IF(A831=""," ",VLOOKUP(A831,'01.01.2026 - 24.01.2026'!A:H,5,FALSE))</f>
        <v xml:space="preserve"> </v>
      </c>
      <c r="E831" s="7" t="str">
        <f>IF(A831=""," ",B831*VLOOKUP(A831,'01.01.2026 - 24.01.2026'!A:H,6,FALSE))</f>
        <v xml:space="preserve"> </v>
      </c>
      <c r="F831" s="7" t="str">
        <f>IF(A831=""," ",B831*VLOOKUP(A831,'01.01.2026 - 24.01.2026'!A:H,7,FALSE))</f>
        <v xml:space="preserve"> </v>
      </c>
      <c r="G831" s="7" t="str">
        <f>IF(A831=""," ",B831*VLOOKUP(A831,'01.01.2026 - 24.01.2026'!A:H,8,FALSE))</f>
        <v xml:space="preserve"> </v>
      </c>
    </row>
    <row r="832" spans="1:7" x14ac:dyDescent="0.3">
      <c r="A832" s="18"/>
      <c r="B832" s="23"/>
      <c r="C832" s="6" t="str">
        <f>IF(A832=""," ",VLOOKUP(A832,'01.01.2026 - 24.01.2026'!A:H,2,FALSE))</f>
        <v xml:space="preserve"> </v>
      </c>
      <c r="D832" s="30" t="str">
        <f>IF(A832=""," ",VLOOKUP(A832,'01.01.2026 - 24.01.2026'!A:H,5,FALSE))</f>
        <v xml:space="preserve"> </v>
      </c>
      <c r="E832" s="7" t="str">
        <f>IF(A832=""," ",B832*VLOOKUP(A832,'01.01.2026 - 24.01.2026'!A:H,6,FALSE))</f>
        <v xml:space="preserve"> </v>
      </c>
      <c r="F832" s="7" t="str">
        <f>IF(A832=""," ",B832*VLOOKUP(A832,'01.01.2026 - 24.01.2026'!A:H,7,FALSE))</f>
        <v xml:space="preserve"> </v>
      </c>
      <c r="G832" s="7" t="str">
        <f>IF(A832=""," ",B832*VLOOKUP(A832,'01.01.2026 - 24.01.2026'!A:H,8,FALSE))</f>
        <v xml:space="preserve"> </v>
      </c>
    </row>
    <row r="833" spans="1:7" x14ac:dyDescent="0.3">
      <c r="A833" s="18"/>
      <c r="B833" s="23"/>
      <c r="C833" s="6" t="str">
        <f>IF(A833=""," ",VLOOKUP(A833,'01.01.2026 - 24.01.2026'!A:H,2,FALSE))</f>
        <v xml:space="preserve"> </v>
      </c>
      <c r="D833" s="30" t="str">
        <f>IF(A833=""," ",VLOOKUP(A833,'01.01.2026 - 24.01.2026'!A:H,5,FALSE))</f>
        <v xml:space="preserve"> </v>
      </c>
      <c r="E833" s="7" t="str">
        <f>IF(A833=""," ",B833*VLOOKUP(A833,'01.01.2026 - 24.01.2026'!A:H,6,FALSE))</f>
        <v xml:space="preserve"> </v>
      </c>
      <c r="F833" s="7" t="str">
        <f>IF(A833=""," ",B833*VLOOKUP(A833,'01.01.2026 - 24.01.2026'!A:H,7,FALSE))</f>
        <v xml:space="preserve"> </v>
      </c>
      <c r="G833" s="7" t="str">
        <f>IF(A833=""," ",B833*VLOOKUP(A833,'01.01.2026 - 24.01.2026'!A:H,8,FALSE))</f>
        <v xml:space="preserve"> </v>
      </c>
    </row>
    <row r="834" spans="1:7" x14ac:dyDescent="0.3">
      <c r="A834" s="18"/>
      <c r="B834" s="23"/>
      <c r="C834" s="6" t="str">
        <f>IF(A834=""," ",VLOOKUP(A834,'01.01.2026 - 24.01.2026'!A:H,2,FALSE))</f>
        <v xml:space="preserve"> </v>
      </c>
      <c r="D834" s="30" t="str">
        <f>IF(A834=""," ",VLOOKUP(A834,'01.01.2026 - 24.01.2026'!A:H,5,FALSE))</f>
        <v xml:space="preserve"> </v>
      </c>
      <c r="E834" s="7" t="str">
        <f>IF(A834=""," ",B834*VLOOKUP(A834,'01.01.2026 - 24.01.2026'!A:H,6,FALSE))</f>
        <v xml:space="preserve"> </v>
      </c>
      <c r="F834" s="7" t="str">
        <f>IF(A834=""," ",B834*VLOOKUP(A834,'01.01.2026 - 24.01.2026'!A:H,7,FALSE))</f>
        <v xml:space="preserve"> </v>
      </c>
      <c r="G834" s="7" t="str">
        <f>IF(A834=""," ",B834*VLOOKUP(A834,'01.01.2026 - 24.01.2026'!A:H,8,FALSE))</f>
        <v xml:space="preserve"> </v>
      </c>
    </row>
    <row r="835" spans="1:7" x14ac:dyDescent="0.3">
      <c r="A835" s="18"/>
      <c r="B835" s="23"/>
      <c r="C835" s="6" t="str">
        <f>IF(A835=""," ",VLOOKUP(A835,'01.01.2026 - 24.01.2026'!A:H,2,FALSE))</f>
        <v xml:space="preserve"> </v>
      </c>
      <c r="D835" s="30" t="str">
        <f>IF(A835=""," ",VLOOKUP(A835,'01.01.2026 - 24.01.2026'!A:H,5,FALSE))</f>
        <v xml:space="preserve"> </v>
      </c>
      <c r="E835" s="7" t="str">
        <f>IF(A835=""," ",B835*VLOOKUP(A835,'01.01.2026 - 24.01.2026'!A:H,6,FALSE))</f>
        <v xml:space="preserve"> </v>
      </c>
      <c r="F835" s="7" t="str">
        <f>IF(A835=""," ",B835*VLOOKUP(A835,'01.01.2026 - 24.01.2026'!A:H,7,FALSE))</f>
        <v xml:space="preserve"> </v>
      </c>
      <c r="G835" s="7" t="str">
        <f>IF(A835=""," ",B835*VLOOKUP(A835,'01.01.2026 - 24.01.2026'!A:H,8,FALSE))</f>
        <v xml:space="preserve"> </v>
      </c>
    </row>
    <row r="836" spans="1:7" x14ac:dyDescent="0.3">
      <c r="A836" s="18"/>
      <c r="B836" s="23"/>
      <c r="C836" s="6" t="str">
        <f>IF(A836=""," ",VLOOKUP(A836,'01.01.2026 - 24.01.2026'!A:H,2,FALSE))</f>
        <v xml:space="preserve"> </v>
      </c>
      <c r="D836" s="30" t="str">
        <f>IF(A836=""," ",VLOOKUP(A836,'01.01.2026 - 24.01.2026'!A:H,5,FALSE))</f>
        <v xml:space="preserve"> </v>
      </c>
      <c r="E836" s="7" t="str">
        <f>IF(A836=""," ",B836*VLOOKUP(A836,'01.01.2026 - 24.01.2026'!A:H,6,FALSE))</f>
        <v xml:space="preserve"> </v>
      </c>
      <c r="F836" s="7" t="str">
        <f>IF(A836=""," ",B836*VLOOKUP(A836,'01.01.2026 - 24.01.2026'!A:H,7,FALSE))</f>
        <v xml:space="preserve"> </v>
      </c>
      <c r="G836" s="7" t="str">
        <f>IF(A836=""," ",B836*VLOOKUP(A836,'01.01.2026 - 24.01.2026'!A:H,8,FALSE))</f>
        <v xml:space="preserve"> </v>
      </c>
    </row>
    <row r="837" spans="1:7" x14ac:dyDescent="0.3">
      <c r="A837" s="18"/>
      <c r="B837" s="23"/>
      <c r="C837" s="6" t="str">
        <f>IF(A837=""," ",VLOOKUP(A837,'01.01.2026 - 24.01.2026'!A:H,2,FALSE))</f>
        <v xml:space="preserve"> </v>
      </c>
      <c r="D837" s="30" t="str">
        <f>IF(A837=""," ",VLOOKUP(A837,'01.01.2026 - 24.01.2026'!A:H,5,FALSE))</f>
        <v xml:space="preserve"> </v>
      </c>
      <c r="E837" s="7" t="str">
        <f>IF(A837=""," ",B837*VLOOKUP(A837,'01.01.2026 - 24.01.2026'!A:H,6,FALSE))</f>
        <v xml:space="preserve"> </v>
      </c>
      <c r="F837" s="7" t="str">
        <f>IF(A837=""," ",B837*VLOOKUP(A837,'01.01.2026 - 24.01.2026'!A:H,7,FALSE))</f>
        <v xml:space="preserve"> </v>
      </c>
      <c r="G837" s="7" t="str">
        <f>IF(A837=""," ",B837*VLOOKUP(A837,'01.01.2026 - 24.01.2026'!A:H,8,FALSE))</f>
        <v xml:space="preserve"> </v>
      </c>
    </row>
    <row r="838" spans="1:7" x14ac:dyDescent="0.3">
      <c r="A838" s="18"/>
      <c r="B838" s="23"/>
      <c r="C838" s="6" t="str">
        <f>IF(A838=""," ",VLOOKUP(A838,'01.01.2026 - 24.01.2026'!A:H,2,FALSE))</f>
        <v xml:space="preserve"> </v>
      </c>
      <c r="D838" s="30" t="str">
        <f>IF(A838=""," ",VLOOKUP(A838,'01.01.2026 - 24.01.2026'!A:H,5,FALSE))</f>
        <v xml:space="preserve"> </v>
      </c>
      <c r="E838" s="7" t="str">
        <f>IF(A838=""," ",B838*VLOOKUP(A838,'01.01.2026 - 24.01.2026'!A:H,6,FALSE))</f>
        <v xml:space="preserve"> </v>
      </c>
      <c r="F838" s="7" t="str">
        <f>IF(A838=""," ",B838*VLOOKUP(A838,'01.01.2026 - 24.01.2026'!A:H,7,FALSE))</f>
        <v xml:space="preserve"> </v>
      </c>
      <c r="G838" s="7" t="str">
        <f>IF(A838=""," ",B838*VLOOKUP(A838,'01.01.2026 - 24.01.2026'!A:H,8,FALSE))</f>
        <v xml:space="preserve"> </v>
      </c>
    </row>
    <row r="839" spans="1:7" x14ac:dyDescent="0.3">
      <c r="A839" s="18"/>
      <c r="B839" s="23"/>
      <c r="C839" s="6" t="str">
        <f>IF(A839=""," ",VLOOKUP(A839,'01.01.2026 - 24.01.2026'!A:H,2,FALSE))</f>
        <v xml:space="preserve"> </v>
      </c>
      <c r="D839" s="30" t="str">
        <f>IF(A839=""," ",VLOOKUP(A839,'01.01.2026 - 24.01.2026'!A:H,5,FALSE))</f>
        <v xml:space="preserve"> </v>
      </c>
      <c r="E839" s="7" t="str">
        <f>IF(A839=""," ",B839*VLOOKUP(A839,'01.01.2026 - 24.01.2026'!A:H,6,FALSE))</f>
        <v xml:space="preserve"> </v>
      </c>
      <c r="F839" s="7" t="str">
        <f>IF(A839=""," ",B839*VLOOKUP(A839,'01.01.2026 - 24.01.2026'!A:H,7,FALSE))</f>
        <v xml:space="preserve"> </v>
      </c>
      <c r="G839" s="7" t="str">
        <f>IF(A839=""," ",B839*VLOOKUP(A839,'01.01.2026 - 24.01.2026'!A:H,8,FALSE))</f>
        <v xml:space="preserve"> </v>
      </c>
    </row>
    <row r="840" spans="1:7" x14ac:dyDescent="0.3">
      <c r="A840" s="18"/>
      <c r="B840" s="23"/>
      <c r="C840" s="6" t="str">
        <f>IF(A840=""," ",VLOOKUP(A840,'01.01.2026 - 24.01.2026'!A:H,2,FALSE))</f>
        <v xml:space="preserve"> </v>
      </c>
      <c r="D840" s="30" t="str">
        <f>IF(A840=""," ",VLOOKUP(A840,'01.01.2026 - 24.01.2026'!A:H,5,FALSE))</f>
        <v xml:space="preserve"> </v>
      </c>
      <c r="E840" s="7" t="str">
        <f>IF(A840=""," ",B840*VLOOKUP(A840,'01.01.2026 - 24.01.2026'!A:H,6,FALSE))</f>
        <v xml:space="preserve"> </v>
      </c>
      <c r="F840" s="7" t="str">
        <f>IF(A840=""," ",B840*VLOOKUP(A840,'01.01.2026 - 24.01.2026'!A:H,7,FALSE))</f>
        <v xml:space="preserve"> </v>
      </c>
      <c r="G840" s="7" t="str">
        <f>IF(A840=""," ",B840*VLOOKUP(A840,'01.01.2026 - 24.01.2026'!A:H,8,FALSE))</f>
        <v xml:space="preserve"> </v>
      </c>
    </row>
    <row r="841" spans="1:7" x14ac:dyDescent="0.3">
      <c r="A841" s="18"/>
      <c r="B841" s="23"/>
      <c r="C841" s="6" t="str">
        <f>IF(A841=""," ",VLOOKUP(A841,'01.01.2026 - 24.01.2026'!A:H,2,FALSE))</f>
        <v xml:space="preserve"> </v>
      </c>
      <c r="D841" s="30" t="str">
        <f>IF(A841=""," ",VLOOKUP(A841,'01.01.2026 - 24.01.2026'!A:H,5,FALSE))</f>
        <v xml:space="preserve"> </v>
      </c>
      <c r="E841" s="7" t="str">
        <f>IF(A841=""," ",B841*VLOOKUP(A841,'01.01.2026 - 24.01.2026'!A:H,6,FALSE))</f>
        <v xml:space="preserve"> </v>
      </c>
      <c r="F841" s="7" t="str">
        <f>IF(A841=""," ",B841*VLOOKUP(A841,'01.01.2026 - 24.01.2026'!A:H,7,FALSE))</f>
        <v xml:space="preserve"> </v>
      </c>
      <c r="G841" s="7" t="str">
        <f>IF(A841=""," ",B841*VLOOKUP(A841,'01.01.2026 - 24.01.2026'!A:H,8,FALSE))</f>
        <v xml:space="preserve"> </v>
      </c>
    </row>
    <row r="842" spans="1:7" x14ac:dyDescent="0.3">
      <c r="A842" s="18"/>
      <c r="B842" s="23"/>
      <c r="C842" s="6" t="str">
        <f>IF(A842=""," ",VLOOKUP(A842,'01.01.2026 - 24.01.2026'!A:H,2,FALSE))</f>
        <v xml:space="preserve"> </v>
      </c>
      <c r="D842" s="30" t="str">
        <f>IF(A842=""," ",VLOOKUP(A842,'01.01.2026 - 24.01.2026'!A:H,5,FALSE))</f>
        <v xml:space="preserve"> </v>
      </c>
      <c r="E842" s="7" t="str">
        <f>IF(A842=""," ",B842*VLOOKUP(A842,'01.01.2026 - 24.01.2026'!A:H,6,FALSE))</f>
        <v xml:space="preserve"> </v>
      </c>
      <c r="F842" s="7" t="str">
        <f>IF(A842=""," ",B842*VLOOKUP(A842,'01.01.2026 - 24.01.2026'!A:H,7,FALSE))</f>
        <v xml:space="preserve"> </v>
      </c>
      <c r="G842" s="7" t="str">
        <f>IF(A842=""," ",B842*VLOOKUP(A842,'01.01.2026 - 24.01.2026'!A:H,8,FALSE))</f>
        <v xml:space="preserve"> </v>
      </c>
    </row>
    <row r="843" spans="1:7" x14ac:dyDescent="0.3">
      <c r="A843" s="18"/>
      <c r="B843" s="23"/>
      <c r="C843" s="6" t="str">
        <f>IF(A843=""," ",VLOOKUP(A843,'01.01.2026 - 24.01.2026'!A:H,2,FALSE))</f>
        <v xml:space="preserve"> </v>
      </c>
      <c r="D843" s="30" t="str">
        <f>IF(A843=""," ",VLOOKUP(A843,'01.01.2026 - 24.01.2026'!A:H,5,FALSE))</f>
        <v xml:space="preserve"> </v>
      </c>
      <c r="E843" s="7" t="str">
        <f>IF(A843=""," ",B843*VLOOKUP(A843,'01.01.2026 - 24.01.2026'!A:H,6,FALSE))</f>
        <v xml:space="preserve"> </v>
      </c>
      <c r="F843" s="7" t="str">
        <f>IF(A843=""," ",B843*VLOOKUP(A843,'01.01.2026 - 24.01.2026'!A:H,7,FALSE))</f>
        <v xml:space="preserve"> </v>
      </c>
      <c r="G843" s="7" t="str">
        <f>IF(A843=""," ",B843*VLOOKUP(A843,'01.01.2026 - 24.01.2026'!A:H,8,FALSE))</f>
        <v xml:space="preserve"> </v>
      </c>
    </row>
    <row r="844" spans="1:7" x14ac:dyDescent="0.3">
      <c r="A844" s="18"/>
      <c r="B844" s="23"/>
      <c r="C844" s="6" t="str">
        <f>IF(A844=""," ",VLOOKUP(A844,'01.01.2026 - 24.01.2026'!A:H,2,FALSE))</f>
        <v xml:space="preserve"> </v>
      </c>
      <c r="D844" s="30" t="str">
        <f>IF(A844=""," ",VLOOKUP(A844,'01.01.2026 - 24.01.2026'!A:H,5,FALSE))</f>
        <v xml:space="preserve"> </v>
      </c>
      <c r="E844" s="7" t="str">
        <f>IF(A844=""," ",B844*VLOOKUP(A844,'01.01.2026 - 24.01.2026'!A:H,6,FALSE))</f>
        <v xml:space="preserve"> </v>
      </c>
      <c r="F844" s="7" t="str">
        <f>IF(A844=""," ",B844*VLOOKUP(A844,'01.01.2026 - 24.01.2026'!A:H,7,FALSE))</f>
        <v xml:space="preserve"> </v>
      </c>
      <c r="G844" s="7" t="str">
        <f>IF(A844=""," ",B844*VLOOKUP(A844,'01.01.2026 - 24.01.2026'!A:H,8,FALSE))</f>
        <v xml:space="preserve"> </v>
      </c>
    </row>
    <row r="845" spans="1:7" x14ac:dyDescent="0.3">
      <c r="A845" s="18"/>
      <c r="B845" s="23"/>
      <c r="C845" s="6" t="str">
        <f>IF(A845=""," ",VLOOKUP(A845,'01.01.2026 - 24.01.2026'!A:H,2,FALSE))</f>
        <v xml:space="preserve"> </v>
      </c>
      <c r="D845" s="30" t="str">
        <f>IF(A845=""," ",VLOOKUP(A845,'01.01.2026 - 24.01.2026'!A:H,5,FALSE))</f>
        <v xml:space="preserve"> </v>
      </c>
      <c r="E845" s="7" t="str">
        <f>IF(A845=""," ",B845*VLOOKUP(A845,'01.01.2026 - 24.01.2026'!A:H,6,FALSE))</f>
        <v xml:space="preserve"> </v>
      </c>
      <c r="F845" s="7" t="str">
        <f>IF(A845=""," ",B845*VLOOKUP(A845,'01.01.2026 - 24.01.2026'!A:H,7,FALSE))</f>
        <v xml:space="preserve"> </v>
      </c>
      <c r="G845" s="7" t="str">
        <f>IF(A845=""," ",B845*VLOOKUP(A845,'01.01.2026 - 24.01.2026'!A:H,8,FALSE))</f>
        <v xml:space="preserve"> </v>
      </c>
    </row>
    <row r="846" spans="1:7" x14ac:dyDescent="0.3">
      <c r="A846" s="18"/>
      <c r="B846" s="23"/>
      <c r="C846" s="6" t="str">
        <f>IF(A846=""," ",VLOOKUP(A846,'01.01.2026 - 24.01.2026'!A:H,2,FALSE))</f>
        <v xml:space="preserve"> </v>
      </c>
      <c r="D846" s="30" t="str">
        <f>IF(A846=""," ",VLOOKUP(A846,'01.01.2026 - 24.01.2026'!A:H,5,FALSE))</f>
        <v xml:space="preserve"> </v>
      </c>
      <c r="E846" s="7" t="str">
        <f>IF(A846=""," ",B846*VLOOKUP(A846,'01.01.2026 - 24.01.2026'!A:H,6,FALSE))</f>
        <v xml:space="preserve"> </v>
      </c>
      <c r="F846" s="7" t="str">
        <f>IF(A846=""," ",B846*VLOOKUP(A846,'01.01.2026 - 24.01.2026'!A:H,7,FALSE))</f>
        <v xml:space="preserve"> </v>
      </c>
      <c r="G846" s="7" t="str">
        <f>IF(A846=""," ",B846*VLOOKUP(A846,'01.01.2026 - 24.01.2026'!A:H,8,FALSE))</f>
        <v xml:space="preserve"> </v>
      </c>
    </row>
    <row r="847" spans="1:7" x14ac:dyDescent="0.3">
      <c r="A847" s="18"/>
      <c r="B847" s="23"/>
      <c r="C847" s="6" t="str">
        <f>IF(A847=""," ",VLOOKUP(A847,'01.01.2026 - 24.01.2026'!A:H,2,FALSE))</f>
        <v xml:space="preserve"> </v>
      </c>
      <c r="D847" s="30" t="str">
        <f>IF(A847=""," ",VLOOKUP(A847,'01.01.2026 - 24.01.2026'!A:H,5,FALSE))</f>
        <v xml:space="preserve"> </v>
      </c>
      <c r="E847" s="7" t="str">
        <f>IF(A847=""," ",B847*VLOOKUP(A847,'01.01.2026 - 24.01.2026'!A:H,6,FALSE))</f>
        <v xml:space="preserve"> </v>
      </c>
      <c r="F847" s="7" t="str">
        <f>IF(A847=""," ",B847*VLOOKUP(A847,'01.01.2026 - 24.01.2026'!A:H,7,FALSE))</f>
        <v xml:space="preserve"> </v>
      </c>
      <c r="G847" s="7" t="str">
        <f>IF(A847=""," ",B847*VLOOKUP(A847,'01.01.2026 - 24.01.2026'!A:H,8,FALSE))</f>
        <v xml:space="preserve"> </v>
      </c>
    </row>
    <row r="848" spans="1:7" x14ac:dyDescent="0.3">
      <c r="A848" s="18"/>
      <c r="B848" s="23"/>
      <c r="C848" s="6" t="str">
        <f>IF(A848=""," ",VLOOKUP(A848,'01.01.2026 - 24.01.2026'!A:H,2,FALSE))</f>
        <v xml:space="preserve"> </v>
      </c>
      <c r="D848" s="30" t="str">
        <f>IF(A848=""," ",VLOOKUP(A848,'01.01.2026 - 24.01.2026'!A:H,5,FALSE))</f>
        <v xml:space="preserve"> </v>
      </c>
      <c r="E848" s="7" t="str">
        <f>IF(A848=""," ",B848*VLOOKUP(A848,'01.01.2026 - 24.01.2026'!A:H,6,FALSE))</f>
        <v xml:space="preserve"> </v>
      </c>
      <c r="F848" s="7" t="str">
        <f>IF(A848=""," ",B848*VLOOKUP(A848,'01.01.2026 - 24.01.2026'!A:H,7,FALSE))</f>
        <v xml:space="preserve"> </v>
      </c>
      <c r="G848" s="7" t="str">
        <f>IF(A848=""," ",B848*VLOOKUP(A848,'01.01.2026 - 24.01.2026'!A:H,8,FALSE))</f>
        <v xml:space="preserve"> </v>
      </c>
    </row>
    <row r="849" spans="1:7" x14ac:dyDescent="0.3">
      <c r="A849" s="18"/>
      <c r="B849" s="23"/>
      <c r="C849" s="6" t="str">
        <f>IF(A849=""," ",VLOOKUP(A849,'01.01.2026 - 24.01.2026'!A:H,2,FALSE))</f>
        <v xml:space="preserve"> </v>
      </c>
      <c r="D849" s="30" t="str">
        <f>IF(A849=""," ",VLOOKUP(A849,'01.01.2026 - 24.01.2026'!A:H,5,FALSE))</f>
        <v xml:space="preserve"> </v>
      </c>
      <c r="E849" s="7" t="str">
        <f>IF(A849=""," ",B849*VLOOKUP(A849,'01.01.2026 - 24.01.2026'!A:H,6,FALSE))</f>
        <v xml:space="preserve"> </v>
      </c>
      <c r="F849" s="7" t="str">
        <f>IF(A849=""," ",B849*VLOOKUP(A849,'01.01.2026 - 24.01.2026'!A:H,7,FALSE))</f>
        <v xml:space="preserve"> </v>
      </c>
      <c r="G849" s="7" t="str">
        <f>IF(A849=""," ",B849*VLOOKUP(A849,'01.01.2026 - 24.01.2026'!A:H,8,FALSE))</f>
        <v xml:space="preserve"> </v>
      </c>
    </row>
    <row r="850" spans="1:7" x14ac:dyDescent="0.3">
      <c r="A850" s="18"/>
      <c r="B850" s="23"/>
      <c r="C850" s="6" t="str">
        <f>IF(A850=""," ",VLOOKUP(A850,'01.01.2026 - 24.01.2026'!A:H,2,FALSE))</f>
        <v xml:space="preserve"> </v>
      </c>
      <c r="D850" s="30" t="str">
        <f>IF(A850=""," ",VLOOKUP(A850,'01.01.2026 - 24.01.2026'!A:H,5,FALSE))</f>
        <v xml:space="preserve"> </v>
      </c>
      <c r="E850" s="7" t="str">
        <f>IF(A850=""," ",B850*VLOOKUP(A850,'01.01.2026 - 24.01.2026'!A:H,6,FALSE))</f>
        <v xml:space="preserve"> </v>
      </c>
      <c r="F850" s="7" t="str">
        <f>IF(A850=""," ",B850*VLOOKUP(A850,'01.01.2026 - 24.01.2026'!A:H,7,FALSE))</f>
        <v xml:space="preserve"> </v>
      </c>
      <c r="G850" s="7" t="str">
        <f>IF(A850=""," ",B850*VLOOKUP(A850,'01.01.2026 - 24.01.2026'!A:H,8,FALSE))</f>
        <v xml:space="preserve"> </v>
      </c>
    </row>
    <row r="851" spans="1:7" x14ac:dyDescent="0.3">
      <c r="A851" s="18"/>
      <c r="B851" s="23"/>
      <c r="C851" s="6" t="str">
        <f>IF(A851=""," ",VLOOKUP(A851,'01.01.2026 - 24.01.2026'!A:H,2,FALSE))</f>
        <v xml:space="preserve"> </v>
      </c>
      <c r="D851" s="30" t="str">
        <f>IF(A851=""," ",VLOOKUP(A851,'01.01.2026 - 24.01.2026'!A:H,5,FALSE))</f>
        <v xml:space="preserve"> </v>
      </c>
      <c r="E851" s="7" t="str">
        <f>IF(A851=""," ",B851*VLOOKUP(A851,'01.01.2026 - 24.01.2026'!A:H,6,FALSE))</f>
        <v xml:space="preserve"> </v>
      </c>
      <c r="F851" s="7" t="str">
        <f>IF(A851=""," ",B851*VLOOKUP(A851,'01.01.2026 - 24.01.2026'!A:H,7,FALSE))</f>
        <v xml:space="preserve"> </v>
      </c>
      <c r="G851" s="7" t="str">
        <f>IF(A851=""," ",B851*VLOOKUP(A851,'01.01.2026 - 24.01.2026'!A:H,8,FALSE))</f>
        <v xml:space="preserve"> </v>
      </c>
    </row>
    <row r="852" spans="1:7" x14ac:dyDescent="0.3">
      <c r="A852" s="18"/>
      <c r="B852" s="23"/>
      <c r="C852" s="6" t="str">
        <f>IF(A852=""," ",VLOOKUP(A852,'01.01.2026 - 24.01.2026'!A:H,2,FALSE))</f>
        <v xml:space="preserve"> </v>
      </c>
      <c r="D852" s="30" t="str">
        <f>IF(A852=""," ",VLOOKUP(A852,'01.01.2026 - 24.01.2026'!A:H,5,FALSE))</f>
        <v xml:space="preserve"> </v>
      </c>
      <c r="E852" s="7" t="str">
        <f>IF(A852=""," ",B852*VLOOKUP(A852,'01.01.2026 - 24.01.2026'!A:H,6,FALSE))</f>
        <v xml:space="preserve"> </v>
      </c>
      <c r="F852" s="7" t="str">
        <f>IF(A852=""," ",B852*VLOOKUP(A852,'01.01.2026 - 24.01.2026'!A:H,7,FALSE))</f>
        <v xml:space="preserve"> </v>
      </c>
      <c r="G852" s="7" t="str">
        <f>IF(A852=""," ",B852*VLOOKUP(A852,'01.01.2026 - 24.01.2026'!A:H,8,FALSE))</f>
        <v xml:space="preserve"> </v>
      </c>
    </row>
    <row r="853" spans="1:7" x14ac:dyDescent="0.3">
      <c r="A853" s="18"/>
      <c r="B853" s="23"/>
      <c r="C853" s="6" t="str">
        <f>IF(A853=""," ",VLOOKUP(A853,'01.01.2026 - 24.01.2026'!A:H,2,FALSE))</f>
        <v xml:space="preserve"> </v>
      </c>
      <c r="D853" s="30" t="str">
        <f>IF(A853=""," ",VLOOKUP(A853,'01.01.2026 - 24.01.2026'!A:H,5,FALSE))</f>
        <v xml:space="preserve"> </v>
      </c>
      <c r="E853" s="7" t="str">
        <f>IF(A853=""," ",B853*VLOOKUP(A853,'01.01.2026 - 24.01.2026'!A:H,6,FALSE))</f>
        <v xml:space="preserve"> </v>
      </c>
      <c r="F853" s="7" t="str">
        <f>IF(A853=""," ",B853*VLOOKUP(A853,'01.01.2026 - 24.01.2026'!A:H,7,FALSE))</f>
        <v xml:space="preserve"> </v>
      </c>
      <c r="G853" s="7" t="str">
        <f>IF(A853=""," ",B853*VLOOKUP(A853,'01.01.2026 - 24.01.2026'!A:H,8,FALSE))</f>
        <v xml:space="preserve"> </v>
      </c>
    </row>
    <row r="854" spans="1:7" x14ac:dyDescent="0.3">
      <c r="A854" s="18"/>
      <c r="B854" s="23"/>
      <c r="C854" s="6" t="str">
        <f>IF(A854=""," ",VLOOKUP(A854,'01.01.2026 - 24.01.2026'!A:H,2,FALSE))</f>
        <v xml:space="preserve"> </v>
      </c>
      <c r="D854" s="30" t="str">
        <f>IF(A854=""," ",VLOOKUP(A854,'01.01.2026 - 24.01.2026'!A:H,5,FALSE))</f>
        <v xml:space="preserve"> </v>
      </c>
      <c r="E854" s="7" t="str">
        <f>IF(A854=""," ",B854*VLOOKUP(A854,'01.01.2026 - 24.01.2026'!A:H,6,FALSE))</f>
        <v xml:space="preserve"> </v>
      </c>
      <c r="F854" s="7" t="str">
        <f>IF(A854=""," ",B854*VLOOKUP(A854,'01.01.2026 - 24.01.2026'!A:H,7,FALSE))</f>
        <v xml:space="preserve"> </v>
      </c>
      <c r="G854" s="7" t="str">
        <f>IF(A854=""," ",B854*VLOOKUP(A854,'01.01.2026 - 24.01.2026'!A:H,8,FALSE))</f>
        <v xml:space="preserve"> </v>
      </c>
    </row>
    <row r="855" spans="1:7" x14ac:dyDescent="0.3">
      <c r="A855" s="18"/>
      <c r="B855" s="23"/>
      <c r="C855" s="6" t="str">
        <f>IF(A855=""," ",VLOOKUP(A855,'01.01.2026 - 24.01.2026'!A:H,2,FALSE))</f>
        <v xml:space="preserve"> </v>
      </c>
      <c r="D855" s="30" t="str">
        <f>IF(A855=""," ",VLOOKUP(A855,'01.01.2026 - 24.01.2026'!A:H,5,FALSE))</f>
        <v xml:space="preserve"> </v>
      </c>
      <c r="E855" s="7" t="str">
        <f>IF(A855=""," ",B855*VLOOKUP(A855,'01.01.2026 - 24.01.2026'!A:H,6,FALSE))</f>
        <v xml:space="preserve"> </v>
      </c>
      <c r="F855" s="7" t="str">
        <f>IF(A855=""," ",B855*VLOOKUP(A855,'01.01.2026 - 24.01.2026'!A:H,7,FALSE))</f>
        <v xml:space="preserve"> </v>
      </c>
      <c r="G855" s="7" t="str">
        <f>IF(A855=""," ",B855*VLOOKUP(A855,'01.01.2026 - 24.01.2026'!A:H,8,FALSE))</f>
        <v xml:space="preserve"> </v>
      </c>
    </row>
    <row r="856" spans="1:7" x14ac:dyDescent="0.3">
      <c r="A856" s="18"/>
      <c r="B856" s="23"/>
      <c r="C856" s="6" t="str">
        <f>IF(A856=""," ",VLOOKUP(A856,'01.01.2026 - 24.01.2026'!A:H,2,FALSE))</f>
        <v xml:space="preserve"> </v>
      </c>
      <c r="D856" s="30" t="str">
        <f>IF(A856=""," ",VLOOKUP(A856,'01.01.2026 - 24.01.2026'!A:H,5,FALSE))</f>
        <v xml:space="preserve"> </v>
      </c>
      <c r="E856" s="7" t="str">
        <f>IF(A856=""," ",B856*VLOOKUP(A856,'01.01.2026 - 24.01.2026'!A:H,6,FALSE))</f>
        <v xml:space="preserve"> </v>
      </c>
      <c r="F856" s="7" t="str">
        <f>IF(A856=""," ",B856*VLOOKUP(A856,'01.01.2026 - 24.01.2026'!A:H,7,FALSE))</f>
        <v xml:space="preserve"> </v>
      </c>
      <c r="G856" s="7" t="str">
        <f>IF(A856=""," ",B856*VLOOKUP(A856,'01.01.2026 - 24.01.2026'!A:H,8,FALSE))</f>
        <v xml:space="preserve"> </v>
      </c>
    </row>
    <row r="857" spans="1:7" x14ac:dyDescent="0.3">
      <c r="A857" s="18"/>
      <c r="B857" s="23"/>
      <c r="C857" s="6" t="str">
        <f>IF(A857=""," ",VLOOKUP(A857,'01.01.2026 - 24.01.2026'!A:H,2,FALSE))</f>
        <v xml:space="preserve"> </v>
      </c>
      <c r="D857" s="30" t="str">
        <f>IF(A857=""," ",VLOOKUP(A857,'01.01.2026 - 24.01.2026'!A:H,5,FALSE))</f>
        <v xml:space="preserve"> </v>
      </c>
      <c r="E857" s="7" t="str">
        <f>IF(A857=""," ",B857*VLOOKUP(A857,'01.01.2026 - 24.01.2026'!A:H,6,FALSE))</f>
        <v xml:space="preserve"> </v>
      </c>
      <c r="F857" s="7" t="str">
        <f>IF(A857=""," ",B857*VLOOKUP(A857,'01.01.2026 - 24.01.2026'!A:H,7,FALSE))</f>
        <v xml:space="preserve"> </v>
      </c>
      <c r="G857" s="7" t="str">
        <f>IF(A857=""," ",B857*VLOOKUP(A857,'01.01.2026 - 24.01.2026'!A:H,8,FALSE))</f>
        <v xml:space="preserve"> </v>
      </c>
    </row>
    <row r="858" spans="1:7" x14ac:dyDescent="0.3">
      <c r="A858" s="18"/>
      <c r="B858" s="23"/>
      <c r="C858" s="6" t="str">
        <f>IF(A858=""," ",VLOOKUP(A858,'01.01.2026 - 24.01.2026'!A:H,2,FALSE))</f>
        <v xml:space="preserve"> </v>
      </c>
      <c r="D858" s="30" t="str">
        <f>IF(A858=""," ",VLOOKUP(A858,'01.01.2026 - 24.01.2026'!A:H,5,FALSE))</f>
        <v xml:space="preserve"> </v>
      </c>
      <c r="E858" s="7" t="str">
        <f>IF(A858=""," ",B858*VLOOKUP(A858,'01.01.2026 - 24.01.2026'!A:H,6,FALSE))</f>
        <v xml:space="preserve"> </v>
      </c>
      <c r="F858" s="7" t="str">
        <f>IF(A858=""," ",B858*VLOOKUP(A858,'01.01.2026 - 24.01.2026'!A:H,7,FALSE))</f>
        <v xml:space="preserve"> </v>
      </c>
      <c r="G858" s="7" t="str">
        <f>IF(A858=""," ",B858*VLOOKUP(A858,'01.01.2026 - 24.01.2026'!A:H,8,FALSE))</f>
        <v xml:space="preserve"> </v>
      </c>
    </row>
    <row r="859" spans="1:7" x14ac:dyDescent="0.3">
      <c r="A859" s="18"/>
      <c r="B859" s="23"/>
      <c r="C859" s="6" t="str">
        <f>IF(A859=""," ",VLOOKUP(A859,'01.01.2026 - 24.01.2026'!A:H,2,FALSE))</f>
        <v xml:space="preserve"> </v>
      </c>
      <c r="D859" s="30" t="str">
        <f>IF(A859=""," ",VLOOKUP(A859,'01.01.2026 - 24.01.2026'!A:H,5,FALSE))</f>
        <v xml:space="preserve"> </v>
      </c>
      <c r="E859" s="7" t="str">
        <f>IF(A859=""," ",B859*VLOOKUP(A859,'01.01.2026 - 24.01.2026'!A:H,6,FALSE))</f>
        <v xml:space="preserve"> </v>
      </c>
      <c r="F859" s="7" t="str">
        <f>IF(A859=""," ",B859*VLOOKUP(A859,'01.01.2026 - 24.01.2026'!A:H,7,FALSE))</f>
        <v xml:space="preserve"> </v>
      </c>
      <c r="G859" s="7" t="str">
        <f>IF(A859=""," ",B859*VLOOKUP(A859,'01.01.2026 - 24.01.2026'!A:H,8,FALSE))</f>
        <v xml:space="preserve"> </v>
      </c>
    </row>
    <row r="860" spans="1:7" x14ac:dyDescent="0.3">
      <c r="A860" s="18"/>
      <c r="B860" s="23"/>
      <c r="C860" s="6" t="str">
        <f>IF(A860=""," ",VLOOKUP(A860,'01.01.2026 - 24.01.2026'!A:H,2,FALSE))</f>
        <v xml:space="preserve"> </v>
      </c>
      <c r="D860" s="30" t="str">
        <f>IF(A860=""," ",VLOOKUP(A860,'01.01.2026 - 24.01.2026'!A:H,5,FALSE))</f>
        <v xml:space="preserve"> </v>
      </c>
      <c r="E860" s="7" t="str">
        <f>IF(A860=""," ",B860*VLOOKUP(A860,'01.01.2026 - 24.01.2026'!A:H,6,FALSE))</f>
        <v xml:space="preserve"> </v>
      </c>
      <c r="F860" s="7" t="str">
        <f>IF(A860=""," ",B860*VLOOKUP(A860,'01.01.2026 - 24.01.2026'!A:H,7,FALSE))</f>
        <v xml:space="preserve"> </v>
      </c>
      <c r="G860" s="7" t="str">
        <f>IF(A860=""," ",B860*VLOOKUP(A860,'01.01.2026 - 24.01.2026'!A:H,8,FALSE))</f>
        <v xml:space="preserve"> </v>
      </c>
    </row>
    <row r="861" spans="1:7" x14ac:dyDescent="0.3">
      <c r="A861" s="18"/>
      <c r="B861" s="23"/>
      <c r="C861" s="6" t="str">
        <f>IF(A861=""," ",VLOOKUP(A861,'01.01.2026 - 24.01.2026'!A:H,2,FALSE))</f>
        <v xml:space="preserve"> </v>
      </c>
      <c r="D861" s="30" t="str">
        <f>IF(A861=""," ",VLOOKUP(A861,'01.01.2026 - 24.01.2026'!A:H,5,FALSE))</f>
        <v xml:space="preserve"> </v>
      </c>
      <c r="E861" s="7" t="str">
        <f>IF(A861=""," ",B861*VLOOKUP(A861,'01.01.2026 - 24.01.2026'!A:H,6,FALSE))</f>
        <v xml:space="preserve"> </v>
      </c>
      <c r="F861" s="7" t="str">
        <f>IF(A861=""," ",B861*VLOOKUP(A861,'01.01.2026 - 24.01.2026'!A:H,7,FALSE))</f>
        <v xml:space="preserve"> </v>
      </c>
      <c r="G861" s="7" t="str">
        <f>IF(A861=""," ",B861*VLOOKUP(A861,'01.01.2026 - 24.01.2026'!A:H,8,FALSE))</f>
        <v xml:space="preserve"> </v>
      </c>
    </row>
    <row r="862" spans="1:7" x14ac:dyDescent="0.3">
      <c r="A862" s="18"/>
      <c r="B862" s="23"/>
      <c r="C862" s="6" t="str">
        <f>IF(A862=""," ",VLOOKUP(A862,'01.01.2026 - 24.01.2026'!A:H,2,FALSE))</f>
        <v xml:space="preserve"> </v>
      </c>
      <c r="D862" s="30" t="str">
        <f>IF(A862=""," ",VLOOKUP(A862,'01.01.2026 - 24.01.2026'!A:H,5,FALSE))</f>
        <v xml:space="preserve"> </v>
      </c>
      <c r="E862" s="7" t="str">
        <f>IF(A862=""," ",B862*VLOOKUP(A862,'01.01.2026 - 24.01.2026'!A:H,6,FALSE))</f>
        <v xml:space="preserve"> </v>
      </c>
      <c r="F862" s="7" t="str">
        <f>IF(A862=""," ",B862*VLOOKUP(A862,'01.01.2026 - 24.01.2026'!A:H,7,FALSE))</f>
        <v xml:space="preserve"> </v>
      </c>
      <c r="G862" s="7" t="str">
        <f>IF(A862=""," ",B862*VLOOKUP(A862,'01.01.2026 - 24.01.2026'!A:H,8,FALSE))</f>
        <v xml:space="preserve"> </v>
      </c>
    </row>
    <row r="863" spans="1:7" x14ac:dyDescent="0.3">
      <c r="A863" s="18"/>
      <c r="B863" s="23"/>
      <c r="C863" s="6" t="str">
        <f>IF(A863=""," ",VLOOKUP(A863,'01.01.2026 - 24.01.2026'!A:H,2,FALSE))</f>
        <v xml:space="preserve"> </v>
      </c>
      <c r="D863" s="30" t="str">
        <f>IF(A863=""," ",VLOOKUP(A863,'01.01.2026 - 24.01.2026'!A:H,5,FALSE))</f>
        <v xml:space="preserve"> </v>
      </c>
      <c r="E863" s="7" t="str">
        <f>IF(A863=""," ",B863*VLOOKUP(A863,'01.01.2026 - 24.01.2026'!A:H,6,FALSE))</f>
        <v xml:space="preserve"> </v>
      </c>
      <c r="F863" s="7" t="str">
        <f>IF(A863=""," ",B863*VLOOKUP(A863,'01.01.2026 - 24.01.2026'!A:H,7,FALSE))</f>
        <v xml:space="preserve"> </v>
      </c>
      <c r="G863" s="7" t="str">
        <f>IF(A863=""," ",B863*VLOOKUP(A863,'01.01.2026 - 24.01.2026'!A:H,8,FALSE))</f>
        <v xml:space="preserve"> </v>
      </c>
    </row>
    <row r="864" spans="1:7" x14ac:dyDescent="0.3">
      <c r="A864" s="18"/>
      <c r="B864" s="23"/>
      <c r="C864" s="6" t="str">
        <f>IF(A864=""," ",VLOOKUP(A864,'01.01.2026 - 24.01.2026'!A:H,2,FALSE))</f>
        <v xml:space="preserve"> </v>
      </c>
      <c r="D864" s="30" t="str">
        <f>IF(A864=""," ",VLOOKUP(A864,'01.01.2026 - 24.01.2026'!A:H,5,FALSE))</f>
        <v xml:space="preserve"> </v>
      </c>
      <c r="E864" s="7" t="str">
        <f>IF(A864=""," ",B864*VLOOKUP(A864,'01.01.2026 - 24.01.2026'!A:H,6,FALSE))</f>
        <v xml:space="preserve"> </v>
      </c>
      <c r="F864" s="7" t="str">
        <f>IF(A864=""," ",B864*VLOOKUP(A864,'01.01.2026 - 24.01.2026'!A:H,7,FALSE))</f>
        <v xml:space="preserve"> </v>
      </c>
      <c r="G864" s="7" t="str">
        <f>IF(A864=""," ",B864*VLOOKUP(A864,'01.01.2026 - 24.01.2026'!A:H,8,FALSE))</f>
        <v xml:space="preserve"> </v>
      </c>
    </row>
    <row r="865" spans="1:7" x14ac:dyDescent="0.3">
      <c r="A865" s="18"/>
      <c r="B865" s="23"/>
      <c r="C865" s="6" t="str">
        <f>IF(A865=""," ",VLOOKUP(A865,'01.01.2026 - 24.01.2026'!A:H,2,FALSE))</f>
        <v xml:space="preserve"> </v>
      </c>
      <c r="D865" s="30" t="str">
        <f>IF(A865=""," ",VLOOKUP(A865,'01.01.2026 - 24.01.2026'!A:H,5,FALSE))</f>
        <v xml:space="preserve"> </v>
      </c>
      <c r="E865" s="7" t="str">
        <f>IF(A865=""," ",B865*VLOOKUP(A865,'01.01.2026 - 24.01.2026'!A:H,6,FALSE))</f>
        <v xml:space="preserve"> </v>
      </c>
      <c r="F865" s="7" t="str">
        <f>IF(A865=""," ",B865*VLOOKUP(A865,'01.01.2026 - 24.01.2026'!A:H,7,FALSE))</f>
        <v xml:space="preserve"> </v>
      </c>
      <c r="G865" s="7" t="str">
        <f>IF(A865=""," ",B865*VLOOKUP(A865,'01.01.2026 - 24.01.2026'!A:H,8,FALSE))</f>
        <v xml:space="preserve"> </v>
      </c>
    </row>
    <row r="866" spans="1:7" x14ac:dyDescent="0.3">
      <c r="A866" s="18"/>
      <c r="B866" s="23"/>
      <c r="C866" s="6" t="str">
        <f>IF(A866=""," ",VLOOKUP(A866,'01.01.2026 - 24.01.2026'!A:H,2,FALSE))</f>
        <v xml:space="preserve"> </v>
      </c>
      <c r="D866" s="30" t="str">
        <f>IF(A866=""," ",VLOOKUP(A866,'01.01.2026 - 24.01.2026'!A:H,5,FALSE))</f>
        <v xml:space="preserve"> </v>
      </c>
      <c r="E866" s="7" t="str">
        <f>IF(A866=""," ",B866*VLOOKUP(A866,'01.01.2026 - 24.01.2026'!A:H,6,FALSE))</f>
        <v xml:space="preserve"> </v>
      </c>
      <c r="F866" s="7" t="str">
        <f>IF(A866=""," ",B866*VLOOKUP(A866,'01.01.2026 - 24.01.2026'!A:H,7,FALSE))</f>
        <v xml:space="preserve"> </v>
      </c>
      <c r="G866" s="7" t="str">
        <f>IF(A866=""," ",B866*VLOOKUP(A866,'01.01.2026 - 24.01.2026'!A:H,8,FALSE))</f>
        <v xml:space="preserve"> </v>
      </c>
    </row>
    <row r="867" spans="1:7" x14ac:dyDescent="0.3">
      <c r="A867" s="18"/>
      <c r="B867" s="23"/>
      <c r="C867" s="6" t="str">
        <f>IF(A867=""," ",VLOOKUP(A867,'01.01.2026 - 24.01.2026'!A:H,2,FALSE))</f>
        <v xml:space="preserve"> </v>
      </c>
      <c r="D867" s="30" t="str">
        <f>IF(A867=""," ",VLOOKUP(A867,'01.01.2026 - 24.01.2026'!A:H,5,FALSE))</f>
        <v xml:space="preserve"> </v>
      </c>
      <c r="E867" s="7" t="str">
        <f>IF(A867=""," ",B867*VLOOKUP(A867,'01.01.2026 - 24.01.2026'!A:H,6,FALSE))</f>
        <v xml:space="preserve"> </v>
      </c>
      <c r="F867" s="7" t="str">
        <f>IF(A867=""," ",B867*VLOOKUP(A867,'01.01.2026 - 24.01.2026'!A:H,7,FALSE))</f>
        <v xml:space="preserve"> </v>
      </c>
      <c r="G867" s="7" t="str">
        <f>IF(A867=""," ",B867*VLOOKUP(A867,'01.01.2026 - 24.01.2026'!A:H,8,FALSE))</f>
        <v xml:space="preserve"> </v>
      </c>
    </row>
    <row r="868" spans="1:7" x14ac:dyDescent="0.3">
      <c r="A868" s="18"/>
      <c r="B868" s="23"/>
      <c r="C868" s="6" t="str">
        <f>IF(A868=""," ",VLOOKUP(A868,'01.01.2026 - 24.01.2026'!A:H,2,FALSE))</f>
        <v xml:space="preserve"> </v>
      </c>
      <c r="D868" s="30" t="str">
        <f>IF(A868=""," ",VLOOKUP(A868,'01.01.2026 - 24.01.2026'!A:H,5,FALSE))</f>
        <v xml:space="preserve"> </v>
      </c>
      <c r="E868" s="7" t="str">
        <f>IF(A868=""," ",B868*VLOOKUP(A868,'01.01.2026 - 24.01.2026'!A:H,6,FALSE))</f>
        <v xml:space="preserve"> </v>
      </c>
      <c r="F868" s="7" t="str">
        <f>IF(A868=""," ",B868*VLOOKUP(A868,'01.01.2026 - 24.01.2026'!A:H,7,FALSE))</f>
        <v xml:space="preserve"> </v>
      </c>
      <c r="G868" s="7" t="str">
        <f>IF(A868=""," ",B868*VLOOKUP(A868,'01.01.2026 - 24.01.2026'!A:H,8,FALSE))</f>
        <v xml:space="preserve"> </v>
      </c>
    </row>
    <row r="869" spans="1:7" x14ac:dyDescent="0.3">
      <c r="A869" s="18"/>
      <c r="B869" s="23"/>
      <c r="C869" s="6" t="str">
        <f>IF(A869=""," ",VLOOKUP(A869,'01.01.2026 - 24.01.2026'!A:H,2,FALSE))</f>
        <v xml:space="preserve"> </v>
      </c>
      <c r="D869" s="30" t="str">
        <f>IF(A869=""," ",VLOOKUP(A869,'01.01.2026 - 24.01.2026'!A:H,5,FALSE))</f>
        <v xml:space="preserve"> </v>
      </c>
      <c r="E869" s="7" t="str">
        <f>IF(A869=""," ",B869*VLOOKUP(A869,'01.01.2026 - 24.01.2026'!A:H,6,FALSE))</f>
        <v xml:space="preserve"> </v>
      </c>
      <c r="F869" s="7" t="str">
        <f>IF(A869=""," ",B869*VLOOKUP(A869,'01.01.2026 - 24.01.2026'!A:H,7,FALSE))</f>
        <v xml:space="preserve"> </v>
      </c>
      <c r="G869" s="7" t="str">
        <f>IF(A869=""," ",B869*VLOOKUP(A869,'01.01.2026 - 24.01.2026'!A:H,8,FALSE))</f>
        <v xml:space="preserve"> </v>
      </c>
    </row>
    <row r="870" spans="1:7" x14ac:dyDescent="0.3">
      <c r="A870" s="18"/>
      <c r="B870" s="23"/>
      <c r="C870" s="6" t="str">
        <f>IF(A870=""," ",VLOOKUP(A870,'01.01.2026 - 24.01.2026'!A:H,2,FALSE))</f>
        <v xml:space="preserve"> </v>
      </c>
      <c r="D870" s="30" t="str">
        <f>IF(A870=""," ",VLOOKUP(A870,'01.01.2026 - 24.01.2026'!A:H,5,FALSE))</f>
        <v xml:space="preserve"> </v>
      </c>
      <c r="E870" s="7" t="str">
        <f>IF(A870=""," ",B870*VLOOKUP(A870,'01.01.2026 - 24.01.2026'!A:H,6,FALSE))</f>
        <v xml:space="preserve"> </v>
      </c>
      <c r="F870" s="7" t="str">
        <f>IF(A870=""," ",B870*VLOOKUP(A870,'01.01.2026 - 24.01.2026'!A:H,7,FALSE))</f>
        <v xml:space="preserve"> </v>
      </c>
      <c r="G870" s="7" t="str">
        <f>IF(A870=""," ",B870*VLOOKUP(A870,'01.01.2026 - 24.01.2026'!A:H,8,FALSE))</f>
        <v xml:space="preserve"> </v>
      </c>
    </row>
    <row r="871" spans="1:7" x14ac:dyDescent="0.3">
      <c r="A871" s="18"/>
      <c r="B871" s="23"/>
      <c r="C871" s="6" t="str">
        <f>IF(A871=""," ",VLOOKUP(A871,'01.01.2026 - 24.01.2026'!A:H,2,FALSE))</f>
        <v xml:space="preserve"> </v>
      </c>
      <c r="D871" s="30" t="str">
        <f>IF(A871=""," ",VLOOKUP(A871,'01.01.2026 - 24.01.2026'!A:H,5,FALSE))</f>
        <v xml:space="preserve"> </v>
      </c>
      <c r="E871" s="7" t="str">
        <f>IF(A871=""," ",B871*VLOOKUP(A871,'01.01.2026 - 24.01.2026'!A:H,6,FALSE))</f>
        <v xml:space="preserve"> </v>
      </c>
      <c r="F871" s="7" t="str">
        <f>IF(A871=""," ",B871*VLOOKUP(A871,'01.01.2026 - 24.01.2026'!A:H,7,FALSE))</f>
        <v xml:space="preserve"> </v>
      </c>
      <c r="G871" s="7" t="str">
        <f>IF(A871=""," ",B871*VLOOKUP(A871,'01.01.2026 - 24.01.2026'!A:H,8,FALSE))</f>
        <v xml:space="preserve"> </v>
      </c>
    </row>
    <row r="872" spans="1:7" x14ac:dyDescent="0.3">
      <c r="A872" s="18"/>
      <c r="B872" s="23"/>
      <c r="C872" s="6" t="str">
        <f>IF(A872=""," ",VLOOKUP(A872,'01.01.2026 - 24.01.2026'!A:H,2,FALSE))</f>
        <v xml:space="preserve"> </v>
      </c>
      <c r="D872" s="30" t="str">
        <f>IF(A872=""," ",VLOOKUP(A872,'01.01.2026 - 24.01.2026'!A:H,5,FALSE))</f>
        <v xml:space="preserve"> </v>
      </c>
      <c r="E872" s="7" t="str">
        <f>IF(A872=""," ",B872*VLOOKUP(A872,'01.01.2026 - 24.01.2026'!A:H,6,FALSE))</f>
        <v xml:space="preserve"> </v>
      </c>
      <c r="F872" s="7" t="str">
        <f>IF(A872=""," ",B872*VLOOKUP(A872,'01.01.2026 - 24.01.2026'!A:H,7,FALSE))</f>
        <v xml:space="preserve"> </v>
      </c>
      <c r="G872" s="7" t="str">
        <f>IF(A872=""," ",B872*VLOOKUP(A872,'01.01.2026 - 24.01.2026'!A:H,8,FALSE))</f>
        <v xml:space="preserve"> </v>
      </c>
    </row>
    <row r="873" spans="1:7" x14ac:dyDescent="0.3">
      <c r="A873" s="18"/>
      <c r="B873" s="23"/>
      <c r="C873" s="6" t="str">
        <f>IF(A873=""," ",VLOOKUP(A873,'01.01.2026 - 24.01.2026'!A:H,2,FALSE))</f>
        <v xml:space="preserve"> </v>
      </c>
      <c r="D873" s="30" t="str">
        <f>IF(A873=""," ",VLOOKUP(A873,'01.01.2026 - 24.01.2026'!A:H,5,FALSE))</f>
        <v xml:space="preserve"> </v>
      </c>
      <c r="E873" s="7" t="str">
        <f>IF(A873=""," ",B873*VLOOKUP(A873,'01.01.2026 - 24.01.2026'!A:H,6,FALSE))</f>
        <v xml:space="preserve"> </v>
      </c>
      <c r="F873" s="7" t="str">
        <f>IF(A873=""," ",B873*VLOOKUP(A873,'01.01.2026 - 24.01.2026'!A:H,7,FALSE))</f>
        <v xml:space="preserve"> </v>
      </c>
      <c r="G873" s="7" t="str">
        <f>IF(A873=""," ",B873*VLOOKUP(A873,'01.01.2026 - 24.01.2026'!A:H,8,FALSE))</f>
        <v xml:space="preserve"> </v>
      </c>
    </row>
    <row r="874" spans="1:7" x14ac:dyDescent="0.3">
      <c r="A874" s="18"/>
      <c r="B874" s="23"/>
      <c r="C874" s="6" t="str">
        <f>IF(A874=""," ",VLOOKUP(A874,'01.01.2026 - 24.01.2026'!A:H,2,FALSE))</f>
        <v xml:space="preserve"> </v>
      </c>
      <c r="D874" s="30" t="str">
        <f>IF(A874=""," ",VLOOKUP(A874,'01.01.2026 - 24.01.2026'!A:H,5,FALSE))</f>
        <v xml:space="preserve"> </v>
      </c>
      <c r="E874" s="7" t="str">
        <f>IF(A874=""," ",B874*VLOOKUP(A874,'01.01.2026 - 24.01.2026'!A:H,6,FALSE))</f>
        <v xml:space="preserve"> </v>
      </c>
      <c r="F874" s="7" t="str">
        <f>IF(A874=""," ",B874*VLOOKUP(A874,'01.01.2026 - 24.01.2026'!A:H,7,FALSE))</f>
        <v xml:space="preserve"> </v>
      </c>
      <c r="G874" s="7" t="str">
        <f>IF(A874=""," ",B874*VLOOKUP(A874,'01.01.2026 - 24.01.2026'!A:H,8,FALSE))</f>
        <v xml:space="preserve"> </v>
      </c>
    </row>
    <row r="875" spans="1:7" x14ac:dyDescent="0.3">
      <c r="A875" s="18"/>
      <c r="B875" s="23"/>
      <c r="C875" s="6" t="str">
        <f>IF(A875=""," ",VLOOKUP(A875,'01.01.2026 - 24.01.2026'!A:H,2,FALSE))</f>
        <v xml:space="preserve"> </v>
      </c>
      <c r="D875" s="30" t="str">
        <f>IF(A875=""," ",VLOOKUP(A875,'01.01.2026 - 24.01.2026'!A:H,5,FALSE))</f>
        <v xml:space="preserve"> </v>
      </c>
      <c r="E875" s="7" t="str">
        <f>IF(A875=""," ",B875*VLOOKUP(A875,'01.01.2026 - 24.01.2026'!A:H,6,FALSE))</f>
        <v xml:space="preserve"> </v>
      </c>
      <c r="F875" s="7" t="str">
        <f>IF(A875=""," ",B875*VLOOKUP(A875,'01.01.2026 - 24.01.2026'!A:H,7,FALSE))</f>
        <v xml:space="preserve"> </v>
      </c>
      <c r="G875" s="7" t="str">
        <f>IF(A875=""," ",B875*VLOOKUP(A875,'01.01.2026 - 24.01.2026'!A:H,8,FALSE))</f>
        <v xml:space="preserve"> </v>
      </c>
    </row>
    <row r="876" spans="1:7" x14ac:dyDescent="0.3">
      <c r="A876" s="18"/>
      <c r="B876" s="23"/>
      <c r="C876" s="6" t="str">
        <f>IF(A876=""," ",VLOOKUP(A876,'01.01.2026 - 24.01.2026'!A:H,2,FALSE))</f>
        <v xml:space="preserve"> </v>
      </c>
      <c r="D876" s="30" t="str">
        <f>IF(A876=""," ",VLOOKUP(A876,'01.01.2026 - 24.01.2026'!A:H,5,FALSE))</f>
        <v xml:space="preserve"> </v>
      </c>
      <c r="E876" s="7" t="str">
        <f>IF(A876=""," ",B876*VLOOKUP(A876,'01.01.2026 - 24.01.2026'!A:H,6,FALSE))</f>
        <v xml:space="preserve"> </v>
      </c>
      <c r="F876" s="7" t="str">
        <f>IF(A876=""," ",B876*VLOOKUP(A876,'01.01.2026 - 24.01.2026'!A:H,7,FALSE))</f>
        <v xml:space="preserve"> </v>
      </c>
      <c r="G876" s="7" t="str">
        <f>IF(A876=""," ",B876*VLOOKUP(A876,'01.01.2026 - 24.01.2026'!A:H,8,FALSE))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7"/>
  <sheetViews>
    <sheetView tabSelected="1" zoomScale="68" zoomScaleNormal="68" workbookViewId="0">
      <pane ySplit="1" topLeftCell="A614" activePane="bottomLeft" state="frozen"/>
      <selection pane="bottomLeft" activeCell="D629" sqref="D629"/>
    </sheetView>
  </sheetViews>
  <sheetFormatPr defaultColWidth="9.1796875" defaultRowHeight="14" x14ac:dyDescent="0.3"/>
  <cols>
    <col min="1" max="1" width="13.1796875" style="33" customWidth="1"/>
    <col min="2" max="3" width="11.7265625" style="33" customWidth="1"/>
    <col min="4" max="4" width="12.26953125" style="34" customWidth="1"/>
    <col min="5" max="5" width="137.08984375" style="32" customWidth="1"/>
    <col min="6" max="6" width="8.453125" style="33" customWidth="1"/>
    <col min="7" max="7" width="9.1796875" style="33"/>
    <col min="8" max="8" width="11.26953125" style="33" customWidth="1"/>
    <col min="9" max="16384" width="9.1796875" style="32"/>
  </cols>
  <sheetData>
    <row r="1" spans="1:8" s="31" customFormat="1" ht="18" customHeight="1" thickBot="1" x14ac:dyDescent="0.4">
      <c r="A1" s="36" t="s">
        <v>0</v>
      </c>
      <c r="B1" s="14" t="s">
        <v>2</v>
      </c>
      <c r="C1" s="8" t="s">
        <v>11</v>
      </c>
      <c r="D1" s="8" t="s">
        <v>12</v>
      </c>
      <c r="E1" s="10" t="s">
        <v>8</v>
      </c>
      <c r="F1" s="8" t="s">
        <v>4</v>
      </c>
      <c r="G1" s="9" t="s">
        <v>5</v>
      </c>
      <c r="H1" s="9" t="s">
        <v>6</v>
      </c>
    </row>
    <row r="2" spans="1:8" s="31" customFormat="1" ht="18" customHeight="1" thickBot="1" x14ac:dyDescent="0.4">
      <c r="A2" s="38" t="s">
        <v>9</v>
      </c>
      <c r="B2" s="39"/>
      <c r="C2" s="39"/>
      <c r="D2" s="40"/>
      <c r="E2" s="43"/>
      <c r="F2" s="41"/>
      <c r="G2" s="42"/>
      <c r="H2" s="60"/>
    </row>
    <row r="3" spans="1:8" x14ac:dyDescent="0.3">
      <c r="A3" s="68" t="s">
        <v>1669</v>
      </c>
      <c r="B3" s="69">
        <v>0.57096774193548405</v>
      </c>
      <c r="C3" s="70" t="s">
        <v>480</v>
      </c>
      <c r="E3" s="44" t="s">
        <v>1392</v>
      </c>
      <c r="F3" s="71">
        <v>4</v>
      </c>
      <c r="G3" s="72">
        <v>249</v>
      </c>
      <c r="H3" s="73">
        <v>399</v>
      </c>
    </row>
    <row r="4" spans="1:8" x14ac:dyDescent="0.3">
      <c r="A4" s="68" t="s">
        <v>1670</v>
      </c>
      <c r="B4" s="69">
        <v>0.26755852842809402</v>
      </c>
      <c r="C4" s="70" t="s">
        <v>649</v>
      </c>
      <c r="D4" s="62"/>
      <c r="E4" s="44" t="s">
        <v>1393</v>
      </c>
      <c r="F4" s="71">
        <v>2</v>
      </c>
      <c r="G4" s="72">
        <v>68</v>
      </c>
      <c r="H4" s="73">
        <v>219</v>
      </c>
    </row>
    <row r="5" spans="1:8" x14ac:dyDescent="0.3">
      <c r="A5" s="68" t="s">
        <v>1671</v>
      </c>
      <c r="B5" s="69"/>
      <c r="C5" s="70" t="s">
        <v>1391</v>
      </c>
      <c r="D5" s="62"/>
      <c r="E5" s="44" t="s">
        <v>1394</v>
      </c>
      <c r="F5" s="71">
        <v>9</v>
      </c>
      <c r="G5" s="72">
        <v>281</v>
      </c>
      <c r="H5" s="73">
        <v>899</v>
      </c>
    </row>
    <row r="6" spans="1:8" ht="14.5" thickBot="1" x14ac:dyDescent="0.35">
      <c r="A6" s="79" t="s">
        <v>1672</v>
      </c>
      <c r="B6" s="80"/>
      <c r="C6" s="81" t="s">
        <v>600</v>
      </c>
      <c r="D6" s="62"/>
      <c r="E6" s="82" t="s">
        <v>1395</v>
      </c>
      <c r="F6" s="83">
        <v>9</v>
      </c>
      <c r="G6" s="84">
        <v>281</v>
      </c>
      <c r="H6" s="85">
        <v>899</v>
      </c>
    </row>
    <row r="7" spans="1:8" ht="14.5" thickBot="1" x14ac:dyDescent="0.35">
      <c r="A7" s="38" t="s">
        <v>10</v>
      </c>
      <c r="B7" s="39"/>
      <c r="C7" s="39"/>
      <c r="D7" s="40"/>
      <c r="E7" s="43"/>
      <c r="F7" s="41"/>
      <c r="G7" s="42"/>
      <c r="H7" s="60"/>
    </row>
    <row r="8" spans="1:8" ht="14.5" thickBot="1" x14ac:dyDescent="0.35">
      <c r="A8" s="38" t="s">
        <v>22</v>
      </c>
      <c r="B8" s="39"/>
      <c r="C8" s="39"/>
      <c r="D8" s="40"/>
      <c r="E8" s="43" t="s">
        <v>32</v>
      </c>
      <c r="F8" s="41"/>
      <c r="G8" s="42"/>
      <c r="H8" s="60"/>
    </row>
    <row r="9" spans="1:8" x14ac:dyDescent="0.3">
      <c r="A9" s="86" t="s">
        <v>241</v>
      </c>
      <c r="B9" s="69"/>
      <c r="C9" s="70" t="s">
        <v>387</v>
      </c>
      <c r="E9" s="44" t="s">
        <v>34</v>
      </c>
      <c r="F9" s="71">
        <v>23</v>
      </c>
      <c r="G9" s="72">
        <v>1531</v>
      </c>
      <c r="H9" s="73">
        <v>2450</v>
      </c>
    </row>
    <row r="10" spans="1:8" x14ac:dyDescent="0.3">
      <c r="A10" s="87" t="s">
        <v>242</v>
      </c>
      <c r="B10" s="69"/>
      <c r="C10" s="70" t="s">
        <v>98</v>
      </c>
      <c r="D10" s="62"/>
      <c r="E10" s="44" t="s">
        <v>419</v>
      </c>
      <c r="F10" s="71">
        <v>52</v>
      </c>
      <c r="G10" s="72">
        <v>3406</v>
      </c>
      <c r="H10" s="73">
        <v>5450</v>
      </c>
    </row>
    <row r="11" spans="1:8" x14ac:dyDescent="0.3">
      <c r="A11" s="87" t="s">
        <v>243</v>
      </c>
      <c r="B11" s="69"/>
      <c r="C11" s="70" t="s">
        <v>98</v>
      </c>
      <c r="D11" s="62"/>
      <c r="E11" s="44" t="s">
        <v>420</v>
      </c>
      <c r="F11" s="71">
        <v>52</v>
      </c>
      <c r="G11" s="72">
        <v>3406</v>
      </c>
      <c r="H11" s="73">
        <v>5450</v>
      </c>
    </row>
    <row r="12" spans="1:8" x14ac:dyDescent="0.3">
      <c r="A12" s="87" t="s">
        <v>244</v>
      </c>
      <c r="B12" s="69"/>
      <c r="C12" s="70" t="s">
        <v>98</v>
      </c>
      <c r="D12" s="62"/>
      <c r="E12" s="44" t="s">
        <v>421</v>
      </c>
      <c r="F12" s="71">
        <v>52</v>
      </c>
      <c r="G12" s="72">
        <v>3406</v>
      </c>
      <c r="H12" s="73">
        <v>5450</v>
      </c>
    </row>
    <row r="13" spans="1:8" x14ac:dyDescent="0.3">
      <c r="A13" s="87" t="s">
        <v>245</v>
      </c>
      <c r="B13" s="69"/>
      <c r="C13" s="70" t="s">
        <v>108</v>
      </c>
      <c r="D13" s="62"/>
      <c r="E13" s="44" t="s">
        <v>18</v>
      </c>
      <c r="F13" s="71">
        <v>26</v>
      </c>
      <c r="G13" s="72">
        <v>1687</v>
      </c>
      <c r="H13" s="73">
        <v>2700</v>
      </c>
    </row>
    <row r="14" spans="1:8" x14ac:dyDescent="0.3">
      <c r="A14" s="87" t="s">
        <v>246</v>
      </c>
      <c r="B14" s="69"/>
      <c r="C14" s="70" t="s">
        <v>516</v>
      </c>
      <c r="D14" s="62"/>
      <c r="E14" s="44" t="s">
        <v>36</v>
      </c>
      <c r="F14" s="71">
        <v>32</v>
      </c>
      <c r="G14" s="72">
        <v>2062</v>
      </c>
      <c r="H14" s="73">
        <v>3300</v>
      </c>
    </row>
    <row r="15" spans="1:8" x14ac:dyDescent="0.3">
      <c r="A15" s="87" t="s">
        <v>247</v>
      </c>
      <c r="B15" s="69"/>
      <c r="C15" s="70" t="s">
        <v>516</v>
      </c>
      <c r="D15" s="62"/>
      <c r="E15" s="44" t="s">
        <v>19</v>
      </c>
      <c r="F15" s="71">
        <v>32</v>
      </c>
      <c r="G15" s="72">
        <v>2062</v>
      </c>
      <c r="H15" s="73">
        <v>3300</v>
      </c>
    </row>
    <row r="16" spans="1:8" x14ac:dyDescent="0.3">
      <c r="A16" s="87" t="s">
        <v>248</v>
      </c>
      <c r="B16" s="69"/>
      <c r="C16" s="70" t="s">
        <v>516</v>
      </c>
      <c r="D16" s="62"/>
      <c r="E16" s="44" t="s">
        <v>20</v>
      </c>
      <c r="F16" s="71">
        <v>32</v>
      </c>
      <c r="G16" s="72">
        <v>2062</v>
      </c>
      <c r="H16" s="73">
        <v>3300</v>
      </c>
    </row>
    <row r="17" spans="1:8" x14ac:dyDescent="0.3">
      <c r="A17" s="87" t="s">
        <v>249</v>
      </c>
      <c r="B17" s="69"/>
      <c r="C17" s="70" t="s">
        <v>58</v>
      </c>
      <c r="D17" s="62"/>
      <c r="E17" s="44" t="s">
        <v>37</v>
      </c>
      <c r="F17" s="71">
        <v>50</v>
      </c>
      <c r="G17" s="72">
        <v>3218</v>
      </c>
      <c r="H17" s="73">
        <v>5150</v>
      </c>
    </row>
    <row r="18" spans="1:8" x14ac:dyDescent="0.3">
      <c r="A18" s="87" t="s">
        <v>250</v>
      </c>
      <c r="B18" s="69"/>
      <c r="C18" s="70" t="s">
        <v>58</v>
      </c>
      <c r="D18" s="62"/>
      <c r="E18" s="44" t="s">
        <v>38</v>
      </c>
      <c r="F18" s="71">
        <v>50</v>
      </c>
      <c r="G18" s="72">
        <v>3218</v>
      </c>
      <c r="H18" s="73">
        <v>5150</v>
      </c>
    </row>
    <row r="19" spans="1:8" x14ac:dyDescent="0.3">
      <c r="A19" s="87" t="s">
        <v>251</v>
      </c>
      <c r="B19" s="69"/>
      <c r="C19" s="70" t="s">
        <v>982</v>
      </c>
      <c r="D19" s="62"/>
      <c r="E19" s="44" t="s">
        <v>39</v>
      </c>
      <c r="F19" s="71">
        <v>70</v>
      </c>
      <c r="G19" s="72">
        <v>4156</v>
      </c>
      <c r="H19" s="73">
        <v>6650</v>
      </c>
    </row>
    <row r="20" spans="1:8" x14ac:dyDescent="0.3">
      <c r="A20" s="87" t="s">
        <v>916</v>
      </c>
      <c r="B20" s="69"/>
      <c r="C20" s="70" t="s">
        <v>516</v>
      </c>
      <c r="D20" s="62"/>
      <c r="E20" s="44" t="s">
        <v>858</v>
      </c>
      <c r="F20" s="71">
        <v>19</v>
      </c>
      <c r="G20" s="72">
        <v>1219</v>
      </c>
      <c r="H20" s="73">
        <v>1950</v>
      </c>
    </row>
    <row r="21" spans="1:8" x14ac:dyDescent="0.3">
      <c r="A21" s="88" t="s">
        <v>252</v>
      </c>
      <c r="B21" s="69"/>
      <c r="C21" s="70" t="s">
        <v>516</v>
      </c>
      <c r="D21" s="62"/>
      <c r="E21" s="90" t="s">
        <v>40</v>
      </c>
      <c r="F21" s="71">
        <v>22</v>
      </c>
      <c r="G21" s="72">
        <v>1437</v>
      </c>
      <c r="H21" s="73">
        <v>2300</v>
      </c>
    </row>
    <row r="22" spans="1:8" x14ac:dyDescent="0.3">
      <c r="A22" s="86" t="s">
        <v>1590</v>
      </c>
      <c r="B22" s="69">
        <v>0.23857142857142899</v>
      </c>
      <c r="C22" s="70" t="s">
        <v>79</v>
      </c>
      <c r="D22" s="62"/>
      <c r="E22" s="44" t="s">
        <v>1397</v>
      </c>
      <c r="F22" s="71">
        <v>15</v>
      </c>
      <c r="G22" s="72">
        <v>999</v>
      </c>
      <c r="H22" s="73">
        <v>1599</v>
      </c>
    </row>
    <row r="23" spans="1:8" x14ac:dyDescent="0.3">
      <c r="A23" s="86" t="s">
        <v>1591</v>
      </c>
      <c r="B23" s="69">
        <v>0.245660377358491</v>
      </c>
      <c r="C23" s="70" t="s">
        <v>79</v>
      </c>
      <c r="D23" s="62"/>
      <c r="E23" s="44" t="s">
        <v>1398</v>
      </c>
      <c r="F23" s="71">
        <v>19</v>
      </c>
      <c r="G23" s="72">
        <v>1250</v>
      </c>
      <c r="H23" s="73">
        <v>1999</v>
      </c>
    </row>
    <row r="24" spans="1:8" x14ac:dyDescent="0.3">
      <c r="A24" s="86" t="s">
        <v>744</v>
      </c>
      <c r="B24" s="69"/>
      <c r="C24" s="70" t="s">
        <v>22</v>
      </c>
      <c r="D24" s="62"/>
      <c r="E24" s="44" t="s">
        <v>642</v>
      </c>
      <c r="F24" s="71">
        <v>20</v>
      </c>
      <c r="G24" s="72">
        <v>1312</v>
      </c>
      <c r="H24" s="73">
        <v>2100</v>
      </c>
    </row>
    <row r="25" spans="1:8" x14ac:dyDescent="0.3">
      <c r="A25" s="86" t="s">
        <v>1303</v>
      </c>
      <c r="B25" s="69">
        <v>0.28999999999999998</v>
      </c>
      <c r="C25" s="70" t="s">
        <v>79</v>
      </c>
      <c r="D25" s="62"/>
      <c r="E25" s="44" t="s">
        <v>1190</v>
      </c>
      <c r="F25" s="71">
        <v>13</v>
      </c>
      <c r="G25" s="72">
        <v>843</v>
      </c>
      <c r="H25" s="73">
        <v>1349</v>
      </c>
    </row>
    <row r="26" spans="1:8" x14ac:dyDescent="0.3">
      <c r="A26" s="86" t="s">
        <v>1673</v>
      </c>
      <c r="B26" s="69">
        <v>0.242068965517241</v>
      </c>
      <c r="C26" s="70" t="s">
        <v>79</v>
      </c>
      <c r="D26" s="62"/>
      <c r="E26" s="44" t="s">
        <v>1399</v>
      </c>
      <c r="F26" s="71">
        <v>11</v>
      </c>
      <c r="G26" s="72">
        <v>687</v>
      </c>
      <c r="H26" s="73">
        <v>1099</v>
      </c>
    </row>
    <row r="27" spans="1:8" x14ac:dyDescent="0.3">
      <c r="A27" s="86" t="s">
        <v>1674</v>
      </c>
      <c r="B27" s="69">
        <v>0.34636363636363598</v>
      </c>
      <c r="C27" s="70" t="s">
        <v>458</v>
      </c>
      <c r="D27" s="62"/>
      <c r="E27" s="44" t="s">
        <v>1400</v>
      </c>
      <c r="F27" s="71">
        <v>7</v>
      </c>
      <c r="G27" s="72">
        <v>449</v>
      </c>
      <c r="H27" s="73">
        <v>719</v>
      </c>
    </row>
    <row r="28" spans="1:8" x14ac:dyDescent="0.3">
      <c r="A28" s="89" t="s">
        <v>253</v>
      </c>
      <c r="B28" s="69"/>
      <c r="C28" s="70" t="s">
        <v>516</v>
      </c>
      <c r="D28" s="62"/>
      <c r="E28" s="11" t="s">
        <v>44</v>
      </c>
      <c r="F28" s="71">
        <v>39</v>
      </c>
      <c r="G28" s="72">
        <v>2562</v>
      </c>
      <c r="H28" s="73">
        <v>4100</v>
      </c>
    </row>
    <row r="29" spans="1:8" x14ac:dyDescent="0.3">
      <c r="A29" s="86" t="s">
        <v>745</v>
      </c>
      <c r="B29" s="69">
        <v>0.352413793103448</v>
      </c>
      <c r="C29" s="70" t="s">
        <v>422</v>
      </c>
      <c r="D29" s="62"/>
      <c r="E29" s="44" t="s">
        <v>643</v>
      </c>
      <c r="F29" s="71">
        <v>9</v>
      </c>
      <c r="G29" s="72">
        <v>587</v>
      </c>
      <c r="H29" s="73">
        <v>939</v>
      </c>
    </row>
    <row r="30" spans="1:8" x14ac:dyDescent="0.3">
      <c r="A30" s="87" t="s">
        <v>254</v>
      </c>
      <c r="B30" s="69"/>
      <c r="C30" s="70" t="s">
        <v>368</v>
      </c>
      <c r="D30" s="62"/>
      <c r="E30" s="44" t="s">
        <v>45</v>
      </c>
      <c r="F30" s="71">
        <v>70</v>
      </c>
      <c r="G30" s="72">
        <v>4156</v>
      </c>
      <c r="H30" s="73">
        <v>6650</v>
      </c>
    </row>
    <row r="31" spans="1:8" x14ac:dyDescent="0.3">
      <c r="A31" s="87" t="s">
        <v>255</v>
      </c>
      <c r="B31" s="69"/>
      <c r="C31" s="70" t="s">
        <v>368</v>
      </c>
      <c r="D31" s="62"/>
      <c r="E31" s="44" t="s">
        <v>46</v>
      </c>
      <c r="F31" s="71">
        <v>70</v>
      </c>
      <c r="G31" s="72">
        <v>4156</v>
      </c>
      <c r="H31" s="73">
        <v>6650</v>
      </c>
    </row>
    <row r="32" spans="1:8" x14ac:dyDescent="0.3">
      <c r="A32" s="89" t="s">
        <v>256</v>
      </c>
      <c r="B32" s="69"/>
      <c r="C32" s="70" t="s">
        <v>516</v>
      </c>
      <c r="D32" s="62"/>
      <c r="E32" s="11" t="s">
        <v>47</v>
      </c>
      <c r="F32" s="71">
        <v>26</v>
      </c>
      <c r="G32" s="72">
        <v>1687</v>
      </c>
      <c r="H32" s="73">
        <v>2700</v>
      </c>
    </row>
    <row r="33" spans="1:8" x14ac:dyDescent="0.3">
      <c r="A33" s="89" t="s">
        <v>257</v>
      </c>
      <c r="B33" s="69">
        <v>0.40777777777777802</v>
      </c>
      <c r="C33" s="70" t="s">
        <v>54</v>
      </c>
      <c r="D33" s="62"/>
      <c r="E33" s="44" t="s">
        <v>48</v>
      </c>
      <c r="F33" s="71">
        <v>15</v>
      </c>
      <c r="G33" s="72">
        <v>999</v>
      </c>
      <c r="H33" s="73">
        <v>1599</v>
      </c>
    </row>
    <row r="34" spans="1:8" x14ac:dyDescent="0.3">
      <c r="A34" s="89" t="s">
        <v>401</v>
      </c>
      <c r="B34" s="69"/>
      <c r="C34" s="70" t="s">
        <v>54</v>
      </c>
      <c r="D34" s="62"/>
      <c r="E34" s="44" t="s">
        <v>385</v>
      </c>
      <c r="F34" s="71">
        <v>1</v>
      </c>
      <c r="G34" s="72">
        <v>46</v>
      </c>
      <c r="H34" s="73">
        <v>149</v>
      </c>
    </row>
    <row r="35" spans="1:8" x14ac:dyDescent="0.3">
      <c r="A35" s="89" t="s">
        <v>917</v>
      </c>
      <c r="B35" s="69"/>
      <c r="C35" s="70" t="s">
        <v>982</v>
      </c>
      <c r="D35" s="62"/>
      <c r="E35" s="44" t="s">
        <v>49</v>
      </c>
      <c r="F35" s="71">
        <v>15</v>
      </c>
      <c r="G35" s="72">
        <v>500</v>
      </c>
      <c r="H35" s="73">
        <v>1599</v>
      </c>
    </row>
    <row r="36" spans="1:8" x14ac:dyDescent="0.3">
      <c r="A36" s="89" t="s">
        <v>1304</v>
      </c>
      <c r="B36" s="69">
        <v>0.39815533980582501</v>
      </c>
      <c r="C36" s="70" t="s">
        <v>427</v>
      </c>
      <c r="D36" s="62"/>
      <c r="E36" s="44" t="s">
        <v>1191</v>
      </c>
      <c r="F36" s="71">
        <v>59</v>
      </c>
      <c r="G36" s="72">
        <v>3875</v>
      </c>
      <c r="H36" s="73">
        <v>6199</v>
      </c>
    </row>
    <row r="37" spans="1:8" x14ac:dyDescent="0.3">
      <c r="A37" s="89" t="s">
        <v>501</v>
      </c>
      <c r="B37" s="69">
        <v>0.40010526315789502</v>
      </c>
      <c r="C37" s="70" t="s">
        <v>1396</v>
      </c>
      <c r="D37" s="62"/>
      <c r="E37" s="44" t="s">
        <v>528</v>
      </c>
      <c r="F37" s="71">
        <v>65</v>
      </c>
      <c r="G37" s="72">
        <v>3562</v>
      </c>
      <c r="H37" s="73">
        <v>5699</v>
      </c>
    </row>
    <row r="38" spans="1:8" x14ac:dyDescent="0.3">
      <c r="A38" s="89" t="s">
        <v>574</v>
      </c>
      <c r="B38" s="69">
        <v>0.401089108910891</v>
      </c>
      <c r="C38" s="70" t="s">
        <v>427</v>
      </c>
      <c r="D38" s="62"/>
      <c r="E38" s="44" t="s">
        <v>553</v>
      </c>
      <c r="F38" s="71">
        <v>58</v>
      </c>
      <c r="G38" s="72">
        <v>3781</v>
      </c>
      <c r="H38" s="73">
        <v>6049</v>
      </c>
    </row>
    <row r="39" spans="1:8" ht="14.5" thickBot="1" x14ac:dyDescent="0.35">
      <c r="A39" s="91" t="s">
        <v>1675</v>
      </c>
      <c r="B39" s="80">
        <v>0.40338709677419399</v>
      </c>
      <c r="C39" s="81" t="s">
        <v>645</v>
      </c>
      <c r="D39" s="62"/>
      <c r="E39" s="98" t="s">
        <v>1401</v>
      </c>
      <c r="F39" s="83">
        <v>42</v>
      </c>
      <c r="G39" s="84">
        <v>2312</v>
      </c>
      <c r="H39" s="85">
        <v>3699</v>
      </c>
    </row>
    <row r="40" spans="1:8" ht="14.5" thickBot="1" x14ac:dyDescent="0.35">
      <c r="A40" s="38" t="s">
        <v>22</v>
      </c>
      <c r="B40" s="39"/>
      <c r="C40" s="39"/>
      <c r="D40" s="40"/>
      <c r="E40" s="43" t="s">
        <v>50</v>
      </c>
      <c r="F40" s="41"/>
      <c r="G40" s="42"/>
      <c r="H40" s="60"/>
    </row>
    <row r="41" spans="1:8" ht="14.5" thickBot="1" x14ac:dyDescent="0.35">
      <c r="A41" s="38" t="s">
        <v>22</v>
      </c>
      <c r="B41" s="39"/>
      <c r="C41" s="39"/>
      <c r="D41" s="40"/>
      <c r="E41" s="43" t="s">
        <v>51</v>
      </c>
      <c r="F41" s="41"/>
      <c r="G41" s="42"/>
      <c r="H41" s="60"/>
    </row>
    <row r="42" spans="1:8" x14ac:dyDescent="0.3">
      <c r="A42" s="86" t="s">
        <v>746</v>
      </c>
      <c r="B42" s="69">
        <v>0.53888888888888897</v>
      </c>
      <c r="C42" s="70" t="s">
        <v>367</v>
      </c>
      <c r="E42" s="44" t="s">
        <v>650</v>
      </c>
      <c r="F42" s="71">
        <v>2</v>
      </c>
      <c r="G42" s="72">
        <v>156</v>
      </c>
      <c r="H42" s="73">
        <v>249</v>
      </c>
    </row>
    <row r="43" spans="1:8" x14ac:dyDescent="0.3">
      <c r="A43" s="86" t="s">
        <v>747</v>
      </c>
      <c r="B43" s="69">
        <v>0.53888888888888897</v>
      </c>
      <c r="C43" s="70" t="s">
        <v>367</v>
      </c>
      <c r="D43" s="62"/>
      <c r="E43" s="44" t="s">
        <v>651</v>
      </c>
      <c r="F43" s="71">
        <v>2</v>
      </c>
      <c r="G43" s="72">
        <v>156</v>
      </c>
      <c r="H43" s="73">
        <v>249</v>
      </c>
    </row>
    <row r="44" spans="1:8" x14ac:dyDescent="0.3">
      <c r="A44" s="86" t="s">
        <v>748</v>
      </c>
      <c r="B44" s="69">
        <v>0.53888888888888897</v>
      </c>
      <c r="C44" s="70" t="s">
        <v>367</v>
      </c>
      <c r="D44" s="62"/>
      <c r="E44" s="44" t="s">
        <v>652</v>
      </c>
      <c r="F44" s="71">
        <v>2</v>
      </c>
      <c r="G44" s="72">
        <v>156</v>
      </c>
      <c r="H44" s="73">
        <v>249</v>
      </c>
    </row>
    <row r="45" spans="1:8" x14ac:dyDescent="0.3">
      <c r="A45" s="86" t="s">
        <v>749</v>
      </c>
      <c r="B45" s="69">
        <v>0.53888888888888897</v>
      </c>
      <c r="C45" s="70" t="s">
        <v>367</v>
      </c>
      <c r="D45" s="62"/>
      <c r="E45" s="44" t="s">
        <v>653</v>
      </c>
      <c r="F45" s="71">
        <v>2</v>
      </c>
      <c r="G45" s="72">
        <v>156</v>
      </c>
      <c r="H45" s="73">
        <v>249</v>
      </c>
    </row>
    <row r="46" spans="1:8" x14ac:dyDescent="0.3">
      <c r="A46" s="86" t="s">
        <v>750</v>
      </c>
      <c r="B46" s="69">
        <v>0.53888888888888897</v>
      </c>
      <c r="C46" s="70" t="s">
        <v>367</v>
      </c>
      <c r="D46" s="62"/>
      <c r="E46" s="44" t="s">
        <v>654</v>
      </c>
      <c r="F46" s="71">
        <v>2</v>
      </c>
      <c r="G46" s="72">
        <v>156</v>
      </c>
      <c r="H46" s="73">
        <v>249</v>
      </c>
    </row>
    <row r="47" spans="1:8" x14ac:dyDescent="0.3">
      <c r="A47" s="86" t="s">
        <v>751</v>
      </c>
      <c r="B47" s="69">
        <v>0.53888888888888897</v>
      </c>
      <c r="C47" s="70" t="s">
        <v>367</v>
      </c>
      <c r="D47" s="62"/>
      <c r="E47" s="44" t="s">
        <v>655</v>
      </c>
      <c r="F47" s="71">
        <v>2</v>
      </c>
      <c r="G47" s="72">
        <v>156</v>
      </c>
      <c r="H47" s="73">
        <v>249</v>
      </c>
    </row>
    <row r="48" spans="1:8" x14ac:dyDescent="0.3">
      <c r="A48" s="86" t="s">
        <v>752</v>
      </c>
      <c r="B48" s="69">
        <v>0.53888888888888897</v>
      </c>
      <c r="C48" s="70" t="s">
        <v>367</v>
      </c>
      <c r="D48" s="62"/>
      <c r="E48" s="44" t="s">
        <v>656</v>
      </c>
      <c r="F48" s="71">
        <v>2</v>
      </c>
      <c r="G48" s="72">
        <v>156</v>
      </c>
      <c r="H48" s="73">
        <v>249</v>
      </c>
    </row>
    <row r="49" spans="1:8" x14ac:dyDescent="0.3">
      <c r="A49" s="86" t="s">
        <v>1676</v>
      </c>
      <c r="B49" s="69">
        <v>0.45221238938053099</v>
      </c>
      <c r="C49" s="70" t="s">
        <v>859</v>
      </c>
      <c r="D49" s="62"/>
      <c r="E49" s="44" t="s">
        <v>1417</v>
      </c>
      <c r="F49" s="71">
        <v>6</v>
      </c>
      <c r="G49" s="72">
        <v>387</v>
      </c>
      <c r="H49" s="73">
        <v>619</v>
      </c>
    </row>
    <row r="50" spans="1:8" x14ac:dyDescent="0.3">
      <c r="A50" s="86" t="s">
        <v>1677</v>
      </c>
      <c r="B50" s="69">
        <v>0.45221238938053099</v>
      </c>
      <c r="C50" s="70" t="s">
        <v>859</v>
      </c>
      <c r="D50" s="62"/>
      <c r="E50" s="44" t="s">
        <v>1418</v>
      </c>
      <c r="F50" s="71">
        <v>6</v>
      </c>
      <c r="G50" s="72">
        <v>387</v>
      </c>
      <c r="H50" s="73">
        <v>619</v>
      </c>
    </row>
    <row r="51" spans="1:8" x14ac:dyDescent="0.3">
      <c r="A51" s="86" t="s">
        <v>1678</v>
      </c>
      <c r="B51" s="69">
        <v>0.45221238938053099</v>
      </c>
      <c r="C51" s="70" t="s">
        <v>859</v>
      </c>
      <c r="D51" s="62"/>
      <c r="E51" s="44" t="s">
        <v>1419</v>
      </c>
      <c r="F51" s="71">
        <v>6</v>
      </c>
      <c r="G51" s="72">
        <v>387</v>
      </c>
      <c r="H51" s="73">
        <v>619</v>
      </c>
    </row>
    <row r="52" spans="1:8" x14ac:dyDescent="0.3">
      <c r="A52" s="86" t="s">
        <v>1679</v>
      </c>
      <c r="B52" s="69">
        <v>0.45221238938053099</v>
      </c>
      <c r="C52" s="70" t="s">
        <v>859</v>
      </c>
      <c r="D52" s="62"/>
      <c r="E52" s="44" t="s">
        <v>1420</v>
      </c>
      <c r="F52" s="71">
        <v>6</v>
      </c>
      <c r="G52" s="72">
        <v>387</v>
      </c>
      <c r="H52" s="73">
        <v>619</v>
      </c>
    </row>
    <row r="53" spans="1:8" x14ac:dyDescent="0.3">
      <c r="A53" s="86" t="s">
        <v>1680</v>
      </c>
      <c r="B53" s="69">
        <v>0.45221238938053099</v>
      </c>
      <c r="C53" s="70" t="s">
        <v>859</v>
      </c>
      <c r="D53" s="62"/>
      <c r="E53" s="44" t="s">
        <v>1421</v>
      </c>
      <c r="F53" s="71">
        <v>6</v>
      </c>
      <c r="G53" s="72">
        <v>387</v>
      </c>
      <c r="H53" s="73">
        <v>619</v>
      </c>
    </row>
    <row r="54" spans="1:8" x14ac:dyDescent="0.3">
      <c r="A54" s="86" t="s">
        <v>1681</v>
      </c>
      <c r="B54" s="69">
        <v>0.45221238938053099</v>
      </c>
      <c r="C54" s="70" t="s">
        <v>859</v>
      </c>
      <c r="D54" s="62"/>
      <c r="E54" s="44" t="s">
        <v>1422</v>
      </c>
      <c r="F54" s="71">
        <v>6</v>
      </c>
      <c r="G54" s="72">
        <v>387</v>
      </c>
      <c r="H54" s="73">
        <v>619</v>
      </c>
    </row>
    <row r="55" spans="1:8" x14ac:dyDescent="0.3">
      <c r="A55" s="86" t="s">
        <v>1682</v>
      </c>
      <c r="B55" s="69">
        <v>0.45221238938053099</v>
      </c>
      <c r="C55" s="70" t="s">
        <v>859</v>
      </c>
      <c r="D55" s="62"/>
      <c r="E55" s="44" t="s">
        <v>1423</v>
      </c>
      <c r="F55" s="71">
        <v>6</v>
      </c>
      <c r="G55" s="72">
        <v>387</v>
      </c>
      <c r="H55" s="73">
        <v>619</v>
      </c>
    </row>
    <row r="56" spans="1:8" x14ac:dyDescent="0.3">
      <c r="A56" s="86" t="s">
        <v>1683</v>
      </c>
      <c r="B56" s="69">
        <v>0.45221238938053099</v>
      </c>
      <c r="C56" s="70" t="s">
        <v>859</v>
      </c>
      <c r="D56" s="62"/>
      <c r="E56" s="44" t="s">
        <v>1424</v>
      </c>
      <c r="F56" s="71">
        <v>6</v>
      </c>
      <c r="G56" s="72">
        <v>387</v>
      </c>
      <c r="H56" s="73">
        <v>619</v>
      </c>
    </row>
    <row r="57" spans="1:8" x14ac:dyDescent="0.3">
      <c r="A57" s="86" t="s">
        <v>588</v>
      </c>
      <c r="B57" s="69">
        <v>0.50111111111111095</v>
      </c>
      <c r="C57" s="70" t="s">
        <v>462</v>
      </c>
      <c r="D57" s="62"/>
      <c r="E57" s="44" t="s">
        <v>581</v>
      </c>
      <c r="F57" s="71">
        <v>4</v>
      </c>
      <c r="G57" s="72">
        <v>280</v>
      </c>
      <c r="H57" s="73">
        <v>449</v>
      </c>
    </row>
    <row r="58" spans="1:8" x14ac:dyDescent="0.3">
      <c r="A58" s="86" t="s">
        <v>589</v>
      </c>
      <c r="B58" s="69">
        <v>0.50111111111111095</v>
      </c>
      <c r="C58" s="70" t="s">
        <v>462</v>
      </c>
      <c r="D58" s="62"/>
      <c r="E58" s="44" t="s">
        <v>1065</v>
      </c>
      <c r="F58" s="71">
        <v>4</v>
      </c>
      <c r="G58" s="72">
        <v>280</v>
      </c>
      <c r="H58" s="73">
        <v>449</v>
      </c>
    </row>
    <row r="59" spans="1:8" x14ac:dyDescent="0.3">
      <c r="A59" s="86" t="s">
        <v>590</v>
      </c>
      <c r="B59" s="69">
        <v>0.50111111111111095</v>
      </c>
      <c r="C59" s="70" t="s">
        <v>462</v>
      </c>
      <c r="D59" s="62"/>
      <c r="E59" s="44" t="s">
        <v>1066</v>
      </c>
      <c r="F59" s="71">
        <v>4</v>
      </c>
      <c r="G59" s="72">
        <v>280</v>
      </c>
      <c r="H59" s="73">
        <v>449</v>
      </c>
    </row>
    <row r="60" spans="1:8" x14ac:dyDescent="0.3">
      <c r="A60" s="86" t="s">
        <v>1684</v>
      </c>
      <c r="B60" s="69">
        <v>0.53888888888888897</v>
      </c>
      <c r="C60" s="70" t="s">
        <v>483</v>
      </c>
      <c r="D60" s="62"/>
      <c r="E60" s="44" t="s">
        <v>1425</v>
      </c>
      <c r="F60" s="71">
        <v>2</v>
      </c>
      <c r="G60" s="72">
        <v>156</v>
      </c>
      <c r="H60" s="73">
        <v>249</v>
      </c>
    </row>
    <row r="61" spans="1:8" x14ac:dyDescent="0.3">
      <c r="A61" s="86" t="s">
        <v>1685</v>
      </c>
      <c r="B61" s="69">
        <v>0.53888888888888897</v>
      </c>
      <c r="C61" s="70" t="s">
        <v>483</v>
      </c>
      <c r="D61" s="62"/>
      <c r="E61" s="44" t="s">
        <v>1426</v>
      </c>
      <c r="F61" s="71">
        <v>2</v>
      </c>
      <c r="G61" s="72">
        <v>156</v>
      </c>
      <c r="H61" s="73">
        <v>249</v>
      </c>
    </row>
    <row r="62" spans="1:8" x14ac:dyDescent="0.3">
      <c r="A62" s="86" t="s">
        <v>1686</v>
      </c>
      <c r="B62" s="69">
        <v>0.53888888888888897</v>
      </c>
      <c r="C62" s="70" t="s">
        <v>483</v>
      </c>
      <c r="D62" s="62"/>
      <c r="E62" s="44" t="s">
        <v>1427</v>
      </c>
      <c r="F62" s="71">
        <v>2</v>
      </c>
      <c r="G62" s="72">
        <v>156</v>
      </c>
      <c r="H62" s="73">
        <v>249</v>
      </c>
    </row>
    <row r="63" spans="1:8" x14ac:dyDescent="0.3">
      <c r="A63" s="86" t="s">
        <v>1687</v>
      </c>
      <c r="B63" s="69">
        <v>0.53888888888888897</v>
      </c>
      <c r="C63" s="70" t="s">
        <v>483</v>
      </c>
      <c r="D63" s="62"/>
      <c r="E63" s="44" t="s">
        <v>1428</v>
      </c>
      <c r="F63" s="71">
        <v>2</v>
      </c>
      <c r="G63" s="72">
        <v>156</v>
      </c>
      <c r="H63" s="73">
        <v>249</v>
      </c>
    </row>
    <row r="64" spans="1:8" x14ac:dyDescent="0.3">
      <c r="A64" s="86" t="s">
        <v>764</v>
      </c>
      <c r="B64" s="69">
        <v>0.53888888888888897</v>
      </c>
      <c r="C64" s="70" t="s">
        <v>155</v>
      </c>
      <c r="D64" s="62"/>
      <c r="E64" s="44" t="s">
        <v>1429</v>
      </c>
      <c r="F64" s="71">
        <v>2</v>
      </c>
      <c r="G64" s="72">
        <v>156</v>
      </c>
      <c r="H64" s="73">
        <v>249</v>
      </c>
    </row>
    <row r="65" spans="1:8" x14ac:dyDescent="0.3">
      <c r="A65" s="86" t="s">
        <v>765</v>
      </c>
      <c r="B65" s="69">
        <v>0.53888888888888897</v>
      </c>
      <c r="C65" s="70" t="s">
        <v>155</v>
      </c>
      <c r="D65" s="62"/>
      <c r="E65" s="44" t="s">
        <v>666</v>
      </c>
      <c r="F65" s="71">
        <v>2</v>
      </c>
      <c r="G65" s="72">
        <v>156</v>
      </c>
      <c r="H65" s="73">
        <v>249</v>
      </c>
    </row>
    <row r="66" spans="1:8" x14ac:dyDescent="0.3">
      <c r="A66" s="86" t="s">
        <v>1688</v>
      </c>
      <c r="B66" s="69">
        <v>0.53888888888888897</v>
      </c>
      <c r="C66" s="70" t="s">
        <v>155</v>
      </c>
      <c r="D66" s="62"/>
      <c r="E66" s="44" t="s">
        <v>1430</v>
      </c>
      <c r="F66" s="71">
        <v>2</v>
      </c>
      <c r="G66" s="72">
        <v>156</v>
      </c>
      <c r="H66" s="73">
        <v>249</v>
      </c>
    </row>
    <row r="67" spans="1:8" x14ac:dyDescent="0.3">
      <c r="A67" s="86" t="s">
        <v>1689</v>
      </c>
      <c r="B67" s="69">
        <v>0.53888888888888897</v>
      </c>
      <c r="C67" s="70" t="s">
        <v>155</v>
      </c>
      <c r="D67" s="62"/>
      <c r="E67" s="44" t="s">
        <v>1431</v>
      </c>
      <c r="F67" s="71">
        <v>2</v>
      </c>
      <c r="G67" s="72">
        <v>156</v>
      </c>
      <c r="H67" s="73">
        <v>249</v>
      </c>
    </row>
    <row r="68" spans="1:8" x14ac:dyDescent="0.3">
      <c r="A68" s="86" t="s">
        <v>766</v>
      </c>
      <c r="B68" s="69">
        <v>0.53888888888888897</v>
      </c>
      <c r="C68" s="70" t="s">
        <v>155</v>
      </c>
      <c r="D68" s="62"/>
      <c r="E68" s="44" t="s">
        <v>667</v>
      </c>
      <c r="F68" s="71">
        <v>2</v>
      </c>
      <c r="G68" s="72">
        <v>156</v>
      </c>
      <c r="H68" s="73">
        <v>249</v>
      </c>
    </row>
    <row r="69" spans="1:8" x14ac:dyDescent="0.3">
      <c r="A69" s="86" t="s">
        <v>763</v>
      </c>
      <c r="B69" s="69">
        <v>0.53888888888888897</v>
      </c>
      <c r="C69" s="70" t="s">
        <v>155</v>
      </c>
      <c r="D69" s="62"/>
      <c r="E69" s="44" t="s">
        <v>1432</v>
      </c>
      <c r="F69" s="71">
        <v>2</v>
      </c>
      <c r="G69" s="72">
        <v>156</v>
      </c>
      <c r="H69" s="73">
        <v>249</v>
      </c>
    </row>
    <row r="70" spans="1:8" x14ac:dyDescent="0.3">
      <c r="A70" s="86" t="s">
        <v>1690</v>
      </c>
      <c r="B70" s="69">
        <v>0.53888888888888897</v>
      </c>
      <c r="C70" s="70" t="s">
        <v>483</v>
      </c>
      <c r="D70" s="62"/>
      <c r="E70" s="44" t="s">
        <v>1433</v>
      </c>
      <c r="F70" s="71">
        <v>2</v>
      </c>
      <c r="G70" s="72">
        <v>156</v>
      </c>
      <c r="H70" s="73">
        <v>249</v>
      </c>
    </row>
    <row r="71" spans="1:8" x14ac:dyDescent="0.3">
      <c r="A71" s="86" t="s">
        <v>1691</v>
      </c>
      <c r="B71" s="69">
        <v>0.53888888888888897</v>
      </c>
      <c r="C71" s="70" t="s">
        <v>483</v>
      </c>
      <c r="D71" s="62"/>
      <c r="E71" s="44" t="s">
        <v>1434</v>
      </c>
      <c r="F71" s="71">
        <v>2</v>
      </c>
      <c r="G71" s="72">
        <v>156</v>
      </c>
      <c r="H71" s="73">
        <v>249</v>
      </c>
    </row>
    <row r="72" spans="1:8" x14ac:dyDescent="0.3">
      <c r="A72" s="86" t="s">
        <v>1692</v>
      </c>
      <c r="B72" s="69">
        <v>0.53888888888888897</v>
      </c>
      <c r="C72" s="70" t="s">
        <v>483</v>
      </c>
      <c r="D72" s="62"/>
      <c r="E72" s="44" t="s">
        <v>1435</v>
      </c>
      <c r="F72" s="71">
        <v>2</v>
      </c>
      <c r="G72" s="72">
        <v>156</v>
      </c>
      <c r="H72" s="73">
        <v>249</v>
      </c>
    </row>
    <row r="73" spans="1:8" x14ac:dyDescent="0.3">
      <c r="A73" s="86" t="s">
        <v>1693</v>
      </c>
      <c r="B73" s="69">
        <v>0.53888888888888897</v>
      </c>
      <c r="C73" s="70" t="s">
        <v>483</v>
      </c>
      <c r="D73" s="62"/>
      <c r="E73" s="44" t="s">
        <v>1436</v>
      </c>
      <c r="F73" s="71">
        <v>2</v>
      </c>
      <c r="G73" s="72">
        <v>156</v>
      </c>
      <c r="H73" s="73">
        <v>249</v>
      </c>
    </row>
    <row r="74" spans="1:8" x14ac:dyDescent="0.3">
      <c r="A74" s="86" t="s">
        <v>1694</v>
      </c>
      <c r="B74" s="69">
        <v>0.53888888888888897</v>
      </c>
      <c r="C74" s="70" t="s">
        <v>155</v>
      </c>
      <c r="D74" s="62"/>
      <c r="E74" s="44" t="s">
        <v>1437</v>
      </c>
      <c r="F74" s="71">
        <v>2</v>
      </c>
      <c r="G74" s="72">
        <v>156</v>
      </c>
      <c r="H74" s="73">
        <v>249</v>
      </c>
    </row>
    <row r="75" spans="1:8" x14ac:dyDescent="0.3">
      <c r="A75" s="86" t="s">
        <v>1695</v>
      </c>
      <c r="B75" s="69">
        <v>0.53888888888888897</v>
      </c>
      <c r="C75" s="70" t="s">
        <v>155</v>
      </c>
      <c r="D75" s="62"/>
      <c r="E75" s="44" t="s">
        <v>1438</v>
      </c>
      <c r="F75" s="71">
        <v>2</v>
      </c>
      <c r="G75" s="72">
        <v>156</v>
      </c>
      <c r="H75" s="73">
        <v>249</v>
      </c>
    </row>
    <row r="76" spans="1:8" x14ac:dyDescent="0.3">
      <c r="A76" s="86" t="s">
        <v>1696</v>
      </c>
      <c r="B76" s="69">
        <v>0.53888888888888897</v>
      </c>
      <c r="C76" s="70" t="s">
        <v>155</v>
      </c>
      <c r="D76" s="62"/>
      <c r="E76" s="44" t="s">
        <v>1439</v>
      </c>
      <c r="F76" s="71">
        <v>2</v>
      </c>
      <c r="G76" s="72">
        <v>156</v>
      </c>
      <c r="H76" s="73">
        <v>249</v>
      </c>
    </row>
    <row r="77" spans="1:8" x14ac:dyDescent="0.3">
      <c r="A77" s="86" t="s">
        <v>1697</v>
      </c>
      <c r="B77" s="69">
        <v>0.53888888888888897</v>
      </c>
      <c r="C77" s="70" t="s">
        <v>155</v>
      </c>
      <c r="D77" s="62"/>
      <c r="E77" s="44" t="s">
        <v>1440</v>
      </c>
      <c r="F77" s="71">
        <v>2</v>
      </c>
      <c r="G77" s="72">
        <v>156</v>
      </c>
      <c r="H77" s="73">
        <v>249</v>
      </c>
    </row>
    <row r="78" spans="1:8" x14ac:dyDescent="0.3">
      <c r="A78" s="86" t="s">
        <v>767</v>
      </c>
      <c r="B78" s="69">
        <v>0.447967479674797</v>
      </c>
      <c r="C78" s="70" t="s">
        <v>406</v>
      </c>
      <c r="D78" s="62"/>
      <c r="E78" s="44" t="s">
        <v>668</v>
      </c>
      <c r="F78" s="71">
        <v>7</v>
      </c>
      <c r="G78" s="72">
        <v>425</v>
      </c>
      <c r="H78" s="73">
        <v>679</v>
      </c>
    </row>
    <row r="79" spans="1:8" x14ac:dyDescent="0.3">
      <c r="A79" s="86" t="s">
        <v>768</v>
      </c>
      <c r="B79" s="69">
        <v>0.447967479674797</v>
      </c>
      <c r="C79" s="70" t="s">
        <v>406</v>
      </c>
      <c r="D79" s="62"/>
      <c r="E79" s="44" t="s">
        <v>669</v>
      </c>
      <c r="F79" s="71">
        <v>7</v>
      </c>
      <c r="G79" s="72">
        <v>425</v>
      </c>
      <c r="H79" s="73">
        <v>679</v>
      </c>
    </row>
    <row r="80" spans="1:8" x14ac:dyDescent="0.3">
      <c r="A80" s="86" t="s">
        <v>769</v>
      </c>
      <c r="B80" s="69">
        <v>0.447967479674797</v>
      </c>
      <c r="C80" s="70" t="s">
        <v>406</v>
      </c>
      <c r="D80" s="62"/>
      <c r="E80" s="44" t="s">
        <v>670</v>
      </c>
      <c r="F80" s="71">
        <v>7</v>
      </c>
      <c r="G80" s="72">
        <v>425</v>
      </c>
      <c r="H80" s="73">
        <v>679</v>
      </c>
    </row>
    <row r="81" spans="1:8" x14ac:dyDescent="0.3">
      <c r="A81" s="86" t="s">
        <v>770</v>
      </c>
      <c r="B81" s="69">
        <v>0.447967479674797</v>
      </c>
      <c r="C81" s="70" t="s">
        <v>406</v>
      </c>
      <c r="D81" s="62"/>
      <c r="E81" s="44" t="s">
        <v>671</v>
      </c>
      <c r="F81" s="71">
        <v>7</v>
      </c>
      <c r="G81" s="72">
        <v>425</v>
      </c>
      <c r="H81" s="73">
        <v>679</v>
      </c>
    </row>
    <row r="82" spans="1:8" x14ac:dyDescent="0.3">
      <c r="A82" s="86" t="s">
        <v>1092</v>
      </c>
      <c r="B82" s="69">
        <v>0.447967479674797</v>
      </c>
      <c r="C82" s="70" t="s">
        <v>406</v>
      </c>
      <c r="D82" s="62"/>
      <c r="E82" s="44" t="s">
        <v>984</v>
      </c>
      <c r="F82" s="71">
        <v>7</v>
      </c>
      <c r="G82" s="72">
        <v>425</v>
      </c>
      <c r="H82" s="73">
        <v>679</v>
      </c>
    </row>
    <row r="83" spans="1:8" x14ac:dyDescent="0.3">
      <c r="A83" s="86" t="s">
        <v>771</v>
      </c>
      <c r="B83" s="69">
        <v>0.447967479674797</v>
      </c>
      <c r="C83" s="70" t="s">
        <v>406</v>
      </c>
      <c r="D83" s="62"/>
      <c r="E83" s="44" t="s">
        <v>672</v>
      </c>
      <c r="F83" s="71">
        <v>7</v>
      </c>
      <c r="G83" s="72">
        <v>425</v>
      </c>
      <c r="H83" s="73">
        <v>679</v>
      </c>
    </row>
    <row r="84" spans="1:8" x14ac:dyDescent="0.3">
      <c r="A84" s="86" t="s">
        <v>772</v>
      </c>
      <c r="B84" s="69">
        <v>0.447967479674797</v>
      </c>
      <c r="C84" s="70" t="s">
        <v>406</v>
      </c>
      <c r="D84" s="62"/>
      <c r="E84" s="44" t="s">
        <v>673</v>
      </c>
      <c r="F84" s="71">
        <v>7</v>
      </c>
      <c r="G84" s="72">
        <v>425</v>
      </c>
      <c r="H84" s="73">
        <v>679</v>
      </c>
    </row>
    <row r="85" spans="1:8" x14ac:dyDescent="0.3">
      <c r="A85" s="86" t="s">
        <v>773</v>
      </c>
      <c r="B85" s="69">
        <v>0.447967479674797</v>
      </c>
      <c r="C85" s="70" t="s">
        <v>406</v>
      </c>
      <c r="D85" s="62"/>
      <c r="E85" s="44" t="s">
        <v>674</v>
      </c>
      <c r="F85" s="71">
        <v>7</v>
      </c>
      <c r="G85" s="72">
        <v>425</v>
      </c>
      <c r="H85" s="73">
        <v>679</v>
      </c>
    </row>
    <row r="86" spans="1:8" x14ac:dyDescent="0.3">
      <c r="A86" s="86" t="s">
        <v>774</v>
      </c>
      <c r="B86" s="69">
        <v>0.447967479674797</v>
      </c>
      <c r="C86" s="70" t="s">
        <v>406</v>
      </c>
      <c r="D86" s="62"/>
      <c r="E86" s="44" t="s">
        <v>675</v>
      </c>
      <c r="F86" s="71">
        <v>7</v>
      </c>
      <c r="G86" s="72">
        <v>425</v>
      </c>
      <c r="H86" s="73">
        <v>679</v>
      </c>
    </row>
    <row r="87" spans="1:8" x14ac:dyDescent="0.3">
      <c r="A87" s="86" t="s">
        <v>775</v>
      </c>
      <c r="B87" s="69">
        <v>0.447967479674797</v>
      </c>
      <c r="C87" s="70" t="s">
        <v>406</v>
      </c>
      <c r="D87" s="62"/>
      <c r="E87" s="44" t="s">
        <v>676</v>
      </c>
      <c r="F87" s="71">
        <v>7</v>
      </c>
      <c r="G87" s="72">
        <v>425</v>
      </c>
      <c r="H87" s="73">
        <v>679</v>
      </c>
    </row>
    <row r="88" spans="1:8" x14ac:dyDescent="0.3">
      <c r="A88" s="86" t="s">
        <v>776</v>
      </c>
      <c r="B88" s="69">
        <v>0.447967479674797</v>
      </c>
      <c r="C88" s="70" t="s">
        <v>406</v>
      </c>
      <c r="D88" s="62"/>
      <c r="E88" s="44" t="s">
        <v>677</v>
      </c>
      <c r="F88" s="71">
        <v>7</v>
      </c>
      <c r="G88" s="72">
        <v>425</v>
      </c>
      <c r="H88" s="73">
        <v>679</v>
      </c>
    </row>
    <row r="89" spans="1:8" x14ac:dyDescent="0.3">
      <c r="A89" s="86" t="s">
        <v>777</v>
      </c>
      <c r="B89" s="69">
        <v>0.447967479674797</v>
      </c>
      <c r="C89" s="70" t="s">
        <v>406</v>
      </c>
      <c r="D89" s="62"/>
      <c r="E89" s="44" t="s">
        <v>678</v>
      </c>
      <c r="F89" s="71">
        <v>7</v>
      </c>
      <c r="G89" s="72">
        <v>425</v>
      </c>
      <c r="H89" s="73">
        <v>679</v>
      </c>
    </row>
    <row r="90" spans="1:8" x14ac:dyDescent="0.3">
      <c r="A90" s="86" t="s">
        <v>1093</v>
      </c>
      <c r="B90" s="69">
        <v>0.50111111111111095</v>
      </c>
      <c r="C90" s="70" t="s">
        <v>462</v>
      </c>
      <c r="D90" s="62"/>
      <c r="E90" s="44" t="s">
        <v>985</v>
      </c>
      <c r="F90" s="71">
        <v>4</v>
      </c>
      <c r="G90" s="72">
        <v>280</v>
      </c>
      <c r="H90" s="73">
        <v>449</v>
      </c>
    </row>
    <row r="91" spans="1:8" x14ac:dyDescent="0.3">
      <c r="A91" s="86" t="s">
        <v>1094</v>
      </c>
      <c r="B91" s="69">
        <v>0.50111111111111095</v>
      </c>
      <c r="C91" s="70" t="s">
        <v>462</v>
      </c>
      <c r="D91" s="62"/>
      <c r="E91" s="44" t="s">
        <v>986</v>
      </c>
      <c r="F91" s="71">
        <v>4</v>
      </c>
      <c r="G91" s="72">
        <v>280</v>
      </c>
      <c r="H91" s="73">
        <v>449</v>
      </c>
    </row>
    <row r="92" spans="1:8" x14ac:dyDescent="0.3">
      <c r="A92" s="86" t="s">
        <v>1095</v>
      </c>
      <c r="B92" s="69">
        <v>0.50111111111111095</v>
      </c>
      <c r="C92" s="70" t="s">
        <v>462</v>
      </c>
      <c r="D92" s="62"/>
      <c r="E92" s="44" t="s">
        <v>987</v>
      </c>
      <c r="F92" s="71">
        <v>4</v>
      </c>
      <c r="G92" s="72">
        <v>280</v>
      </c>
      <c r="H92" s="73">
        <v>449</v>
      </c>
    </row>
    <row r="93" spans="1:8" x14ac:dyDescent="0.3">
      <c r="A93" s="86" t="s">
        <v>1096</v>
      </c>
      <c r="B93" s="69">
        <v>0.50111111111111095</v>
      </c>
      <c r="C93" s="70" t="s">
        <v>462</v>
      </c>
      <c r="D93" s="62"/>
      <c r="E93" s="44" t="s">
        <v>988</v>
      </c>
      <c r="F93" s="71">
        <v>4</v>
      </c>
      <c r="G93" s="72">
        <v>280</v>
      </c>
      <c r="H93" s="73">
        <v>449</v>
      </c>
    </row>
    <row r="94" spans="1:8" x14ac:dyDescent="0.3">
      <c r="A94" s="86" t="s">
        <v>1375</v>
      </c>
      <c r="B94" s="69">
        <v>0.44787234042553198</v>
      </c>
      <c r="C94" s="70" t="s">
        <v>27</v>
      </c>
      <c r="D94" s="62"/>
      <c r="E94" s="44" t="s">
        <v>1271</v>
      </c>
      <c r="F94" s="71">
        <v>5</v>
      </c>
      <c r="G94" s="72">
        <v>324</v>
      </c>
      <c r="H94" s="73">
        <v>519</v>
      </c>
    </row>
    <row r="95" spans="1:8" x14ac:dyDescent="0.3">
      <c r="A95" s="86" t="s">
        <v>1376</v>
      </c>
      <c r="B95" s="69">
        <v>0.44787234042553198</v>
      </c>
      <c r="C95" s="70" t="s">
        <v>27</v>
      </c>
      <c r="D95" s="62"/>
      <c r="E95" s="44" t="s">
        <v>1272</v>
      </c>
      <c r="F95" s="71">
        <v>5</v>
      </c>
      <c r="G95" s="72">
        <v>324</v>
      </c>
      <c r="H95" s="73">
        <v>519</v>
      </c>
    </row>
    <row r="96" spans="1:8" x14ac:dyDescent="0.3">
      <c r="A96" s="86" t="s">
        <v>1377</v>
      </c>
      <c r="B96" s="69">
        <v>0.44787234042553198</v>
      </c>
      <c r="C96" s="70" t="s">
        <v>27</v>
      </c>
      <c r="D96" s="62"/>
      <c r="E96" s="44" t="s">
        <v>1273</v>
      </c>
      <c r="F96" s="71">
        <v>5</v>
      </c>
      <c r="G96" s="72">
        <v>324</v>
      </c>
      <c r="H96" s="73">
        <v>519</v>
      </c>
    </row>
    <row r="97" spans="1:8" x14ac:dyDescent="0.3">
      <c r="A97" s="86" t="s">
        <v>1378</v>
      </c>
      <c r="B97" s="69">
        <v>0.44787234042553198</v>
      </c>
      <c r="C97" s="70" t="s">
        <v>27</v>
      </c>
      <c r="D97" s="62"/>
      <c r="E97" s="44" t="s">
        <v>1274</v>
      </c>
      <c r="F97" s="71">
        <v>5</v>
      </c>
      <c r="G97" s="72">
        <v>324</v>
      </c>
      <c r="H97" s="73">
        <v>519</v>
      </c>
    </row>
    <row r="98" spans="1:8" x14ac:dyDescent="0.3">
      <c r="A98" s="86" t="s">
        <v>1379</v>
      </c>
      <c r="B98" s="69">
        <v>0.44787234042553198</v>
      </c>
      <c r="C98" s="70" t="s">
        <v>27</v>
      </c>
      <c r="D98" s="62"/>
      <c r="E98" s="44" t="s">
        <v>1275</v>
      </c>
      <c r="F98" s="71">
        <v>5</v>
      </c>
      <c r="G98" s="72">
        <v>324</v>
      </c>
      <c r="H98" s="73">
        <v>519</v>
      </c>
    </row>
    <row r="99" spans="1:8" x14ac:dyDescent="0.3">
      <c r="A99" s="86" t="s">
        <v>1380</v>
      </c>
      <c r="B99" s="69">
        <v>0.44787234042553198</v>
      </c>
      <c r="C99" s="70" t="s">
        <v>27</v>
      </c>
      <c r="D99" s="62"/>
      <c r="E99" s="44" t="s">
        <v>1276</v>
      </c>
      <c r="F99" s="71">
        <v>5</v>
      </c>
      <c r="G99" s="72">
        <v>324</v>
      </c>
      <c r="H99" s="73">
        <v>519</v>
      </c>
    </row>
    <row r="100" spans="1:8" x14ac:dyDescent="0.3">
      <c r="A100" s="86" t="s">
        <v>778</v>
      </c>
      <c r="B100" s="69">
        <v>0.38538461538461499</v>
      </c>
      <c r="C100" s="70" t="s">
        <v>460</v>
      </c>
      <c r="D100" s="62"/>
      <c r="E100" s="44" t="s">
        <v>679</v>
      </c>
      <c r="F100" s="71">
        <v>8</v>
      </c>
      <c r="G100" s="72">
        <v>500</v>
      </c>
      <c r="H100" s="73">
        <v>799</v>
      </c>
    </row>
    <row r="101" spans="1:8" x14ac:dyDescent="0.3">
      <c r="A101" s="86" t="s">
        <v>779</v>
      </c>
      <c r="B101" s="69">
        <v>0.38538461538461499</v>
      </c>
      <c r="C101" s="70" t="s">
        <v>460</v>
      </c>
      <c r="D101" s="62"/>
      <c r="E101" s="44" t="s">
        <v>680</v>
      </c>
      <c r="F101" s="71">
        <v>8</v>
      </c>
      <c r="G101" s="72">
        <v>500</v>
      </c>
      <c r="H101" s="73">
        <v>799</v>
      </c>
    </row>
    <row r="102" spans="1:8" x14ac:dyDescent="0.3">
      <c r="A102" s="86" t="s">
        <v>780</v>
      </c>
      <c r="B102" s="69">
        <v>0.38538461538461499</v>
      </c>
      <c r="C102" s="70" t="s">
        <v>460</v>
      </c>
      <c r="D102" s="62"/>
      <c r="E102" s="44" t="s">
        <v>681</v>
      </c>
      <c r="F102" s="71">
        <v>8</v>
      </c>
      <c r="G102" s="72">
        <v>500</v>
      </c>
      <c r="H102" s="73">
        <v>799</v>
      </c>
    </row>
    <row r="103" spans="1:8" x14ac:dyDescent="0.3">
      <c r="A103" s="86" t="s">
        <v>781</v>
      </c>
      <c r="B103" s="69">
        <v>0.38538461538461499</v>
      </c>
      <c r="C103" s="70" t="s">
        <v>460</v>
      </c>
      <c r="D103" s="62"/>
      <c r="E103" s="44" t="s">
        <v>682</v>
      </c>
      <c r="F103" s="71">
        <v>8</v>
      </c>
      <c r="G103" s="72">
        <v>500</v>
      </c>
      <c r="H103" s="73">
        <v>799</v>
      </c>
    </row>
    <row r="104" spans="1:8" x14ac:dyDescent="0.3">
      <c r="A104" s="86" t="s">
        <v>782</v>
      </c>
      <c r="B104" s="69">
        <v>0.38538461538461499</v>
      </c>
      <c r="C104" s="70" t="s">
        <v>460</v>
      </c>
      <c r="D104" s="62"/>
      <c r="E104" s="44" t="s">
        <v>683</v>
      </c>
      <c r="F104" s="71">
        <v>8</v>
      </c>
      <c r="G104" s="72">
        <v>500</v>
      </c>
      <c r="H104" s="73">
        <v>799</v>
      </c>
    </row>
    <row r="105" spans="1:8" x14ac:dyDescent="0.3">
      <c r="A105" s="86" t="s">
        <v>783</v>
      </c>
      <c r="B105" s="69">
        <v>0.38538461538461499</v>
      </c>
      <c r="C105" s="70" t="s">
        <v>460</v>
      </c>
      <c r="D105" s="62"/>
      <c r="E105" s="44" t="s">
        <v>684</v>
      </c>
      <c r="F105" s="71">
        <v>8</v>
      </c>
      <c r="G105" s="72">
        <v>500</v>
      </c>
      <c r="H105" s="73">
        <v>799</v>
      </c>
    </row>
    <row r="106" spans="1:8" x14ac:dyDescent="0.3">
      <c r="A106" s="86" t="s">
        <v>784</v>
      </c>
      <c r="B106" s="69">
        <v>0.38538461538461499</v>
      </c>
      <c r="C106" s="70" t="s">
        <v>460</v>
      </c>
      <c r="D106" s="62"/>
      <c r="E106" s="44" t="s">
        <v>685</v>
      </c>
      <c r="F106" s="71">
        <v>8</v>
      </c>
      <c r="G106" s="72">
        <v>500</v>
      </c>
      <c r="H106" s="73">
        <v>799</v>
      </c>
    </row>
    <row r="107" spans="1:8" x14ac:dyDescent="0.3">
      <c r="A107" s="86" t="s">
        <v>785</v>
      </c>
      <c r="B107" s="69">
        <v>0.38538461538461499</v>
      </c>
      <c r="C107" s="70" t="s">
        <v>460</v>
      </c>
      <c r="D107" s="62"/>
      <c r="E107" s="44" t="s">
        <v>686</v>
      </c>
      <c r="F107" s="71">
        <v>8</v>
      </c>
      <c r="G107" s="72">
        <v>500</v>
      </c>
      <c r="H107" s="73">
        <v>799</v>
      </c>
    </row>
    <row r="108" spans="1:8" x14ac:dyDescent="0.3">
      <c r="A108" s="86" t="s">
        <v>786</v>
      </c>
      <c r="B108" s="69">
        <v>0.38538461538461499</v>
      </c>
      <c r="C108" s="70" t="s">
        <v>460</v>
      </c>
      <c r="D108" s="62"/>
      <c r="E108" s="44" t="s">
        <v>687</v>
      </c>
      <c r="F108" s="71">
        <v>8</v>
      </c>
      <c r="G108" s="72">
        <v>500</v>
      </c>
      <c r="H108" s="73">
        <v>799</v>
      </c>
    </row>
    <row r="109" spans="1:8" x14ac:dyDescent="0.3">
      <c r="A109" s="86" t="s">
        <v>787</v>
      </c>
      <c r="B109" s="69">
        <v>0.38538461538461499</v>
      </c>
      <c r="C109" s="70" t="s">
        <v>460</v>
      </c>
      <c r="D109" s="62"/>
      <c r="E109" s="44" t="s">
        <v>688</v>
      </c>
      <c r="F109" s="71">
        <v>8</v>
      </c>
      <c r="G109" s="72">
        <v>500</v>
      </c>
      <c r="H109" s="73">
        <v>799</v>
      </c>
    </row>
    <row r="110" spans="1:8" x14ac:dyDescent="0.3">
      <c r="A110" s="86" t="s">
        <v>788</v>
      </c>
      <c r="B110" s="69">
        <v>0.45221238938053099</v>
      </c>
      <c r="C110" s="70" t="s">
        <v>578</v>
      </c>
      <c r="D110" s="62"/>
      <c r="E110" s="44" t="s">
        <v>689</v>
      </c>
      <c r="F110" s="71">
        <v>6</v>
      </c>
      <c r="G110" s="72">
        <v>387</v>
      </c>
      <c r="H110" s="73">
        <v>619</v>
      </c>
    </row>
    <row r="111" spans="1:8" x14ac:dyDescent="0.3">
      <c r="A111" s="86" t="s">
        <v>789</v>
      </c>
      <c r="B111" s="69">
        <v>0.45221238938053099</v>
      </c>
      <c r="C111" s="70" t="s">
        <v>578</v>
      </c>
      <c r="D111" s="62"/>
      <c r="E111" s="44" t="s">
        <v>690</v>
      </c>
      <c r="F111" s="71">
        <v>6</v>
      </c>
      <c r="G111" s="72">
        <v>387</v>
      </c>
      <c r="H111" s="73">
        <v>619</v>
      </c>
    </row>
    <row r="112" spans="1:8" x14ac:dyDescent="0.3">
      <c r="A112" s="86" t="s">
        <v>790</v>
      </c>
      <c r="B112" s="69">
        <v>0.45221238938053099</v>
      </c>
      <c r="C112" s="70" t="s">
        <v>578</v>
      </c>
      <c r="D112" s="62"/>
      <c r="E112" s="44" t="s">
        <v>691</v>
      </c>
      <c r="F112" s="71">
        <v>6</v>
      </c>
      <c r="G112" s="72">
        <v>387</v>
      </c>
      <c r="H112" s="73">
        <v>619</v>
      </c>
    </row>
    <row r="113" spans="1:8" x14ac:dyDescent="0.3">
      <c r="A113" s="86" t="s">
        <v>791</v>
      </c>
      <c r="B113" s="69">
        <v>0.45221238938053099</v>
      </c>
      <c r="C113" s="70" t="s">
        <v>578</v>
      </c>
      <c r="D113" s="62"/>
      <c r="E113" s="44" t="s">
        <v>692</v>
      </c>
      <c r="F113" s="71">
        <v>6</v>
      </c>
      <c r="G113" s="72">
        <v>387</v>
      </c>
      <c r="H113" s="73">
        <v>619</v>
      </c>
    </row>
    <row r="114" spans="1:8" x14ac:dyDescent="0.3">
      <c r="A114" s="86" t="s">
        <v>792</v>
      </c>
      <c r="B114" s="69">
        <v>0.45221238938053099</v>
      </c>
      <c r="C114" s="70" t="s">
        <v>578</v>
      </c>
      <c r="D114" s="62"/>
      <c r="E114" s="44" t="s">
        <v>693</v>
      </c>
      <c r="F114" s="71">
        <v>6</v>
      </c>
      <c r="G114" s="72">
        <v>387</v>
      </c>
      <c r="H114" s="73">
        <v>619</v>
      </c>
    </row>
    <row r="115" spans="1:8" x14ac:dyDescent="0.3">
      <c r="A115" s="86" t="s">
        <v>1698</v>
      </c>
      <c r="B115" s="69">
        <v>0.45221238938053099</v>
      </c>
      <c r="C115" s="70" t="s">
        <v>578</v>
      </c>
      <c r="D115" s="62"/>
      <c r="E115" s="44" t="s">
        <v>1441</v>
      </c>
      <c r="F115" s="71">
        <v>6</v>
      </c>
      <c r="G115" s="72">
        <v>387</v>
      </c>
      <c r="H115" s="73">
        <v>619</v>
      </c>
    </row>
    <row r="116" spans="1:8" x14ac:dyDescent="0.3">
      <c r="A116" s="86" t="s">
        <v>793</v>
      </c>
      <c r="B116" s="69">
        <v>0.45221238938053099</v>
      </c>
      <c r="C116" s="70" t="s">
        <v>578</v>
      </c>
      <c r="D116" s="62"/>
      <c r="E116" s="44" t="s">
        <v>694</v>
      </c>
      <c r="F116" s="71">
        <v>6</v>
      </c>
      <c r="G116" s="72">
        <v>387</v>
      </c>
      <c r="H116" s="73">
        <v>619</v>
      </c>
    </row>
    <row r="117" spans="1:8" x14ac:dyDescent="0.3">
      <c r="A117" s="86" t="s">
        <v>794</v>
      </c>
      <c r="B117" s="69">
        <v>0.45221238938053099</v>
      </c>
      <c r="C117" s="70" t="s">
        <v>578</v>
      </c>
      <c r="D117" s="62"/>
      <c r="E117" s="44" t="s">
        <v>695</v>
      </c>
      <c r="F117" s="71">
        <v>6</v>
      </c>
      <c r="G117" s="72">
        <v>387</v>
      </c>
      <c r="H117" s="73">
        <v>619</v>
      </c>
    </row>
    <row r="118" spans="1:8" x14ac:dyDescent="0.3">
      <c r="A118" s="86" t="s">
        <v>795</v>
      </c>
      <c r="B118" s="69">
        <v>0.45221238938053099</v>
      </c>
      <c r="C118" s="70" t="s">
        <v>578</v>
      </c>
      <c r="D118" s="62"/>
      <c r="E118" s="44" t="s">
        <v>696</v>
      </c>
      <c r="F118" s="71">
        <v>6</v>
      </c>
      <c r="G118" s="72">
        <v>387</v>
      </c>
      <c r="H118" s="73">
        <v>619</v>
      </c>
    </row>
    <row r="119" spans="1:8" x14ac:dyDescent="0.3">
      <c r="A119" s="86" t="s">
        <v>796</v>
      </c>
      <c r="B119" s="69">
        <v>0.45221238938053099</v>
      </c>
      <c r="C119" s="70" t="s">
        <v>578</v>
      </c>
      <c r="D119" s="62"/>
      <c r="E119" s="44" t="s">
        <v>697</v>
      </c>
      <c r="F119" s="71">
        <v>6</v>
      </c>
      <c r="G119" s="72">
        <v>387</v>
      </c>
      <c r="H119" s="73">
        <v>619</v>
      </c>
    </row>
    <row r="120" spans="1:8" x14ac:dyDescent="0.3">
      <c r="A120" s="86" t="s">
        <v>797</v>
      </c>
      <c r="B120" s="69">
        <v>0.45221238938053099</v>
      </c>
      <c r="C120" s="70" t="s">
        <v>578</v>
      </c>
      <c r="D120" s="62"/>
      <c r="E120" s="44" t="s">
        <v>698</v>
      </c>
      <c r="F120" s="71">
        <v>6</v>
      </c>
      <c r="G120" s="72">
        <v>387</v>
      </c>
      <c r="H120" s="73">
        <v>619</v>
      </c>
    </row>
    <row r="121" spans="1:8" x14ac:dyDescent="0.3">
      <c r="A121" s="86" t="s">
        <v>798</v>
      </c>
      <c r="B121" s="69">
        <v>0.45221238938053099</v>
      </c>
      <c r="C121" s="70" t="s">
        <v>578</v>
      </c>
      <c r="D121" s="62"/>
      <c r="E121" s="44" t="s">
        <v>699</v>
      </c>
      <c r="F121" s="71">
        <v>6</v>
      </c>
      <c r="G121" s="72">
        <v>387</v>
      </c>
      <c r="H121" s="73">
        <v>619</v>
      </c>
    </row>
    <row r="122" spans="1:8" x14ac:dyDescent="0.3">
      <c r="A122" s="86" t="s">
        <v>799</v>
      </c>
      <c r="B122" s="69">
        <v>0.45221238938053099</v>
      </c>
      <c r="C122" s="70" t="s">
        <v>578</v>
      </c>
      <c r="D122" s="62"/>
      <c r="E122" s="44" t="s">
        <v>700</v>
      </c>
      <c r="F122" s="71">
        <v>6</v>
      </c>
      <c r="G122" s="72">
        <v>387</v>
      </c>
      <c r="H122" s="73">
        <v>619</v>
      </c>
    </row>
    <row r="123" spans="1:8" x14ac:dyDescent="0.3">
      <c r="A123" s="86" t="s">
        <v>800</v>
      </c>
      <c r="B123" s="69">
        <v>0.45221238938053099</v>
      </c>
      <c r="C123" s="70" t="s">
        <v>578</v>
      </c>
      <c r="D123" s="62"/>
      <c r="E123" s="44" t="s">
        <v>701</v>
      </c>
      <c r="F123" s="71">
        <v>6</v>
      </c>
      <c r="G123" s="72">
        <v>387</v>
      </c>
      <c r="H123" s="73">
        <v>619</v>
      </c>
    </row>
    <row r="124" spans="1:8" x14ac:dyDescent="0.3">
      <c r="A124" s="86" t="s">
        <v>801</v>
      </c>
      <c r="B124" s="69">
        <v>0.45221238938053099</v>
      </c>
      <c r="C124" s="70" t="s">
        <v>578</v>
      </c>
      <c r="D124" s="62"/>
      <c r="E124" s="44" t="s">
        <v>702</v>
      </c>
      <c r="F124" s="71">
        <v>6</v>
      </c>
      <c r="G124" s="72">
        <v>387</v>
      </c>
      <c r="H124" s="73">
        <v>619</v>
      </c>
    </row>
    <row r="125" spans="1:8" x14ac:dyDescent="0.3">
      <c r="A125" s="86" t="s">
        <v>1699</v>
      </c>
      <c r="B125" s="69">
        <v>0.45250000000000001</v>
      </c>
      <c r="C125" s="70" t="s">
        <v>604</v>
      </c>
      <c r="D125" s="62"/>
      <c r="E125" s="44" t="s">
        <v>1442</v>
      </c>
      <c r="F125" s="71">
        <v>2</v>
      </c>
      <c r="G125" s="72">
        <v>137</v>
      </c>
      <c r="H125" s="73">
        <v>219</v>
      </c>
    </row>
    <row r="126" spans="1:8" x14ac:dyDescent="0.3">
      <c r="A126" s="86" t="s">
        <v>1700</v>
      </c>
      <c r="B126" s="69">
        <v>0.45250000000000001</v>
      </c>
      <c r="C126" s="70" t="s">
        <v>604</v>
      </c>
      <c r="D126" s="62"/>
      <c r="E126" s="44" t="s">
        <v>1443</v>
      </c>
      <c r="F126" s="71">
        <v>2</v>
      </c>
      <c r="G126" s="72">
        <v>137</v>
      </c>
      <c r="H126" s="73">
        <v>219</v>
      </c>
    </row>
    <row r="127" spans="1:8" x14ac:dyDescent="0.3">
      <c r="A127" s="86" t="s">
        <v>1701</v>
      </c>
      <c r="B127" s="69">
        <v>0.45250000000000001</v>
      </c>
      <c r="C127" s="70" t="s">
        <v>604</v>
      </c>
      <c r="D127" s="62"/>
      <c r="E127" s="44" t="s">
        <v>1444</v>
      </c>
      <c r="F127" s="71">
        <v>2</v>
      </c>
      <c r="G127" s="72">
        <v>137</v>
      </c>
      <c r="H127" s="73">
        <v>219</v>
      </c>
    </row>
    <row r="128" spans="1:8" x14ac:dyDescent="0.3">
      <c r="A128" s="86" t="s">
        <v>1702</v>
      </c>
      <c r="B128" s="69">
        <v>0.45250000000000001</v>
      </c>
      <c r="C128" s="70" t="s">
        <v>604</v>
      </c>
      <c r="D128" s="62"/>
      <c r="E128" s="44" t="s">
        <v>1445</v>
      </c>
      <c r="F128" s="71">
        <v>2</v>
      </c>
      <c r="G128" s="72">
        <v>137</v>
      </c>
      <c r="H128" s="73">
        <v>219</v>
      </c>
    </row>
    <row r="129" spans="1:8" x14ac:dyDescent="0.3">
      <c r="A129" s="86" t="s">
        <v>1703</v>
      </c>
      <c r="B129" s="69">
        <v>0.45250000000000001</v>
      </c>
      <c r="C129" s="70" t="s">
        <v>604</v>
      </c>
      <c r="D129" s="62"/>
      <c r="E129" s="44" t="s">
        <v>1446</v>
      </c>
      <c r="F129" s="71">
        <v>2</v>
      </c>
      <c r="G129" s="72">
        <v>137</v>
      </c>
      <c r="H129" s="73">
        <v>219</v>
      </c>
    </row>
    <row r="130" spans="1:8" x14ac:dyDescent="0.3">
      <c r="A130" s="86" t="s">
        <v>1704</v>
      </c>
      <c r="B130" s="69">
        <v>0.45250000000000001</v>
      </c>
      <c r="C130" s="70" t="s">
        <v>604</v>
      </c>
      <c r="D130" s="62"/>
      <c r="E130" s="44" t="s">
        <v>1447</v>
      </c>
      <c r="F130" s="71">
        <v>2</v>
      </c>
      <c r="G130" s="72">
        <v>137</v>
      </c>
      <c r="H130" s="73">
        <v>219</v>
      </c>
    </row>
    <row r="131" spans="1:8" x14ac:dyDescent="0.3">
      <c r="A131" s="86" t="s">
        <v>1705</v>
      </c>
      <c r="B131" s="69">
        <v>0.45250000000000001</v>
      </c>
      <c r="C131" s="70" t="s">
        <v>604</v>
      </c>
      <c r="D131" s="62"/>
      <c r="E131" s="44" t="s">
        <v>1448</v>
      </c>
      <c r="F131" s="71">
        <v>2</v>
      </c>
      <c r="G131" s="72">
        <v>137</v>
      </c>
      <c r="H131" s="73">
        <v>219</v>
      </c>
    </row>
    <row r="132" spans="1:8" x14ac:dyDescent="0.3">
      <c r="A132" s="86" t="s">
        <v>1706</v>
      </c>
      <c r="B132" s="69">
        <v>0.45250000000000001</v>
      </c>
      <c r="C132" s="70" t="s">
        <v>604</v>
      </c>
      <c r="D132" s="62"/>
      <c r="E132" s="44" t="s">
        <v>1449</v>
      </c>
      <c r="F132" s="71">
        <v>2</v>
      </c>
      <c r="G132" s="72">
        <v>137</v>
      </c>
      <c r="H132" s="73">
        <v>219</v>
      </c>
    </row>
    <row r="133" spans="1:8" x14ac:dyDescent="0.3">
      <c r="A133" s="86" t="s">
        <v>1097</v>
      </c>
      <c r="B133" s="69">
        <v>0.50076923076923097</v>
      </c>
      <c r="C133" s="70" t="s">
        <v>859</v>
      </c>
      <c r="D133" s="62"/>
      <c r="E133" s="44" t="s">
        <v>989</v>
      </c>
      <c r="F133" s="71">
        <v>6</v>
      </c>
      <c r="G133" s="72">
        <v>406</v>
      </c>
      <c r="H133" s="73">
        <v>649</v>
      </c>
    </row>
    <row r="134" spans="1:8" x14ac:dyDescent="0.3">
      <c r="A134" s="86" t="s">
        <v>802</v>
      </c>
      <c r="B134" s="69">
        <v>0.50076923076923097</v>
      </c>
      <c r="C134" s="70" t="s">
        <v>859</v>
      </c>
      <c r="D134" s="62"/>
      <c r="E134" s="44" t="s">
        <v>1450</v>
      </c>
      <c r="F134" s="71">
        <v>6</v>
      </c>
      <c r="G134" s="72">
        <v>406</v>
      </c>
      <c r="H134" s="73">
        <v>649</v>
      </c>
    </row>
    <row r="135" spans="1:8" x14ac:dyDescent="0.3">
      <c r="A135" s="86" t="s">
        <v>803</v>
      </c>
      <c r="B135" s="69">
        <v>0.50076923076923097</v>
      </c>
      <c r="C135" s="70" t="s">
        <v>859</v>
      </c>
      <c r="D135" s="62"/>
      <c r="E135" s="44" t="s">
        <v>1451</v>
      </c>
      <c r="F135" s="71">
        <v>6</v>
      </c>
      <c r="G135" s="72">
        <v>406</v>
      </c>
      <c r="H135" s="73">
        <v>649</v>
      </c>
    </row>
    <row r="136" spans="1:8" x14ac:dyDescent="0.3">
      <c r="A136" s="86" t="s">
        <v>1707</v>
      </c>
      <c r="B136" s="69">
        <v>0.64357142857142902</v>
      </c>
      <c r="C136" s="70" t="s">
        <v>30</v>
      </c>
      <c r="D136" s="62"/>
      <c r="E136" s="44" t="s">
        <v>1452</v>
      </c>
      <c r="F136" s="71">
        <v>5</v>
      </c>
      <c r="G136" s="72">
        <v>312</v>
      </c>
      <c r="H136" s="73">
        <v>499</v>
      </c>
    </row>
    <row r="137" spans="1:8" x14ac:dyDescent="0.3">
      <c r="A137" s="86" t="s">
        <v>1708</v>
      </c>
      <c r="B137" s="69">
        <v>0.64357142857142902</v>
      </c>
      <c r="C137" s="70" t="s">
        <v>30</v>
      </c>
      <c r="D137" s="62"/>
      <c r="E137" s="44" t="s">
        <v>1453</v>
      </c>
      <c r="F137" s="71">
        <v>5</v>
      </c>
      <c r="G137" s="72">
        <v>312</v>
      </c>
      <c r="H137" s="73">
        <v>499</v>
      </c>
    </row>
    <row r="138" spans="1:8" ht="14.5" thickBot="1" x14ac:dyDescent="0.35">
      <c r="A138" s="86" t="s">
        <v>1709</v>
      </c>
      <c r="B138" s="69">
        <v>0.64357142857142902</v>
      </c>
      <c r="C138" s="70" t="s">
        <v>30</v>
      </c>
      <c r="D138" s="62"/>
      <c r="E138" s="44" t="s">
        <v>1454</v>
      </c>
      <c r="F138" s="71">
        <v>5</v>
      </c>
      <c r="G138" s="72">
        <v>312</v>
      </c>
      <c r="H138" s="73">
        <v>499</v>
      </c>
    </row>
    <row r="139" spans="1:8" ht="14.5" thickBot="1" x14ac:dyDescent="0.35">
      <c r="A139" s="38" t="s">
        <v>22</v>
      </c>
      <c r="B139" s="39"/>
      <c r="C139" s="39"/>
      <c r="D139" s="40"/>
      <c r="E139" s="43" t="s">
        <v>55</v>
      </c>
      <c r="F139" s="41"/>
      <c r="G139" s="42"/>
      <c r="H139" s="60"/>
    </row>
    <row r="140" spans="1:8" x14ac:dyDescent="0.3">
      <c r="A140" s="86" t="s">
        <v>1310</v>
      </c>
      <c r="B140" s="69">
        <v>0.53281250000000002</v>
      </c>
      <c r="C140" s="70" t="s">
        <v>423</v>
      </c>
      <c r="D140" s="62"/>
      <c r="E140" s="44" t="s">
        <v>1216</v>
      </c>
      <c r="F140" s="71">
        <v>3</v>
      </c>
      <c r="G140" s="72">
        <v>187</v>
      </c>
      <c r="H140" s="73">
        <v>299</v>
      </c>
    </row>
    <row r="141" spans="1:8" x14ac:dyDescent="0.3">
      <c r="A141" s="86" t="s">
        <v>1710</v>
      </c>
      <c r="B141" s="69">
        <v>0.56071428571428605</v>
      </c>
      <c r="C141" s="70" t="s">
        <v>139</v>
      </c>
      <c r="D141" s="62"/>
      <c r="E141" s="44" t="s">
        <v>1455</v>
      </c>
      <c r="F141" s="71">
        <v>4</v>
      </c>
      <c r="G141" s="72">
        <v>231</v>
      </c>
      <c r="H141" s="73">
        <v>369</v>
      </c>
    </row>
    <row r="142" spans="1:8" x14ac:dyDescent="0.3">
      <c r="A142" s="86" t="s">
        <v>418</v>
      </c>
      <c r="B142" s="69">
        <v>0.53281250000000002</v>
      </c>
      <c r="C142" s="70" t="s">
        <v>423</v>
      </c>
      <c r="D142" s="62"/>
      <c r="E142" s="44" t="s">
        <v>413</v>
      </c>
      <c r="F142" s="71">
        <v>3</v>
      </c>
      <c r="G142" s="72">
        <v>187</v>
      </c>
      <c r="H142" s="73">
        <v>299</v>
      </c>
    </row>
    <row r="143" spans="1:8" x14ac:dyDescent="0.3">
      <c r="A143" s="86" t="s">
        <v>573</v>
      </c>
      <c r="B143" s="69">
        <v>0.56972477064220195</v>
      </c>
      <c r="C143" s="70" t="s">
        <v>56</v>
      </c>
      <c r="D143" s="62"/>
      <c r="E143" s="44" t="s">
        <v>552</v>
      </c>
      <c r="F143" s="71">
        <v>4</v>
      </c>
      <c r="G143" s="72">
        <v>293</v>
      </c>
      <c r="H143" s="73">
        <v>469</v>
      </c>
    </row>
    <row r="144" spans="1:8" x14ac:dyDescent="0.3">
      <c r="A144" s="86" t="s">
        <v>414</v>
      </c>
      <c r="B144" s="69">
        <v>0.56071428571428605</v>
      </c>
      <c r="C144" s="70" t="s">
        <v>1402</v>
      </c>
      <c r="D144" s="62"/>
      <c r="E144" s="44" t="s">
        <v>410</v>
      </c>
      <c r="F144" s="71">
        <v>4</v>
      </c>
      <c r="G144" s="72">
        <v>231</v>
      </c>
      <c r="H144" s="73">
        <v>369</v>
      </c>
    </row>
    <row r="145" spans="1:8" x14ac:dyDescent="0.3">
      <c r="A145" s="86" t="s">
        <v>1711</v>
      </c>
      <c r="B145" s="69">
        <v>0.57096774193548405</v>
      </c>
      <c r="C145" s="70" t="s">
        <v>1196</v>
      </c>
      <c r="D145" s="62"/>
      <c r="E145" s="44" t="s">
        <v>1456</v>
      </c>
      <c r="F145" s="71">
        <v>4</v>
      </c>
      <c r="G145" s="72">
        <v>249</v>
      </c>
      <c r="H145" s="73">
        <v>399</v>
      </c>
    </row>
    <row r="146" spans="1:8" x14ac:dyDescent="0.3">
      <c r="A146" s="86" t="s">
        <v>1091</v>
      </c>
      <c r="B146" s="69">
        <v>0.56071428571428605</v>
      </c>
      <c r="C146" s="70" t="s">
        <v>139</v>
      </c>
      <c r="D146" s="62"/>
      <c r="E146" s="44" t="s">
        <v>978</v>
      </c>
      <c r="F146" s="71">
        <v>4</v>
      </c>
      <c r="G146" s="72">
        <v>231</v>
      </c>
      <c r="H146" s="73">
        <v>369</v>
      </c>
    </row>
    <row r="147" spans="1:8" x14ac:dyDescent="0.3">
      <c r="A147" s="86" t="s">
        <v>1712</v>
      </c>
      <c r="B147" s="69">
        <v>0.40125</v>
      </c>
      <c r="C147" s="70" t="s">
        <v>1189</v>
      </c>
      <c r="D147" s="62"/>
      <c r="E147" s="44" t="s">
        <v>1456</v>
      </c>
      <c r="F147" s="71">
        <v>5</v>
      </c>
      <c r="G147" s="72">
        <v>299</v>
      </c>
      <c r="H147" s="73">
        <v>479</v>
      </c>
    </row>
    <row r="148" spans="1:8" x14ac:dyDescent="0.3">
      <c r="A148" s="86" t="s">
        <v>415</v>
      </c>
      <c r="B148" s="69">
        <v>0.44529914529914499</v>
      </c>
      <c r="C148" s="70" t="s">
        <v>390</v>
      </c>
      <c r="D148" s="62"/>
      <c r="E148" s="44" t="s">
        <v>411</v>
      </c>
      <c r="F148" s="71">
        <v>6</v>
      </c>
      <c r="G148" s="72">
        <v>406</v>
      </c>
      <c r="H148" s="73">
        <v>649</v>
      </c>
    </row>
    <row r="149" spans="1:8" ht="14.5" thickBot="1" x14ac:dyDescent="0.35">
      <c r="A149" s="86" t="s">
        <v>522</v>
      </c>
      <c r="B149" s="69">
        <v>0.48125000000000001</v>
      </c>
      <c r="C149" s="70" t="s">
        <v>56</v>
      </c>
      <c r="D149" s="62"/>
      <c r="E149" s="44" t="s">
        <v>198</v>
      </c>
      <c r="F149" s="71">
        <v>2</v>
      </c>
      <c r="G149" s="72">
        <v>78</v>
      </c>
      <c r="H149" s="73">
        <v>249</v>
      </c>
    </row>
    <row r="150" spans="1:8" ht="14.5" thickBot="1" x14ac:dyDescent="0.35">
      <c r="A150" s="38" t="s">
        <v>22</v>
      </c>
      <c r="B150" s="39"/>
      <c r="C150" s="39"/>
      <c r="D150" s="40"/>
      <c r="E150" s="43" t="s">
        <v>53</v>
      </c>
      <c r="F150" s="41"/>
      <c r="G150" s="42"/>
      <c r="H150" s="60"/>
    </row>
    <row r="151" spans="1:8" x14ac:dyDescent="0.3">
      <c r="A151" s="86" t="s">
        <v>1713</v>
      </c>
      <c r="B151" s="69">
        <v>0.545614035087719</v>
      </c>
      <c r="C151" s="70" t="s">
        <v>129</v>
      </c>
      <c r="D151" s="62"/>
      <c r="E151" s="44" t="s">
        <v>1457</v>
      </c>
      <c r="F151" s="71">
        <v>2</v>
      </c>
      <c r="G151" s="72">
        <v>162</v>
      </c>
      <c r="H151" s="73">
        <v>259</v>
      </c>
    </row>
    <row r="152" spans="1:8" x14ac:dyDescent="0.3">
      <c r="A152" s="86" t="s">
        <v>1714</v>
      </c>
      <c r="B152" s="69">
        <v>0.545614035087719</v>
      </c>
      <c r="C152" s="70" t="s">
        <v>129</v>
      </c>
      <c r="D152" s="62"/>
      <c r="E152" s="44" t="s">
        <v>1458</v>
      </c>
      <c r="F152" s="71">
        <v>2</v>
      </c>
      <c r="G152" s="72">
        <v>162</v>
      </c>
      <c r="H152" s="73">
        <v>259</v>
      </c>
    </row>
    <row r="153" spans="1:8" x14ac:dyDescent="0.3">
      <c r="A153" s="86" t="s">
        <v>1715</v>
      </c>
      <c r="B153" s="69">
        <v>0.545614035087719</v>
      </c>
      <c r="C153" s="70" t="s">
        <v>129</v>
      </c>
      <c r="D153" s="62"/>
      <c r="E153" s="44" t="s">
        <v>1459</v>
      </c>
      <c r="F153" s="71">
        <v>2</v>
      </c>
      <c r="G153" s="72">
        <v>162</v>
      </c>
      <c r="H153" s="73">
        <v>259</v>
      </c>
    </row>
    <row r="154" spans="1:8" x14ac:dyDescent="0.3">
      <c r="A154" s="86" t="s">
        <v>1716</v>
      </c>
      <c r="B154" s="69">
        <v>0.545614035087719</v>
      </c>
      <c r="C154" s="70" t="s">
        <v>129</v>
      </c>
      <c r="D154" s="62"/>
      <c r="E154" s="44" t="s">
        <v>1460</v>
      </c>
      <c r="F154" s="71">
        <v>2</v>
      </c>
      <c r="G154" s="72">
        <v>162</v>
      </c>
      <c r="H154" s="73">
        <v>259</v>
      </c>
    </row>
    <row r="155" spans="1:8" x14ac:dyDescent="0.3">
      <c r="A155" s="86" t="s">
        <v>1717</v>
      </c>
      <c r="B155" s="69">
        <v>0.39670329670329701</v>
      </c>
      <c r="C155" s="70" t="s">
        <v>577</v>
      </c>
      <c r="D155" s="62"/>
      <c r="E155" s="44" t="s">
        <v>1461</v>
      </c>
      <c r="F155" s="71">
        <v>5</v>
      </c>
      <c r="G155" s="72">
        <v>343</v>
      </c>
      <c r="H155" s="73">
        <v>549</v>
      </c>
    </row>
    <row r="156" spans="1:8" x14ac:dyDescent="0.3">
      <c r="A156" s="86" t="s">
        <v>587</v>
      </c>
      <c r="B156" s="69">
        <v>0.39670329670329701</v>
      </c>
      <c r="C156" s="70" t="s">
        <v>577</v>
      </c>
      <c r="D156" s="62"/>
      <c r="E156" s="44" t="s">
        <v>1462</v>
      </c>
      <c r="F156" s="71">
        <v>5</v>
      </c>
      <c r="G156" s="72">
        <v>343</v>
      </c>
      <c r="H156" s="73">
        <v>549</v>
      </c>
    </row>
    <row r="157" spans="1:8" x14ac:dyDescent="0.3">
      <c r="A157" s="86" t="s">
        <v>1381</v>
      </c>
      <c r="B157" s="69">
        <v>0.46733333333333299</v>
      </c>
      <c r="C157" s="70" t="s">
        <v>405</v>
      </c>
      <c r="D157" s="62"/>
      <c r="E157" s="44" t="s">
        <v>1277</v>
      </c>
      <c r="F157" s="71">
        <v>8</v>
      </c>
      <c r="G157" s="72">
        <v>500</v>
      </c>
      <c r="H157" s="73">
        <v>799</v>
      </c>
    </row>
    <row r="158" spans="1:8" x14ac:dyDescent="0.3">
      <c r="A158" s="86" t="s">
        <v>562</v>
      </c>
      <c r="B158" s="69">
        <v>0.46733333333333299</v>
      </c>
      <c r="C158" s="70" t="s">
        <v>405</v>
      </c>
      <c r="D158" s="62"/>
      <c r="E158" s="44" t="s">
        <v>1278</v>
      </c>
      <c r="F158" s="71">
        <v>8</v>
      </c>
      <c r="G158" s="72">
        <v>500</v>
      </c>
      <c r="H158" s="73">
        <v>799</v>
      </c>
    </row>
    <row r="159" spans="1:8" x14ac:dyDescent="0.3">
      <c r="A159" s="86" t="s">
        <v>563</v>
      </c>
      <c r="B159" s="69">
        <v>0.46733333333333299</v>
      </c>
      <c r="C159" s="70" t="s">
        <v>405</v>
      </c>
      <c r="D159" s="62"/>
      <c r="E159" s="44" t="s">
        <v>1067</v>
      </c>
      <c r="F159" s="71">
        <v>8</v>
      </c>
      <c r="G159" s="72">
        <v>500</v>
      </c>
      <c r="H159" s="73">
        <v>799</v>
      </c>
    </row>
    <row r="160" spans="1:8" x14ac:dyDescent="0.3">
      <c r="A160" s="86" t="s">
        <v>849</v>
      </c>
      <c r="B160" s="69">
        <v>0.39596774193548401</v>
      </c>
      <c r="C160" s="70" t="s">
        <v>577</v>
      </c>
      <c r="D160" s="62"/>
      <c r="E160" s="44" t="s">
        <v>736</v>
      </c>
      <c r="F160" s="71">
        <v>7</v>
      </c>
      <c r="G160" s="72">
        <v>468</v>
      </c>
      <c r="H160" s="73">
        <v>749</v>
      </c>
    </row>
    <row r="161" spans="1:8" x14ac:dyDescent="0.3">
      <c r="A161" s="86" t="s">
        <v>850</v>
      </c>
      <c r="B161" s="69">
        <v>0.39596774193548401</v>
      </c>
      <c r="C161" s="70" t="s">
        <v>577</v>
      </c>
      <c r="D161" s="62"/>
      <c r="E161" s="44" t="s">
        <v>1068</v>
      </c>
      <c r="F161" s="71">
        <v>7</v>
      </c>
      <c r="G161" s="72">
        <v>468</v>
      </c>
      <c r="H161" s="73">
        <v>749</v>
      </c>
    </row>
    <row r="162" spans="1:8" x14ac:dyDescent="0.3">
      <c r="A162" s="86" t="s">
        <v>851</v>
      </c>
      <c r="B162" s="69">
        <v>0.39596774193548401</v>
      </c>
      <c r="C162" s="70" t="s">
        <v>577</v>
      </c>
      <c r="D162" s="62"/>
      <c r="E162" s="44" t="s">
        <v>1069</v>
      </c>
      <c r="F162" s="71">
        <v>7</v>
      </c>
      <c r="G162" s="72">
        <v>468</v>
      </c>
      <c r="H162" s="73">
        <v>749</v>
      </c>
    </row>
    <row r="163" spans="1:8" x14ac:dyDescent="0.3">
      <c r="A163" s="86" t="s">
        <v>1384</v>
      </c>
      <c r="B163" s="69">
        <v>0.484615384615385</v>
      </c>
      <c r="C163" s="70" t="s">
        <v>64</v>
      </c>
      <c r="D163" s="62"/>
      <c r="E163" s="44" t="s">
        <v>1283</v>
      </c>
      <c r="F163" s="71">
        <v>4</v>
      </c>
      <c r="G163" s="72">
        <v>293</v>
      </c>
      <c r="H163" s="73">
        <v>469</v>
      </c>
    </row>
    <row r="164" spans="1:8" x14ac:dyDescent="0.3">
      <c r="A164" s="86" t="s">
        <v>1718</v>
      </c>
      <c r="B164" s="69">
        <v>0.483333333333333</v>
      </c>
      <c r="C164" s="70" t="s">
        <v>602</v>
      </c>
      <c r="D164" s="62"/>
      <c r="E164" s="44" t="s">
        <v>1463</v>
      </c>
      <c r="F164" s="71">
        <v>3</v>
      </c>
      <c r="G164" s="72">
        <v>174</v>
      </c>
      <c r="H164" s="73">
        <v>279</v>
      </c>
    </row>
    <row r="165" spans="1:8" x14ac:dyDescent="0.3">
      <c r="A165" s="86" t="s">
        <v>620</v>
      </c>
      <c r="B165" s="69">
        <v>0.483333333333333</v>
      </c>
      <c r="C165" s="70" t="s">
        <v>602</v>
      </c>
      <c r="D165" s="62"/>
      <c r="E165" s="44" t="s">
        <v>1464</v>
      </c>
      <c r="F165" s="71">
        <v>3</v>
      </c>
      <c r="G165" s="72">
        <v>174</v>
      </c>
      <c r="H165" s="73">
        <v>279</v>
      </c>
    </row>
    <row r="166" spans="1:8" x14ac:dyDescent="0.3">
      <c r="A166" s="86" t="s">
        <v>621</v>
      </c>
      <c r="B166" s="69">
        <v>0.483333333333333</v>
      </c>
      <c r="C166" s="70" t="s">
        <v>602</v>
      </c>
      <c r="D166" s="62"/>
      <c r="E166" s="44" t="s">
        <v>1284</v>
      </c>
      <c r="F166" s="71">
        <v>3</v>
      </c>
      <c r="G166" s="72">
        <v>174</v>
      </c>
      <c r="H166" s="73">
        <v>279</v>
      </c>
    </row>
    <row r="167" spans="1:8" x14ac:dyDescent="0.3">
      <c r="A167" s="86" t="s">
        <v>622</v>
      </c>
      <c r="B167" s="69">
        <v>0.483333333333333</v>
      </c>
      <c r="C167" s="70" t="s">
        <v>602</v>
      </c>
      <c r="D167" s="62"/>
      <c r="E167" s="44" t="s">
        <v>1285</v>
      </c>
      <c r="F167" s="71">
        <v>3</v>
      </c>
      <c r="G167" s="72">
        <v>174</v>
      </c>
      <c r="H167" s="73">
        <v>279</v>
      </c>
    </row>
    <row r="168" spans="1:8" ht="14.5" thickBot="1" x14ac:dyDescent="0.35">
      <c r="A168" s="86" t="s">
        <v>623</v>
      </c>
      <c r="B168" s="69">
        <v>0.483333333333333</v>
      </c>
      <c r="C168" s="70" t="s">
        <v>602</v>
      </c>
      <c r="D168" s="62"/>
      <c r="E168" s="44" t="s">
        <v>1286</v>
      </c>
      <c r="F168" s="71">
        <v>3</v>
      </c>
      <c r="G168" s="72">
        <v>174</v>
      </c>
      <c r="H168" s="73">
        <v>279</v>
      </c>
    </row>
    <row r="169" spans="1:8" ht="14.5" thickBot="1" x14ac:dyDescent="0.35">
      <c r="A169" s="38" t="s">
        <v>22</v>
      </c>
      <c r="B169" s="39"/>
      <c r="C169" s="39"/>
      <c r="D169" s="40"/>
      <c r="E169" s="43" t="s">
        <v>59</v>
      </c>
      <c r="F169" s="41"/>
      <c r="G169" s="42"/>
      <c r="H169" s="60"/>
    </row>
    <row r="170" spans="1:8" x14ac:dyDescent="0.3">
      <c r="A170" s="86" t="s">
        <v>1382</v>
      </c>
      <c r="B170" s="69">
        <v>0.46176470588235302</v>
      </c>
      <c r="C170" s="70" t="s">
        <v>1403</v>
      </c>
      <c r="D170" s="62"/>
      <c r="E170" s="44" t="s">
        <v>1279</v>
      </c>
      <c r="F170" s="71">
        <v>5</v>
      </c>
      <c r="G170" s="72">
        <v>343</v>
      </c>
      <c r="H170" s="73">
        <v>549</v>
      </c>
    </row>
    <row r="171" spans="1:8" x14ac:dyDescent="0.3">
      <c r="A171" s="86" t="s">
        <v>805</v>
      </c>
      <c r="B171" s="69">
        <v>0.46176470588235302</v>
      </c>
      <c r="C171" s="70" t="s">
        <v>1403</v>
      </c>
      <c r="D171" s="62"/>
      <c r="E171" s="44" t="s">
        <v>1280</v>
      </c>
      <c r="F171" s="71">
        <v>5</v>
      </c>
      <c r="G171" s="72">
        <v>343</v>
      </c>
      <c r="H171" s="73">
        <v>549</v>
      </c>
    </row>
    <row r="172" spans="1:8" x14ac:dyDescent="0.3">
      <c r="A172" s="86" t="s">
        <v>1383</v>
      </c>
      <c r="B172" s="69">
        <v>0.46176470588235302</v>
      </c>
      <c r="C172" s="70" t="s">
        <v>1403</v>
      </c>
      <c r="D172" s="62"/>
      <c r="E172" s="44" t="s">
        <v>1281</v>
      </c>
      <c r="F172" s="71">
        <v>5</v>
      </c>
      <c r="G172" s="72">
        <v>343</v>
      </c>
      <c r="H172" s="73">
        <v>549</v>
      </c>
    </row>
    <row r="173" spans="1:8" x14ac:dyDescent="0.3">
      <c r="A173" s="86" t="s">
        <v>564</v>
      </c>
      <c r="B173" s="69">
        <v>0.46733333333333299</v>
      </c>
      <c r="C173" s="70" t="s">
        <v>405</v>
      </c>
      <c r="D173" s="62"/>
      <c r="E173" s="44" t="s">
        <v>545</v>
      </c>
      <c r="F173" s="71">
        <v>8</v>
      </c>
      <c r="G173" s="72">
        <v>500</v>
      </c>
      <c r="H173" s="73">
        <v>799</v>
      </c>
    </row>
    <row r="174" spans="1:8" x14ac:dyDescent="0.3">
      <c r="A174" s="86" t="s">
        <v>1719</v>
      </c>
      <c r="B174" s="69">
        <v>0.46733333333333299</v>
      </c>
      <c r="C174" s="70" t="s">
        <v>405</v>
      </c>
      <c r="D174" s="62"/>
      <c r="E174" s="44" t="s">
        <v>1465</v>
      </c>
      <c r="F174" s="71">
        <v>8</v>
      </c>
      <c r="G174" s="72">
        <v>500</v>
      </c>
      <c r="H174" s="73">
        <v>799</v>
      </c>
    </row>
    <row r="175" spans="1:8" x14ac:dyDescent="0.3">
      <c r="A175" s="86" t="s">
        <v>565</v>
      </c>
      <c r="B175" s="69">
        <v>0.46733333333333299</v>
      </c>
      <c r="C175" s="70" t="s">
        <v>405</v>
      </c>
      <c r="D175" s="62"/>
      <c r="E175" s="44" t="s">
        <v>1282</v>
      </c>
      <c r="F175" s="71">
        <v>8</v>
      </c>
      <c r="G175" s="72">
        <v>500</v>
      </c>
      <c r="H175" s="73">
        <v>799</v>
      </c>
    </row>
    <row r="176" spans="1:8" x14ac:dyDescent="0.3">
      <c r="A176" s="86" t="s">
        <v>1720</v>
      </c>
      <c r="B176" s="69">
        <v>0.33400000000000002</v>
      </c>
      <c r="C176" s="70" t="s">
        <v>1403</v>
      </c>
      <c r="D176" s="62"/>
      <c r="E176" s="44" t="s">
        <v>1466</v>
      </c>
      <c r="F176" s="71">
        <v>10</v>
      </c>
      <c r="G176" s="72">
        <v>624</v>
      </c>
      <c r="H176" s="73">
        <v>999</v>
      </c>
    </row>
    <row r="177" spans="1:8" x14ac:dyDescent="0.3">
      <c r="A177" s="86" t="s">
        <v>1721</v>
      </c>
      <c r="B177" s="69">
        <v>0.33400000000000002</v>
      </c>
      <c r="C177" s="70" t="s">
        <v>1403</v>
      </c>
      <c r="D177" s="62"/>
      <c r="E177" s="44" t="s">
        <v>1467</v>
      </c>
      <c r="F177" s="71">
        <v>10</v>
      </c>
      <c r="G177" s="72">
        <v>624</v>
      </c>
      <c r="H177" s="73">
        <v>999</v>
      </c>
    </row>
    <row r="178" spans="1:8" x14ac:dyDescent="0.3">
      <c r="A178" s="86" t="s">
        <v>1722</v>
      </c>
      <c r="B178" s="69">
        <v>0.33400000000000002</v>
      </c>
      <c r="C178" s="70" t="s">
        <v>1403</v>
      </c>
      <c r="D178" s="62"/>
      <c r="E178" s="44" t="s">
        <v>1468</v>
      </c>
      <c r="F178" s="71">
        <v>10</v>
      </c>
      <c r="G178" s="72">
        <v>624</v>
      </c>
      <c r="H178" s="73">
        <v>999</v>
      </c>
    </row>
    <row r="179" spans="1:8" ht="14.5" thickBot="1" x14ac:dyDescent="0.35">
      <c r="A179" s="86" t="s">
        <v>1723</v>
      </c>
      <c r="B179" s="69">
        <v>0.33400000000000002</v>
      </c>
      <c r="C179" s="70" t="s">
        <v>1403</v>
      </c>
      <c r="D179" s="62"/>
      <c r="E179" s="44" t="s">
        <v>1469</v>
      </c>
      <c r="F179" s="71">
        <v>10</v>
      </c>
      <c r="G179" s="72">
        <v>624</v>
      </c>
      <c r="H179" s="73">
        <v>999</v>
      </c>
    </row>
    <row r="180" spans="1:8" ht="14.5" thickBot="1" x14ac:dyDescent="0.35">
      <c r="A180" s="38" t="s">
        <v>22</v>
      </c>
      <c r="B180" s="39"/>
      <c r="C180" s="39"/>
      <c r="D180" s="40"/>
      <c r="E180" s="43" t="s">
        <v>60</v>
      </c>
      <c r="F180" s="41"/>
      <c r="G180" s="42"/>
      <c r="H180" s="60"/>
    </row>
    <row r="181" spans="1:8" x14ac:dyDescent="0.3">
      <c r="A181" s="86" t="s">
        <v>1317</v>
      </c>
      <c r="B181" s="69">
        <v>0.441764705882353</v>
      </c>
      <c r="C181" s="70" t="s">
        <v>601</v>
      </c>
      <c r="D181" s="62"/>
      <c r="E181" s="44" t="s">
        <v>1224</v>
      </c>
      <c r="F181" s="71">
        <v>9</v>
      </c>
      <c r="G181" s="72">
        <v>593</v>
      </c>
      <c r="H181" s="73">
        <v>949</v>
      </c>
    </row>
    <row r="182" spans="1:8" x14ac:dyDescent="0.3">
      <c r="A182" s="86" t="s">
        <v>1318</v>
      </c>
      <c r="B182" s="69">
        <v>0.441764705882353</v>
      </c>
      <c r="C182" s="70" t="s">
        <v>601</v>
      </c>
      <c r="D182" s="62"/>
      <c r="E182" s="44" t="s">
        <v>1470</v>
      </c>
      <c r="F182" s="71">
        <v>9</v>
      </c>
      <c r="G182" s="72">
        <v>593</v>
      </c>
      <c r="H182" s="73">
        <v>949</v>
      </c>
    </row>
    <row r="183" spans="1:8" x14ac:dyDescent="0.3">
      <c r="A183" s="86" t="s">
        <v>807</v>
      </c>
      <c r="B183" s="69">
        <v>0.47499999999999998</v>
      </c>
      <c r="C183" s="70" t="s">
        <v>482</v>
      </c>
      <c r="D183" s="62"/>
      <c r="E183" s="44" t="s">
        <v>705</v>
      </c>
      <c r="F183" s="71">
        <v>4</v>
      </c>
      <c r="G183" s="72">
        <v>249</v>
      </c>
      <c r="H183" s="73">
        <v>399</v>
      </c>
    </row>
    <row r="184" spans="1:8" x14ac:dyDescent="0.3">
      <c r="A184" s="86" t="s">
        <v>808</v>
      </c>
      <c r="B184" s="69">
        <v>0.47499999999999998</v>
      </c>
      <c r="C184" s="70" t="s">
        <v>482</v>
      </c>
      <c r="D184" s="62"/>
      <c r="E184" s="44" t="s">
        <v>706</v>
      </c>
      <c r="F184" s="71">
        <v>4</v>
      </c>
      <c r="G184" s="72">
        <v>249</v>
      </c>
      <c r="H184" s="73">
        <v>399</v>
      </c>
    </row>
    <row r="185" spans="1:8" x14ac:dyDescent="0.3">
      <c r="A185" s="86" t="s">
        <v>809</v>
      </c>
      <c r="B185" s="69">
        <v>0.47499999999999998</v>
      </c>
      <c r="C185" s="70" t="s">
        <v>482</v>
      </c>
      <c r="D185" s="62"/>
      <c r="E185" s="44" t="s">
        <v>707</v>
      </c>
      <c r="F185" s="71">
        <v>4</v>
      </c>
      <c r="G185" s="72">
        <v>249</v>
      </c>
      <c r="H185" s="73">
        <v>399</v>
      </c>
    </row>
    <row r="186" spans="1:8" x14ac:dyDescent="0.3">
      <c r="A186" s="86" t="s">
        <v>818</v>
      </c>
      <c r="B186" s="69">
        <v>0.439285714285714</v>
      </c>
      <c r="C186" s="70" t="s">
        <v>601</v>
      </c>
      <c r="D186" s="62"/>
      <c r="E186" s="44" t="s">
        <v>713</v>
      </c>
      <c r="F186" s="71">
        <v>11</v>
      </c>
      <c r="G186" s="72">
        <v>687</v>
      </c>
      <c r="H186" s="73">
        <v>1099</v>
      </c>
    </row>
    <row r="187" spans="1:8" x14ac:dyDescent="0.3">
      <c r="A187" s="86" t="s">
        <v>1320</v>
      </c>
      <c r="B187" s="69">
        <v>0.40567567567567597</v>
      </c>
      <c r="C187" s="70" t="s">
        <v>460</v>
      </c>
      <c r="D187" s="62"/>
      <c r="E187" s="44" t="s">
        <v>1226</v>
      </c>
      <c r="F187" s="71">
        <v>21</v>
      </c>
      <c r="G187" s="72">
        <v>1374</v>
      </c>
      <c r="H187" s="73">
        <v>2199</v>
      </c>
    </row>
    <row r="188" spans="1:8" x14ac:dyDescent="0.3">
      <c r="A188" s="86" t="s">
        <v>918</v>
      </c>
      <c r="B188" s="69">
        <v>0.42904761904761901</v>
      </c>
      <c r="C188" s="70" t="s">
        <v>479</v>
      </c>
      <c r="D188" s="62"/>
      <c r="E188" s="44" t="s">
        <v>869</v>
      </c>
      <c r="F188" s="71">
        <v>11</v>
      </c>
      <c r="G188" s="72">
        <v>749</v>
      </c>
      <c r="H188" s="73">
        <v>1199</v>
      </c>
    </row>
    <row r="189" spans="1:8" x14ac:dyDescent="0.3">
      <c r="A189" s="86" t="s">
        <v>919</v>
      </c>
      <c r="B189" s="69">
        <v>0.42904761904761901</v>
      </c>
      <c r="C189" s="70" t="s">
        <v>479</v>
      </c>
      <c r="D189" s="62"/>
      <c r="E189" s="44" t="s">
        <v>1070</v>
      </c>
      <c r="F189" s="71">
        <v>11</v>
      </c>
      <c r="G189" s="72">
        <v>749</v>
      </c>
      <c r="H189" s="73">
        <v>1199</v>
      </c>
    </row>
    <row r="190" spans="1:8" x14ac:dyDescent="0.3">
      <c r="A190" s="86" t="s">
        <v>472</v>
      </c>
      <c r="B190" s="69">
        <v>0.42904761904761901</v>
      </c>
      <c r="C190" s="70" t="s">
        <v>479</v>
      </c>
      <c r="D190" s="62"/>
      <c r="E190" s="44" t="s">
        <v>1071</v>
      </c>
      <c r="F190" s="71">
        <v>11</v>
      </c>
      <c r="G190" s="72">
        <v>749</v>
      </c>
      <c r="H190" s="73">
        <v>1199</v>
      </c>
    </row>
    <row r="191" spans="1:8" x14ac:dyDescent="0.3">
      <c r="A191" s="86" t="s">
        <v>1724</v>
      </c>
      <c r="B191" s="69">
        <v>0.42904761904761901</v>
      </c>
      <c r="C191" s="70" t="s">
        <v>479</v>
      </c>
      <c r="D191" s="62"/>
      <c r="E191" s="44" t="s">
        <v>1471</v>
      </c>
      <c r="F191" s="71">
        <v>11</v>
      </c>
      <c r="G191" s="72">
        <v>749</v>
      </c>
      <c r="H191" s="73">
        <v>1199</v>
      </c>
    </row>
    <row r="192" spans="1:8" x14ac:dyDescent="0.3">
      <c r="A192" s="86" t="s">
        <v>1725</v>
      </c>
      <c r="B192" s="69">
        <v>0.42904761904761901</v>
      </c>
      <c r="C192" s="70" t="s">
        <v>479</v>
      </c>
      <c r="D192" s="62"/>
      <c r="E192" s="44" t="s">
        <v>1472</v>
      </c>
      <c r="F192" s="71">
        <v>11</v>
      </c>
      <c r="G192" s="72">
        <v>749</v>
      </c>
      <c r="H192" s="73">
        <v>1199</v>
      </c>
    </row>
    <row r="193" spans="1:8" x14ac:dyDescent="0.3">
      <c r="A193" s="86" t="s">
        <v>473</v>
      </c>
      <c r="B193" s="69">
        <v>0.42904761904761901</v>
      </c>
      <c r="C193" s="70" t="s">
        <v>479</v>
      </c>
      <c r="D193" s="62"/>
      <c r="E193" s="44" t="s">
        <v>1072</v>
      </c>
      <c r="F193" s="71">
        <v>11</v>
      </c>
      <c r="G193" s="72">
        <v>749</v>
      </c>
      <c r="H193" s="73">
        <v>1199</v>
      </c>
    </row>
    <row r="194" spans="1:8" x14ac:dyDescent="0.3">
      <c r="A194" s="86" t="s">
        <v>822</v>
      </c>
      <c r="B194" s="69">
        <v>0.34826086956521701</v>
      </c>
      <c r="C194" s="70" t="s">
        <v>460</v>
      </c>
      <c r="D194" s="62"/>
      <c r="E194" s="44" t="s">
        <v>715</v>
      </c>
      <c r="F194" s="71">
        <v>14</v>
      </c>
      <c r="G194" s="72">
        <v>937</v>
      </c>
      <c r="H194" s="73">
        <v>1499</v>
      </c>
    </row>
    <row r="195" spans="1:8" x14ac:dyDescent="0.3">
      <c r="A195" s="86" t="s">
        <v>823</v>
      </c>
      <c r="B195" s="69">
        <v>0.34826086956521701</v>
      </c>
      <c r="C195" s="70" t="s">
        <v>460</v>
      </c>
      <c r="D195" s="62"/>
      <c r="E195" s="44" t="s">
        <v>1287</v>
      </c>
      <c r="F195" s="71">
        <v>14</v>
      </c>
      <c r="G195" s="72">
        <v>937</v>
      </c>
      <c r="H195" s="73">
        <v>1499</v>
      </c>
    </row>
    <row r="196" spans="1:8" x14ac:dyDescent="0.3">
      <c r="A196" s="86" t="s">
        <v>824</v>
      </c>
      <c r="B196" s="69">
        <v>0.34826086956521701</v>
      </c>
      <c r="C196" s="70" t="s">
        <v>460</v>
      </c>
      <c r="D196" s="62"/>
      <c r="E196" s="44" t="s">
        <v>1288</v>
      </c>
      <c r="F196" s="71">
        <v>14</v>
      </c>
      <c r="G196" s="72">
        <v>937</v>
      </c>
      <c r="H196" s="73">
        <v>1499</v>
      </c>
    </row>
    <row r="197" spans="1:8" x14ac:dyDescent="0.3">
      <c r="A197" s="86" t="s">
        <v>1294</v>
      </c>
      <c r="B197" s="69">
        <v>0.31957446808510598</v>
      </c>
      <c r="C197" s="70" t="s">
        <v>426</v>
      </c>
      <c r="D197" s="62"/>
      <c r="E197" s="44" t="s">
        <v>1180</v>
      </c>
      <c r="F197" s="71">
        <v>15</v>
      </c>
      <c r="G197" s="72">
        <v>999</v>
      </c>
      <c r="H197" s="73">
        <v>1599</v>
      </c>
    </row>
    <row r="198" spans="1:8" x14ac:dyDescent="0.3">
      <c r="A198" s="86" t="s">
        <v>1044</v>
      </c>
      <c r="B198" s="69"/>
      <c r="C198" s="70" t="s">
        <v>115</v>
      </c>
      <c r="D198" s="62"/>
      <c r="E198" s="44" t="s">
        <v>1473</v>
      </c>
      <c r="F198" s="71">
        <v>15</v>
      </c>
      <c r="G198" s="72">
        <v>987</v>
      </c>
      <c r="H198" s="73">
        <v>1580</v>
      </c>
    </row>
    <row r="199" spans="1:8" x14ac:dyDescent="0.3">
      <c r="A199" s="86" t="s">
        <v>1726</v>
      </c>
      <c r="B199" s="69"/>
      <c r="C199" s="70" t="s">
        <v>115</v>
      </c>
      <c r="D199" s="62"/>
      <c r="E199" s="44" t="s">
        <v>1474</v>
      </c>
      <c r="F199" s="71">
        <v>15</v>
      </c>
      <c r="G199" s="72">
        <v>987</v>
      </c>
      <c r="H199" s="73">
        <v>1580</v>
      </c>
    </row>
    <row r="200" spans="1:8" x14ac:dyDescent="0.3">
      <c r="A200" s="86" t="s">
        <v>1727</v>
      </c>
      <c r="B200" s="69"/>
      <c r="C200" s="70" t="s">
        <v>115</v>
      </c>
      <c r="D200" s="62"/>
      <c r="E200" s="44" t="s">
        <v>1475</v>
      </c>
      <c r="F200" s="71">
        <v>15</v>
      </c>
      <c r="G200" s="72">
        <v>987</v>
      </c>
      <c r="H200" s="73">
        <v>1580</v>
      </c>
    </row>
    <row r="201" spans="1:8" x14ac:dyDescent="0.3">
      <c r="A201" s="86" t="s">
        <v>1728</v>
      </c>
      <c r="B201" s="69"/>
      <c r="C201" s="70" t="s">
        <v>115</v>
      </c>
      <c r="D201" s="62"/>
      <c r="E201" s="44" t="s">
        <v>1476</v>
      </c>
      <c r="F201" s="71">
        <v>15</v>
      </c>
      <c r="G201" s="72">
        <v>987</v>
      </c>
      <c r="H201" s="73">
        <v>1580</v>
      </c>
    </row>
    <row r="202" spans="1:8" x14ac:dyDescent="0.3">
      <c r="A202" s="86" t="s">
        <v>1729</v>
      </c>
      <c r="B202" s="69"/>
      <c r="C202" s="70" t="s">
        <v>115</v>
      </c>
      <c r="D202" s="62"/>
      <c r="E202" s="44" t="s">
        <v>1477</v>
      </c>
      <c r="F202" s="71">
        <v>15</v>
      </c>
      <c r="G202" s="72">
        <v>987</v>
      </c>
      <c r="H202" s="73">
        <v>1580</v>
      </c>
    </row>
    <row r="203" spans="1:8" x14ac:dyDescent="0.3">
      <c r="A203" s="86" t="s">
        <v>1730</v>
      </c>
      <c r="B203" s="69"/>
      <c r="C203" s="70" t="s">
        <v>115</v>
      </c>
      <c r="D203" s="62"/>
      <c r="E203" s="44" t="s">
        <v>1478</v>
      </c>
      <c r="F203" s="71">
        <v>15</v>
      </c>
      <c r="G203" s="72">
        <v>987</v>
      </c>
      <c r="H203" s="73">
        <v>1580</v>
      </c>
    </row>
    <row r="204" spans="1:8" x14ac:dyDescent="0.3">
      <c r="A204" s="86" t="s">
        <v>1731</v>
      </c>
      <c r="B204" s="69"/>
      <c r="C204" s="70" t="s">
        <v>115</v>
      </c>
      <c r="D204" s="62"/>
      <c r="E204" s="44" t="s">
        <v>1479</v>
      </c>
      <c r="F204" s="71">
        <v>15</v>
      </c>
      <c r="G204" s="72">
        <v>987</v>
      </c>
      <c r="H204" s="73">
        <v>1580</v>
      </c>
    </row>
    <row r="205" spans="1:8" x14ac:dyDescent="0.3">
      <c r="A205" s="86" t="s">
        <v>1732</v>
      </c>
      <c r="B205" s="69"/>
      <c r="C205" s="70" t="s">
        <v>115</v>
      </c>
      <c r="D205" s="62"/>
      <c r="E205" s="44" t="s">
        <v>1480</v>
      </c>
      <c r="F205" s="71">
        <v>15</v>
      </c>
      <c r="G205" s="72">
        <v>987</v>
      </c>
      <c r="H205" s="73">
        <v>1580</v>
      </c>
    </row>
    <row r="206" spans="1:8" x14ac:dyDescent="0.3">
      <c r="A206" s="86" t="s">
        <v>1733</v>
      </c>
      <c r="B206" s="69"/>
      <c r="C206" s="70" t="s">
        <v>115</v>
      </c>
      <c r="D206" s="62"/>
      <c r="E206" s="44" t="s">
        <v>1481</v>
      </c>
      <c r="F206" s="71">
        <v>15</v>
      </c>
      <c r="G206" s="72">
        <v>987</v>
      </c>
      <c r="H206" s="73">
        <v>1580</v>
      </c>
    </row>
    <row r="207" spans="1:8" x14ac:dyDescent="0.3">
      <c r="A207" s="86" t="s">
        <v>827</v>
      </c>
      <c r="B207" s="69">
        <v>0.482222222222222</v>
      </c>
      <c r="C207" s="70" t="s">
        <v>515</v>
      </c>
      <c r="D207" s="62"/>
      <c r="E207" s="44" t="s">
        <v>717</v>
      </c>
      <c r="F207" s="71">
        <v>7</v>
      </c>
      <c r="G207" s="72">
        <v>437</v>
      </c>
      <c r="H207" s="73">
        <v>699</v>
      </c>
    </row>
    <row r="208" spans="1:8" x14ac:dyDescent="0.3">
      <c r="A208" s="86" t="s">
        <v>1734</v>
      </c>
      <c r="B208" s="69">
        <v>0.40062500000000001</v>
      </c>
      <c r="C208" s="70" t="s">
        <v>81</v>
      </c>
      <c r="D208" s="62"/>
      <c r="E208" s="44" t="s">
        <v>1482</v>
      </c>
      <c r="F208" s="71">
        <v>9</v>
      </c>
      <c r="G208" s="72">
        <v>599</v>
      </c>
      <c r="H208" s="73">
        <v>959</v>
      </c>
    </row>
    <row r="209" spans="1:8" x14ac:dyDescent="0.3">
      <c r="A209" s="86" t="s">
        <v>825</v>
      </c>
      <c r="B209" s="69">
        <v>0.49183673469387801</v>
      </c>
      <c r="C209" s="70" t="s">
        <v>126</v>
      </c>
      <c r="D209" s="62"/>
      <c r="E209" s="44" t="s">
        <v>716</v>
      </c>
      <c r="F209" s="71">
        <v>2</v>
      </c>
      <c r="G209" s="72">
        <v>156</v>
      </c>
      <c r="H209" s="73">
        <v>249</v>
      </c>
    </row>
    <row r="210" spans="1:8" x14ac:dyDescent="0.3">
      <c r="A210" s="86" t="s">
        <v>826</v>
      </c>
      <c r="B210" s="69">
        <v>0.49183673469387801</v>
      </c>
      <c r="C210" s="70" t="s">
        <v>126</v>
      </c>
      <c r="D210" s="62"/>
      <c r="E210" s="44" t="s">
        <v>1289</v>
      </c>
      <c r="F210" s="71">
        <v>2</v>
      </c>
      <c r="G210" s="72">
        <v>156</v>
      </c>
      <c r="H210" s="73">
        <v>249</v>
      </c>
    </row>
    <row r="211" spans="1:8" ht="14.5" thickBot="1" x14ac:dyDescent="0.35">
      <c r="A211" s="86" t="s">
        <v>806</v>
      </c>
      <c r="B211" s="69">
        <v>0.46937499999999999</v>
      </c>
      <c r="C211" s="70" t="s">
        <v>482</v>
      </c>
      <c r="D211" s="62"/>
      <c r="E211" s="44" t="s">
        <v>704</v>
      </c>
      <c r="F211" s="71">
        <v>8</v>
      </c>
      <c r="G211" s="72">
        <v>531</v>
      </c>
      <c r="H211" s="73">
        <v>849</v>
      </c>
    </row>
    <row r="212" spans="1:8" ht="14.5" thickBot="1" x14ac:dyDescent="0.35">
      <c r="A212" s="38" t="s">
        <v>22</v>
      </c>
      <c r="B212" s="39"/>
      <c r="C212" s="39"/>
      <c r="D212" s="40"/>
      <c r="E212" s="43" t="s">
        <v>994</v>
      </c>
      <c r="F212" s="41"/>
      <c r="G212" s="42"/>
      <c r="H212" s="60"/>
    </row>
    <row r="213" spans="1:8" x14ac:dyDescent="0.3">
      <c r="A213" s="86" t="s">
        <v>1104</v>
      </c>
      <c r="B213" s="69">
        <v>0.51276595744680897</v>
      </c>
      <c r="C213" s="70" t="s">
        <v>119</v>
      </c>
      <c r="D213" s="62"/>
      <c r="E213" s="44" t="s">
        <v>995</v>
      </c>
      <c r="F213" s="71">
        <v>2</v>
      </c>
      <c r="G213" s="72">
        <v>143</v>
      </c>
      <c r="H213" s="73">
        <v>229</v>
      </c>
    </row>
    <row r="214" spans="1:8" x14ac:dyDescent="0.3">
      <c r="A214" s="86" t="s">
        <v>1105</v>
      </c>
      <c r="B214" s="69">
        <v>0.51276595744680897</v>
      </c>
      <c r="C214" s="70" t="s">
        <v>119</v>
      </c>
      <c r="D214" s="62"/>
      <c r="E214" s="44" t="s">
        <v>996</v>
      </c>
      <c r="F214" s="71">
        <v>2</v>
      </c>
      <c r="G214" s="72">
        <v>143</v>
      </c>
      <c r="H214" s="73">
        <v>229</v>
      </c>
    </row>
    <row r="215" spans="1:8" x14ac:dyDescent="0.3">
      <c r="A215" s="86" t="s">
        <v>1106</v>
      </c>
      <c r="B215" s="69">
        <v>0.51276595744680897</v>
      </c>
      <c r="C215" s="70" t="s">
        <v>119</v>
      </c>
      <c r="D215" s="62"/>
      <c r="E215" s="44" t="s">
        <v>997</v>
      </c>
      <c r="F215" s="71">
        <v>2</v>
      </c>
      <c r="G215" s="72">
        <v>143</v>
      </c>
      <c r="H215" s="73">
        <v>229</v>
      </c>
    </row>
    <row r="216" spans="1:8" x14ac:dyDescent="0.3">
      <c r="A216" s="86" t="s">
        <v>1107</v>
      </c>
      <c r="B216" s="69">
        <v>0.51276595744680897</v>
      </c>
      <c r="C216" s="70" t="s">
        <v>119</v>
      </c>
      <c r="D216" s="62"/>
      <c r="E216" s="44" t="s">
        <v>998</v>
      </c>
      <c r="F216" s="71">
        <v>2</v>
      </c>
      <c r="G216" s="72">
        <v>143</v>
      </c>
      <c r="H216" s="73">
        <v>229</v>
      </c>
    </row>
    <row r="217" spans="1:8" x14ac:dyDescent="0.3">
      <c r="A217" s="86" t="s">
        <v>1108</v>
      </c>
      <c r="B217" s="69">
        <v>0.51276595744680897</v>
      </c>
      <c r="C217" s="70" t="s">
        <v>119</v>
      </c>
      <c r="D217" s="62"/>
      <c r="E217" s="44" t="s">
        <v>999</v>
      </c>
      <c r="F217" s="71">
        <v>2</v>
      </c>
      <c r="G217" s="72">
        <v>143</v>
      </c>
      <c r="H217" s="73">
        <v>229</v>
      </c>
    </row>
    <row r="218" spans="1:8" x14ac:dyDescent="0.3">
      <c r="A218" s="86" t="s">
        <v>1109</v>
      </c>
      <c r="B218" s="69">
        <v>0.51276595744680897</v>
      </c>
      <c r="C218" s="70" t="s">
        <v>119</v>
      </c>
      <c r="D218" s="62"/>
      <c r="E218" s="44" t="s">
        <v>1000</v>
      </c>
      <c r="F218" s="71">
        <v>2</v>
      </c>
      <c r="G218" s="72">
        <v>143</v>
      </c>
      <c r="H218" s="73">
        <v>229</v>
      </c>
    </row>
    <row r="219" spans="1:8" x14ac:dyDescent="0.3">
      <c r="A219" s="86" t="s">
        <v>1735</v>
      </c>
      <c r="B219" s="69">
        <v>0.51276595744680897</v>
      </c>
      <c r="C219" s="70" t="s">
        <v>119</v>
      </c>
      <c r="D219" s="62"/>
      <c r="E219" s="44" t="s">
        <v>1483</v>
      </c>
      <c r="F219" s="71">
        <v>2</v>
      </c>
      <c r="G219" s="72">
        <v>143</v>
      </c>
      <c r="H219" s="73">
        <v>229</v>
      </c>
    </row>
    <row r="220" spans="1:8" x14ac:dyDescent="0.3">
      <c r="A220" s="86" t="s">
        <v>1110</v>
      </c>
      <c r="B220" s="69">
        <v>0.51276595744680897</v>
      </c>
      <c r="C220" s="70" t="s">
        <v>119</v>
      </c>
      <c r="D220" s="62"/>
      <c r="E220" s="44" t="s">
        <v>1001</v>
      </c>
      <c r="F220" s="71">
        <v>2</v>
      </c>
      <c r="G220" s="72">
        <v>143</v>
      </c>
      <c r="H220" s="73">
        <v>229</v>
      </c>
    </row>
    <row r="221" spans="1:8" x14ac:dyDescent="0.3">
      <c r="A221" s="86" t="s">
        <v>1111</v>
      </c>
      <c r="B221" s="69">
        <v>0.51276595744680897</v>
      </c>
      <c r="C221" s="70" t="s">
        <v>119</v>
      </c>
      <c r="D221" s="62"/>
      <c r="E221" s="44" t="s">
        <v>1002</v>
      </c>
      <c r="F221" s="71">
        <v>2</v>
      </c>
      <c r="G221" s="72">
        <v>143</v>
      </c>
      <c r="H221" s="73">
        <v>229</v>
      </c>
    </row>
    <row r="222" spans="1:8" ht="14.5" thickBot="1" x14ac:dyDescent="0.35">
      <c r="A222" s="86" t="s">
        <v>1112</v>
      </c>
      <c r="B222" s="69">
        <v>0.51276595744680897</v>
      </c>
      <c r="C222" s="70" t="s">
        <v>119</v>
      </c>
      <c r="D222" s="62"/>
      <c r="E222" s="44" t="s">
        <v>1003</v>
      </c>
      <c r="F222" s="71">
        <v>2</v>
      </c>
      <c r="G222" s="72">
        <v>143</v>
      </c>
      <c r="H222" s="73">
        <v>229</v>
      </c>
    </row>
    <row r="223" spans="1:8" ht="14.5" thickBot="1" x14ac:dyDescent="0.35">
      <c r="A223" s="38" t="s">
        <v>22</v>
      </c>
      <c r="B223" s="39"/>
      <c r="C223" s="39"/>
      <c r="D223" s="40"/>
      <c r="E223" s="43" t="s">
        <v>65</v>
      </c>
      <c r="F223" s="41"/>
      <c r="G223" s="42"/>
      <c r="H223" s="60"/>
    </row>
    <row r="224" spans="1:8" ht="14.5" thickBot="1" x14ac:dyDescent="0.35">
      <c r="A224" s="38" t="s">
        <v>22</v>
      </c>
      <c r="B224" s="39"/>
      <c r="C224" s="39"/>
      <c r="D224" s="40"/>
      <c r="E224" s="43" t="s">
        <v>66</v>
      </c>
      <c r="F224" s="41"/>
      <c r="G224" s="42"/>
      <c r="H224" s="60"/>
    </row>
    <row r="225" spans="1:8" x14ac:dyDescent="0.3">
      <c r="A225" s="86" t="s">
        <v>961</v>
      </c>
      <c r="B225" s="69">
        <v>0.61354838709677395</v>
      </c>
      <c r="C225" s="70" t="s">
        <v>102</v>
      </c>
      <c r="D225" s="62"/>
      <c r="E225" s="44" t="s">
        <v>904</v>
      </c>
      <c r="F225" s="71">
        <v>6</v>
      </c>
      <c r="G225" s="72">
        <v>374</v>
      </c>
      <c r="H225" s="73">
        <v>599</v>
      </c>
    </row>
    <row r="226" spans="1:8" x14ac:dyDescent="0.3">
      <c r="A226" s="86" t="s">
        <v>1736</v>
      </c>
      <c r="B226" s="69">
        <v>0.46192307692307699</v>
      </c>
      <c r="C226" s="70" t="s">
        <v>605</v>
      </c>
      <c r="D226" s="62"/>
      <c r="E226" s="44" t="s">
        <v>1484</v>
      </c>
      <c r="F226" s="71">
        <v>13</v>
      </c>
      <c r="G226" s="72">
        <v>875</v>
      </c>
      <c r="H226" s="73">
        <v>1399</v>
      </c>
    </row>
    <row r="227" spans="1:8" x14ac:dyDescent="0.3">
      <c r="A227" s="86" t="s">
        <v>1120</v>
      </c>
      <c r="B227" s="69">
        <v>0.50062499999999999</v>
      </c>
      <c r="C227" s="70" t="s">
        <v>150</v>
      </c>
      <c r="D227" s="62"/>
      <c r="E227" s="44" t="s">
        <v>1485</v>
      </c>
      <c r="F227" s="71">
        <v>8</v>
      </c>
      <c r="G227" s="72">
        <v>500</v>
      </c>
      <c r="H227" s="73">
        <v>799</v>
      </c>
    </row>
    <row r="228" spans="1:8" x14ac:dyDescent="0.3">
      <c r="A228" s="86" t="s">
        <v>1737</v>
      </c>
      <c r="B228" s="69">
        <v>0.50062499999999999</v>
      </c>
      <c r="C228" s="70" t="s">
        <v>150</v>
      </c>
      <c r="D228" s="62"/>
      <c r="E228" s="44" t="s">
        <v>1486</v>
      </c>
      <c r="F228" s="71">
        <v>8</v>
      </c>
      <c r="G228" s="72">
        <v>500</v>
      </c>
      <c r="H228" s="73">
        <v>799</v>
      </c>
    </row>
    <row r="229" spans="1:8" x14ac:dyDescent="0.3">
      <c r="A229" s="86" t="s">
        <v>1122</v>
      </c>
      <c r="B229" s="69">
        <v>0.40022222222222198</v>
      </c>
      <c r="C229" s="70" t="s">
        <v>484</v>
      </c>
      <c r="D229" s="62"/>
      <c r="E229" s="44" t="s">
        <v>1011</v>
      </c>
      <c r="F229" s="71">
        <v>26</v>
      </c>
      <c r="G229" s="72">
        <v>1687</v>
      </c>
      <c r="H229" s="73">
        <v>2699</v>
      </c>
    </row>
    <row r="230" spans="1:8" x14ac:dyDescent="0.3">
      <c r="A230" s="86" t="s">
        <v>957</v>
      </c>
      <c r="B230" s="69">
        <v>0.32</v>
      </c>
      <c r="C230" s="70" t="s">
        <v>484</v>
      </c>
      <c r="D230" s="62"/>
      <c r="E230" s="44" t="s">
        <v>168</v>
      </c>
      <c r="F230" s="71">
        <v>33</v>
      </c>
      <c r="G230" s="72">
        <v>2125</v>
      </c>
      <c r="H230" s="73">
        <v>3400</v>
      </c>
    </row>
    <row r="231" spans="1:8" x14ac:dyDescent="0.3">
      <c r="A231" s="86" t="s">
        <v>1738</v>
      </c>
      <c r="B231" s="69"/>
      <c r="C231" s="70" t="s">
        <v>116</v>
      </c>
      <c r="D231" s="62"/>
      <c r="E231" s="44" t="s">
        <v>1487</v>
      </c>
      <c r="F231" s="71">
        <v>36</v>
      </c>
      <c r="G231" s="72">
        <v>2375</v>
      </c>
      <c r="H231" s="73">
        <v>3800</v>
      </c>
    </row>
    <row r="232" spans="1:8" x14ac:dyDescent="0.3">
      <c r="A232" s="86" t="s">
        <v>1739</v>
      </c>
      <c r="B232" s="69">
        <v>0.53884615384615397</v>
      </c>
      <c r="C232" s="70" t="s">
        <v>99</v>
      </c>
      <c r="D232" s="62"/>
      <c r="E232" s="44" t="s">
        <v>1488</v>
      </c>
      <c r="F232" s="71">
        <v>11</v>
      </c>
      <c r="G232" s="72">
        <v>749</v>
      </c>
      <c r="H232" s="73">
        <v>1199</v>
      </c>
    </row>
    <row r="233" spans="1:8" x14ac:dyDescent="0.3">
      <c r="A233" s="86" t="s">
        <v>1740</v>
      </c>
      <c r="B233" s="69">
        <v>0.50062499999999999</v>
      </c>
      <c r="C233" s="70" t="s">
        <v>425</v>
      </c>
      <c r="D233" s="62"/>
      <c r="E233" s="44" t="s">
        <v>1489</v>
      </c>
      <c r="F233" s="71">
        <v>8</v>
      </c>
      <c r="G233" s="72">
        <v>500</v>
      </c>
      <c r="H233" s="73">
        <v>799</v>
      </c>
    </row>
    <row r="234" spans="1:8" x14ac:dyDescent="0.3">
      <c r="A234" s="86" t="s">
        <v>1741</v>
      </c>
      <c r="B234" s="69">
        <v>0.53884615384615397</v>
      </c>
      <c r="C234" s="70" t="s">
        <v>1404</v>
      </c>
      <c r="D234" s="62"/>
      <c r="E234" s="44" t="s">
        <v>1490</v>
      </c>
      <c r="F234" s="71">
        <v>11</v>
      </c>
      <c r="G234" s="72">
        <v>749</v>
      </c>
      <c r="H234" s="73">
        <v>1199</v>
      </c>
    </row>
    <row r="235" spans="1:8" x14ac:dyDescent="0.3">
      <c r="A235" s="86" t="s">
        <v>1742</v>
      </c>
      <c r="B235" s="69">
        <v>0.42</v>
      </c>
      <c r="C235" s="70" t="s">
        <v>647</v>
      </c>
      <c r="D235" s="62"/>
      <c r="E235" s="44" t="s">
        <v>1491</v>
      </c>
      <c r="F235" s="71">
        <v>28</v>
      </c>
      <c r="G235" s="72">
        <v>1812</v>
      </c>
      <c r="H235" s="73">
        <v>2900</v>
      </c>
    </row>
    <row r="236" spans="1:8" x14ac:dyDescent="0.3">
      <c r="A236" s="86" t="s">
        <v>1743</v>
      </c>
      <c r="B236" s="69">
        <v>0.44763157894736799</v>
      </c>
      <c r="C236" s="70" t="s">
        <v>605</v>
      </c>
      <c r="D236" s="62"/>
      <c r="E236" s="44" t="s">
        <v>1492</v>
      </c>
      <c r="F236" s="71">
        <v>20</v>
      </c>
      <c r="G236" s="72">
        <v>1312</v>
      </c>
      <c r="H236" s="73">
        <v>2099</v>
      </c>
    </row>
    <row r="237" spans="1:8" x14ac:dyDescent="0.3">
      <c r="A237" s="86" t="s">
        <v>960</v>
      </c>
      <c r="B237" s="69">
        <v>0.50031250000000005</v>
      </c>
      <c r="C237" s="70" t="s">
        <v>100</v>
      </c>
      <c r="D237" s="62"/>
      <c r="E237" s="44" t="s">
        <v>903</v>
      </c>
      <c r="F237" s="71">
        <v>15</v>
      </c>
      <c r="G237" s="72">
        <v>999</v>
      </c>
      <c r="H237" s="73">
        <v>1599</v>
      </c>
    </row>
    <row r="238" spans="1:8" x14ac:dyDescent="0.3">
      <c r="A238" s="86" t="s">
        <v>183</v>
      </c>
      <c r="B238" s="69">
        <v>0.50031250000000005</v>
      </c>
      <c r="C238" s="70" t="s">
        <v>100</v>
      </c>
      <c r="D238" s="62"/>
      <c r="E238" s="44" t="s">
        <v>582</v>
      </c>
      <c r="F238" s="71">
        <v>15</v>
      </c>
      <c r="G238" s="72">
        <v>999</v>
      </c>
      <c r="H238" s="73">
        <v>1599</v>
      </c>
    </row>
    <row r="239" spans="1:8" x14ac:dyDescent="0.3">
      <c r="A239" s="86" t="s">
        <v>1588</v>
      </c>
      <c r="B239" s="69">
        <v>0.48883720930232599</v>
      </c>
      <c r="C239" s="70" t="s">
        <v>148</v>
      </c>
      <c r="D239" s="62"/>
      <c r="E239" s="44" t="s">
        <v>1493</v>
      </c>
      <c r="F239" s="71">
        <v>11</v>
      </c>
      <c r="G239" s="72">
        <v>687</v>
      </c>
      <c r="H239" s="73">
        <v>1099</v>
      </c>
    </row>
    <row r="240" spans="1:8" x14ac:dyDescent="0.3">
      <c r="A240" s="86" t="s">
        <v>920</v>
      </c>
      <c r="B240" s="69">
        <v>0.44763157894736799</v>
      </c>
      <c r="C240" s="70" t="s">
        <v>92</v>
      </c>
      <c r="D240" s="62"/>
      <c r="E240" s="44" t="s">
        <v>1494</v>
      </c>
      <c r="F240" s="71">
        <v>20</v>
      </c>
      <c r="G240" s="72">
        <v>1312</v>
      </c>
      <c r="H240" s="73">
        <v>2099</v>
      </c>
    </row>
    <row r="241" spans="1:8" x14ac:dyDescent="0.3">
      <c r="A241" s="86" t="s">
        <v>1041</v>
      </c>
      <c r="B241" s="69">
        <v>0.50026315789473697</v>
      </c>
      <c r="C241" s="70" t="s">
        <v>863</v>
      </c>
      <c r="D241" s="62"/>
      <c r="E241" s="44" t="s">
        <v>1050</v>
      </c>
      <c r="F241" s="71">
        <v>18</v>
      </c>
      <c r="G241" s="72">
        <v>1187</v>
      </c>
      <c r="H241" s="73">
        <v>1899</v>
      </c>
    </row>
    <row r="242" spans="1:8" x14ac:dyDescent="0.3">
      <c r="A242" s="86" t="s">
        <v>897</v>
      </c>
      <c r="B242" s="69">
        <v>0.32758620689655199</v>
      </c>
      <c r="C242" s="70" t="s">
        <v>88</v>
      </c>
      <c r="D242" s="62"/>
      <c r="E242" s="44" t="s">
        <v>900</v>
      </c>
      <c r="F242" s="71">
        <v>37</v>
      </c>
      <c r="G242" s="72">
        <v>2437</v>
      </c>
      <c r="H242" s="73">
        <v>3900</v>
      </c>
    </row>
    <row r="243" spans="1:8" x14ac:dyDescent="0.3">
      <c r="A243" s="86" t="s">
        <v>1744</v>
      </c>
      <c r="B243" s="69">
        <v>0.61576923076923096</v>
      </c>
      <c r="C243" s="70" t="s">
        <v>159</v>
      </c>
      <c r="D243" s="62"/>
      <c r="E243" s="44" t="s">
        <v>1495</v>
      </c>
      <c r="F243" s="71">
        <v>10</v>
      </c>
      <c r="G243" s="72">
        <v>624</v>
      </c>
      <c r="H243" s="73">
        <v>999</v>
      </c>
    </row>
    <row r="244" spans="1:8" x14ac:dyDescent="0.3">
      <c r="A244" s="86" t="s">
        <v>1593</v>
      </c>
      <c r="B244" s="69">
        <v>0.44763157894736799</v>
      </c>
      <c r="C244" s="70" t="s">
        <v>369</v>
      </c>
      <c r="D244" s="62"/>
      <c r="E244" s="44" t="s">
        <v>1496</v>
      </c>
      <c r="F244" s="71">
        <v>20</v>
      </c>
      <c r="G244" s="72">
        <v>1312</v>
      </c>
      <c r="H244" s="73">
        <v>2099</v>
      </c>
    </row>
    <row r="245" spans="1:8" x14ac:dyDescent="0.3">
      <c r="A245" s="86" t="s">
        <v>1745</v>
      </c>
      <c r="B245" s="69">
        <v>0.44763157894736799</v>
      </c>
      <c r="C245" s="70" t="s">
        <v>93</v>
      </c>
      <c r="D245" s="62"/>
      <c r="E245" s="44" t="s">
        <v>77</v>
      </c>
      <c r="F245" s="71">
        <v>20</v>
      </c>
      <c r="G245" s="72">
        <v>1312</v>
      </c>
      <c r="H245" s="73">
        <v>2099</v>
      </c>
    </row>
    <row r="246" spans="1:8" ht="14.5" thickBot="1" x14ac:dyDescent="0.35">
      <c r="A246" s="86" t="s">
        <v>1327</v>
      </c>
      <c r="B246" s="69">
        <v>0.450625</v>
      </c>
      <c r="C246" s="70" t="s">
        <v>484</v>
      </c>
      <c r="D246" s="62"/>
      <c r="E246" s="44" t="s">
        <v>1232</v>
      </c>
      <c r="F246" s="71">
        <v>8</v>
      </c>
      <c r="G246" s="72">
        <v>549</v>
      </c>
      <c r="H246" s="73">
        <v>879</v>
      </c>
    </row>
    <row r="247" spans="1:8" ht="14.5" thickBot="1" x14ac:dyDescent="0.35">
      <c r="A247" s="38" t="s">
        <v>22</v>
      </c>
      <c r="B247" s="39"/>
      <c r="C247" s="39"/>
      <c r="D247" s="40"/>
      <c r="E247" s="43" t="s">
        <v>78</v>
      </c>
      <c r="F247" s="41"/>
      <c r="G247" s="42"/>
      <c r="H247" s="60"/>
    </row>
    <row r="248" spans="1:8" x14ac:dyDescent="0.3">
      <c r="A248" s="86" t="s">
        <v>1746</v>
      </c>
      <c r="B248" s="69">
        <v>0.442325581395349</v>
      </c>
      <c r="C248" s="70" t="s">
        <v>1405</v>
      </c>
      <c r="D248" s="62"/>
      <c r="E248" s="44" t="s">
        <v>1497</v>
      </c>
      <c r="F248" s="71">
        <v>11</v>
      </c>
      <c r="G248" s="72">
        <v>749</v>
      </c>
      <c r="H248" s="73">
        <v>1199</v>
      </c>
    </row>
    <row r="249" spans="1:8" x14ac:dyDescent="0.3">
      <c r="A249" s="86" t="s">
        <v>1747</v>
      </c>
      <c r="B249" s="69">
        <v>0.42</v>
      </c>
      <c r="C249" s="70" t="s">
        <v>86</v>
      </c>
      <c r="D249" s="62"/>
      <c r="E249" s="44" t="s">
        <v>1498</v>
      </c>
      <c r="F249" s="71">
        <v>28</v>
      </c>
      <c r="G249" s="72">
        <v>1812</v>
      </c>
      <c r="H249" s="73">
        <v>2900</v>
      </c>
    </row>
    <row r="250" spans="1:8" x14ac:dyDescent="0.3">
      <c r="A250" s="86" t="s">
        <v>921</v>
      </c>
      <c r="B250" s="69">
        <v>0.46192307692307699</v>
      </c>
      <c r="C250" s="70" t="s">
        <v>33</v>
      </c>
      <c r="D250" s="62"/>
      <c r="E250" s="44" t="s">
        <v>1499</v>
      </c>
      <c r="F250" s="71">
        <v>13</v>
      </c>
      <c r="G250" s="72">
        <v>875</v>
      </c>
      <c r="H250" s="73">
        <v>1399</v>
      </c>
    </row>
    <row r="251" spans="1:8" x14ac:dyDescent="0.3">
      <c r="A251" s="86" t="s">
        <v>586</v>
      </c>
      <c r="B251" s="69">
        <v>0.48883720930232599</v>
      </c>
      <c r="C251" s="70" t="s">
        <v>648</v>
      </c>
      <c r="D251" s="62"/>
      <c r="E251" s="44" t="s">
        <v>580</v>
      </c>
      <c r="F251" s="71">
        <v>11</v>
      </c>
      <c r="G251" s="72">
        <v>687</v>
      </c>
      <c r="H251" s="73">
        <v>1099</v>
      </c>
    </row>
    <row r="252" spans="1:8" x14ac:dyDescent="0.3">
      <c r="A252" s="86" t="s">
        <v>1123</v>
      </c>
      <c r="B252" s="69">
        <v>0.51133333333333297</v>
      </c>
      <c r="C252" s="70" t="s">
        <v>87</v>
      </c>
      <c r="D252" s="62"/>
      <c r="E252" s="44" t="s">
        <v>1012</v>
      </c>
      <c r="F252" s="71">
        <v>21</v>
      </c>
      <c r="G252" s="72">
        <v>1374</v>
      </c>
      <c r="H252" s="73">
        <v>2199</v>
      </c>
    </row>
    <row r="253" spans="1:8" x14ac:dyDescent="0.3">
      <c r="A253" s="86" t="s">
        <v>1748</v>
      </c>
      <c r="B253" s="69">
        <v>0.44763157894736799</v>
      </c>
      <c r="C253" s="70" t="s">
        <v>1405</v>
      </c>
      <c r="D253" s="62"/>
      <c r="E253" s="44" t="s">
        <v>1500</v>
      </c>
      <c r="F253" s="71">
        <v>20</v>
      </c>
      <c r="G253" s="72">
        <v>1312</v>
      </c>
      <c r="H253" s="73">
        <v>2099</v>
      </c>
    </row>
    <row r="254" spans="1:8" x14ac:dyDescent="0.3">
      <c r="A254" s="86" t="s">
        <v>1039</v>
      </c>
      <c r="B254" s="69">
        <v>0.48883720930232599</v>
      </c>
      <c r="C254" s="70" t="s">
        <v>391</v>
      </c>
      <c r="D254" s="62"/>
      <c r="E254" s="44" t="s">
        <v>1501</v>
      </c>
      <c r="F254" s="71">
        <v>11</v>
      </c>
      <c r="G254" s="72">
        <v>687</v>
      </c>
      <c r="H254" s="73">
        <v>1099</v>
      </c>
    </row>
    <row r="255" spans="1:8" x14ac:dyDescent="0.3">
      <c r="A255" s="86" t="s">
        <v>1171</v>
      </c>
      <c r="B255" s="69">
        <v>0.48883720930232599</v>
      </c>
      <c r="C255" s="70" t="s">
        <v>391</v>
      </c>
      <c r="D255" s="62"/>
      <c r="E255" s="44" t="s">
        <v>1074</v>
      </c>
      <c r="F255" s="71">
        <v>11</v>
      </c>
      <c r="G255" s="72">
        <v>687</v>
      </c>
      <c r="H255" s="73">
        <v>1099</v>
      </c>
    </row>
    <row r="256" spans="1:8" x14ac:dyDescent="0.3">
      <c r="A256" s="86" t="s">
        <v>923</v>
      </c>
      <c r="B256" s="69">
        <v>0.43781249999999999</v>
      </c>
      <c r="C256" s="70" t="s">
        <v>35</v>
      </c>
      <c r="D256" s="62"/>
      <c r="E256" s="44" t="s">
        <v>1502</v>
      </c>
      <c r="F256" s="71">
        <v>17</v>
      </c>
      <c r="G256" s="72">
        <v>1124</v>
      </c>
      <c r="H256" s="73">
        <v>1799</v>
      </c>
    </row>
    <row r="257" spans="1:8" ht="14.5" thickBot="1" x14ac:dyDescent="0.35">
      <c r="A257" s="86" t="s">
        <v>832</v>
      </c>
      <c r="B257" s="69">
        <v>0.46192307692307699</v>
      </c>
      <c r="C257" s="70" t="s">
        <v>33</v>
      </c>
      <c r="D257" s="62"/>
      <c r="E257" s="44" t="s">
        <v>720</v>
      </c>
      <c r="F257" s="71">
        <v>13</v>
      </c>
      <c r="G257" s="72">
        <v>875</v>
      </c>
      <c r="H257" s="73">
        <v>1399</v>
      </c>
    </row>
    <row r="258" spans="1:8" ht="14.5" thickBot="1" x14ac:dyDescent="0.35">
      <c r="A258" s="38" t="s">
        <v>22</v>
      </c>
      <c r="B258" s="39"/>
      <c r="C258" s="39"/>
      <c r="D258" s="40"/>
      <c r="E258" s="43" t="s">
        <v>84</v>
      </c>
      <c r="F258" s="41"/>
      <c r="G258" s="42"/>
      <c r="H258" s="60"/>
    </row>
    <row r="259" spans="1:8" x14ac:dyDescent="0.3">
      <c r="A259" s="86" t="s">
        <v>1125</v>
      </c>
      <c r="B259" s="69">
        <v>0.35049999999999998</v>
      </c>
      <c r="C259" s="70" t="s">
        <v>485</v>
      </c>
      <c r="D259" s="62"/>
      <c r="E259" s="44" t="s">
        <v>1015</v>
      </c>
      <c r="F259" s="71">
        <v>12</v>
      </c>
      <c r="G259" s="72">
        <v>812</v>
      </c>
      <c r="H259" s="73">
        <v>1299</v>
      </c>
    </row>
    <row r="260" spans="1:8" x14ac:dyDescent="0.3">
      <c r="A260" s="86" t="s">
        <v>1126</v>
      </c>
      <c r="B260" s="69">
        <v>0.35049999999999998</v>
      </c>
      <c r="C260" s="70" t="s">
        <v>485</v>
      </c>
      <c r="D260" s="62"/>
      <c r="E260" s="44" t="s">
        <v>1016</v>
      </c>
      <c r="F260" s="71">
        <v>12</v>
      </c>
      <c r="G260" s="72">
        <v>812</v>
      </c>
      <c r="H260" s="73">
        <v>1299</v>
      </c>
    </row>
    <row r="261" spans="1:8" x14ac:dyDescent="0.3">
      <c r="A261" s="86" t="s">
        <v>1127</v>
      </c>
      <c r="B261" s="69">
        <v>0.39146341463414602</v>
      </c>
      <c r="C261" s="70" t="s">
        <v>41</v>
      </c>
      <c r="D261" s="62"/>
      <c r="E261" s="44" t="s">
        <v>1017</v>
      </c>
      <c r="F261" s="71">
        <v>5</v>
      </c>
      <c r="G261" s="72">
        <v>312</v>
      </c>
      <c r="H261" s="73">
        <v>499</v>
      </c>
    </row>
    <row r="262" spans="1:8" x14ac:dyDescent="0.3">
      <c r="A262" s="86" t="s">
        <v>1128</v>
      </c>
      <c r="B262" s="69">
        <v>0.41749999999999998</v>
      </c>
      <c r="C262" s="70" t="s">
        <v>41</v>
      </c>
      <c r="D262" s="62"/>
      <c r="E262" s="44" t="s">
        <v>1018</v>
      </c>
      <c r="F262" s="71">
        <v>7</v>
      </c>
      <c r="G262" s="72">
        <v>437</v>
      </c>
      <c r="H262" s="73">
        <v>699</v>
      </c>
    </row>
    <row r="263" spans="1:8" x14ac:dyDescent="0.3">
      <c r="A263" s="86" t="s">
        <v>1749</v>
      </c>
      <c r="B263" s="69">
        <v>0.43666666666666698</v>
      </c>
      <c r="C263" s="70" t="s">
        <v>1391</v>
      </c>
      <c r="D263" s="62"/>
      <c r="E263" s="44" t="s">
        <v>1503</v>
      </c>
      <c r="F263" s="71">
        <v>2</v>
      </c>
      <c r="G263" s="72">
        <v>106</v>
      </c>
      <c r="H263" s="73">
        <v>169</v>
      </c>
    </row>
    <row r="264" spans="1:8" x14ac:dyDescent="0.3">
      <c r="A264" s="86" t="s">
        <v>1750</v>
      </c>
      <c r="B264" s="69">
        <v>0.43666666666666698</v>
      </c>
      <c r="C264" s="70" t="s">
        <v>1391</v>
      </c>
      <c r="D264" s="62"/>
      <c r="E264" s="44" t="s">
        <v>1504</v>
      </c>
      <c r="F264" s="71">
        <v>2</v>
      </c>
      <c r="G264" s="72">
        <v>106</v>
      </c>
      <c r="H264" s="73">
        <v>169</v>
      </c>
    </row>
    <row r="265" spans="1:8" x14ac:dyDescent="0.3">
      <c r="A265" s="86" t="s">
        <v>1129</v>
      </c>
      <c r="B265" s="69">
        <v>0.43666666666666698</v>
      </c>
      <c r="C265" s="70" t="s">
        <v>1391</v>
      </c>
      <c r="D265" s="62"/>
      <c r="E265" s="44" t="s">
        <v>1019</v>
      </c>
      <c r="F265" s="71">
        <v>2</v>
      </c>
      <c r="G265" s="72">
        <v>106</v>
      </c>
      <c r="H265" s="73">
        <v>169</v>
      </c>
    </row>
    <row r="266" spans="1:8" x14ac:dyDescent="0.3">
      <c r="A266" s="86" t="s">
        <v>1751</v>
      </c>
      <c r="B266" s="69">
        <v>0.43666666666666698</v>
      </c>
      <c r="C266" s="70" t="s">
        <v>1391</v>
      </c>
      <c r="D266" s="62"/>
      <c r="E266" s="44" t="s">
        <v>1505</v>
      </c>
      <c r="F266" s="71">
        <v>2</v>
      </c>
      <c r="G266" s="72">
        <v>106</v>
      </c>
      <c r="H266" s="73">
        <v>169</v>
      </c>
    </row>
    <row r="267" spans="1:8" x14ac:dyDescent="0.3">
      <c r="A267" s="86" t="s">
        <v>1130</v>
      </c>
      <c r="B267" s="69">
        <v>0.40100000000000002</v>
      </c>
      <c r="C267" s="70" t="s">
        <v>862</v>
      </c>
      <c r="D267" s="62"/>
      <c r="E267" s="44" t="s">
        <v>1020</v>
      </c>
      <c r="F267" s="71">
        <v>6</v>
      </c>
      <c r="G267" s="72">
        <v>374</v>
      </c>
      <c r="H267" s="73">
        <v>599</v>
      </c>
    </row>
    <row r="268" spans="1:8" x14ac:dyDescent="0.3">
      <c r="A268" s="86" t="s">
        <v>524</v>
      </c>
      <c r="B268" s="69">
        <v>0.40100000000000002</v>
      </c>
      <c r="C268" s="70" t="s">
        <v>979</v>
      </c>
      <c r="D268" s="62"/>
      <c r="E268" s="44" t="s">
        <v>518</v>
      </c>
      <c r="F268" s="71">
        <v>6</v>
      </c>
      <c r="G268" s="72">
        <v>374</v>
      </c>
      <c r="H268" s="73">
        <v>599</v>
      </c>
    </row>
    <row r="269" spans="1:8" x14ac:dyDescent="0.3">
      <c r="A269" s="86" t="s">
        <v>259</v>
      </c>
      <c r="B269" s="69">
        <v>0.45100000000000001</v>
      </c>
      <c r="C269" s="70" t="s">
        <v>606</v>
      </c>
      <c r="D269" s="62"/>
      <c r="E269" s="44" t="s">
        <v>89</v>
      </c>
      <c r="F269" s="71">
        <v>5</v>
      </c>
      <c r="G269" s="72">
        <v>343</v>
      </c>
      <c r="H269" s="73">
        <v>549</v>
      </c>
    </row>
    <row r="270" spans="1:8" x14ac:dyDescent="0.3">
      <c r="A270" s="86" t="s">
        <v>1131</v>
      </c>
      <c r="B270" s="69">
        <v>0.40608108108108099</v>
      </c>
      <c r="C270" s="70" t="s">
        <v>862</v>
      </c>
      <c r="D270" s="62"/>
      <c r="E270" s="44" t="s">
        <v>1021</v>
      </c>
      <c r="F270" s="71">
        <v>8</v>
      </c>
      <c r="G270" s="72">
        <v>549</v>
      </c>
      <c r="H270" s="73">
        <v>879</v>
      </c>
    </row>
    <row r="271" spans="1:8" x14ac:dyDescent="0.3">
      <c r="A271" s="86" t="s">
        <v>260</v>
      </c>
      <c r="B271" s="69">
        <v>0.446621621621622</v>
      </c>
      <c r="C271" s="70" t="s">
        <v>1406</v>
      </c>
      <c r="D271" s="62"/>
      <c r="E271" s="44" t="s">
        <v>90</v>
      </c>
      <c r="F271" s="71">
        <v>8</v>
      </c>
      <c r="G271" s="72">
        <v>512</v>
      </c>
      <c r="H271" s="73">
        <v>819</v>
      </c>
    </row>
    <row r="272" spans="1:8" x14ac:dyDescent="0.3">
      <c r="A272" s="86" t="s">
        <v>1132</v>
      </c>
      <c r="B272" s="69">
        <v>0.40068965517241401</v>
      </c>
      <c r="C272" s="70" t="s">
        <v>862</v>
      </c>
      <c r="D272" s="62"/>
      <c r="E272" s="44" t="s">
        <v>1022</v>
      </c>
      <c r="F272" s="71">
        <v>8</v>
      </c>
      <c r="G272" s="72">
        <v>543</v>
      </c>
      <c r="H272" s="73">
        <v>869</v>
      </c>
    </row>
    <row r="273" spans="1:8" x14ac:dyDescent="0.3">
      <c r="A273" s="86" t="s">
        <v>1133</v>
      </c>
      <c r="B273" s="69">
        <v>0.395454545454545</v>
      </c>
      <c r="C273" s="70" t="s">
        <v>979</v>
      </c>
      <c r="D273" s="62"/>
      <c r="E273" s="44" t="s">
        <v>1023</v>
      </c>
      <c r="F273" s="71">
        <v>4</v>
      </c>
      <c r="G273" s="72">
        <v>249</v>
      </c>
      <c r="H273" s="73">
        <v>399</v>
      </c>
    </row>
    <row r="274" spans="1:8" x14ac:dyDescent="0.3">
      <c r="A274" s="86" t="s">
        <v>1176</v>
      </c>
      <c r="B274" s="69">
        <v>0.44518518518518502</v>
      </c>
      <c r="C274" s="70" t="s">
        <v>606</v>
      </c>
      <c r="D274" s="62"/>
      <c r="E274" s="44" t="s">
        <v>1079</v>
      </c>
      <c r="F274" s="71">
        <v>7</v>
      </c>
      <c r="G274" s="72">
        <v>468</v>
      </c>
      <c r="H274" s="73">
        <v>749</v>
      </c>
    </row>
    <row r="275" spans="1:8" x14ac:dyDescent="0.3">
      <c r="A275" s="86" t="s">
        <v>924</v>
      </c>
      <c r="B275" s="69">
        <v>0.40814814814814798</v>
      </c>
      <c r="C275" s="70" t="s">
        <v>408</v>
      </c>
      <c r="D275" s="62"/>
      <c r="E275" s="44" t="s">
        <v>870</v>
      </c>
      <c r="F275" s="71">
        <v>8</v>
      </c>
      <c r="G275" s="72">
        <v>500</v>
      </c>
      <c r="H275" s="73">
        <v>799</v>
      </c>
    </row>
    <row r="276" spans="1:8" x14ac:dyDescent="0.3">
      <c r="A276" s="86" t="s">
        <v>262</v>
      </c>
      <c r="B276" s="69">
        <v>0.49540229885057502</v>
      </c>
      <c r="C276" s="70" t="s">
        <v>576</v>
      </c>
      <c r="D276" s="62"/>
      <c r="E276" s="44" t="s">
        <v>95</v>
      </c>
      <c r="F276" s="71">
        <v>4</v>
      </c>
      <c r="G276" s="72">
        <v>137</v>
      </c>
      <c r="H276" s="73">
        <v>439</v>
      </c>
    </row>
    <row r="277" spans="1:8" x14ac:dyDescent="0.3">
      <c r="A277" s="86" t="s">
        <v>342</v>
      </c>
      <c r="B277" s="69">
        <v>0.495789473684211</v>
      </c>
      <c r="C277" s="70" t="s">
        <v>576</v>
      </c>
      <c r="D277" s="62"/>
      <c r="E277" s="44" t="s">
        <v>199</v>
      </c>
      <c r="F277" s="71">
        <v>5</v>
      </c>
      <c r="G277" s="72">
        <v>150</v>
      </c>
      <c r="H277" s="73">
        <v>479</v>
      </c>
    </row>
    <row r="278" spans="1:8" x14ac:dyDescent="0.3">
      <c r="A278" s="86" t="s">
        <v>263</v>
      </c>
      <c r="B278" s="69">
        <v>0.49540229885057502</v>
      </c>
      <c r="C278" s="70" t="s">
        <v>576</v>
      </c>
      <c r="D278" s="62"/>
      <c r="E278" s="44" t="s">
        <v>96</v>
      </c>
      <c r="F278" s="71">
        <v>4</v>
      </c>
      <c r="G278" s="72">
        <v>137</v>
      </c>
      <c r="H278" s="73">
        <v>439</v>
      </c>
    </row>
    <row r="279" spans="1:8" x14ac:dyDescent="0.3">
      <c r="A279" s="86" t="s">
        <v>264</v>
      </c>
      <c r="B279" s="69">
        <v>0.501</v>
      </c>
      <c r="C279" s="70" t="s">
        <v>576</v>
      </c>
      <c r="D279" s="62"/>
      <c r="E279" s="44" t="s">
        <v>97</v>
      </c>
      <c r="F279" s="71">
        <v>5</v>
      </c>
      <c r="G279" s="72">
        <v>156</v>
      </c>
      <c r="H279" s="73">
        <v>499</v>
      </c>
    </row>
    <row r="280" spans="1:8" x14ac:dyDescent="0.3">
      <c r="A280" s="86" t="s">
        <v>343</v>
      </c>
      <c r="B280" s="69">
        <v>0.495789473684211</v>
      </c>
      <c r="C280" s="70" t="s">
        <v>576</v>
      </c>
      <c r="D280" s="62"/>
      <c r="E280" s="44" t="s">
        <v>200</v>
      </c>
      <c r="F280" s="71">
        <v>5</v>
      </c>
      <c r="G280" s="72">
        <v>150</v>
      </c>
      <c r="H280" s="73">
        <v>479</v>
      </c>
    </row>
    <row r="281" spans="1:8" x14ac:dyDescent="0.3">
      <c r="A281" s="86" t="s">
        <v>925</v>
      </c>
      <c r="B281" s="69">
        <v>0.39146341463414602</v>
      </c>
      <c r="C281" s="70" t="s">
        <v>41</v>
      </c>
      <c r="D281" s="62"/>
      <c r="E281" s="44" t="s">
        <v>871</v>
      </c>
      <c r="F281" s="71">
        <v>5</v>
      </c>
      <c r="G281" s="72">
        <v>312</v>
      </c>
      <c r="H281" s="73">
        <v>499</v>
      </c>
    </row>
    <row r="282" spans="1:8" x14ac:dyDescent="0.3">
      <c r="A282" s="86" t="s">
        <v>344</v>
      </c>
      <c r="B282" s="69">
        <v>0.49540229885057502</v>
      </c>
      <c r="C282" s="70" t="s">
        <v>576</v>
      </c>
      <c r="D282" s="62"/>
      <c r="E282" s="44" t="s">
        <v>201</v>
      </c>
      <c r="F282" s="71">
        <v>4</v>
      </c>
      <c r="G282" s="72">
        <v>137</v>
      </c>
      <c r="H282" s="73">
        <v>439</v>
      </c>
    </row>
    <row r="283" spans="1:8" x14ac:dyDescent="0.3">
      <c r="A283" s="86" t="s">
        <v>345</v>
      </c>
      <c r="B283" s="69">
        <v>0.50333333333333297</v>
      </c>
      <c r="C283" s="70" t="s">
        <v>576</v>
      </c>
      <c r="D283" s="62"/>
      <c r="E283" s="44" t="s">
        <v>202</v>
      </c>
      <c r="F283" s="71">
        <v>1</v>
      </c>
      <c r="G283" s="72">
        <v>46</v>
      </c>
      <c r="H283" s="73">
        <v>149</v>
      </c>
    </row>
    <row r="284" spans="1:8" x14ac:dyDescent="0.3">
      <c r="A284" s="86" t="s">
        <v>964</v>
      </c>
      <c r="B284" s="69">
        <v>0.44666666666666699</v>
      </c>
      <c r="C284" s="70" t="s">
        <v>576</v>
      </c>
      <c r="D284" s="62"/>
      <c r="E284" s="44" t="s">
        <v>907</v>
      </c>
      <c r="F284" s="71">
        <v>2</v>
      </c>
      <c r="G284" s="72">
        <v>78</v>
      </c>
      <c r="H284" s="73">
        <v>249</v>
      </c>
    </row>
    <row r="285" spans="1:8" x14ac:dyDescent="0.3">
      <c r="A285" s="86" t="s">
        <v>965</v>
      </c>
      <c r="B285" s="69">
        <v>0.44666666666666699</v>
      </c>
      <c r="C285" s="70" t="s">
        <v>576</v>
      </c>
      <c r="D285" s="62"/>
      <c r="E285" s="44" t="s">
        <v>908</v>
      </c>
      <c r="F285" s="71">
        <v>2</v>
      </c>
      <c r="G285" s="72">
        <v>78</v>
      </c>
      <c r="H285" s="73">
        <v>249</v>
      </c>
    </row>
    <row r="286" spans="1:8" x14ac:dyDescent="0.3">
      <c r="A286" s="86" t="s">
        <v>1134</v>
      </c>
      <c r="B286" s="69">
        <v>0.40814814814814798</v>
      </c>
      <c r="C286" s="70" t="s">
        <v>979</v>
      </c>
      <c r="D286" s="62"/>
      <c r="E286" s="44" t="s">
        <v>1024</v>
      </c>
      <c r="F286" s="71">
        <v>8</v>
      </c>
      <c r="G286" s="72">
        <v>500</v>
      </c>
      <c r="H286" s="73">
        <v>799</v>
      </c>
    </row>
    <row r="287" spans="1:8" x14ac:dyDescent="0.3">
      <c r="A287" s="86" t="s">
        <v>1135</v>
      </c>
      <c r="B287" s="69">
        <v>0.40100000000000002</v>
      </c>
      <c r="C287" s="70" t="s">
        <v>979</v>
      </c>
      <c r="D287" s="62"/>
      <c r="E287" s="44" t="s">
        <v>1025</v>
      </c>
      <c r="F287" s="71">
        <v>6</v>
      </c>
      <c r="G287" s="72">
        <v>374</v>
      </c>
      <c r="H287" s="73">
        <v>599</v>
      </c>
    </row>
    <row r="288" spans="1:8" x14ac:dyDescent="0.3">
      <c r="A288" s="86" t="s">
        <v>1333</v>
      </c>
      <c r="B288" s="69">
        <v>0.44823529411764701</v>
      </c>
      <c r="C288" s="70" t="s">
        <v>91</v>
      </c>
      <c r="D288" s="62"/>
      <c r="E288" s="44" t="s">
        <v>1238</v>
      </c>
      <c r="F288" s="71">
        <v>4</v>
      </c>
      <c r="G288" s="72">
        <v>293</v>
      </c>
      <c r="H288" s="73">
        <v>469</v>
      </c>
    </row>
    <row r="289" spans="1:8" x14ac:dyDescent="0.3">
      <c r="A289" s="86" t="s">
        <v>1752</v>
      </c>
      <c r="B289" s="69">
        <v>0.40814814814814798</v>
      </c>
      <c r="C289" s="70" t="s">
        <v>408</v>
      </c>
      <c r="D289" s="62"/>
      <c r="E289" s="44" t="s">
        <v>1506</v>
      </c>
      <c r="F289" s="71">
        <v>8</v>
      </c>
      <c r="G289" s="72">
        <v>500</v>
      </c>
      <c r="H289" s="73">
        <v>799</v>
      </c>
    </row>
    <row r="290" spans="1:8" x14ac:dyDescent="0.3">
      <c r="A290" s="86" t="s">
        <v>1753</v>
      </c>
      <c r="B290" s="69">
        <v>0.40326086956521701</v>
      </c>
      <c r="C290" s="70" t="s">
        <v>606</v>
      </c>
      <c r="D290" s="62"/>
      <c r="E290" s="44" t="s">
        <v>1507</v>
      </c>
      <c r="F290" s="71">
        <v>5</v>
      </c>
      <c r="G290" s="72">
        <v>343</v>
      </c>
      <c r="H290" s="73">
        <v>549</v>
      </c>
    </row>
    <row r="291" spans="1:8" x14ac:dyDescent="0.3">
      <c r="A291" s="86" t="s">
        <v>833</v>
      </c>
      <c r="B291" s="69"/>
      <c r="C291" s="70" t="s">
        <v>408</v>
      </c>
      <c r="D291" s="62"/>
      <c r="E291" s="44" t="s">
        <v>721</v>
      </c>
      <c r="F291" s="71">
        <v>6</v>
      </c>
      <c r="G291" s="72">
        <v>206</v>
      </c>
      <c r="H291" s="73">
        <v>660</v>
      </c>
    </row>
    <row r="292" spans="1:8" ht="14.5" thickBot="1" x14ac:dyDescent="0.35">
      <c r="A292" s="86" t="s">
        <v>1754</v>
      </c>
      <c r="B292" s="69">
        <v>0.38294117647058801</v>
      </c>
      <c r="C292" s="70" t="s">
        <v>408</v>
      </c>
      <c r="D292" s="62"/>
      <c r="E292" s="44" t="s">
        <v>1508</v>
      </c>
      <c r="F292" s="71">
        <v>10</v>
      </c>
      <c r="G292" s="72">
        <v>655</v>
      </c>
      <c r="H292" s="73">
        <v>1049</v>
      </c>
    </row>
    <row r="293" spans="1:8" ht="14.5" thickBot="1" x14ac:dyDescent="0.35">
      <c r="A293" s="38" t="s">
        <v>22</v>
      </c>
      <c r="B293" s="39"/>
      <c r="C293" s="39"/>
      <c r="D293" s="40"/>
      <c r="E293" s="43" t="s">
        <v>101</v>
      </c>
      <c r="F293" s="41"/>
      <c r="G293" s="42"/>
      <c r="H293" s="60"/>
    </row>
    <row r="294" spans="1:8" x14ac:dyDescent="0.3">
      <c r="A294" s="86" t="s">
        <v>1755</v>
      </c>
      <c r="B294" s="69">
        <v>0.66052631578947396</v>
      </c>
      <c r="C294" s="70" t="s">
        <v>1407</v>
      </c>
      <c r="D294" s="62"/>
      <c r="E294" s="44" t="s">
        <v>1509</v>
      </c>
      <c r="F294" s="71">
        <v>1</v>
      </c>
      <c r="G294" s="72">
        <v>81</v>
      </c>
      <c r="H294" s="73">
        <v>129</v>
      </c>
    </row>
    <row r="295" spans="1:8" x14ac:dyDescent="0.3">
      <c r="A295" s="86" t="s">
        <v>265</v>
      </c>
      <c r="B295" s="69">
        <v>0.57285714285714295</v>
      </c>
      <c r="C295" s="70" t="s">
        <v>1193</v>
      </c>
      <c r="D295" s="62"/>
      <c r="E295" s="44" t="s">
        <v>103</v>
      </c>
      <c r="F295" s="71">
        <v>3</v>
      </c>
      <c r="G295" s="72">
        <v>187</v>
      </c>
      <c r="H295" s="73">
        <v>299</v>
      </c>
    </row>
    <row r="296" spans="1:8" x14ac:dyDescent="0.3">
      <c r="A296" s="86" t="s">
        <v>353</v>
      </c>
      <c r="B296" s="69">
        <v>0.57285714285714295</v>
      </c>
      <c r="C296" s="70" t="s">
        <v>1193</v>
      </c>
      <c r="D296" s="62"/>
      <c r="E296" s="44" t="s">
        <v>210</v>
      </c>
      <c r="F296" s="71">
        <v>3</v>
      </c>
      <c r="G296" s="72">
        <v>187</v>
      </c>
      <c r="H296" s="73">
        <v>299</v>
      </c>
    </row>
    <row r="297" spans="1:8" x14ac:dyDescent="0.3">
      <c r="A297" s="86" t="s">
        <v>1756</v>
      </c>
      <c r="B297" s="69">
        <v>0.39811320754717</v>
      </c>
      <c r="C297" s="70" t="s">
        <v>461</v>
      </c>
      <c r="D297" s="62"/>
      <c r="E297" s="44" t="s">
        <v>1510</v>
      </c>
      <c r="F297" s="71">
        <v>3</v>
      </c>
      <c r="G297" s="72">
        <v>200</v>
      </c>
      <c r="H297" s="73">
        <v>319</v>
      </c>
    </row>
    <row r="298" spans="1:8" x14ac:dyDescent="0.3">
      <c r="A298" s="86" t="s">
        <v>267</v>
      </c>
      <c r="B298" s="69">
        <v>0.45250000000000001</v>
      </c>
      <c r="C298" s="70" t="s">
        <v>392</v>
      </c>
      <c r="D298" s="62"/>
      <c r="E298" s="44" t="s">
        <v>105</v>
      </c>
      <c r="F298" s="71">
        <v>2</v>
      </c>
      <c r="G298" s="72">
        <v>137</v>
      </c>
      <c r="H298" s="73">
        <v>219</v>
      </c>
    </row>
    <row r="299" spans="1:8" x14ac:dyDescent="0.3">
      <c r="A299" s="86" t="s">
        <v>926</v>
      </c>
      <c r="B299" s="69">
        <v>0.45250000000000001</v>
      </c>
      <c r="C299" s="70" t="s">
        <v>1408</v>
      </c>
      <c r="D299" s="62"/>
      <c r="E299" s="44" t="s">
        <v>873</v>
      </c>
      <c r="F299" s="71">
        <v>2</v>
      </c>
      <c r="G299" s="72">
        <v>137</v>
      </c>
      <c r="H299" s="73">
        <v>219</v>
      </c>
    </row>
    <row r="300" spans="1:8" x14ac:dyDescent="0.3">
      <c r="A300" s="86" t="s">
        <v>268</v>
      </c>
      <c r="B300" s="69">
        <v>0.45250000000000001</v>
      </c>
      <c r="C300" s="70" t="s">
        <v>1408</v>
      </c>
      <c r="D300" s="62"/>
      <c r="E300" s="44" t="s">
        <v>106</v>
      </c>
      <c r="F300" s="71">
        <v>2</v>
      </c>
      <c r="G300" s="72">
        <v>137</v>
      </c>
      <c r="H300" s="73">
        <v>219</v>
      </c>
    </row>
    <row r="301" spans="1:8" x14ac:dyDescent="0.3">
      <c r="A301" s="86" t="s">
        <v>1757</v>
      </c>
      <c r="B301" s="69">
        <v>0.50384615384615405</v>
      </c>
      <c r="C301" s="70" t="s">
        <v>1409</v>
      </c>
      <c r="D301" s="62"/>
      <c r="E301" s="44" t="s">
        <v>1511</v>
      </c>
      <c r="F301" s="71">
        <v>1</v>
      </c>
      <c r="G301" s="72">
        <v>81</v>
      </c>
      <c r="H301" s="73">
        <v>129</v>
      </c>
    </row>
    <row r="302" spans="1:8" x14ac:dyDescent="0.3">
      <c r="A302" s="86" t="s">
        <v>1137</v>
      </c>
      <c r="B302" s="69">
        <v>0.34661654135338299</v>
      </c>
      <c r="C302" s="70" t="s">
        <v>41</v>
      </c>
      <c r="D302" s="62"/>
      <c r="E302" s="44" t="s">
        <v>1027</v>
      </c>
      <c r="F302" s="71">
        <v>8</v>
      </c>
      <c r="G302" s="72">
        <v>543</v>
      </c>
      <c r="H302" s="73">
        <v>869</v>
      </c>
    </row>
    <row r="303" spans="1:8" x14ac:dyDescent="0.3">
      <c r="A303" s="86" t="s">
        <v>354</v>
      </c>
      <c r="B303" s="69">
        <v>0.44629629629629602</v>
      </c>
      <c r="C303" s="70" t="s">
        <v>644</v>
      </c>
      <c r="D303" s="62"/>
      <c r="E303" s="44" t="s">
        <v>211</v>
      </c>
      <c r="F303" s="71">
        <v>3</v>
      </c>
      <c r="G303" s="72">
        <v>187</v>
      </c>
      <c r="H303" s="73">
        <v>299</v>
      </c>
    </row>
    <row r="304" spans="1:8" x14ac:dyDescent="0.3">
      <c r="A304" s="86" t="s">
        <v>269</v>
      </c>
      <c r="B304" s="69">
        <v>0.44629629629629602</v>
      </c>
      <c r="C304" s="70" t="s">
        <v>644</v>
      </c>
      <c r="D304" s="62"/>
      <c r="E304" s="44" t="s">
        <v>107</v>
      </c>
      <c r="F304" s="71">
        <v>3</v>
      </c>
      <c r="G304" s="72">
        <v>187</v>
      </c>
      <c r="H304" s="73">
        <v>299</v>
      </c>
    </row>
    <row r="305" spans="1:8" x14ac:dyDescent="0.3">
      <c r="A305" s="86" t="s">
        <v>1758</v>
      </c>
      <c r="B305" s="69">
        <v>0.39811320754717</v>
      </c>
      <c r="C305" s="70" t="s">
        <v>461</v>
      </c>
      <c r="D305" s="62"/>
      <c r="E305" s="44" t="s">
        <v>1512</v>
      </c>
      <c r="F305" s="71">
        <v>3</v>
      </c>
      <c r="G305" s="72">
        <v>200</v>
      </c>
      <c r="H305" s="73">
        <v>319</v>
      </c>
    </row>
    <row r="306" spans="1:8" x14ac:dyDescent="0.3">
      <c r="A306" s="86" t="s">
        <v>927</v>
      </c>
      <c r="B306" s="69">
        <v>0.50384615384615405</v>
      </c>
      <c r="C306" s="70" t="s">
        <v>1409</v>
      </c>
      <c r="D306" s="62"/>
      <c r="E306" s="44" t="s">
        <v>874</v>
      </c>
      <c r="F306" s="71">
        <v>1</v>
      </c>
      <c r="G306" s="72">
        <v>81</v>
      </c>
      <c r="H306" s="73">
        <v>129</v>
      </c>
    </row>
    <row r="307" spans="1:8" x14ac:dyDescent="0.3">
      <c r="A307" s="86" t="s">
        <v>566</v>
      </c>
      <c r="B307" s="69">
        <v>0.42914285714285699</v>
      </c>
      <c r="C307" s="70" t="s">
        <v>457</v>
      </c>
      <c r="D307" s="62"/>
      <c r="E307" s="44" t="s">
        <v>546</v>
      </c>
      <c r="F307" s="71">
        <v>10</v>
      </c>
      <c r="G307" s="72">
        <v>624</v>
      </c>
      <c r="H307" s="73">
        <v>999</v>
      </c>
    </row>
    <row r="308" spans="1:8" x14ac:dyDescent="0.3">
      <c r="A308" s="86" t="s">
        <v>567</v>
      </c>
      <c r="B308" s="69">
        <v>0.42914285714285699</v>
      </c>
      <c r="C308" s="70" t="s">
        <v>457</v>
      </c>
      <c r="D308" s="62"/>
      <c r="E308" s="44" t="s">
        <v>547</v>
      </c>
      <c r="F308" s="71">
        <v>10</v>
      </c>
      <c r="G308" s="72">
        <v>624</v>
      </c>
      <c r="H308" s="73">
        <v>999</v>
      </c>
    </row>
    <row r="309" spans="1:8" x14ac:dyDescent="0.3">
      <c r="A309" s="86" t="s">
        <v>568</v>
      </c>
      <c r="B309" s="69">
        <v>0.372</v>
      </c>
      <c r="C309" s="70" t="s">
        <v>477</v>
      </c>
      <c r="D309" s="62"/>
      <c r="E309" s="44" t="s">
        <v>548</v>
      </c>
      <c r="F309" s="71">
        <v>11</v>
      </c>
      <c r="G309" s="72">
        <v>687</v>
      </c>
      <c r="H309" s="73">
        <v>1099</v>
      </c>
    </row>
    <row r="310" spans="1:8" x14ac:dyDescent="0.3">
      <c r="A310" s="86" t="s">
        <v>1385</v>
      </c>
      <c r="B310" s="69">
        <v>0.46250000000000002</v>
      </c>
      <c r="C310" s="70" t="s">
        <v>1198</v>
      </c>
      <c r="D310" s="62"/>
      <c r="E310" s="44" t="s">
        <v>1291</v>
      </c>
      <c r="F310" s="71">
        <v>1</v>
      </c>
      <c r="G310" s="72">
        <v>81</v>
      </c>
      <c r="H310" s="73">
        <v>129</v>
      </c>
    </row>
    <row r="311" spans="1:8" x14ac:dyDescent="0.3">
      <c r="A311" s="86" t="s">
        <v>1759</v>
      </c>
      <c r="B311" s="69">
        <v>0.39811320754717</v>
      </c>
      <c r="C311" s="70" t="s">
        <v>517</v>
      </c>
      <c r="D311" s="62"/>
      <c r="E311" s="44" t="s">
        <v>1513</v>
      </c>
      <c r="F311" s="71">
        <v>3</v>
      </c>
      <c r="G311" s="72">
        <v>200</v>
      </c>
      <c r="H311" s="73">
        <v>319</v>
      </c>
    </row>
    <row r="312" spans="1:8" x14ac:dyDescent="0.3">
      <c r="A312" s="86" t="s">
        <v>506</v>
      </c>
      <c r="B312" s="69">
        <v>0.409183673469388</v>
      </c>
      <c r="C312" s="70" t="s">
        <v>477</v>
      </c>
      <c r="D312" s="62"/>
      <c r="E312" s="44" t="s">
        <v>488</v>
      </c>
      <c r="F312" s="71">
        <v>6</v>
      </c>
      <c r="G312" s="72">
        <v>362</v>
      </c>
      <c r="H312" s="73">
        <v>579</v>
      </c>
    </row>
    <row r="313" spans="1:8" x14ac:dyDescent="0.3">
      <c r="A313" s="86" t="s">
        <v>928</v>
      </c>
      <c r="B313" s="69">
        <v>0.45250000000000001</v>
      </c>
      <c r="C313" s="70" t="s">
        <v>392</v>
      </c>
      <c r="D313" s="62"/>
      <c r="E313" s="44" t="s">
        <v>875</v>
      </c>
      <c r="F313" s="71">
        <v>2</v>
      </c>
      <c r="G313" s="72">
        <v>137</v>
      </c>
      <c r="H313" s="73">
        <v>219</v>
      </c>
    </row>
    <row r="314" spans="1:8" x14ac:dyDescent="0.3">
      <c r="A314" s="86" t="s">
        <v>1760</v>
      </c>
      <c r="B314" s="69">
        <v>0.45250000000000001</v>
      </c>
      <c r="C314" s="70" t="s">
        <v>1408</v>
      </c>
      <c r="D314" s="62"/>
      <c r="E314" s="44" t="s">
        <v>1514</v>
      </c>
      <c r="F314" s="71">
        <v>2</v>
      </c>
      <c r="G314" s="72">
        <v>137</v>
      </c>
      <c r="H314" s="73">
        <v>219</v>
      </c>
    </row>
    <row r="315" spans="1:8" x14ac:dyDescent="0.3">
      <c r="A315" s="86" t="s">
        <v>1339</v>
      </c>
      <c r="B315" s="69">
        <v>0.45250000000000001</v>
      </c>
      <c r="C315" s="70" t="s">
        <v>1408</v>
      </c>
      <c r="D315" s="62"/>
      <c r="E315" s="44" t="s">
        <v>1243</v>
      </c>
      <c r="F315" s="71">
        <v>2</v>
      </c>
      <c r="G315" s="72">
        <v>137</v>
      </c>
      <c r="H315" s="73">
        <v>219</v>
      </c>
    </row>
    <row r="316" spans="1:8" x14ac:dyDescent="0.3">
      <c r="A316" s="86" t="s">
        <v>1341</v>
      </c>
      <c r="B316" s="69">
        <v>0.57285714285714295</v>
      </c>
      <c r="C316" s="70" t="s">
        <v>1193</v>
      </c>
      <c r="D316" s="62"/>
      <c r="E316" s="44" t="s">
        <v>1245</v>
      </c>
      <c r="F316" s="71">
        <v>3</v>
      </c>
      <c r="G316" s="72">
        <v>187</v>
      </c>
      <c r="H316" s="73">
        <v>299</v>
      </c>
    </row>
    <row r="317" spans="1:8" x14ac:dyDescent="0.3">
      <c r="A317" s="86" t="s">
        <v>1761</v>
      </c>
      <c r="B317" s="69">
        <v>0.33541666666666697</v>
      </c>
      <c r="C317" s="70" t="s">
        <v>43</v>
      </c>
      <c r="D317" s="62"/>
      <c r="E317" s="44" t="s">
        <v>1515</v>
      </c>
      <c r="F317" s="71">
        <v>3</v>
      </c>
      <c r="G317" s="72">
        <v>200</v>
      </c>
      <c r="H317" s="73">
        <v>319</v>
      </c>
    </row>
    <row r="318" spans="1:8" x14ac:dyDescent="0.3">
      <c r="A318" s="86" t="s">
        <v>569</v>
      </c>
      <c r="B318" s="69">
        <v>0.40071428571428602</v>
      </c>
      <c r="C318" s="70" t="s">
        <v>477</v>
      </c>
      <c r="D318" s="62"/>
      <c r="E318" s="44" t="s">
        <v>549</v>
      </c>
      <c r="F318" s="71">
        <v>8</v>
      </c>
      <c r="G318" s="72">
        <v>262</v>
      </c>
      <c r="H318" s="73">
        <v>839</v>
      </c>
    </row>
    <row r="319" spans="1:8" x14ac:dyDescent="0.3">
      <c r="A319" s="86" t="s">
        <v>1386</v>
      </c>
      <c r="B319" s="69">
        <v>0.36071428571428599</v>
      </c>
      <c r="C319" s="70" t="s">
        <v>43</v>
      </c>
      <c r="D319" s="62"/>
      <c r="E319" s="44" t="s">
        <v>1292</v>
      </c>
      <c r="F319" s="71">
        <v>2</v>
      </c>
      <c r="G319" s="72">
        <v>112</v>
      </c>
      <c r="H319" s="73">
        <v>179</v>
      </c>
    </row>
    <row r="320" spans="1:8" x14ac:dyDescent="0.3">
      <c r="A320" s="86" t="s">
        <v>1762</v>
      </c>
      <c r="B320" s="69">
        <v>0.35538461538461502</v>
      </c>
      <c r="C320" s="70" t="s">
        <v>43</v>
      </c>
      <c r="D320" s="62"/>
      <c r="E320" s="44" t="s">
        <v>1516</v>
      </c>
      <c r="F320" s="71">
        <v>4</v>
      </c>
      <c r="G320" s="72">
        <v>262</v>
      </c>
      <c r="H320" s="73">
        <v>419</v>
      </c>
    </row>
    <row r="321" spans="1:8" x14ac:dyDescent="0.3">
      <c r="A321" s="86" t="s">
        <v>1763</v>
      </c>
      <c r="B321" s="69">
        <v>0.46250000000000002</v>
      </c>
      <c r="C321" s="70" t="s">
        <v>1198</v>
      </c>
      <c r="D321" s="62"/>
      <c r="E321" s="44" t="s">
        <v>1517</v>
      </c>
      <c r="F321" s="71">
        <v>1</v>
      </c>
      <c r="G321" s="72">
        <v>81</v>
      </c>
      <c r="H321" s="73">
        <v>129</v>
      </c>
    </row>
    <row r="322" spans="1:8" x14ac:dyDescent="0.3">
      <c r="A322" s="86" t="s">
        <v>507</v>
      </c>
      <c r="B322" s="69">
        <v>0.46250000000000002</v>
      </c>
      <c r="C322" s="70" t="s">
        <v>378</v>
      </c>
      <c r="D322" s="62"/>
      <c r="E322" s="44" t="s">
        <v>489</v>
      </c>
      <c r="F322" s="71">
        <v>1</v>
      </c>
      <c r="G322" s="72">
        <v>81</v>
      </c>
      <c r="H322" s="73">
        <v>129</v>
      </c>
    </row>
    <row r="323" spans="1:8" x14ac:dyDescent="0.3">
      <c r="A323" s="86" t="s">
        <v>1764</v>
      </c>
      <c r="B323" s="69">
        <v>0.40125</v>
      </c>
      <c r="C323" s="70" t="s">
        <v>42</v>
      </c>
      <c r="D323" s="62"/>
      <c r="E323" s="44" t="s">
        <v>1518</v>
      </c>
      <c r="F323" s="71">
        <v>5</v>
      </c>
      <c r="G323" s="72">
        <v>299</v>
      </c>
      <c r="H323" s="73">
        <v>479</v>
      </c>
    </row>
    <row r="324" spans="1:8" x14ac:dyDescent="0.3">
      <c r="A324" s="86" t="s">
        <v>1765</v>
      </c>
      <c r="B324" s="69">
        <v>0.35806451612903201</v>
      </c>
      <c r="C324" s="70" t="s">
        <v>1189</v>
      </c>
      <c r="D324" s="62"/>
      <c r="E324" s="44" t="s">
        <v>1519</v>
      </c>
      <c r="F324" s="71">
        <v>2</v>
      </c>
      <c r="G324" s="72">
        <v>125</v>
      </c>
      <c r="H324" s="73">
        <v>199</v>
      </c>
    </row>
    <row r="325" spans="1:8" x14ac:dyDescent="0.3">
      <c r="A325" s="86" t="s">
        <v>1766</v>
      </c>
      <c r="B325" s="69">
        <v>0.35116279069767398</v>
      </c>
      <c r="C325" s="70" t="s">
        <v>638</v>
      </c>
      <c r="D325" s="62"/>
      <c r="E325" s="44" t="s">
        <v>1520</v>
      </c>
      <c r="F325" s="71">
        <v>3</v>
      </c>
      <c r="G325" s="72">
        <v>174</v>
      </c>
      <c r="H325" s="73">
        <v>279</v>
      </c>
    </row>
    <row r="326" spans="1:8" x14ac:dyDescent="0.3">
      <c r="A326" s="86" t="s">
        <v>1138</v>
      </c>
      <c r="B326" s="69">
        <v>0.35116279069767398</v>
      </c>
      <c r="C326" s="70" t="s">
        <v>476</v>
      </c>
      <c r="D326" s="62"/>
      <c r="E326" s="44" t="s">
        <v>1028</v>
      </c>
      <c r="F326" s="71">
        <v>3</v>
      </c>
      <c r="G326" s="72">
        <v>174</v>
      </c>
      <c r="H326" s="73">
        <v>279</v>
      </c>
    </row>
    <row r="327" spans="1:8" x14ac:dyDescent="0.3">
      <c r="A327" s="86" t="s">
        <v>1139</v>
      </c>
      <c r="B327" s="69">
        <v>0.35116279069767398</v>
      </c>
      <c r="C327" s="70" t="s">
        <v>638</v>
      </c>
      <c r="D327" s="62"/>
      <c r="E327" s="44" t="s">
        <v>1029</v>
      </c>
      <c r="F327" s="71">
        <v>3</v>
      </c>
      <c r="G327" s="72">
        <v>174</v>
      </c>
      <c r="H327" s="73">
        <v>279</v>
      </c>
    </row>
    <row r="328" spans="1:8" x14ac:dyDescent="0.3">
      <c r="A328" s="86" t="s">
        <v>1767</v>
      </c>
      <c r="B328" s="69">
        <v>0.458139534883721</v>
      </c>
      <c r="C328" s="70" t="s">
        <v>1410</v>
      </c>
      <c r="D328" s="62"/>
      <c r="E328" s="44" t="s">
        <v>1521</v>
      </c>
      <c r="F328" s="71">
        <v>7</v>
      </c>
      <c r="G328" s="72">
        <v>437</v>
      </c>
      <c r="H328" s="73">
        <v>699</v>
      </c>
    </row>
    <row r="329" spans="1:8" x14ac:dyDescent="0.3">
      <c r="A329" s="86" t="s">
        <v>1768</v>
      </c>
      <c r="B329" s="69">
        <v>0.458139534883721</v>
      </c>
      <c r="C329" s="70" t="s">
        <v>92</v>
      </c>
      <c r="D329" s="62"/>
      <c r="E329" s="44" t="s">
        <v>1522</v>
      </c>
      <c r="F329" s="71">
        <v>7</v>
      </c>
      <c r="G329" s="72">
        <v>437</v>
      </c>
      <c r="H329" s="73">
        <v>699</v>
      </c>
    </row>
    <row r="330" spans="1:8" x14ac:dyDescent="0.3">
      <c r="A330" s="86" t="s">
        <v>1769</v>
      </c>
      <c r="B330" s="69">
        <v>0.40387596899224798</v>
      </c>
      <c r="C330" s="70" t="s">
        <v>88</v>
      </c>
      <c r="D330" s="62"/>
      <c r="E330" s="44" t="s">
        <v>1523</v>
      </c>
      <c r="F330" s="71">
        <v>7</v>
      </c>
      <c r="G330" s="72">
        <v>481</v>
      </c>
      <c r="H330" s="73">
        <v>769</v>
      </c>
    </row>
    <row r="331" spans="1:8" x14ac:dyDescent="0.3">
      <c r="A331" s="86" t="s">
        <v>1343</v>
      </c>
      <c r="B331" s="69">
        <v>0.35806451612903201</v>
      </c>
      <c r="C331" s="70" t="s">
        <v>649</v>
      </c>
      <c r="D331" s="62"/>
      <c r="E331" s="44" t="s">
        <v>1247</v>
      </c>
      <c r="F331" s="71">
        <v>2</v>
      </c>
      <c r="G331" s="72">
        <v>125</v>
      </c>
      <c r="H331" s="73">
        <v>199</v>
      </c>
    </row>
    <row r="332" spans="1:8" x14ac:dyDescent="0.3">
      <c r="A332" s="86" t="s">
        <v>637</v>
      </c>
      <c r="B332" s="69">
        <v>0.49307692307692302</v>
      </c>
      <c r="C332" s="70" t="s">
        <v>457</v>
      </c>
      <c r="D332" s="62"/>
      <c r="E332" s="44" t="s">
        <v>619</v>
      </c>
      <c r="F332" s="71">
        <v>6</v>
      </c>
      <c r="G332" s="72">
        <v>206</v>
      </c>
      <c r="H332" s="73">
        <v>659</v>
      </c>
    </row>
    <row r="333" spans="1:8" x14ac:dyDescent="0.3">
      <c r="A333" s="86" t="s">
        <v>270</v>
      </c>
      <c r="B333" s="69">
        <v>0.48974358974359</v>
      </c>
      <c r="C333" s="70" t="s">
        <v>638</v>
      </c>
      <c r="D333" s="62"/>
      <c r="E333" s="44" t="s">
        <v>109</v>
      </c>
      <c r="F333" s="71">
        <v>2</v>
      </c>
      <c r="G333" s="72">
        <v>62</v>
      </c>
      <c r="H333" s="73">
        <v>199</v>
      </c>
    </row>
    <row r="334" spans="1:8" x14ac:dyDescent="0.3">
      <c r="A334" s="86" t="s">
        <v>1770</v>
      </c>
      <c r="B334" s="69">
        <v>0.48902439024390199</v>
      </c>
      <c r="C334" s="70" t="s">
        <v>41</v>
      </c>
      <c r="D334" s="62"/>
      <c r="E334" s="44" t="s">
        <v>1524</v>
      </c>
      <c r="F334" s="71">
        <v>4</v>
      </c>
      <c r="G334" s="72">
        <v>131</v>
      </c>
      <c r="H334" s="73">
        <v>419</v>
      </c>
    </row>
    <row r="335" spans="1:8" x14ac:dyDescent="0.3">
      <c r="A335" s="86" t="s">
        <v>1140</v>
      </c>
      <c r="B335" s="69">
        <v>0.35116279069767398</v>
      </c>
      <c r="C335" s="70" t="s">
        <v>476</v>
      </c>
      <c r="D335" s="62"/>
      <c r="E335" s="44" t="s">
        <v>1030</v>
      </c>
      <c r="F335" s="71">
        <v>3</v>
      </c>
      <c r="G335" s="72">
        <v>174</v>
      </c>
      <c r="H335" s="73">
        <v>279</v>
      </c>
    </row>
    <row r="336" spans="1:8" x14ac:dyDescent="0.3">
      <c r="A336" s="86" t="s">
        <v>929</v>
      </c>
      <c r="B336" s="69">
        <v>0.338095238095238</v>
      </c>
      <c r="C336" s="70" t="s">
        <v>146</v>
      </c>
      <c r="D336" s="62"/>
      <c r="E336" s="44" t="s">
        <v>876</v>
      </c>
      <c r="F336" s="71">
        <v>1</v>
      </c>
      <c r="G336" s="72">
        <v>87</v>
      </c>
      <c r="H336" s="73">
        <v>139</v>
      </c>
    </row>
    <row r="337" spans="1:8" x14ac:dyDescent="0.3">
      <c r="A337" s="86" t="s">
        <v>1141</v>
      </c>
      <c r="B337" s="69">
        <v>0.338095238095238</v>
      </c>
      <c r="C337" s="70" t="s">
        <v>146</v>
      </c>
      <c r="D337" s="62"/>
      <c r="E337" s="44" t="s">
        <v>1031</v>
      </c>
      <c r="F337" s="71">
        <v>1</v>
      </c>
      <c r="G337" s="72">
        <v>87</v>
      </c>
      <c r="H337" s="73">
        <v>139</v>
      </c>
    </row>
    <row r="338" spans="1:8" x14ac:dyDescent="0.3">
      <c r="A338" s="86" t="s">
        <v>1301</v>
      </c>
      <c r="B338" s="69">
        <v>0.55083333333333295</v>
      </c>
      <c r="C338" s="70" t="s">
        <v>141</v>
      </c>
      <c r="D338" s="62"/>
      <c r="E338" s="44" t="s">
        <v>1187</v>
      </c>
      <c r="F338" s="71">
        <v>5</v>
      </c>
      <c r="G338" s="72">
        <v>337</v>
      </c>
      <c r="H338" s="73">
        <v>539</v>
      </c>
    </row>
    <row r="339" spans="1:8" ht="14.5" thickBot="1" x14ac:dyDescent="0.35">
      <c r="A339" s="86" t="s">
        <v>834</v>
      </c>
      <c r="B339" s="69">
        <v>0.30075187969924799</v>
      </c>
      <c r="C339" s="70" t="s">
        <v>43</v>
      </c>
      <c r="D339" s="62"/>
      <c r="E339" s="44" t="s">
        <v>722</v>
      </c>
      <c r="F339" s="71">
        <v>3</v>
      </c>
      <c r="G339" s="72">
        <v>87</v>
      </c>
      <c r="H339" s="73">
        <v>279</v>
      </c>
    </row>
    <row r="340" spans="1:8" ht="14.5" thickBot="1" x14ac:dyDescent="0.35">
      <c r="A340" s="38" t="s">
        <v>22</v>
      </c>
      <c r="B340" s="39"/>
      <c r="C340" s="39"/>
      <c r="D340" s="40"/>
      <c r="E340" s="43" t="s">
        <v>110</v>
      </c>
      <c r="F340" s="41"/>
      <c r="G340" s="42"/>
      <c r="H340" s="60"/>
    </row>
    <row r="341" spans="1:8" x14ac:dyDescent="0.3">
      <c r="A341" s="86" t="s">
        <v>1771</v>
      </c>
      <c r="B341" s="69">
        <v>0.49245283018867902</v>
      </c>
      <c r="C341" s="70" t="s">
        <v>379</v>
      </c>
      <c r="D341" s="62"/>
      <c r="E341" s="44" t="s">
        <v>1525</v>
      </c>
      <c r="F341" s="71">
        <v>3</v>
      </c>
      <c r="G341" s="72">
        <v>168</v>
      </c>
      <c r="H341" s="73">
        <v>269</v>
      </c>
    </row>
    <row r="342" spans="1:8" x14ac:dyDescent="0.3">
      <c r="A342" s="86" t="s">
        <v>453</v>
      </c>
      <c r="B342" s="69">
        <v>0.43906250000000002</v>
      </c>
      <c r="C342" s="70" t="s">
        <v>970</v>
      </c>
      <c r="D342" s="62"/>
      <c r="E342" s="44" t="s">
        <v>438</v>
      </c>
      <c r="F342" s="71">
        <v>3</v>
      </c>
      <c r="G342" s="72">
        <v>224</v>
      </c>
      <c r="H342" s="73">
        <v>359</v>
      </c>
    </row>
    <row r="343" spans="1:8" x14ac:dyDescent="0.3">
      <c r="A343" s="86" t="s">
        <v>271</v>
      </c>
      <c r="B343" s="69">
        <v>0.49245283018867902</v>
      </c>
      <c r="C343" s="70" t="s">
        <v>379</v>
      </c>
      <c r="D343" s="62"/>
      <c r="E343" s="44" t="s">
        <v>111</v>
      </c>
      <c r="F343" s="71">
        <v>3</v>
      </c>
      <c r="G343" s="72">
        <v>168</v>
      </c>
      <c r="H343" s="73">
        <v>269</v>
      </c>
    </row>
    <row r="344" spans="1:8" x14ac:dyDescent="0.3">
      <c r="A344" s="86" t="s">
        <v>272</v>
      </c>
      <c r="B344" s="69">
        <v>0.49245283018867902</v>
      </c>
      <c r="C344" s="70" t="s">
        <v>379</v>
      </c>
      <c r="D344" s="62"/>
      <c r="E344" s="44" t="s">
        <v>112</v>
      </c>
      <c r="F344" s="71">
        <v>3</v>
      </c>
      <c r="G344" s="72">
        <v>168</v>
      </c>
      <c r="H344" s="73">
        <v>269</v>
      </c>
    </row>
    <row r="345" spans="1:8" x14ac:dyDescent="0.3">
      <c r="A345" s="86" t="s">
        <v>509</v>
      </c>
      <c r="B345" s="69">
        <v>0.43906250000000002</v>
      </c>
      <c r="C345" s="70" t="s">
        <v>970</v>
      </c>
      <c r="D345" s="62"/>
      <c r="E345" s="44" t="s">
        <v>491</v>
      </c>
      <c r="F345" s="71">
        <v>3</v>
      </c>
      <c r="G345" s="72">
        <v>224</v>
      </c>
      <c r="H345" s="73">
        <v>359</v>
      </c>
    </row>
    <row r="346" spans="1:8" x14ac:dyDescent="0.3">
      <c r="A346" s="86" t="s">
        <v>1772</v>
      </c>
      <c r="B346" s="69">
        <v>0.43584905660377399</v>
      </c>
      <c r="C346" s="70" t="s">
        <v>91</v>
      </c>
      <c r="D346" s="62"/>
      <c r="E346" s="44" t="s">
        <v>1526</v>
      </c>
      <c r="F346" s="71">
        <v>3</v>
      </c>
      <c r="G346" s="72">
        <v>187</v>
      </c>
      <c r="H346" s="73">
        <v>299</v>
      </c>
    </row>
    <row r="347" spans="1:8" x14ac:dyDescent="0.3">
      <c r="A347" s="86" t="s">
        <v>1773</v>
      </c>
      <c r="B347" s="69">
        <v>0.456060606060606</v>
      </c>
      <c r="C347" s="70" t="s">
        <v>93</v>
      </c>
      <c r="D347" s="62"/>
      <c r="E347" s="44" t="s">
        <v>1527</v>
      </c>
      <c r="F347" s="71">
        <v>3</v>
      </c>
      <c r="G347" s="72">
        <v>224</v>
      </c>
      <c r="H347" s="73">
        <v>359</v>
      </c>
    </row>
    <row r="348" spans="1:8" ht="14.5" thickBot="1" x14ac:dyDescent="0.35">
      <c r="A348" s="86" t="s">
        <v>1774</v>
      </c>
      <c r="B348" s="69">
        <v>0.51666666666666705</v>
      </c>
      <c r="C348" s="70" t="s">
        <v>648</v>
      </c>
      <c r="D348" s="62"/>
      <c r="E348" s="44" t="s">
        <v>1528</v>
      </c>
      <c r="F348" s="71">
        <v>3</v>
      </c>
      <c r="G348" s="72">
        <v>200</v>
      </c>
      <c r="H348" s="73">
        <v>319</v>
      </c>
    </row>
    <row r="349" spans="1:8" ht="14.5" thickBot="1" x14ac:dyDescent="0.35">
      <c r="A349" s="38" t="s">
        <v>22</v>
      </c>
      <c r="B349" s="39"/>
      <c r="C349" s="39"/>
      <c r="D349" s="40"/>
      <c r="E349" s="43" t="s">
        <v>113</v>
      </c>
      <c r="F349" s="41"/>
      <c r="G349" s="42"/>
      <c r="H349" s="60"/>
    </row>
    <row r="350" spans="1:8" x14ac:dyDescent="0.3">
      <c r="A350" s="86" t="s">
        <v>1775</v>
      </c>
      <c r="B350" s="69">
        <v>0.501</v>
      </c>
      <c r="C350" s="70" t="s">
        <v>73</v>
      </c>
      <c r="D350" s="62"/>
      <c r="E350" s="44" t="s">
        <v>1529</v>
      </c>
      <c r="F350" s="71">
        <v>5</v>
      </c>
      <c r="G350" s="72">
        <v>156</v>
      </c>
      <c r="H350" s="73">
        <v>499</v>
      </c>
    </row>
    <row r="351" spans="1:8" x14ac:dyDescent="0.3">
      <c r="A351" s="86" t="s">
        <v>835</v>
      </c>
      <c r="B351" s="69">
        <v>0.39152542372881399</v>
      </c>
      <c r="C351" s="70" t="s">
        <v>980</v>
      </c>
      <c r="D351" s="62"/>
      <c r="E351" s="44" t="s">
        <v>723</v>
      </c>
      <c r="F351" s="71">
        <v>3</v>
      </c>
      <c r="G351" s="72">
        <v>224</v>
      </c>
      <c r="H351" s="73">
        <v>359</v>
      </c>
    </row>
    <row r="352" spans="1:8" x14ac:dyDescent="0.3">
      <c r="A352" s="86" t="s">
        <v>346</v>
      </c>
      <c r="B352" s="69">
        <v>0.48390804597701098</v>
      </c>
      <c r="C352" s="70" t="s">
        <v>980</v>
      </c>
      <c r="D352" s="62"/>
      <c r="E352" s="44" t="s">
        <v>204</v>
      </c>
      <c r="F352" s="71">
        <v>4</v>
      </c>
      <c r="G352" s="72">
        <v>140</v>
      </c>
      <c r="H352" s="73">
        <v>449</v>
      </c>
    </row>
    <row r="353" spans="1:8" x14ac:dyDescent="0.3">
      <c r="A353" s="86" t="s">
        <v>273</v>
      </c>
      <c r="B353" s="69">
        <v>0.50333333333333297</v>
      </c>
      <c r="C353" s="70" t="s">
        <v>980</v>
      </c>
      <c r="D353" s="62"/>
      <c r="E353" s="44" t="s">
        <v>114</v>
      </c>
      <c r="F353" s="71">
        <v>1</v>
      </c>
      <c r="G353" s="72">
        <v>46</v>
      </c>
      <c r="H353" s="73">
        <v>149</v>
      </c>
    </row>
    <row r="354" spans="1:8" x14ac:dyDescent="0.3">
      <c r="A354" s="86" t="s">
        <v>347</v>
      </c>
      <c r="B354" s="69">
        <v>0.502941176470588</v>
      </c>
      <c r="C354" s="70" t="s">
        <v>980</v>
      </c>
      <c r="D354" s="62"/>
      <c r="E354" s="44" t="s">
        <v>205</v>
      </c>
      <c r="F354" s="71">
        <v>2</v>
      </c>
      <c r="G354" s="72">
        <v>53</v>
      </c>
      <c r="H354" s="73">
        <v>169</v>
      </c>
    </row>
    <row r="355" spans="1:8" x14ac:dyDescent="0.3">
      <c r="A355" s="86" t="s">
        <v>348</v>
      </c>
      <c r="B355" s="69">
        <v>0.501</v>
      </c>
      <c r="C355" s="70" t="s">
        <v>980</v>
      </c>
      <c r="D355" s="62"/>
      <c r="E355" s="44" t="s">
        <v>206</v>
      </c>
      <c r="F355" s="71">
        <v>5</v>
      </c>
      <c r="G355" s="72">
        <v>156</v>
      </c>
      <c r="H355" s="73">
        <v>499</v>
      </c>
    </row>
    <row r="356" spans="1:8" x14ac:dyDescent="0.3">
      <c r="A356" s="86" t="s">
        <v>1776</v>
      </c>
      <c r="B356" s="69">
        <v>0.39696969696969697</v>
      </c>
      <c r="C356" s="70" t="s">
        <v>1198</v>
      </c>
      <c r="D356" s="62"/>
      <c r="E356" s="44" t="s">
        <v>1530</v>
      </c>
      <c r="F356" s="71">
        <v>2</v>
      </c>
      <c r="G356" s="72">
        <v>125</v>
      </c>
      <c r="H356" s="73">
        <v>199</v>
      </c>
    </row>
    <row r="357" spans="1:8" x14ac:dyDescent="0.3">
      <c r="A357" s="86" t="s">
        <v>1777</v>
      </c>
      <c r="B357" s="69">
        <v>0.39696969696969697</v>
      </c>
      <c r="C357" s="70" t="s">
        <v>517</v>
      </c>
      <c r="D357" s="62"/>
      <c r="E357" s="44" t="s">
        <v>1531</v>
      </c>
      <c r="F357" s="71">
        <v>2</v>
      </c>
      <c r="G357" s="72">
        <v>125</v>
      </c>
      <c r="H357" s="73">
        <v>199</v>
      </c>
    </row>
    <row r="358" spans="1:8" x14ac:dyDescent="0.3">
      <c r="A358" s="86" t="s">
        <v>1142</v>
      </c>
      <c r="B358" s="69">
        <v>0.48783783783783802</v>
      </c>
      <c r="C358" s="70" t="s">
        <v>73</v>
      </c>
      <c r="D358" s="62"/>
      <c r="E358" s="44" t="s">
        <v>1032</v>
      </c>
      <c r="F358" s="71">
        <v>4</v>
      </c>
      <c r="G358" s="72">
        <v>237</v>
      </c>
      <c r="H358" s="73">
        <v>379</v>
      </c>
    </row>
    <row r="359" spans="1:8" x14ac:dyDescent="0.3">
      <c r="A359" s="86" t="s">
        <v>1778</v>
      </c>
      <c r="B359" s="69">
        <v>0.409183673469388</v>
      </c>
      <c r="C359" s="70" t="s">
        <v>43</v>
      </c>
      <c r="D359" s="62"/>
      <c r="E359" s="44" t="s">
        <v>1532</v>
      </c>
      <c r="F359" s="71">
        <v>6</v>
      </c>
      <c r="G359" s="72">
        <v>362</v>
      </c>
      <c r="H359" s="73">
        <v>579</v>
      </c>
    </row>
    <row r="360" spans="1:8" x14ac:dyDescent="0.3">
      <c r="A360" s="86" t="s">
        <v>1779</v>
      </c>
      <c r="B360" s="69">
        <v>0.46744186046511599</v>
      </c>
      <c r="C360" s="70" t="s">
        <v>73</v>
      </c>
      <c r="D360" s="62"/>
      <c r="E360" s="44" t="s">
        <v>1533</v>
      </c>
      <c r="F360" s="71">
        <v>2</v>
      </c>
      <c r="G360" s="72">
        <v>143</v>
      </c>
      <c r="H360" s="73">
        <v>229</v>
      </c>
    </row>
    <row r="361" spans="1:8" x14ac:dyDescent="0.3">
      <c r="A361" s="86" t="s">
        <v>1780</v>
      </c>
      <c r="B361" s="69">
        <v>0.41323529411764698</v>
      </c>
      <c r="C361" s="70" t="s">
        <v>42</v>
      </c>
      <c r="D361" s="62"/>
      <c r="E361" s="44" t="s">
        <v>1534</v>
      </c>
      <c r="F361" s="71">
        <v>4</v>
      </c>
      <c r="G361" s="72">
        <v>249</v>
      </c>
      <c r="H361" s="73">
        <v>399</v>
      </c>
    </row>
    <row r="362" spans="1:8" x14ac:dyDescent="0.3">
      <c r="A362" s="86" t="s">
        <v>1781</v>
      </c>
      <c r="B362" s="69">
        <v>0.46744186046511599</v>
      </c>
      <c r="C362" s="70" t="s">
        <v>73</v>
      </c>
      <c r="D362" s="62"/>
      <c r="E362" s="44" t="s">
        <v>1535</v>
      </c>
      <c r="F362" s="71">
        <v>2</v>
      </c>
      <c r="G362" s="72">
        <v>143</v>
      </c>
      <c r="H362" s="73">
        <v>229</v>
      </c>
    </row>
    <row r="363" spans="1:8" x14ac:dyDescent="0.3">
      <c r="A363" s="86" t="s">
        <v>1782</v>
      </c>
      <c r="B363" s="69">
        <v>0.39696969696969697</v>
      </c>
      <c r="C363" s="70" t="s">
        <v>1198</v>
      </c>
      <c r="D363" s="62"/>
      <c r="E363" s="44" t="s">
        <v>1536</v>
      </c>
      <c r="F363" s="71">
        <v>2</v>
      </c>
      <c r="G363" s="72">
        <v>125</v>
      </c>
      <c r="H363" s="73">
        <v>199</v>
      </c>
    </row>
    <row r="364" spans="1:8" x14ac:dyDescent="0.3">
      <c r="A364" s="86" t="s">
        <v>1783</v>
      </c>
      <c r="B364" s="69">
        <v>0.43037037037037001</v>
      </c>
      <c r="C364" s="70" t="s">
        <v>424</v>
      </c>
      <c r="D364" s="62"/>
      <c r="E364" s="44" t="s">
        <v>1537</v>
      </c>
      <c r="F364" s="71">
        <v>7</v>
      </c>
      <c r="G364" s="72">
        <v>481</v>
      </c>
      <c r="H364" s="73">
        <v>769</v>
      </c>
    </row>
    <row r="365" spans="1:8" x14ac:dyDescent="0.3">
      <c r="A365" s="86" t="s">
        <v>1784</v>
      </c>
      <c r="B365" s="69">
        <v>0.441764705882353</v>
      </c>
      <c r="C365" s="70" t="s">
        <v>424</v>
      </c>
      <c r="D365" s="62"/>
      <c r="E365" s="44" t="s">
        <v>1538</v>
      </c>
      <c r="F365" s="71">
        <v>9</v>
      </c>
      <c r="G365" s="72">
        <v>593</v>
      </c>
      <c r="H365" s="73">
        <v>949</v>
      </c>
    </row>
    <row r="366" spans="1:8" x14ac:dyDescent="0.3">
      <c r="A366" s="86" t="s">
        <v>350</v>
      </c>
      <c r="B366" s="69">
        <v>0.48082191780821898</v>
      </c>
      <c r="C366" s="70" t="s">
        <v>1406</v>
      </c>
      <c r="D366" s="62"/>
      <c r="E366" s="44" t="s">
        <v>372</v>
      </c>
      <c r="F366" s="71">
        <v>4</v>
      </c>
      <c r="G366" s="72">
        <v>237</v>
      </c>
      <c r="H366" s="73">
        <v>379</v>
      </c>
    </row>
    <row r="367" spans="1:8" x14ac:dyDescent="0.3">
      <c r="A367" s="86" t="s">
        <v>1785</v>
      </c>
      <c r="B367" s="69">
        <v>0.27481481481481501</v>
      </c>
      <c r="C367" s="70" t="s">
        <v>861</v>
      </c>
      <c r="D367" s="62"/>
      <c r="E367" s="44" t="s">
        <v>1539</v>
      </c>
      <c r="F367" s="71">
        <v>9</v>
      </c>
      <c r="G367" s="72">
        <v>612</v>
      </c>
      <c r="H367" s="73">
        <v>979</v>
      </c>
    </row>
    <row r="368" spans="1:8" x14ac:dyDescent="0.3">
      <c r="A368" s="86" t="s">
        <v>1786</v>
      </c>
      <c r="B368" s="69">
        <v>0.441764705882353</v>
      </c>
      <c r="C368" s="70" t="s">
        <v>861</v>
      </c>
      <c r="D368" s="62"/>
      <c r="E368" s="44" t="s">
        <v>1540</v>
      </c>
      <c r="F368" s="71">
        <v>9</v>
      </c>
      <c r="G368" s="72">
        <v>593</v>
      </c>
      <c r="H368" s="73">
        <v>949</v>
      </c>
    </row>
    <row r="369" spans="1:8" x14ac:dyDescent="0.3">
      <c r="A369" s="86" t="s">
        <v>1787</v>
      </c>
      <c r="B369" s="69">
        <v>0.409183673469388</v>
      </c>
      <c r="C369" s="70" t="s">
        <v>42</v>
      </c>
      <c r="D369" s="62"/>
      <c r="E369" s="44" t="s">
        <v>1541</v>
      </c>
      <c r="F369" s="71">
        <v>6</v>
      </c>
      <c r="G369" s="72">
        <v>362</v>
      </c>
      <c r="H369" s="73">
        <v>579</v>
      </c>
    </row>
    <row r="370" spans="1:8" x14ac:dyDescent="0.3">
      <c r="A370" s="86" t="s">
        <v>1347</v>
      </c>
      <c r="B370" s="69">
        <v>0.50026315789473697</v>
      </c>
      <c r="C370" s="70" t="s">
        <v>980</v>
      </c>
      <c r="D370" s="62"/>
      <c r="E370" s="44" t="s">
        <v>1251</v>
      </c>
      <c r="F370" s="71">
        <v>18</v>
      </c>
      <c r="G370" s="72">
        <v>593</v>
      </c>
      <c r="H370" s="73">
        <v>1899</v>
      </c>
    </row>
    <row r="371" spans="1:8" ht="14.5" thickBot="1" x14ac:dyDescent="0.35">
      <c r="A371" s="86" t="s">
        <v>1788</v>
      </c>
      <c r="B371" s="69">
        <v>0.45250000000000001</v>
      </c>
      <c r="C371" s="70" t="s">
        <v>983</v>
      </c>
      <c r="D371" s="62"/>
      <c r="E371" s="44" t="s">
        <v>1542</v>
      </c>
      <c r="F371" s="71">
        <v>2</v>
      </c>
      <c r="G371" s="72">
        <v>68</v>
      </c>
      <c r="H371" s="73">
        <v>219</v>
      </c>
    </row>
    <row r="372" spans="1:8" ht="14.5" thickBot="1" x14ac:dyDescent="0.35">
      <c r="A372" s="38" t="s">
        <v>22</v>
      </c>
      <c r="B372" s="39"/>
      <c r="C372" s="39"/>
      <c r="D372" s="40"/>
      <c r="E372" s="43" t="s">
        <v>117</v>
      </c>
      <c r="F372" s="41"/>
      <c r="G372" s="42"/>
      <c r="H372" s="60"/>
    </row>
    <row r="373" spans="1:8" x14ac:dyDescent="0.3">
      <c r="A373" s="86" t="s">
        <v>1789</v>
      </c>
      <c r="B373" s="69">
        <v>0.50166666666666704</v>
      </c>
      <c r="C373" s="70" t="s">
        <v>1411</v>
      </c>
      <c r="D373" s="62"/>
      <c r="E373" s="44" t="s">
        <v>1543</v>
      </c>
      <c r="F373" s="71">
        <v>3</v>
      </c>
      <c r="G373" s="72">
        <v>187</v>
      </c>
      <c r="H373" s="73">
        <v>299</v>
      </c>
    </row>
    <row r="374" spans="1:8" x14ac:dyDescent="0.3">
      <c r="A374" s="86" t="s">
        <v>1790</v>
      </c>
      <c r="B374" s="69">
        <v>0.46800000000000003</v>
      </c>
      <c r="C374" s="70" t="s">
        <v>1411</v>
      </c>
      <c r="D374" s="62"/>
      <c r="E374" s="44" t="s">
        <v>1544</v>
      </c>
      <c r="F374" s="71">
        <v>4</v>
      </c>
      <c r="G374" s="72">
        <v>249</v>
      </c>
      <c r="H374" s="73">
        <v>399</v>
      </c>
    </row>
    <row r="375" spans="1:8" x14ac:dyDescent="0.3">
      <c r="A375" s="86" t="s">
        <v>1791</v>
      </c>
      <c r="B375" s="69">
        <v>0.51090909090909098</v>
      </c>
      <c r="C375" s="70" t="s">
        <v>1412</v>
      </c>
      <c r="D375" s="62"/>
      <c r="E375" s="44" t="s">
        <v>1545</v>
      </c>
      <c r="F375" s="71">
        <v>3</v>
      </c>
      <c r="G375" s="72">
        <v>84</v>
      </c>
      <c r="H375" s="73">
        <v>269</v>
      </c>
    </row>
    <row r="376" spans="1:8" x14ac:dyDescent="0.3">
      <c r="A376" s="86" t="s">
        <v>1792</v>
      </c>
      <c r="B376" s="69">
        <v>0.51090909090909098</v>
      </c>
      <c r="C376" s="70" t="s">
        <v>1412</v>
      </c>
      <c r="D376" s="62"/>
      <c r="E376" s="44" t="s">
        <v>1546</v>
      </c>
      <c r="F376" s="71">
        <v>3</v>
      </c>
      <c r="G376" s="72">
        <v>84</v>
      </c>
      <c r="H376" s="73">
        <v>269</v>
      </c>
    </row>
    <row r="377" spans="1:8" x14ac:dyDescent="0.3">
      <c r="A377" s="86" t="s">
        <v>1793</v>
      </c>
      <c r="B377" s="69">
        <v>0.418333333333333</v>
      </c>
      <c r="C377" s="70" t="s">
        <v>140</v>
      </c>
      <c r="D377" s="62"/>
      <c r="E377" s="44" t="s">
        <v>1547</v>
      </c>
      <c r="F377" s="71">
        <v>3</v>
      </c>
      <c r="G377" s="72">
        <v>218</v>
      </c>
      <c r="H377" s="73">
        <v>349</v>
      </c>
    </row>
    <row r="378" spans="1:8" x14ac:dyDescent="0.3">
      <c r="A378" s="86" t="s">
        <v>454</v>
      </c>
      <c r="B378" s="69">
        <v>0.418333333333333</v>
      </c>
      <c r="C378" s="70" t="s">
        <v>140</v>
      </c>
      <c r="D378" s="62"/>
      <c r="E378" s="44" t="s">
        <v>439</v>
      </c>
      <c r="F378" s="71">
        <v>3</v>
      </c>
      <c r="G378" s="72">
        <v>218</v>
      </c>
      <c r="H378" s="73">
        <v>349</v>
      </c>
    </row>
    <row r="379" spans="1:8" x14ac:dyDescent="0.3">
      <c r="A379" s="86" t="s">
        <v>377</v>
      </c>
      <c r="B379" s="69">
        <v>0.44315789473684197</v>
      </c>
      <c r="C379" s="70" t="s">
        <v>140</v>
      </c>
      <c r="D379" s="62"/>
      <c r="E379" s="44" t="s">
        <v>373</v>
      </c>
      <c r="F379" s="71">
        <v>5</v>
      </c>
      <c r="G379" s="72">
        <v>331</v>
      </c>
      <c r="H379" s="73">
        <v>529</v>
      </c>
    </row>
    <row r="380" spans="1:8" x14ac:dyDescent="0.3">
      <c r="A380" s="86" t="s">
        <v>1794</v>
      </c>
      <c r="B380" s="69">
        <v>0.44062499999999999</v>
      </c>
      <c r="C380" s="70" t="s">
        <v>1411</v>
      </c>
      <c r="D380" s="62"/>
      <c r="E380" s="44" t="s">
        <v>1548</v>
      </c>
      <c r="F380" s="71">
        <v>2</v>
      </c>
      <c r="G380" s="72">
        <v>112</v>
      </c>
      <c r="H380" s="73">
        <v>179</v>
      </c>
    </row>
    <row r="381" spans="1:8" x14ac:dyDescent="0.3">
      <c r="A381" s="86" t="s">
        <v>599</v>
      </c>
      <c r="B381" s="69">
        <v>0.418333333333333</v>
      </c>
      <c r="C381" s="70" t="s">
        <v>140</v>
      </c>
      <c r="D381" s="62"/>
      <c r="E381" s="44" t="s">
        <v>583</v>
      </c>
      <c r="F381" s="71">
        <v>3</v>
      </c>
      <c r="G381" s="72">
        <v>218</v>
      </c>
      <c r="H381" s="73">
        <v>349</v>
      </c>
    </row>
    <row r="382" spans="1:8" x14ac:dyDescent="0.3">
      <c r="A382" s="86" t="s">
        <v>349</v>
      </c>
      <c r="B382" s="69">
        <v>0.442</v>
      </c>
      <c r="C382" s="70" t="s">
        <v>1412</v>
      </c>
      <c r="D382" s="62"/>
      <c r="E382" s="44" t="s">
        <v>207</v>
      </c>
      <c r="F382" s="71">
        <v>3</v>
      </c>
      <c r="G382" s="72">
        <v>87</v>
      </c>
      <c r="H382" s="73">
        <v>279</v>
      </c>
    </row>
    <row r="383" spans="1:8" x14ac:dyDescent="0.3">
      <c r="A383" s="86" t="s">
        <v>455</v>
      </c>
      <c r="B383" s="69">
        <v>0.44666666666666699</v>
      </c>
      <c r="C383" s="70" t="s">
        <v>1412</v>
      </c>
      <c r="D383" s="62"/>
      <c r="E383" s="44" t="s">
        <v>440</v>
      </c>
      <c r="F383" s="71">
        <v>2</v>
      </c>
      <c r="G383" s="72">
        <v>78</v>
      </c>
      <c r="H383" s="73">
        <v>249</v>
      </c>
    </row>
    <row r="384" spans="1:8" x14ac:dyDescent="0.3">
      <c r="A384" s="86" t="s">
        <v>351</v>
      </c>
      <c r="B384" s="69">
        <v>0.50124999999999997</v>
      </c>
      <c r="C384" s="70" t="s">
        <v>1412</v>
      </c>
      <c r="D384" s="62"/>
      <c r="E384" s="44" t="s">
        <v>208</v>
      </c>
      <c r="F384" s="71">
        <v>4</v>
      </c>
      <c r="G384" s="72">
        <v>125</v>
      </c>
      <c r="H384" s="73">
        <v>399</v>
      </c>
    </row>
    <row r="385" spans="1:8" x14ac:dyDescent="0.3">
      <c r="A385" s="86" t="s">
        <v>1795</v>
      </c>
      <c r="B385" s="69">
        <v>0.49420289855072502</v>
      </c>
      <c r="C385" s="70" t="s">
        <v>1412</v>
      </c>
      <c r="D385" s="62"/>
      <c r="E385" s="44" t="s">
        <v>1549</v>
      </c>
      <c r="F385" s="71">
        <v>3</v>
      </c>
      <c r="G385" s="72">
        <v>109</v>
      </c>
      <c r="H385" s="73">
        <v>349</v>
      </c>
    </row>
    <row r="386" spans="1:8" ht="14.5" thickBot="1" x14ac:dyDescent="0.35">
      <c r="A386" s="86" t="s">
        <v>963</v>
      </c>
      <c r="B386" s="69">
        <v>0.300333704115684</v>
      </c>
      <c r="C386" s="70" t="s">
        <v>1411</v>
      </c>
      <c r="D386" s="62"/>
      <c r="E386" s="44" t="s">
        <v>906</v>
      </c>
      <c r="F386" s="71">
        <v>6</v>
      </c>
      <c r="G386" s="72">
        <v>196</v>
      </c>
      <c r="H386" s="73">
        <v>629</v>
      </c>
    </row>
    <row r="387" spans="1:8" ht="14.5" thickBot="1" x14ac:dyDescent="0.35">
      <c r="A387" s="38" t="s">
        <v>22</v>
      </c>
      <c r="B387" s="39"/>
      <c r="C387" s="39"/>
      <c r="D387" s="40"/>
      <c r="E387" s="43" t="s">
        <v>118</v>
      </c>
      <c r="F387" s="41"/>
      <c r="G387" s="42"/>
      <c r="H387" s="60"/>
    </row>
    <row r="388" spans="1:8" ht="14.5" thickBot="1" x14ac:dyDescent="0.35">
      <c r="A388" s="38" t="s">
        <v>22</v>
      </c>
      <c r="B388" s="39"/>
      <c r="C388" s="39"/>
      <c r="D388" s="40"/>
      <c r="E388" s="43" t="s">
        <v>66</v>
      </c>
      <c r="F388" s="41"/>
      <c r="G388" s="42"/>
      <c r="H388" s="60"/>
    </row>
    <row r="389" spans="1:8" x14ac:dyDescent="0.3">
      <c r="A389" s="86" t="s">
        <v>1788</v>
      </c>
      <c r="B389" s="69">
        <v>0.45250000000000001</v>
      </c>
      <c r="C389" s="70" t="s">
        <v>983</v>
      </c>
      <c r="D389" s="62"/>
      <c r="E389" s="44" t="s">
        <v>1542</v>
      </c>
      <c r="F389" s="71">
        <v>2</v>
      </c>
      <c r="G389" s="72">
        <v>68</v>
      </c>
      <c r="H389" s="73">
        <v>219</v>
      </c>
    </row>
    <row r="390" spans="1:8" x14ac:dyDescent="0.3">
      <c r="A390" s="86" t="s">
        <v>1143</v>
      </c>
      <c r="B390" s="69">
        <v>0.46020408163265297</v>
      </c>
      <c r="C390" s="70" t="s">
        <v>1178</v>
      </c>
      <c r="D390" s="62"/>
      <c r="E390" s="44" t="s">
        <v>1033</v>
      </c>
      <c r="F390" s="71">
        <v>5</v>
      </c>
      <c r="G390" s="72">
        <v>331</v>
      </c>
      <c r="H390" s="73">
        <v>529</v>
      </c>
    </row>
    <row r="391" spans="1:8" x14ac:dyDescent="0.3">
      <c r="A391" s="86" t="s">
        <v>525</v>
      </c>
      <c r="B391" s="69">
        <v>0.45322580645161298</v>
      </c>
      <c r="C391" s="70" t="s">
        <v>52</v>
      </c>
      <c r="D391" s="62"/>
      <c r="E391" s="44" t="s">
        <v>519</v>
      </c>
      <c r="F391" s="71">
        <v>3</v>
      </c>
      <c r="G391" s="72">
        <v>212</v>
      </c>
      <c r="H391" s="73">
        <v>339</v>
      </c>
    </row>
    <row r="392" spans="1:8" x14ac:dyDescent="0.3">
      <c r="A392" s="86" t="s">
        <v>836</v>
      </c>
      <c r="B392" s="69">
        <v>0.45322580645161298</v>
      </c>
      <c r="C392" s="70" t="s">
        <v>478</v>
      </c>
      <c r="D392" s="62"/>
      <c r="E392" s="44" t="s">
        <v>724</v>
      </c>
      <c r="F392" s="71">
        <v>3</v>
      </c>
      <c r="G392" s="72">
        <v>212</v>
      </c>
      <c r="H392" s="73">
        <v>339</v>
      </c>
    </row>
    <row r="393" spans="1:8" x14ac:dyDescent="0.3">
      <c r="A393" s="86" t="s">
        <v>470</v>
      </c>
      <c r="B393" s="69">
        <v>0.45322580645161298</v>
      </c>
      <c r="C393" s="70" t="s">
        <v>478</v>
      </c>
      <c r="D393" s="62"/>
      <c r="E393" s="44" t="s">
        <v>464</v>
      </c>
      <c r="F393" s="71">
        <v>3</v>
      </c>
      <c r="G393" s="72">
        <v>212</v>
      </c>
      <c r="H393" s="73">
        <v>339</v>
      </c>
    </row>
    <row r="394" spans="1:8" x14ac:dyDescent="0.3">
      <c r="A394" s="86" t="s">
        <v>966</v>
      </c>
      <c r="B394" s="69">
        <v>0.449253731343284</v>
      </c>
      <c r="C394" s="70" t="s">
        <v>478</v>
      </c>
      <c r="D394" s="62"/>
      <c r="E394" s="44" t="s">
        <v>909</v>
      </c>
      <c r="F394" s="71">
        <v>4</v>
      </c>
      <c r="G394" s="72">
        <v>231</v>
      </c>
      <c r="H394" s="73">
        <v>369</v>
      </c>
    </row>
    <row r="395" spans="1:8" x14ac:dyDescent="0.3">
      <c r="A395" s="86" t="s">
        <v>471</v>
      </c>
      <c r="B395" s="69">
        <v>0.45322580645161298</v>
      </c>
      <c r="C395" s="70" t="s">
        <v>478</v>
      </c>
      <c r="D395" s="62"/>
      <c r="E395" s="44" t="s">
        <v>465</v>
      </c>
      <c r="F395" s="71">
        <v>3</v>
      </c>
      <c r="G395" s="72">
        <v>212</v>
      </c>
      <c r="H395" s="73">
        <v>339</v>
      </c>
    </row>
    <row r="396" spans="1:8" x14ac:dyDescent="0.3">
      <c r="A396" s="86" t="s">
        <v>931</v>
      </c>
      <c r="B396" s="69">
        <v>0.63975903614457796</v>
      </c>
      <c r="C396" s="70" t="s">
        <v>1407</v>
      </c>
      <c r="D396" s="62"/>
      <c r="E396" s="44" t="s">
        <v>878</v>
      </c>
      <c r="F396" s="71">
        <v>3</v>
      </c>
      <c r="G396" s="72">
        <v>187</v>
      </c>
      <c r="H396" s="73">
        <v>299</v>
      </c>
    </row>
    <row r="397" spans="1:8" x14ac:dyDescent="0.3">
      <c r="A397" s="86" t="s">
        <v>274</v>
      </c>
      <c r="B397" s="69"/>
      <c r="C397" s="70" t="s">
        <v>1195</v>
      </c>
      <c r="D397" s="62"/>
      <c r="E397" s="44" t="s">
        <v>120</v>
      </c>
      <c r="F397" s="71">
        <v>17</v>
      </c>
      <c r="G397" s="72">
        <v>1125</v>
      </c>
      <c r="H397" s="73">
        <v>1800</v>
      </c>
    </row>
    <row r="398" spans="1:8" x14ac:dyDescent="0.3">
      <c r="A398" s="86" t="s">
        <v>275</v>
      </c>
      <c r="B398" s="69">
        <v>0.40354838709677399</v>
      </c>
      <c r="C398" s="70" t="s">
        <v>1195</v>
      </c>
      <c r="D398" s="62"/>
      <c r="E398" s="44" t="s">
        <v>121</v>
      </c>
      <c r="F398" s="71">
        <v>18</v>
      </c>
      <c r="G398" s="72">
        <v>1156</v>
      </c>
      <c r="H398" s="73">
        <v>1849</v>
      </c>
    </row>
    <row r="399" spans="1:8" x14ac:dyDescent="0.3">
      <c r="A399" s="86" t="s">
        <v>276</v>
      </c>
      <c r="B399" s="69"/>
      <c r="C399" s="70" t="s">
        <v>1195</v>
      </c>
      <c r="D399" s="62"/>
      <c r="E399" s="44" t="s">
        <v>122</v>
      </c>
      <c r="F399" s="71">
        <v>26</v>
      </c>
      <c r="G399" s="72">
        <v>1687</v>
      </c>
      <c r="H399" s="73">
        <v>2700</v>
      </c>
    </row>
    <row r="400" spans="1:8" x14ac:dyDescent="0.3">
      <c r="A400" s="86" t="s">
        <v>277</v>
      </c>
      <c r="B400" s="69"/>
      <c r="C400" s="70" t="s">
        <v>1195</v>
      </c>
      <c r="D400" s="62"/>
      <c r="E400" s="44" t="s">
        <v>123</v>
      </c>
      <c r="F400" s="71">
        <v>40</v>
      </c>
      <c r="G400" s="72">
        <v>2625</v>
      </c>
      <c r="H400" s="73">
        <v>4200</v>
      </c>
    </row>
    <row r="401" spans="1:8" x14ac:dyDescent="0.3">
      <c r="A401" s="86" t="s">
        <v>294</v>
      </c>
      <c r="B401" s="69"/>
      <c r="C401" s="70" t="s">
        <v>1195</v>
      </c>
      <c r="D401" s="62"/>
      <c r="E401" s="44" t="s">
        <v>149</v>
      </c>
      <c r="F401" s="71">
        <v>30</v>
      </c>
      <c r="G401" s="72">
        <v>1938</v>
      </c>
      <c r="H401" s="73">
        <v>3100</v>
      </c>
    </row>
    <row r="402" spans="1:8" x14ac:dyDescent="0.3">
      <c r="A402" s="86" t="s">
        <v>278</v>
      </c>
      <c r="B402" s="69">
        <v>0.250217391304348</v>
      </c>
      <c r="C402" s="70" t="s">
        <v>481</v>
      </c>
      <c r="D402" s="62"/>
      <c r="E402" s="44" t="s">
        <v>124</v>
      </c>
      <c r="F402" s="71">
        <v>33</v>
      </c>
      <c r="G402" s="72">
        <v>2155</v>
      </c>
      <c r="H402" s="73">
        <v>3449</v>
      </c>
    </row>
    <row r="403" spans="1:8" x14ac:dyDescent="0.3">
      <c r="A403" s="86" t="s">
        <v>279</v>
      </c>
      <c r="B403" s="69"/>
      <c r="C403" s="70" t="s">
        <v>1413</v>
      </c>
      <c r="D403" s="62"/>
      <c r="E403" s="44" t="s">
        <v>125</v>
      </c>
      <c r="F403" s="71">
        <v>17</v>
      </c>
      <c r="G403" s="72">
        <v>1125</v>
      </c>
      <c r="H403" s="73">
        <v>1800</v>
      </c>
    </row>
    <row r="404" spans="1:8" x14ac:dyDescent="0.3">
      <c r="A404" s="86" t="s">
        <v>1348</v>
      </c>
      <c r="B404" s="69">
        <v>0.40033333333333299</v>
      </c>
      <c r="C404" s="70" t="s">
        <v>389</v>
      </c>
      <c r="D404" s="62"/>
      <c r="E404" s="44" t="s">
        <v>1252</v>
      </c>
      <c r="F404" s="71">
        <v>17</v>
      </c>
      <c r="G404" s="72">
        <v>1124</v>
      </c>
      <c r="H404" s="73">
        <v>1799</v>
      </c>
    </row>
    <row r="405" spans="1:8" x14ac:dyDescent="0.3">
      <c r="A405" s="86" t="s">
        <v>280</v>
      </c>
      <c r="B405" s="69"/>
      <c r="C405" s="70" t="s">
        <v>1413</v>
      </c>
      <c r="D405" s="62"/>
      <c r="E405" s="44" t="s">
        <v>127</v>
      </c>
      <c r="F405" s="71">
        <v>28</v>
      </c>
      <c r="G405" s="72">
        <v>1812</v>
      </c>
      <c r="H405" s="73">
        <v>2900</v>
      </c>
    </row>
    <row r="406" spans="1:8" x14ac:dyDescent="0.3">
      <c r="A406" s="86" t="s">
        <v>281</v>
      </c>
      <c r="B406" s="69"/>
      <c r="C406" s="70" t="s">
        <v>1413</v>
      </c>
      <c r="D406" s="62"/>
      <c r="E406" s="44" t="s">
        <v>128</v>
      </c>
      <c r="F406" s="71">
        <v>28</v>
      </c>
      <c r="G406" s="72">
        <v>1812</v>
      </c>
      <c r="H406" s="73">
        <v>2900</v>
      </c>
    </row>
    <row r="407" spans="1:8" x14ac:dyDescent="0.3">
      <c r="A407" s="86" t="s">
        <v>282</v>
      </c>
      <c r="B407" s="69"/>
      <c r="C407" s="70" t="s">
        <v>76</v>
      </c>
      <c r="D407" s="62"/>
      <c r="E407" s="44" t="s">
        <v>130</v>
      </c>
      <c r="F407" s="71">
        <v>43</v>
      </c>
      <c r="G407" s="72">
        <v>2812</v>
      </c>
      <c r="H407" s="73">
        <v>4500</v>
      </c>
    </row>
    <row r="408" spans="1:8" x14ac:dyDescent="0.3">
      <c r="A408" s="86" t="s">
        <v>283</v>
      </c>
      <c r="B408" s="69"/>
      <c r="C408" s="70" t="s">
        <v>76</v>
      </c>
      <c r="D408" s="62"/>
      <c r="E408" s="44" t="s">
        <v>131</v>
      </c>
      <c r="F408" s="71">
        <v>43</v>
      </c>
      <c r="G408" s="72">
        <v>2812</v>
      </c>
      <c r="H408" s="73">
        <v>4500</v>
      </c>
    </row>
    <row r="409" spans="1:8" x14ac:dyDescent="0.3">
      <c r="A409" s="86" t="s">
        <v>284</v>
      </c>
      <c r="B409" s="69"/>
      <c r="C409" s="70" t="s">
        <v>76</v>
      </c>
      <c r="D409" s="62"/>
      <c r="E409" s="44" t="s">
        <v>132</v>
      </c>
      <c r="F409" s="71">
        <v>43</v>
      </c>
      <c r="G409" s="72">
        <v>2812</v>
      </c>
      <c r="H409" s="73">
        <v>4500</v>
      </c>
    </row>
    <row r="410" spans="1:8" x14ac:dyDescent="0.3">
      <c r="A410" s="86" t="s">
        <v>285</v>
      </c>
      <c r="B410" s="69"/>
      <c r="C410" s="70" t="s">
        <v>76</v>
      </c>
      <c r="D410" s="62"/>
      <c r="E410" s="44" t="s">
        <v>133</v>
      </c>
      <c r="F410" s="71">
        <v>43</v>
      </c>
      <c r="G410" s="72">
        <v>2812</v>
      </c>
      <c r="H410" s="73">
        <v>4500</v>
      </c>
    </row>
    <row r="411" spans="1:8" x14ac:dyDescent="0.3">
      <c r="A411" s="86" t="s">
        <v>286</v>
      </c>
      <c r="B411" s="69"/>
      <c r="C411" s="70" t="s">
        <v>531</v>
      </c>
      <c r="D411" s="62"/>
      <c r="E411" s="44" t="s">
        <v>134</v>
      </c>
      <c r="F411" s="71">
        <v>33</v>
      </c>
      <c r="G411" s="72">
        <v>2187</v>
      </c>
      <c r="H411" s="73">
        <v>3500</v>
      </c>
    </row>
    <row r="412" spans="1:8" x14ac:dyDescent="0.3">
      <c r="A412" s="86" t="s">
        <v>287</v>
      </c>
      <c r="B412" s="69"/>
      <c r="C412" s="70" t="s">
        <v>531</v>
      </c>
      <c r="D412" s="62"/>
      <c r="E412" s="44" t="s">
        <v>135</v>
      </c>
      <c r="F412" s="71">
        <v>33</v>
      </c>
      <c r="G412" s="72">
        <v>2187</v>
      </c>
      <c r="H412" s="73">
        <v>3500</v>
      </c>
    </row>
    <row r="413" spans="1:8" x14ac:dyDescent="0.3">
      <c r="A413" s="86" t="s">
        <v>288</v>
      </c>
      <c r="B413" s="69"/>
      <c r="C413" s="70" t="s">
        <v>370</v>
      </c>
      <c r="D413" s="62"/>
      <c r="E413" s="44" t="s">
        <v>136</v>
      </c>
      <c r="F413" s="71">
        <v>33</v>
      </c>
      <c r="G413" s="72">
        <v>2187</v>
      </c>
      <c r="H413" s="73">
        <v>3500</v>
      </c>
    </row>
    <row r="414" spans="1:8" x14ac:dyDescent="0.3">
      <c r="A414" s="86" t="s">
        <v>289</v>
      </c>
      <c r="B414" s="69"/>
      <c r="C414" s="70" t="s">
        <v>370</v>
      </c>
      <c r="D414" s="62"/>
      <c r="E414" s="44" t="s">
        <v>137</v>
      </c>
      <c r="F414" s="71">
        <v>33</v>
      </c>
      <c r="G414" s="72">
        <v>2187</v>
      </c>
      <c r="H414" s="73">
        <v>3500</v>
      </c>
    </row>
    <row r="415" spans="1:8" x14ac:dyDescent="0.3">
      <c r="A415" s="86" t="s">
        <v>1796</v>
      </c>
      <c r="B415" s="69">
        <v>0.35222222222222199</v>
      </c>
      <c r="C415" s="70" t="s">
        <v>860</v>
      </c>
      <c r="D415" s="62"/>
      <c r="E415" s="44" t="s">
        <v>1550</v>
      </c>
      <c r="F415" s="71">
        <v>17</v>
      </c>
      <c r="G415" s="72">
        <v>1093</v>
      </c>
      <c r="H415" s="73">
        <v>1749</v>
      </c>
    </row>
    <row r="416" spans="1:8" x14ac:dyDescent="0.3">
      <c r="A416" s="86" t="s">
        <v>180</v>
      </c>
      <c r="B416" s="69"/>
      <c r="C416" s="70" t="s">
        <v>388</v>
      </c>
      <c r="D416" s="62"/>
      <c r="E416" s="44" t="s">
        <v>23</v>
      </c>
      <c r="F416" s="71">
        <v>30</v>
      </c>
      <c r="G416" s="72">
        <v>1938</v>
      </c>
      <c r="H416" s="73">
        <v>3100</v>
      </c>
    </row>
    <row r="417" spans="1:8" x14ac:dyDescent="0.3">
      <c r="A417" s="86" t="s">
        <v>179</v>
      </c>
      <c r="B417" s="69"/>
      <c r="C417" s="70" t="s">
        <v>388</v>
      </c>
      <c r="D417" s="62"/>
      <c r="E417" s="44" t="s">
        <v>24</v>
      </c>
      <c r="F417" s="71">
        <v>46</v>
      </c>
      <c r="G417" s="72">
        <v>3000</v>
      </c>
      <c r="H417" s="73">
        <v>4800</v>
      </c>
    </row>
    <row r="418" spans="1:8" x14ac:dyDescent="0.3">
      <c r="A418" s="86" t="s">
        <v>1797</v>
      </c>
      <c r="B418" s="69">
        <v>0.40064516129032302</v>
      </c>
      <c r="C418" s="70" t="s">
        <v>81</v>
      </c>
      <c r="D418" s="62"/>
      <c r="E418" s="44" t="s">
        <v>1551</v>
      </c>
      <c r="F418" s="71">
        <v>9</v>
      </c>
      <c r="G418" s="72">
        <v>580</v>
      </c>
      <c r="H418" s="73">
        <v>929</v>
      </c>
    </row>
    <row r="419" spans="1:8" x14ac:dyDescent="0.3">
      <c r="A419" s="86" t="s">
        <v>932</v>
      </c>
      <c r="B419" s="69">
        <v>0.40594594594594602</v>
      </c>
      <c r="C419" s="70" t="s">
        <v>81</v>
      </c>
      <c r="D419" s="62"/>
      <c r="E419" s="44" t="s">
        <v>1552</v>
      </c>
      <c r="F419" s="71">
        <v>11</v>
      </c>
      <c r="G419" s="72">
        <v>687</v>
      </c>
      <c r="H419" s="73">
        <v>1099</v>
      </c>
    </row>
    <row r="420" spans="1:8" x14ac:dyDescent="0.3">
      <c r="A420" s="86" t="s">
        <v>1798</v>
      </c>
      <c r="B420" s="69">
        <v>0.40594594594594602</v>
      </c>
      <c r="C420" s="70" t="s">
        <v>81</v>
      </c>
      <c r="D420" s="62"/>
      <c r="E420" s="44" t="s">
        <v>1553</v>
      </c>
      <c r="F420" s="71">
        <v>11</v>
      </c>
      <c r="G420" s="72">
        <v>687</v>
      </c>
      <c r="H420" s="73">
        <v>1099</v>
      </c>
    </row>
    <row r="421" spans="1:8" x14ac:dyDescent="0.3">
      <c r="A421" s="86" t="s">
        <v>933</v>
      </c>
      <c r="B421" s="69">
        <v>0.46344086021505398</v>
      </c>
      <c r="C421" s="70" t="s">
        <v>1197</v>
      </c>
      <c r="D421" s="62"/>
      <c r="E421" s="44" t="s">
        <v>879</v>
      </c>
      <c r="F421" s="71">
        <v>5</v>
      </c>
      <c r="G421" s="72">
        <v>312</v>
      </c>
      <c r="H421" s="73">
        <v>499</v>
      </c>
    </row>
    <row r="422" spans="1:8" x14ac:dyDescent="0.3">
      <c r="A422" s="86" t="s">
        <v>934</v>
      </c>
      <c r="B422" s="69">
        <v>0.43118279569892498</v>
      </c>
      <c r="C422" s="70" t="s">
        <v>82</v>
      </c>
      <c r="D422" s="62"/>
      <c r="E422" s="44" t="s">
        <v>880</v>
      </c>
      <c r="F422" s="71">
        <v>5</v>
      </c>
      <c r="G422" s="72">
        <v>331</v>
      </c>
      <c r="H422" s="73">
        <v>529</v>
      </c>
    </row>
    <row r="423" spans="1:8" x14ac:dyDescent="0.3">
      <c r="A423" s="86" t="s">
        <v>935</v>
      </c>
      <c r="B423" s="69">
        <v>0.44583333333333303</v>
      </c>
      <c r="C423" s="70" t="s">
        <v>82</v>
      </c>
      <c r="D423" s="62"/>
      <c r="E423" s="44" t="s">
        <v>881</v>
      </c>
      <c r="F423" s="71">
        <v>4</v>
      </c>
      <c r="G423" s="72">
        <v>249</v>
      </c>
      <c r="H423" s="73">
        <v>399</v>
      </c>
    </row>
    <row r="424" spans="1:8" x14ac:dyDescent="0.3">
      <c r="A424" s="86" t="s">
        <v>937</v>
      </c>
      <c r="B424" s="69">
        <v>0.44583333333333303</v>
      </c>
      <c r="C424" s="70" t="s">
        <v>82</v>
      </c>
      <c r="D424" s="62"/>
      <c r="E424" s="44" t="s">
        <v>883</v>
      </c>
      <c r="F424" s="71">
        <v>4</v>
      </c>
      <c r="G424" s="72">
        <v>249</v>
      </c>
      <c r="H424" s="73">
        <v>399</v>
      </c>
    </row>
    <row r="425" spans="1:8" x14ac:dyDescent="0.3">
      <c r="A425" s="86" t="s">
        <v>938</v>
      </c>
      <c r="B425" s="69">
        <v>0.44583333333333303</v>
      </c>
      <c r="C425" s="70" t="s">
        <v>82</v>
      </c>
      <c r="D425" s="62"/>
      <c r="E425" s="44" t="s">
        <v>884</v>
      </c>
      <c r="F425" s="71">
        <v>4</v>
      </c>
      <c r="G425" s="72">
        <v>249</v>
      </c>
      <c r="H425" s="73">
        <v>399</v>
      </c>
    </row>
    <row r="426" spans="1:8" x14ac:dyDescent="0.3">
      <c r="A426" s="86" t="s">
        <v>633</v>
      </c>
      <c r="B426" s="69"/>
      <c r="C426" s="70" t="s">
        <v>860</v>
      </c>
      <c r="D426" s="62"/>
      <c r="E426" s="44" t="s">
        <v>615</v>
      </c>
      <c r="F426" s="71">
        <v>31</v>
      </c>
      <c r="G426" s="72">
        <v>2000</v>
      </c>
      <c r="H426" s="73">
        <v>3200</v>
      </c>
    </row>
    <row r="427" spans="1:8" x14ac:dyDescent="0.3">
      <c r="A427" s="86" t="s">
        <v>510</v>
      </c>
      <c r="B427" s="69"/>
      <c r="C427" s="70" t="s">
        <v>860</v>
      </c>
      <c r="D427" s="62"/>
      <c r="E427" s="44" t="s">
        <v>492</v>
      </c>
      <c r="F427" s="71">
        <v>51</v>
      </c>
      <c r="G427" s="72">
        <v>3312</v>
      </c>
      <c r="H427" s="73">
        <v>5300</v>
      </c>
    </row>
    <row r="428" spans="1:8" x14ac:dyDescent="0.3">
      <c r="A428" s="86" t="s">
        <v>1349</v>
      </c>
      <c r="B428" s="69"/>
      <c r="C428" s="70" t="s">
        <v>860</v>
      </c>
      <c r="D428" s="62"/>
      <c r="E428" s="44" t="s">
        <v>1253</v>
      </c>
      <c r="F428" s="71">
        <v>19</v>
      </c>
      <c r="G428" s="72">
        <v>1250</v>
      </c>
      <c r="H428" s="73">
        <v>2000</v>
      </c>
    </row>
    <row r="429" spans="1:8" x14ac:dyDescent="0.3">
      <c r="A429" s="86" t="s">
        <v>290</v>
      </c>
      <c r="B429" s="69"/>
      <c r="C429" s="70" t="s">
        <v>1413</v>
      </c>
      <c r="D429" s="62"/>
      <c r="E429" s="44" t="s">
        <v>138</v>
      </c>
      <c r="F429" s="71">
        <v>28</v>
      </c>
      <c r="G429" s="72">
        <v>1812</v>
      </c>
      <c r="H429" s="73">
        <v>2900</v>
      </c>
    </row>
    <row r="430" spans="1:8" x14ac:dyDescent="0.3">
      <c r="A430" s="86" t="s">
        <v>1350</v>
      </c>
      <c r="B430" s="69"/>
      <c r="C430" s="70" t="s">
        <v>860</v>
      </c>
      <c r="D430" s="62"/>
      <c r="E430" s="44" t="s">
        <v>1254</v>
      </c>
      <c r="F430" s="71">
        <v>32</v>
      </c>
      <c r="G430" s="72">
        <v>2062</v>
      </c>
      <c r="H430" s="73">
        <v>3300</v>
      </c>
    </row>
    <row r="431" spans="1:8" x14ac:dyDescent="0.3">
      <c r="A431" s="86" t="s">
        <v>1799</v>
      </c>
      <c r="B431" s="69">
        <v>0.445806451612903</v>
      </c>
      <c r="C431" s="70" t="s">
        <v>69</v>
      </c>
      <c r="D431" s="62"/>
      <c r="E431" s="44" t="s">
        <v>1554</v>
      </c>
      <c r="F431" s="71">
        <v>8</v>
      </c>
      <c r="G431" s="72">
        <v>537</v>
      </c>
      <c r="H431" s="73">
        <v>859</v>
      </c>
    </row>
    <row r="432" spans="1:8" x14ac:dyDescent="0.3">
      <c r="A432" s="86" t="s">
        <v>1800</v>
      </c>
      <c r="B432" s="69">
        <v>0.445806451612903</v>
      </c>
      <c r="C432" s="70" t="s">
        <v>69</v>
      </c>
      <c r="D432" s="62"/>
      <c r="E432" s="44" t="s">
        <v>1555</v>
      </c>
      <c r="F432" s="71">
        <v>8</v>
      </c>
      <c r="G432" s="72">
        <v>537</v>
      </c>
      <c r="H432" s="73">
        <v>859</v>
      </c>
    </row>
    <row r="433" spans="1:8" x14ac:dyDescent="0.3">
      <c r="A433" s="86" t="s">
        <v>1801</v>
      </c>
      <c r="B433" s="69">
        <v>0.45071428571428601</v>
      </c>
      <c r="C433" s="70" t="s">
        <v>409</v>
      </c>
      <c r="D433" s="62"/>
      <c r="E433" s="44" t="s">
        <v>1556</v>
      </c>
      <c r="F433" s="71">
        <v>7</v>
      </c>
      <c r="G433" s="72">
        <v>481</v>
      </c>
      <c r="H433" s="73">
        <v>769</v>
      </c>
    </row>
    <row r="434" spans="1:8" x14ac:dyDescent="0.3">
      <c r="A434" s="86" t="s">
        <v>1802</v>
      </c>
      <c r="B434" s="69">
        <v>0.445806451612903</v>
      </c>
      <c r="C434" s="70" t="s">
        <v>409</v>
      </c>
      <c r="D434" s="62"/>
      <c r="E434" s="44" t="s">
        <v>1557</v>
      </c>
      <c r="F434" s="71">
        <v>8</v>
      </c>
      <c r="G434" s="72">
        <v>537</v>
      </c>
      <c r="H434" s="73">
        <v>859</v>
      </c>
    </row>
    <row r="435" spans="1:8" x14ac:dyDescent="0.3">
      <c r="A435" s="86" t="s">
        <v>511</v>
      </c>
      <c r="B435" s="69">
        <v>0.44555555555555598</v>
      </c>
      <c r="C435" s="70" t="s">
        <v>514</v>
      </c>
      <c r="D435" s="62"/>
      <c r="E435" s="44" t="s">
        <v>493</v>
      </c>
      <c r="F435" s="71">
        <v>5</v>
      </c>
      <c r="G435" s="72">
        <v>312</v>
      </c>
      <c r="H435" s="73">
        <v>499</v>
      </c>
    </row>
    <row r="436" spans="1:8" x14ac:dyDescent="0.3">
      <c r="A436" s="86" t="s">
        <v>355</v>
      </c>
      <c r="B436" s="69">
        <v>0.39811320754717</v>
      </c>
      <c r="C436" s="70" t="s">
        <v>1197</v>
      </c>
      <c r="D436" s="62"/>
      <c r="E436" s="44" t="s">
        <v>213</v>
      </c>
      <c r="F436" s="71">
        <v>3</v>
      </c>
      <c r="G436" s="72">
        <v>200</v>
      </c>
      <c r="H436" s="73">
        <v>319</v>
      </c>
    </row>
    <row r="437" spans="1:8" x14ac:dyDescent="0.3">
      <c r="A437" s="86" t="s">
        <v>1803</v>
      </c>
      <c r="B437" s="69">
        <v>0.38571428571428601</v>
      </c>
      <c r="C437" s="70" t="s">
        <v>378</v>
      </c>
      <c r="D437" s="62"/>
      <c r="E437" s="44" t="s">
        <v>1558</v>
      </c>
      <c r="F437" s="71">
        <v>1</v>
      </c>
      <c r="G437" s="72">
        <v>81</v>
      </c>
      <c r="H437" s="73">
        <v>129</v>
      </c>
    </row>
    <row r="438" spans="1:8" x14ac:dyDescent="0.3">
      <c r="A438" s="86" t="s">
        <v>181</v>
      </c>
      <c r="B438" s="69"/>
      <c r="C438" s="70" t="s">
        <v>388</v>
      </c>
      <c r="D438" s="62"/>
      <c r="E438" s="44" t="s">
        <v>25</v>
      </c>
      <c r="F438" s="71">
        <v>37</v>
      </c>
      <c r="G438" s="72">
        <v>2407</v>
      </c>
      <c r="H438" s="73">
        <v>3850</v>
      </c>
    </row>
    <row r="439" spans="1:8" x14ac:dyDescent="0.3">
      <c r="A439" s="86" t="s">
        <v>182</v>
      </c>
      <c r="B439" s="69">
        <v>0.40285714285714302</v>
      </c>
      <c r="C439" s="70" t="s">
        <v>388</v>
      </c>
      <c r="D439" s="62"/>
      <c r="E439" s="44" t="s">
        <v>26</v>
      </c>
      <c r="F439" s="71">
        <v>22</v>
      </c>
      <c r="G439" s="72">
        <v>1437</v>
      </c>
      <c r="H439" s="73">
        <v>2299</v>
      </c>
    </row>
    <row r="440" spans="1:8" x14ac:dyDescent="0.3">
      <c r="A440" s="86" t="s">
        <v>1352</v>
      </c>
      <c r="B440" s="69">
        <v>0.50018181818181795</v>
      </c>
      <c r="C440" s="70" t="s">
        <v>1413</v>
      </c>
      <c r="D440" s="62"/>
      <c r="E440" s="44" t="s">
        <v>1256</v>
      </c>
      <c r="F440" s="71">
        <v>26</v>
      </c>
      <c r="G440" s="72">
        <v>859</v>
      </c>
      <c r="H440" s="73">
        <v>2749</v>
      </c>
    </row>
    <row r="441" spans="1:8" x14ac:dyDescent="0.3">
      <c r="A441" s="86" t="s">
        <v>837</v>
      </c>
      <c r="B441" s="69">
        <v>0.40079999999999999</v>
      </c>
      <c r="C441" s="70" t="s">
        <v>407</v>
      </c>
      <c r="D441" s="62"/>
      <c r="E441" s="44" t="s">
        <v>1559</v>
      </c>
      <c r="F441" s="71">
        <v>7</v>
      </c>
      <c r="G441" s="72">
        <v>468</v>
      </c>
      <c r="H441" s="73">
        <v>749</v>
      </c>
    </row>
    <row r="442" spans="1:8" x14ac:dyDescent="0.3">
      <c r="A442" s="86" t="s">
        <v>838</v>
      </c>
      <c r="B442" s="69">
        <v>0.40079999999999999</v>
      </c>
      <c r="C442" s="70" t="s">
        <v>407</v>
      </c>
      <c r="D442" s="62"/>
      <c r="E442" s="44" t="s">
        <v>1560</v>
      </c>
      <c r="F442" s="71">
        <v>7</v>
      </c>
      <c r="G442" s="72">
        <v>468</v>
      </c>
      <c r="H442" s="73">
        <v>749</v>
      </c>
    </row>
    <row r="443" spans="1:8" x14ac:dyDescent="0.3">
      <c r="A443" s="86" t="s">
        <v>394</v>
      </c>
      <c r="B443" s="69">
        <v>0.34869565217391302</v>
      </c>
      <c r="C443" s="70" t="s">
        <v>407</v>
      </c>
      <c r="D443" s="62"/>
      <c r="E443" s="44" t="s">
        <v>1034</v>
      </c>
      <c r="F443" s="71">
        <v>7</v>
      </c>
      <c r="G443" s="72">
        <v>468</v>
      </c>
      <c r="H443" s="73">
        <v>749</v>
      </c>
    </row>
    <row r="444" spans="1:8" x14ac:dyDescent="0.3">
      <c r="A444" s="86" t="s">
        <v>839</v>
      </c>
      <c r="B444" s="69">
        <v>0.38774193548387098</v>
      </c>
      <c r="C444" s="70" t="s">
        <v>407</v>
      </c>
      <c r="D444" s="62"/>
      <c r="E444" s="44" t="s">
        <v>1561</v>
      </c>
      <c r="F444" s="71">
        <v>9</v>
      </c>
      <c r="G444" s="72">
        <v>593</v>
      </c>
      <c r="H444" s="73">
        <v>949</v>
      </c>
    </row>
    <row r="445" spans="1:8" x14ac:dyDescent="0.3">
      <c r="A445" s="86" t="s">
        <v>840</v>
      </c>
      <c r="B445" s="69">
        <v>0.45322580645161298</v>
      </c>
      <c r="C445" s="70" t="s">
        <v>52</v>
      </c>
      <c r="D445" s="62"/>
      <c r="E445" s="44" t="s">
        <v>725</v>
      </c>
      <c r="F445" s="71">
        <v>3</v>
      </c>
      <c r="G445" s="72">
        <v>212</v>
      </c>
      <c r="H445" s="73">
        <v>339</v>
      </c>
    </row>
    <row r="446" spans="1:8" x14ac:dyDescent="0.3">
      <c r="A446" s="86" t="s">
        <v>292</v>
      </c>
      <c r="B446" s="69">
        <v>0.45322580645161298</v>
      </c>
      <c r="C446" s="70" t="s">
        <v>1192</v>
      </c>
      <c r="D446" s="62"/>
      <c r="E446" s="44" t="s">
        <v>143</v>
      </c>
      <c r="F446" s="71">
        <v>3</v>
      </c>
      <c r="G446" s="72">
        <v>212</v>
      </c>
      <c r="H446" s="73">
        <v>339</v>
      </c>
    </row>
    <row r="447" spans="1:8" x14ac:dyDescent="0.3">
      <c r="A447" s="86" t="s">
        <v>417</v>
      </c>
      <c r="B447" s="69">
        <v>0.45322580645161298</v>
      </c>
      <c r="C447" s="70" t="s">
        <v>1192</v>
      </c>
      <c r="D447" s="62"/>
      <c r="E447" s="44" t="s">
        <v>412</v>
      </c>
      <c r="F447" s="71">
        <v>3</v>
      </c>
      <c r="G447" s="72">
        <v>212</v>
      </c>
      <c r="H447" s="73">
        <v>339</v>
      </c>
    </row>
    <row r="448" spans="1:8" x14ac:dyDescent="0.3">
      <c r="A448" s="86" t="s">
        <v>396</v>
      </c>
      <c r="B448" s="69">
        <v>0.44555555555555598</v>
      </c>
      <c r="C448" s="70" t="s">
        <v>514</v>
      </c>
      <c r="D448" s="62"/>
      <c r="E448" s="44" t="s">
        <v>382</v>
      </c>
      <c r="F448" s="71">
        <v>5</v>
      </c>
      <c r="G448" s="72">
        <v>312</v>
      </c>
      <c r="H448" s="73">
        <v>499</v>
      </c>
    </row>
    <row r="449" spans="1:8" x14ac:dyDescent="0.3">
      <c r="A449" s="86" t="s">
        <v>1804</v>
      </c>
      <c r="B449" s="69">
        <v>0.45045045045045001</v>
      </c>
      <c r="C449" s="70" t="s">
        <v>645</v>
      </c>
      <c r="D449" s="62"/>
      <c r="E449" s="44" t="s">
        <v>1562</v>
      </c>
      <c r="F449" s="71">
        <v>5</v>
      </c>
      <c r="G449" s="72">
        <v>172</v>
      </c>
      <c r="H449" s="73">
        <v>549</v>
      </c>
    </row>
    <row r="450" spans="1:8" x14ac:dyDescent="0.3">
      <c r="A450" s="86" t="s">
        <v>841</v>
      </c>
      <c r="B450" s="69">
        <v>0.44555555555555598</v>
      </c>
      <c r="C450" s="70" t="s">
        <v>514</v>
      </c>
      <c r="D450" s="62"/>
      <c r="E450" s="44" t="s">
        <v>726</v>
      </c>
      <c r="F450" s="71">
        <v>5</v>
      </c>
      <c r="G450" s="72">
        <v>312</v>
      </c>
      <c r="H450" s="73">
        <v>499</v>
      </c>
    </row>
    <row r="451" spans="1:8" x14ac:dyDescent="0.3">
      <c r="A451" s="86" t="s">
        <v>842</v>
      </c>
      <c r="B451" s="69">
        <v>0.45322580645161298</v>
      </c>
      <c r="C451" s="70" t="s">
        <v>1192</v>
      </c>
      <c r="D451" s="62"/>
      <c r="E451" s="44" t="s">
        <v>727</v>
      </c>
      <c r="F451" s="71">
        <v>3</v>
      </c>
      <c r="G451" s="72">
        <v>212</v>
      </c>
      <c r="H451" s="73">
        <v>339</v>
      </c>
    </row>
    <row r="452" spans="1:8" x14ac:dyDescent="0.3">
      <c r="A452" s="86" t="s">
        <v>1805</v>
      </c>
      <c r="B452" s="69">
        <v>0.40523809523809501</v>
      </c>
      <c r="C452" s="70" t="s">
        <v>74</v>
      </c>
      <c r="D452" s="62"/>
      <c r="E452" s="44" t="s">
        <v>1563</v>
      </c>
      <c r="F452" s="71">
        <v>12</v>
      </c>
      <c r="G452" s="72">
        <v>781</v>
      </c>
      <c r="H452" s="73">
        <v>1249</v>
      </c>
    </row>
    <row r="453" spans="1:8" x14ac:dyDescent="0.3">
      <c r="A453" s="86" t="s">
        <v>1806</v>
      </c>
      <c r="B453" s="69">
        <v>0.40523809523809501</v>
      </c>
      <c r="C453" s="70" t="s">
        <v>74</v>
      </c>
      <c r="D453" s="62"/>
      <c r="E453" s="44" t="s">
        <v>1564</v>
      </c>
      <c r="F453" s="71">
        <v>12</v>
      </c>
      <c r="G453" s="72">
        <v>781</v>
      </c>
      <c r="H453" s="73">
        <v>1249</v>
      </c>
    </row>
    <row r="454" spans="1:8" x14ac:dyDescent="0.3">
      <c r="A454" s="86" t="s">
        <v>636</v>
      </c>
      <c r="B454" s="69">
        <v>0.52476190476190498</v>
      </c>
      <c r="C454" s="70" t="s">
        <v>1194</v>
      </c>
      <c r="D454" s="62"/>
      <c r="E454" s="44" t="s">
        <v>618</v>
      </c>
      <c r="F454" s="71">
        <v>5</v>
      </c>
      <c r="G454" s="72">
        <v>312</v>
      </c>
      <c r="H454" s="73">
        <v>499</v>
      </c>
    </row>
    <row r="455" spans="1:8" x14ac:dyDescent="0.3">
      <c r="A455" s="86" t="s">
        <v>1807</v>
      </c>
      <c r="B455" s="69">
        <v>0.34878787878787898</v>
      </c>
      <c r="C455" s="70" t="s">
        <v>71</v>
      </c>
      <c r="D455" s="62"/>
      <c r="E455" s="44" t="s">
        <v>1565</v>
      </c>
      <c r="F455" s="71">
        <v>21</v>
      </c>
      <c r="G455" s="72">
        <v>1343</v>
      </c>
      <c r="H455" s="73">
        <v>2149</v>
      </c>
    </row>
    <row r="456" spans="1:8" x14ac:dyDescent="0.3">
      <c r="A456" s="86" t="s">
        <v>1808</v>
      </c>
      <c r="B456" s="69">
        <v>0.35362068965517202</v>
      </c>
      <c r="C456" s="70" t="s">
        <v>481</v>
      </c>
      <c r="D456" s="62"/>
      <c r="E456" s="44" t="s">
        <v>1566</v>
      </c>
      <c r="F456" s="71">
        <v>36</v>
      </c>
      <c r="G456" s="72">
        <v>2343</v>
      </c>
      <c r="H456" s="73">
        <v>3749</v>
      </c>
    </row>
    <row r="457" spans="1:8" x14ac:dyDescent="0.3">
      <c r="A457" s="86" t="s">
        <v>1809</v>
      </c>
      <c r="B457" s="69">
        <v>0.34878787878787898</v>
      </c>
      <c r="C457" s="70" t="s">
        <v>71</v>
      </c>
      <c r="D457" s="62"/>
      <c r="E457" s="44" t="s">
        <v>1567</v>
      </c>
      <c r="F457" s="71">
        <v>21</v>
      </c>
      <c r="G457" s="72">
        <v>1343</v>
      </c>
      <c r="H457" s="73">
        <v>2149</v>
      </c>
    </row>
    <row r="458" spans="1:8" x14ac:dyDescent="0.3">
      <c r="A458" s="86" t="s">
        <v>1081</v>
      </c>
      <c r="B458" s="69">
        <v>0.49674796747967498</v>
      </c>
      <c r="C458" s="70" t="s">
        <v>530</v>
      </c>
      <c r="D458" s="62"/>
      <c r="E458" s="44" t="s">
        <v>971</v>
      </c>
      <c r="F458" s="71">
        <v>6</v>
      </c>
      <c r="G458" s="72">
        <v>387</v>
      </c>
      <c r="H458" s="73">
        <v>619</v>
      </c>
    </row>
    <row r="459" spans="1:8" x14ac:dyDescent="0.3">
      <c r="A459" s="86" t="s">
        <v>293</v>
      </c>
      <c r="B459" s="69">
        <v>0.40100000000000002</v>
      </c>
      <c r="C459" s="70" t="s">
        <v>76</v>
      </c>
      <c r="D459" s="62"/>
      <c r="E459" s="44" t="s">
        <v>145</v>
      </c>
      <c r="F459" s="71">
        <v>6</v>
      </c>
      <c r="G459" s="72">
        <v>187</v>
      </c>
      <c r="H459" s="73">
        <v>599</v>
      </c>
    </row>
    <row r="460" spans="1:8" x14ac:dyDescent="0.3">
      <c r="A460" s="86" t="s">
        <v>571</v>
      </c>
      <c r="B460" s="69">
        <v>0.50131578947368405</v>
      </c>
      <c r="C460" s="70" t="s">
        <v>1413</v>
      </c>
      <c r="D460" s="62"/>
      <c r="E460" s="44" t="s">
        <v>551</v>
      </c>
      <c r="F460" s="71">
        <v>4</v>
      </c>
      <c r="G460" s="72">
        <v>119</v>
      </c>
      <c r="H460" s="73">
        <v>379</v>
      </c>
    </row>
    <row r="461" spans="1:8" x14ac:dyDescent="0.3">
      <c r="A461" s="86" t="s">
        <v>1810</v>
      </c>
      <c r="B461" s="69">
        <v>0.41570438799076198</v>
      </c>
      <c r="C461" s="70" t="s">
        <v>645</v>
      </c>
      <c r="D461" s="62"/>
      <c r="E461" s="44" t="s">
        <v>1568</v>
      </c>
      <c r="F461" s="71">
        <v>7</v>
      </c>
      <c r="G461" s="72">
        <v>237</v>
      </c>
      <c r="H461" s="73">
        <v>759</v>
      </c>
    </row>
    <row r="462" spans="1:8" x14ac:dyDescent="0.3">
      <c r="A462" s="86" t="s">
        <v>1811</v>
      </c>
      <c r="B462" s="69">
        <v>0.64901960784313695</v>
      </c>
      <c r="C462" s="70" t="s">
        <v>575</v>
      </c>
      <c r="D462" s="62"/>
      <c r="E462" s="44" t="s">
        <v>1569</v>
      </c>
      <c r="F462" s="71">
        <v>2</v>
      </c>
      <c r="G462" s="72">
        <v>112</v>
      </c>
      <c r="H462" s="73">
        <v>179</v>
      </c>
    </row>
    <row r="463" spans="1:8" x14ac:dyDescent="0.3">
      <c r="A463" s="86" t="s">
        <v>240</v>
      </c>
      <c r="B463" s="69">
        <v>0.29718749999999999</v>
      </c>
      <c r="C463" s="70" t="s">
        <v>76</v>
      </c>
      <c r="D463" s="62"/>
      <c r="E463" s="44" t="s">
        <v>31</v>
      </c>
      <c r="F463" s="71">
        <v>22</v>
      </c>
      <c r="G463" s="72">
        <v>703</v>
      </c>
      <c r="H463" s="73">
        <v>2249</v>
      </c>
    </row>
    <row r="464" spans="1:8" x14ac:dyDescent="0.3">
      <c r="A464" s="86" t="s">
        <v>1812</v>
      </c>
      <c r="B464" s="69">
        <v>0.44942528735632198</v>
      </c>
      <c r="C464" s="70" t="s">
        <v>983</v>
      </c>
      <c r="D464" s="62"/>
      <c r="E464" s="44" t="s">
        <v>1570</v>
      </c>
      <c r="F464" s="71">
        <v>5</v>
      </c>
      <c r="G464" s="72">
        <v>150</v>
      </c>
      <c r="H464" s="73">
        <v>479</v>
      </c>
    </row>
    <row r="465" spans="1:8" x14ac:dyDescent="0.3">
      <c r="A465" s="86" t="s">
        <v>572</v>
      </c>
      <c r="B465" s="69">
        <v>0.32272727272727297</v>
      </c>
      <c r="C465" s="70" t="s">
        <v>983</v>
      </c>
      <c r="D465" s="62"/>
      <c r="E465" s="44" t="s">
        <v>144</v>
      </c>
      <c r="F465" s="71">
        <v>1</v>
      </c>
      <c r="G465" s="72">
        <v>46</v>
      </c>
      <c r="H465" s="73">
        <v>149</v>
      </c>
    </row>
    <row r="466" spans="1:8" x14ac:dyDescent="0.3">
      <c r="A466" s="86" t="s">
        <v>526</v>
      </c>
      <c r="B466" s="69">
        <v>0.50645161290322604</v>
      </c>
      <c r="C466" s="70" t="s">
        <v>514</v>
      </c>
      <c r="D466" s="62"/>
      <c r="E466" s="44" t="s">
        <v>520</v>
      </c>
      <c r="F466" s="71">
        <v>4</v>
      </c>
      <c r="G466" s="72">
        <v>143</v>
      </c>
      <c r="H466" s="73">
        <v>459</v>
      </c>
    </row>
    <row r="467" spans="1:8" x14ac:dyDescent="0.3">
      <c r="A467" s="86" t="s">
        <v>1813</v>
      </c>
      <c r="B467" s="69">
        <v>0.70735294117647096</v>
      </c>
      <c r="C467" s="70" t="s">
        <v>575</v>
      </c>
      <c r="D467" s="62"/>
      <c r="E467" s="44" t="s">
        <v>1571</v>
      </c>
      <c r="F467" s="71">
        <v>2</v>
      </c>
      <c r="G467" s="72">
        <v>125</v>
      </c>
      <c r="H467" s="73">
        <v>199</v>
      </c>
    </row>
    <row r="468" spans="1:8" ht="14.5" thickBot="1" x14ac:dyDescent="0.35">
      <c r="A468" s="86" t="s">
        <v>1302</v>
      </c>
      <c r="B468" s="69"/>
      <c r="C468" s="70" t="s">
        <v>126</v>
      </c>
      <c r="D468" s="62"/>
      <c r="E468" s="44" t="s">
        <v>1188</v>
      </c>
      <c r="F468" s="71">
        <v>5</v>
      </c>
      <c r="G468" s="72">
        <v>156</v>
      </c>
      <c r="H468" s="73">
        <v>499</v>
      </c>
    </row>
    <row r="469" spans="1:8" ht="14.5" thickBot="1" x14ac:dyDescent="0.35">
      <c r="A469" s="38" t="s">
        <v>22</v>
      </c>
      <c r="B469" s="39"/>
      <c r="C469" s="39"/>
      <c r="D469" s="40"/>
      <c r="E469" s="43" t="s">
        <v>78</v>
      </c>
      <c r="F469" s="41"/>
      <c r="G469" s="42"/>
      <c r="H469" s="60"/>
    </row>
    <row r="470" spans="1:8" x14ac:dyDescent="0.3">
      <c r="A470" s="86" t="s">
        <v>1814</v>
      </c>
      <c r="B470" s="69">
        <v>0.28507462686567198</v>
      </c>
      <c r="C470" s="70" t="s">
        <v>91</v>
      </c>
      <c r="D470" s="62"/>
      <c r="E470" s="44" t="s">
        <v>1572</v>
      </c>
      <c r="F470" s="71">
        <v>5</v>
      </c>
      <c r="G470" s="72">
        <v>299</v>
      </c>
      <c r="H470" s="73">
        <v>479</v>
      </c>
    </row>
    <row r="471" spans="1:8" ht="14.5" thickBot="1" x14ac:dyDescent="0.35">
      <c r="A471" s="86" t="s">
        <v>1815</v>
      </c>
      <c r="B471" s="69">
        <v>0.42643678160919501</v>
      </c>
      <c r="C471" s="70" t="s">
        <v>91</v>
      </c>
      <c r="D471" s="62"/>
      <c r="E471" s="44" t="s">
        <v>1573</v>
      </c>
      <c r="F471" s="71">
        <v>5</v>
      </c>
      <c r="G471" s="72">
        <v>312</v>
      </c>
      <c r="H471" s="73">
        <v>499</v>
      </c>
    </row>
    <row r="472" spans="1:8" ht="14.5" thickBot="1" x14ac:dyDescent="0.35">
      <c r="A472" s="38" t="s">
        <v>22</v>
      </c>
      <c r="B472" s="39"/>
      <c r="C472" s="39"/>
      <c r="D472" s="40"/>
      <c r="E472" s="43" t="s">
        <v>728</v>
      </c>
      <c r="F472" s="41"/>
      <c r="G472" s="42"/>
      <c r="H472" s="60"/>
    </row>
    <row r="473" spans="1:8" x14ac:dyDescent="0.3">
      <c r="A473" s="86" t="s">
        <v>846</v>
      </c>
      <c r="B473" s="69">
        <v>0.401666666666667</v>
      </c>
      <c r="C473" s="70" t="s">
        <v>603</v>
      </c>
      <c r="D473" s="62"/>
      <c r="E473" s="44" t="s">
        <v>732</v>
      </c>
      <c r="F473" s="71">
        <v>3</v>
      </c>
      <c r="G473" s="72">
        <v>224</v>
      </c>
      <c r="H473" s="73">
        <v>359</v>
      </c>
    </row>
    <row r="474" spans="1:8" x14ac:dyDescent="0.3">
      <c r="A474" s="86" t="s">
        <v>853</v>
      </c>
      <c r="B474" s="69">
        <v>0.56176470588235305</v>
      </c>
      <c r="C474" s="70" t="s">
        <v>1414</v>
      </c>
      <c r="D474" s="62"/>
      <c r="E474" s="44" t="s">
        <v>739</v>
      </c>
      <c r="F474" s="71">
        <v>1</v>
      </c>
      <c r="G474" s="72">
        <v>46</v>
      </c>
      <c r="H474" s="73">
        <v>149</v>
      </c>
    </row>
    <row r="475" spans="1:8" ht="14.5" thickBot="1" x14ac:dyDescent="0.35">
      <c r="A475" s="86" t="s">
        <v>1144</v>
      </c>
      <c r="B475" s="69">
        <v>0.401666666666667</v>
      </c>
      <c r="C475" s="70" t="s">
        <v>603</v>
      </c>
      <c r="D475" s="62"/>
      <c r="E475" s="44" t="s">
        <v>1035</v>
      </c>
      <c r="F475" s="71">
        <v>3</v>
      </c>
      <c r="G475" s="72">
        <v>224</v>
      </c>
      <c r="H475" s="73">
        <v>359</v>
      </c>
    </row>
    <row r="476" spans="1:8" ht="14.5" thickBot="1" x14ac:dyDescent="0.35">
      <c r="A476" s="38" t="s">
        <v>22</v>
      </c>
      <c r="B476" s="39"/>
      <c r="C476" s="39"/>
      <c r="D476" s="40"/>
      <c r="E476" s="43" t="s">
        <v>147</v>
      </c>
      <c r="F476" s="41"/>
      <c r="G476" s="42"/>
      <c r="H476" s="60"/>
    </row>
    <row r="477" spans="1:8" x14ac:dyDescent="0.3">
      <c r="A477" s="86" t="s">
        <v>844</v>
      </c>
      <c r="B477" s="69">
        <v>0.56176470588235305</v>
      </c>
      <c r="C477" s="70" t="s">
        <v>1414</v>
      </c>
      <c r="D477" s="62"/>
      <c r="E477" s="44" t="s">
        <v>730</v>
      </c>
      <c r="F477" s="71">
        <v>1</v>
      </c>
      <c r="G477" s="72">
        <v>46</v>
      </c>
      <c r="H477" s="73">
        <v>149</v>
      </c>
    </row>
    <row r="478" spans="1:8" x14ac:dyDescent="0.3">
      <c r="A478" s="86" t="s">
        <v>845</v>
      </c>
      <c r="B478" s="69">
        <v>0.56176470588235305</v>
      </c>
      <c r="C478" s="70" t="s">
        <v>1414</v>
      </c>
      <c r="D478" s="62"/>
      <c r="E478" s="44" t="s">
        <v>731</v>
      </c>
      <c r="F478" s="71">
        <v>1</v>
      </c>
      <c r="G478" s="72">
        <v>46</v>
      </c>
      <c r="H478" s="73">
        <v>149</v>
      </c>
    </row>
    <row r="479" spans="1:8" x14ac:dyDescent="0.3">
      <c r="A479" s="86" t="s">
        <v>847</v>
      </c>
      <c r="B479" s="69">
        <v>0.31190476190476202</v>
      </c>
      <c r="C479" s="70" t="s">
        <v>603</v>
      </c>
      <c r="D479" s="62"/>
      <c r="E479" s="44" t="s">
        <v>733</v>
      </c>
      <c r="F479" s="71">
        <v>3</v>
      </c>
      <c r="G479" s="72">
        <v>181</v>
      </c>
      <c r="H479" s="73">
        <v>289</v>
      </c>
    </row>
    <row r="480" spans="1:8" ht="14.5" thickBot="1" x14ac:dyDescent="0.35">
      <c r="A480" s="86" t="s">
        <v>968</v>
      </c>
      <c r="B480" s="69">
        <v>0.42692307692307702</v>
      </c>
      <c r="C480" s="70" t="s">
        <v>378</v>
      </c>
      <c r="D480" s="62"/>
      <c r="E480" s="44" t="s">
        <v>911</v>
      </c>
      <c r="F480" s="71">
        <v>1</v>
      </c>
      <c r="G480" s="72">
        <v>93</v>
      </c>
      <c r="H480" s="73">
        <v>149</v>
      </c>
    </row>
    <row r="481" spans="1:8" ht="14.5" thickBot="1" x14ac:dyDescent="0.35">
      <c r="A481" s="38" t="s">
        <v>22</v>
      </c>
      <c r="B481" s="39"/>
      <c r="C481" s="39"/>
      <c r="D481" s="40"/>
      <c r="E481" s="43" t="s">
        <v>1574</v>
      </c>
      <c r="F481" s="41"/>
      <c r="G481" s="42"/>
      <c r="H481" s="60"/>
    </row>
    <row r="482" spans="1:8" x14ac:dyDescent="0.3">
      <c r="A482" s="86" t="s">
        <v>356</v>
      </c>
      <c r="B482" s="69">
        <v>0.44942528735632198</v>
      </c>
      <c r="C482" s="70" t="s">
        <v>531</v>
      </c>
      <c r="D482" s="62"/>
      <c r="E482" s="44" t="s">
        <v>214</v>
      </c>
      <c r="F482" s="71">
        <v>5</v>
      </c>
      <c r="G482" s="72">
        <v>150</v>
      </c>
      <c r="H482" s="73">
        <v>479</v>
      </c>
    </row>
    <row r="483" spans="1:8" x14ac:dyDescent="0.3">
      <c r="A483" s="86" t="s">
        <v>1353</v>
      </c>
      <c r="B483" s="69">
        <v>0.50119047619047596</v>
      </c>
      <c r="C483" s="70" t="s">
        <v>1415</v>
      </c>
      <c r="D483" s="62"/>
      <c r="E483" s="44" t="s">
        <v>1257</v>
      </c>
      <c r="F483" s="71">
        <v>4</v>
      </c>
      <c r="G483" s="72">
        <v>131</v>
      </c>
      <c r="H483" s="73">
        <v>419</v>
      </c>
    </row>
    <row r="484" spans="1:8" x14ac:dyDescent="0.3">
      <c r="A484" s="86" t="s">
        <v>1388</v>
      </c>
      <c r="B484" s="69">
        <v>0.39811320754717</v>
      </c>
      <c r="C484" s="70" t="s">
        <v>577</v>
      </c>
      <c r="D484" s="62"/>
      <c r="E484" s="44" t="s">
        <v>1293</v>
      </c>
      <c r="F484" s="71">
        <v>3</v>
      </c>
      <c r="G484" s="72">
        <v>100</v>
      </c>
      <c r="H484" s="73">
        <v>319</v>
      </c>
    </row>
    <row r="485" spans="1:8" x14ac:dyDescent="0.3">
      <c r="A485" s="86" t="s">
        <v>848</v>
      </c>
      <c r="B485" s="69">
        <v>0.45357142857142901</v>
      </c>
      <c r="C485" s="70" t="s">
        <v>981</v>
      </c>
      <c r="D485" s="62"/>
      <c r="E485" s="44" t="s">
        <v>734</v>
      </c>
      <c r="F485" s="71">
        <v>4</v>
      </c>
      <c r="G485" s="72">
        <v>143</v>
      </c>
      <c r="H485" s="73">
        <v>459</v>
      </c>
    </row>
    <row r="486" spans="1:8" x14ac:dyDescent="0.3">
      <c r="A486" s="86" t="s">
        <v>1354</v>
      </c>
      <c r="B486" s="69">
        <v>0.45250000000000001</v>
      </c>
      <c r="C486" s="70" t="s">
        <v>479</v>
      </c>
      <c r="D486" s="62"/>
      <c r="E486" s="44" t="s">
        <v>1258</v>
      </c>
      <c r="F486" s="71">
        <v>2</v>
      </c>
      <c r="G486" s="72">
        <v>68</v>
      </c>
      <c r="H486" s="73">
        <v>219</v>
      </c>
    </row>
    <row r="487" spans="1:8" x14ac:dyDescent="0.3">
      <c r="A487" s="86" t="s">
        <v>399</v>
      </c>
      <c r="B487" s="69">
        <v>0.40100000000000002</v>
      </c>
      <c r="C487" s="70" t="s">
        <v>389</v>
      </c>
      <c r="D487" s="62"/>
      <c r="E487" s="44" t="s">
        <v>383</v>
      </c>
      <c r="F487" s="71">
        <v>6</v>
      </c>
      <c r="G487" s="72">
        <v>187</v>
      </c>
      <c r="H487" s="73">
        <v>599</v>
      </c>
    </row>
    <row r="488" spans="1:8" x14ac:dyDescent="0.3">
      <c r="A488" s="86" t="s">
        <v>967</v>
      </c>
      <c r="B488" s="69">
        <v>0.45100000000000001</v>
      </c>
      <c r="C488" s="70" t="s">
        <v>983</v>
      </c>
      <c r="D488" s="62"/>
      <c r="E488" s="44" t="s">
        <v>910</v>
      </c>
      <c r="F488" s="71">
        <v>5</v>
      </c>
      <c r="G488" s="72">
        <v>172</v>
      </c>
      <c r="H488" s="73">
        <v>549</v>
      </c>
    </row>
    <row r="489" spans="1:8" x14ac:dyDescent="0.3">
      <c r="A489" s="86" t="s">
        <v>523</v>
      </c>
      <c r="B489" s="69">
        <v>0.50333333333333297</v>
      </c>
      <c r="C489" s="70" t="s">
        <v>126</v>
      </c>
      <c r="D489" s="62"/>
      <c r="E489" s="44" t="s">
        <v>513</v>
      </c>
      <c r="F489" s="71">
        <v>1</v>
      </c>
      <c r="G489" s="72">
        <v>46</v>
      </c>
      <c r="H489" s="73">
        <v>149</v>
      </c>
    </row>
    <row r="490" spans="1:8" ht="14.5" thickBot="1" x14ac:dyDescent="0.35">
      <c r="A490" s="86" t="s">
        <v>969</v>
      </c>
      <c r="B490" s="69">
        <v>0.50333333333333297</v>
      </c>
      <c r="C490" s="70" t="s">
        <v>129</v>
      </c>
      <c r="D490" s="62"/>
      <c r="E490" s="44" t="s">
        <v>912</v>
      </c>
      <c r="F490" s="71">
        <v>1</v>
      </c>
      <c r="G490" s="72">
        <v>46</v>
      </c>
      <c r="H490" s="73">
        <v>149</v>
      </c>
    </row>
    <row r="491" spans="1:8" ht="14.5" thickBot="1" x14ac:dyDescent="0.35">
      <c r="A491" s="38" t="s">
        <v>22</v>
      </c>
      <c r="B491" s="39"/>
      <c r="C491" s="39"/>
      <c r="D491" s="40"/>
      <c r="E491" s="43" t="s">
        <v>151</v>
      </c>
      <c r="F491" s="41"/>
      <c r="G491" s="42"/>
      <c r="H491" s="60"/>
    </row>
    <row r="492" spans="1:8" x14ac:dyDescent="0.3">
      <c r="A492" s="86" t="s">
        <v>291</v>
      </c>
      <c r="B492" s="69">
        <v>0.400683229813665</v>
      </c>
      <c r="C492" s="70" t="s">
        <v>61</v>
      </c>
      <c r="D492" s="62"/>
      <c r="E492" s="44" t="s">
        <v>142</v>
      </c>
      <c r="F492" s="71">
        <v>111</v>
      </c>
      <c r="G492" s="72">
        <v>6031</v>
      </c>
      <c r="H492" s="73">
        <v>9649</v>
      </c>
    </row>
    <row r="493" spans="1:8" x14ac:dyDescent="0.3">
      <c r="A493" s="86" t="s">
        <v>295</v>
      </c>
      <c r="B493" s="69">
        <v>0.398716216216216</v>
      </c>
      <c r="C493" s="70" t="s">
        <v>57</v>
      </c>
      <c r="D493" s="62"/>
      <c r="E493" s="44" t="s">
        <v>152</v>
      </c>
      <c r="F493" s="71">
        <v>102</v>
      </c>
      <c r="G493" s="72">
        <v>5562</v>
      </c>
      <c r="H493" s="73">
        <v>8899</v>
      </c>
    </row>
    <row r="494" spans="1:8" x14ac:dyDescent="0.3">
      <c r="A494" s="86" t="s">
        <v>296</v>
      </c>
      <c r="B494" s="69">
        <v>0.400683229813665</v>
      </c>
      <c r="C494" s="70" t="s">
        <v>1177</v>
      </c>
      <c r="D494" s="62"/>
      <c r="E494" s="44" t="s">
        <v>153</v>
      </c>
      <c r="F494" s="71">
        <v>111</v>
      </c>
      <c r="G494" s="72">
        <v>6031</v>
      </c>
      <c r="H494" s="73">
        <v>9649</v>
      </c>
    </row>
    <row r="495" spans="1:8" x14ac:dyDescent="0.3">
      <c r="A495" s="86" t="s">
        <v>297</v>
      </c>
      <c r="B495" s="69">
        <v>0.400683229813665</v>
      </c>
      <c r="C495" s="70" t="s">
        <v>1416</v>
      </c>
      <c r="D495" s="62"/>
      <c r="E495" s="44" t="s">
        <v>154</v>
      </c>
      <c r="F495" s="71">
        <v>111</v>
      </c>
      <c r="G495" s="72">
        <v>6031</v>
      </c>
      <c r="H495" s="73">
        <v>9649</v>
      </c>
    </row>
    <row r="496" spans="1:8" x14ac:dyDescent="0.3">
      <c r="A496" s="86" t="s">
        <v>298</v>
      </c>
      <c r="B496" s="69">
        <v>0.400683229813665</v>
      </c>
      <c r="C496" s="70" t="s">
        <v>459</v>
      </c>
      <c r="D496" s="62"/>
      <c r="E496" s="44" t="s">
        <v>156</v>
      </c>
      <c r="F496" s="71">
        <v>111</v>
      </c>
      <c r="G496" s="72">
        <v>6031</v>
      </c>
      <c r="H496" s="73">
        <v>9649</v>
      </c>
    </row>
    <row r="497" spans="1:8" ht="14.5" thickBot="1" x14ac:dyDescent="0.35">
      <c r="A497" s="86" t="s">
        <v>239</v>
      </c>
      <c r="B497" s="69">
        <v>0.398901734104046</v>
      </c>
      <c r="C497" s="70" t="s">
        <v>63</v>
      </c>
      <c r="D497" s="62"/>
      <c r="E497" s="44" t="s">
        <v>28</v>
      </c>
      <c r="F497" s="71">
        <v>119</v>
      </c>
      <c r="G497" s="72">
        <v>6500</v>
      </c>
      <c r="H497" s="73">
        <v>10399</v>
      </c>
    </row>
    <row r="498" spans="1:8" ht="14.5" thickBot="1" x14ac:dyDescent="0.35">
      <c r="A498" s="38" t="s">
        <v>22</v>
      </c>
      <c r="B498" s="39"/>
      <c r="C498" s="39"/>
      <c r="D498" s="40"/>
      <c r="E498" s="43" t="s">
        <v>160</v>
      </c>
      <c r="F498" s="41"/>
      <c r="G498" s="42"/>
      <c r="H498" s="60"/>
    </row>
    <row r="499" spans="1:8" x14ac:dyDescent="0.3">
      <c r="A499" s="86" t="s">
        <v>1360</v>
      </c>
      <c r="B499" s="69"/>
      <c r="C499" s="70" t="s">
        <v>85</v>
      </c>
      <c r="D499" s="62"/>
      <c r="E499" s="44" t="s">
        <v>1575</v>
      </c>
      <c r="F499" s="71">
        <v>0</v>
      </c>
      <c r="G499" s="71">
        <v>0</v>
      </c>
      <c r="H499" s="73">
        <v>35</v>
      </c>
    </row>
    <row r="500" spans="1:8" x14ac:dyDescent="0.3">
      <c r="A500" s="86" t="s">
        <v>1145</v>
      </c>
      <c r="B500" s="69"/>
      <c r="C500" s="70" t="s">
        <v>85</v>
      </c>
      <c r="D500" s="62"/>
      <c r="E500" s="44" t="s">
        <v>1576</v>
      </c>
      <c r="F500" s="71">
        <v>0</v>
      </c>
      <c r="G500" s="71">
        <v>0</v>
      </c>
      <c r="H500" s="73">
        <v>35</v>
      </c>
    </row>
    <row r="501" spans="1:8" x14ac:dyDescent="0.3">
      <c r="A501" s="86" t="s">
        <v>1356</v>
      </c>
      <c r="B501" s="69"/>
      <c r="C501" s="70" t="s">
        <v>85</v>
      </c>
      <c r="D501" s="62"/>
      <c r="E501" s="44" t="s">
        <v>1259</v>
      </c>
      <c r="F501" s="71">
        <v>0</v>
      </c>
      <c r="G501" s="71">
        <v>0</v>
      </c>
      <c r="H501" s="73">
        <v>35</v>
      </c>
    </row>
    <row r="502" spans="1:8" x14ac:dyDescent="0.3">
      <c r="A502" s="86" t="s">
        <v>1154</v>
      </c>
      <c r="B502" s="69"/>
      <c r="C502" s="70" t="s">
        <v>85</v>
      </c>
      <c r="D502" s="62"/>
      <c r="E502" s="44" t="s">
        <v>1577</v>
      </c>
      <c r="F502" s="71">
        <v>0</v>
      </c>
      <c r="G502" s="71">
        <v>0</v>
      </c>
      <c r="H502" s="73">
        <v>35</v>
      </c>
    </row>
    <row r="503" spans="1:8" x14ac:dyDescent="0.3">
      <c r="A503" s="86" t="s">
        <v>1357</v>
      </c>
      <c r="B503" s="69"/>
      <c r="C503" s="70" t="s">
        <v>85</v>
      </c>
      <c r="D503" s="62"/>
      <c r="E503" s="44" t="s">
        <v>1260</v>
      </c>
      <c r="F503" s="71">
        <v>0</v>
      </c>
      <c r="G503" s="71">
        <v>0</v>
      </c>
      <c r="H503" s="73">
        <v>35</v>
      </c>
    </row>
    <row r="504" spans="1:8" x14ac:dyDescent="0.3">
      <c r="A504" s="86" t="s">
        <v>318</v>
      </c>
      <c r="B504" s="69"/>
      <c r="C504" s="70" t="s">
        <v>85</v>
      </c>
      <c r="D504" s="62"/>
      <c r="E504" s="45" t="s">
        <v>1578</v>
      </c>
      <c r="F504" s="71">
        <v>0</v>
      </c>
      <c r="G504" s="71">
        <v>0</v>
      </c>
      <c r="H504" s="73">
        <v>35</v>
      </c>
    </row>
    <row r="505" spans="1:8" x14ac:dyDescent="0.3">
      <c r="A505" s="86" t="s">
        <v>1098</v>
      </c>
      <c r="B505" s="69"/>
      <c r="C505" s="70" t="s">
        <v>601</v>
      </c>
      <c r="D505" s="62"/>
      <c r="E505" s="44" t="s">
        <v>1579</v>
      </c>
      <c r="F505" s="71">
        <v>0</v>
      </c>
      <c r="G505" s="71">
        <v>0</v>
      </c>
      <c r="H505" s="73">
        <v>35</v>
      </c>
    </row>
    <row r="506" spans="1:8" x14ac:dyDescent="0.3">
      <c r="A506" s="86" t="s">
        <v>1099</v>
      </c>
      <c r="B506" s="69"/>
      <c r="C506" s="70" t="s">
        <v>601</v>
      </c>
      <c r="D506" s="62"/>
      <c r="E506" s="44" t="s">
        <v>1580</v>
      </c>
      <c r="F506" s="71">
        <v>0</v>
      </c>
      <c r="G506" s="71">
        <v>0</v>
      </c>
      <c r="H506" s="73">
        <v>35</v>
      </c>
    </row>
    <row r="507" spans="1:8" x14ac:dyDescent="0.3">
      <c r="A507" s="86" t="s">
        <v>321</v>
      </c>
      <c r="B507" s="69"/>
      <c r="C507" s="70" t="s">
        <v>85</v>
      </c>
      <c r="D507" s="62"/>
      <c r="E507" s="44" t="s">
        <v>1581</v>
      </c>
      <c r="F507" s="71">
        <v>0</v>
      </c>
      <c r="G507" s="71">
        <v>0</v>
      </c>
      <c r="H507" s="73">
        <v>35</v>
      </c>
    </row>
    <row r="508" spans="1:8" x14ac:dyDescent="0.3">
      <c r="A508" s="86" t="s">
        <v>1370</v>
      </c>
      <c r="B508" s="69"/>
      <c r="C508" s="70" t="s">
        <v>85</v>
      </c>
      <c r="D508" s="62"/>
      <c r="E508" s="44" t="s">
        <v>1582</v>
      </c>
      <c r="F508" s="71">
        <v>0</v>
      </c>
      <c r="G508" s="71">
        <v>0</v>
      </c>
      <c r="H508" s="73">
        <v>35</v>
      </c>
    </row>
    <row r="509" spans="1:8" x14ac:dyDescent="0.3">
      <c r="A509" s="86" t="s">
        <v>1148</v>
      </c>
      <c r="B509" s="69"/>
      <c r="C509" s="70" t="s">
        <v>515</v>
      </c>
      <c r="D509" s="62"/>
      <c r="E509" s="44" t="s">
        <v>1583</v>
      </c>
      <c r="F509" s="71">
        <v>0</v>
      </c>
      <c r="G509" s="71">
        <v>0</v>
      </c>
      <c r="H509" s="73">
        <v>50</v>
      </c>
    </row>
    <row r="510" spans="1:8" x14ac:dyDescent="0.3">
      <c r="A510" s="86" t="s">
        <v>327</v>
      </c>
      <c r="B510" s="69"/>
      <c r="C510" s="70" t="s">
        <v>515</v>
      </c>
      <c r="D510" s="62"/>
      <c r="E510" s="44" t="s">
        <v>1584</v>
      </c>
      <c r="F510" s="71">
        <v>0</v>
      </c>
      <c r="G510" s="71">
        <v>0</v>
      </c>
      <c r="H510" s="73">
        <v>50</v>
      </c>
    </row>
    <row r="511" spans="1:8" x14ac:dyDescent="0.3">
      <c r="A511" s="86" t="s">
        <v>1149</v>
      </c>
      <c r="B511" s="69"/>
      <c r="C511" s="70" t="s">
        <v>515</v>
      </c>
      <c r="D511" s="62"/>
      <c r="E511" s="44" t="s">
        <v>1585</v>
      </c>
      <c r="F511" s="71">
        <v>0</v>
      </c>
      <c r="G511" s="71">
        <v>0</v>
      </c>
      <c r="H511" s="73">
        <v>50</v>
      </c>
    </row>
    <row r="512" spans="1:8" x14ac:dyDescent="0.3">
      <c r="A512" s="86" t="s">
        <v>1166</v>
      </c>
      <c r="B512" s="69"/>
      <c r="C512" s="70" t="s">
        <v>85</v>
      </c>
      <c r="D512" s="62"/>
      <c r="E512" s="44" t="s">
        <v>1586</v>
      </c>
      <c r="F512" s="71">
        <v>0</v>
      </c>
      <c r="G512" s="71">
        <v>0</v>
      </c>
      <c r="H512" s="73">
        <v>35</v>
      </c>
    </row>
    <row r="513" spans="1:8" ht="14.5" thickBot="1" x14ac:dyDescent="0.35">
      <c r="A513" s="86" t="s">
        <v>328</v>
      </c>
      <c r="B513" s="69"/>
      <c r="C513" s="70" t="s">
        <v>85</v>
      </c>
      <c r="D513" s="62"/>
      <c r="E513" s="45" t="s">
        <v>1587</v>
      </c>
      <c r="F513" s="71">
        <v>0</v>
      </c>
      <c r="G513" s="71">
        <v>0</v>
      </c>
      <c r="H513" s="73">
        <v>35</v>
      </c>
    </row>
    <row r="514" spans="1:8" ht="14.5" thickBot="1" x14ac:dyDescent="0.35">
      <c r="A514" s="38" t="s">
        <v>22</v>
      </c>
      <c r="B514" s="39"/>
      <c r="C514" s="39"/>
      <c r="D514" s="40"/>
      <c r="E514" s="43" t="s">
        <v>157</v>
      </c>
      <c r="F514" s="41"/>
      <c r="G514" s="42"/>
      <c r="H514" s="60"/>
    </row>
    <row r="515" spans="1:8" x14ac:dyDescent="0.3">
      <c r="A515" s="86" t="s">
        <v>527</v>
      </c>
      <c r="B515" s="69">
        <v>0.44466666666666699</v>
      </c>
      <c r="C515" s="70" t="s">
        <v>649</v>
      </c>
      <c r="D515" s="62"/>
      <c r="E515" s="44" t="s">
        <v>521</v>
      </c>
      <c r="F515" s="71">
        <v>24</v>
      </c>
      <c r="G515" s="72">
        <v>781</v>
      </c>
      <c r="H515" s="73">
        <v>2499</v>
      </c>
    </row>
    <row r="516" spans="1:8" x14ac:dyDescent="0.3">
      <c r="A516" s="86" t="s">
        <v>299</v>
      </c>
      <c r="B516" s="69">
        <v>0.44763157894736799</v>
      </c>
      <c r="C516" s="70" t="s">
        <v>477</v>
      </c>
      <c r="D516" s="62"/>
      <c r="E516" s="44" t="s">
        <v>158</v>
      </c>
      <c r="F516" s="71">
        <v>20</v>
      </c>
      <c r="G516" s="72">
        <v>656</v>
      </c>
      <c r="H516" s="73">
        <v>2099</v>
      </c>
    </row>
    <row r="517" spans="1:8" x14ac:dyDescent="0.3">
      <c r="A517" s="86" t="s">
        <v>942</v>
      </c>
      <c r="B517" s="69">
        <v>0.50645161290322604</v>
      </c>
      <c r="C517" s="70" t="s">
        <v>477</v>
      </c>
      <c r="D517" s="62"/>
      <c r="E517" s="44" t="s">
        <v>892</v>
      </c>
      <c r="F517" s="71">
        <v>4</v>
      </c>
      <c r="G517" s="72">
        <v>143</v>
      </c>
      <c r="H517" s="73">
        <v>459</v>
      </c>
    </row>
    <row r="518" spans="1:8" x14ac:dyDescent="0.3">
      <c r="A518" s="86" t="s">
        <v>943</v>
      </c>
      <c r="B518" s="69">
        <v>0.49540229885057502</v>
      </c>
      <c r="C518" s="70" t="s">
        <v>477</v>
      </c>
      <c r="D518" s="62"/>
      <c r="E518" s="44" t="s">
        <v>893</v>
      </c>
      <c r="F518" s="71">
        <v>4</v>
      </c>
      <c r="G518" s="72">
        <v>137</v>
      </c>
      <c r="H518" s="73">
        <v>439</v>
      </c>
    </row>
    <row r="519" spans="1:8" x14ac:dyDescent="0.3">
      <c r="A519" s="86" t="s">
        <v>261</v>
      </c>
      <c r="B519" s="69">
        <v>0.48548387096774198</v>
      </c>
      <c r="C519" s="70" t="s">
        <v>458</v>
      </c>
      <c r="D519" s="62"/>
      <c r="E519" s="44" t="s">
        <v>94</v>
      </c>
      <c r="F519" s="71">
        <v>3</v>
      </c>
      <c r="G519" s="72">
        <v>100</v>
      </c>
      <c r="H519" s="73">
        <v>319</v>
      </c>
    </row>
    <row r="520" spans="1:8" x14ac:dyDescent="0.3">
      <c r="A520" s="86" t="s">
        <v>400</v>
      </c>
      <c r="B520" s="69">
        <v>0.40656249999999999</v>
      </c>
      <c r="C520" s="70" t="s">
        <v>1179</v>
      </c>
      <c r="D520" s="62"/>
      <c r="E520" s="44" t="s">
        <v>384</v>
      </c>
      <c r="F520" s="71">
        <v>18</v>
      </c>
      <c r="G520" s="72">
        <v>593</v>
      </c>
      <c r="H520" s="73">
        <v>1899</v>
      </c>
    </row>
    <row r="521" spans="1:8" x14ac:dyDescent="0.3">
      <c r="A521" s="86" t="s">
        <v>1389</v>
      </c>
      <c r="B521" s="69">
        <v>0.50166666666666704</v>
      </c>
      <c r="C521" s="70" t="s">
        <v>1403</v>
      </c>
      <c r="D521" s="62"/>
      <c r="E521" s="44" t="s">
        <v>886</v>
      </c>
      <c r="F521" s="71">
        <v>3</v>
      </c>
      <c r="G521" s="72">
        <v>93</v>
      </c>
      <c r="H521" s="73">
        <v>299</v>
      </c>
    </row>
    <row r="522" spans="1:8" x14ac:dyDescent="0.3">
      <c r="A522" s="86" t="s">
        <v>624</v>
      </c>
      <c r="B522" s="69"/>
      <c r="C522" s="70" t="s">
        <v>386</v>
      </c>
      <c r="D522" s="62"/>
      <c r="E522" s="44" t="s">
        <v>475</v>
      </c>
      <c r="F522" s="71">
        <v>25</v>
      </c>
      <c r="G522" s="72">
        <v>812</v>
      </c>
      <c r="H522" s="73">
        <v>2600</v>
      </c>
    </row>
    <row r="523" spans="1:8" x14ac:dyDescent="0.3">
      <c r="A523" s="86" t="s">
        <v>1390</v>
      </c>
      <c r="B523" s="69"/>
      <c r="C523" s="70" t="s">
        <v>386</v>
      </c>
      <c r="D523" s="62"/>
      <c r="E523" s="44" t="s">
        <v>475</v>
      </c>
      <c r="F523" s="71">
        <v>22</v>
      </c>
      <c r="G523" s="72">
        <v>719</v>
      </c>
      <c r="H523" s="73">
        <v>2299</v>
      </c>
    </row>
    <row r="524" spans="1:8" x14ac:dyDescent="0.3">
      <c r="A524" s="86" t="s">
        <v>742</v>
      </c>
      <c r="B524" s="69">
        <v>0.18761726078799301</v>
      </c>
      <c r="C524" s="70" t="s">
        <v>648</v>
      </c>
      <c r="D524" s="62"/>
      <c r="E524" s="44" t="s">
        <v>640</v>
      </c>
      <c r="F524" s="71">
        <v>12</v>
      </c>
      <c r="G524" s="72">
        <v>406</v>
      </c>
      <c r="H524" s="73">
        <v>1299</v>
      </c>
    </row>
    <row r="525" spans="1:8" x14ac:dyDescent="0.3">
      <c r="A525" s="86" t="s">
        <v>1299</v>
      </c>
      <c r="B525" s="69"/>
      <c r="C525" s="70" t="s">
        <v>485</v>
      </c>
      <c r="D525" s="62"/>
      <c r="E525" s="44" t="s">
        <v>1185</v>
      </c>
      <c r="F525" s="71">
        <v>9</v>
      </c>
      <c r="G525" s="72">
        <v>281</v>
      </c>
      <c r="H525" s="73">
        <v>899</v>
      </c>
    </row>
    <row r="526" spans="1:8" x14ac:dyDescent="0.3">
      <c r="A526" s="86" t="s">
        <v>1300</v>
      </c>
      <c r="B526" s="69">
        <v>0.300333704115684</v>
      </c>
      <c r="C526" s="70" t="s">
        <v>1197</v>
      </c>
      <c r="D526" s="62"/>
      <c r="E526" s="44" t="s">
        <v>1186</v>
      </c>
      <c r="F526" s="71">
        <v>6</v>
      </c>
      <c r="G526" s="72">
        <v>196</v>
      </c>
      <c r="H526" s="73">
        <v>629</v>
      </c>
    </row>
    <row r="527" spans="1:8" x14ac:dyDescent="0.3">
      <c r="A527" s="86" t="s">
        <v>1150</v>
      </c>
      <c r="B527" s="69"/>
      <c r="C527" s="70" t="s">
        <v>646</v>
      </c>
      <c r="D527" s="62"/>
      <c r="E527" s="44" t="s">
        <v>1036</v>
      </c>
      <c r="F527" s="71">
        <v>1</v>
      </c>
      <c r="G527" s="72">
        <v>22</v>
      </c>
      <c r="H527" s="73">
        <v>69</v>
      </c>
    </row>
    <row r="528" spans="1:8" x14ac:dyDescent="0.3">
      <c r="A528" s="86" t="s">
        <v>1151</v>
      </c>
      <c r="B528" s="69"/>
      <c r="C528" s="70" t="s">
        <v>646</v>
      </c>
      <c r="D528" s="62"/>
      <c r="E528" s="44" t="s">
        <v>1037</v>
      </c>
      <c r="F528" s="71">
        <v>1</v>
      </c>
      <c r="G528" s="72">
        <v>22</v>
      </c>
      <c r="H528" s="73">
        <v>69</v>
      </c>
    </row>
    <row r="529" spans="1:8" ht="14.5" thickBot="1" x14ac:dyDescent="0.35">
      <c r="A529" s="91" t="s">
        <v>1152</v>
      </c>
      <c r="B529" s="80"/>
      <c r="C529" s="81" t="s">
        <v>646</v>
      </c>
      <c r="D529" s="62"/>
      <c r="E529" s="82" t="s">
        <v>1038</v>
      </c>
      <c r="F529" s="83">
        <v>1</v>
      </c>
      <c r="G529" s="84">
        <v>44</v>
      </c>
      <c r="H529" s="85">
        <v>139</v>
      </c>
    </row>
    <row r="530" spans="1:8" ht="14.5" thickBot="1" x14ac:dyDescent="0.35">
      <c r="A530" s="38" t="s">
        <v>160</v>
      </c>
      <c r="B530" s="39" t="s">
        <v>161</v>
      </c>
      <c r="C530" s="39"/>
      <c r="D530" s="40"/>
      <c r="E530" s="43"/>
      <c r="F530" s="41"/>
      <c r="G530" s="42"/>
      <c r="H530" s="60"/>
    </row>
    <row r="531" spans="1:8" x14ac:dyDescent="0.3">
      <c r="A531" s="74" t="s">
        <v>21</v>
      </c>
      <c r="B531" s="74">
        <v>42751</v>
      </c>
      <c r="E531" s="45" t="s">
        <v>374</v>
      </c>
      <c r="F531" s="71">
        <v>0</v>
      </c>
      <c r="G531" s="71">
        <v>0</v>
      </c>
      <c r="H531" s="13">
        <v>35</v>
      </c>
    </row>
    <row r="532" spans="1:8" x14ac:dyDescent="0.3">
      <c r="A532" s="74" t="s">
        <v>1355</v>
      </c>
      <c r="B532" s="74" t="s">
        <v>958</v>
      </c>
      <c r="C532" s="61"/>
      <c r="D532" s="62"/>
      <c r="E532" s="44" t="s">
        <v>1594</v>
      </c>
      <c r="F532" s="71">
        <v>0</v>
      </c>
      <c r="G532" s="71">
        <v>0</v>
      </c>
      <c r="H532" s="13">
        <v>35</v>
      </c>
    </row>
    <row r="533" spans="1:8" x14ac:dyDescent="0.3">
      <c r="A533" s="74" t="s">
        <v>1359</v>
      </c>
      <c r="B533" s="74">
        <v>42495</v>
      </c>
      <c r="C533" s="61"/>
      <c r="D533" s="62"/>
      <c r="E533" s="44" t="s">
        <v>1263</v>
      </c>
      <c r="F533" s="71">
        <v>0</v>
      </c>
      <c r="G533" s="71">
        <v>0</v>
      </c>
      <c r="H533" s="13">
        <v>35</v>
      </c>
    </row>
    <row r="534" spans="1:8" x14ac:dyDescent="0.3">
      <c r="A534" s="74" t="s">
        <v>1153</v>
      </c>
      <c r="B534" s="74">
        <v>42507</v>
      </c>
      <c r="C534" s="61"/>
      <c r="D534" s="62"/>
      <c r="E534" s="44" t="s">
        <v>1045</v>
      </c>
      <c r="F534" s="71">
        <v>0</v>
      </c>
      <c r="G534" s="71">
        <v>0</v>
      </c>
      <c r="H534" s="13">
        <v>35</v>
      </c>
    </row>
    <row r="535" spans="1:8" x14ac:dyDescent="0.3">
      <c r="A535" s="74" t="s">
        <v>301</v>
      </c>
      <c r="B535" s="74">
        <v>30399</v>
      </c>
      <c r="C535" s="61"/>
      <c r="D535" s="62"/>
      <c r="E535" s="45" t="s">
        <v>77</v>
      </c>
      <c r="F535" s="71">
        <v>0</v>
      </c>
      <c r="G535" s="71">
        <v>0</v>
      </c>
      <c r="H535" s="13">
        <v>35</v>
      </c>
    </row>
    <row r="536" spans="1:8" x14ac:dyDescent="0.3">
      <c r="A536" s="74" t="s">
        <v>302</v>
      </c>
      <c r="B536" s="74">
        <v>42519</v>
      </c>
      <c r="C536" s="61"/>
      <c r="D536" s="62"/>
      <c r="E536" s="45" t="s">
        <v>162</v>
      </c>
      <c r="F536" s="71">
        <v>0</v>
      </c>
      <c r="G536" s="71">
        <v>0</v>
      </c>
      <c r="H536" s="13">
        <v>35</v>
      </c>
    </row>
    <row r="537" spans="1:8" x14ac:dyDescent="0.3">
      <c r="A537" s="74" t="s">
        <v>1361</v>
      </c>
      <c r="B537" s="74" t="s">
        <v>1261</v>
      </c>
      <c r="C537" s="61"/>
      <c r="D537" s="62"/>
      <c r="E537" s="44" t="s">
        <v>1264</v>
      </c>
      <c r="F537" s="71">
        <v>0</v>
      </c>
      <c r="G537" s="71">
        <v>0</v>
      </c>
      <c r="H537" s="13">
        <v>35</v>
      </c>
    </row>
    <row r="538" spans="1:8" x14ac:dyDescent="0.3">
      <c r="A538" s="74" t="s">
        <v>303</v>
      </c>
      <c r="B538" s="74">
        <v>42502</v>
      </c>
      <c r="C538" s="61"/>
      <c r="D538" s="62"/>
      <c r="E538" s="45" t="s">
        <v>15</v>
      </c>
      <c r="F538" s="71">
        <v>0</v>
      </c>
      <c r="G538" s="71">
        <v>0</v>
      </c>
      <c r="H538" s="13">
        <v>35</v>
      </c>
    </row>
    <row r="539" spans="1:8" x14ac:dyDescent="0.3">
      <c r="A539" s="74" t="s">
        <v>304</v>
      </c>
      <c r="B539" s="74">
        <v>33650</v>
      </c>
      <c r="C539" s="61"/>
      <c r="D539" s="62"/>
      <c r="E539" s="45" t="s">
        <v>163</v>
      </c>
      <c r="F539" s="71">
        <v>0</v>
      </c>
      <c r="G539" s="71">
        <v>0</v>
      </c>
      <c r="H539" s="13">
        <v>35</v>
      </c>
    </row>
    <row r="540" spans="1:8" x14ac:dyDescent="0.3">
      <c r="A540" s="74" t="s">
        <v>1146</v>
      </c>
      <c r="B540" s="74">
        <v>42520</v>
      </c>
      <c r="C540" s="61"/>
      <c r="D540" s="62"/>
      <c r="E540" s="44" t="s">
        <v>1046</v>
      </c>
      <c r="F540" s="71">
        <v>0</v>
      </c>
      <c r="G540" s="71">
        <v>0</v>
      </c>
      <c r="H540" s="13">
        <v>35</v>
      </c>
    </row>
    <row r="541" spans="1:8" x14ac:dyDescent="0.3">
      <c r="A541" s="74" t="s">
        <v>1147</v>
      </c>
      <c r="B541" s="74">
        <v>42741</v>
      </c>
      <c r="C541" s="61"/>
      <c r="D541" s="62"/>
      <c r="E541" s="44" t="s">
        <v>72</v>
      </c>
      <c r="F541" s="71">
        <v>0</v>
      </c>
      <c r="G541" s="71">
        <v>0</v>
      </c>
      <c r="H541" s="13">
        <v>35</v>
      </c>
    </row>
    <row r="542" spans="1:8" x14ac:dyDescent="0.3">
      <c r="A542" s="74" t="s">
        <v>305</v>
      </c>
      <c r="B542" s="74">
        <v>36653</v>
      </c>
      <c r="C542" s="61"/>
      <c r="D542" s="62"/>
      <c r="E542" s="45" t="s">
        <v>164</v>
      </c>
      <c r="F542" s="71">
        <v>0</v>
      </c>
      <c r="G542" s="71">
        <v>0</v>
      </c>
      <c r="H542" s="13">
        <v>35</v>
      </c>
    </row>
    <row r="543" spans="1:8" x14ac:dyDescent="0.3">
      <c r="A543" s="74" t="s">
        <v>1362</v>
      </c>
      <c r="B543" s="74" t="s">
        <v>1120</v>
      </c>
      <c r="C543" s="61"/>
      <c r="D543" s="62"/>
      <c r="E543" s="44" t="s">
        <v>1265</v>
      </c>
      <c r="F543" s="71">
        <v>0</v>
      </c>
      <c r="G543" s="71">
        <v>0</v>
      </c>
      <c r="H543" s="13">
        <v>35</v>
      </c>
    </row>
    <row r="544" spans="1:8" x14ac:dyDescent="0.3">
      <c r="A544" s="74" t="s">
        <v>306</v>
      </c>
      <c r="B544" s="74">
        <v>35665</v>
      </c>
      <c r="C544" s="61"/>
      <c r="D544" s="62"/>
      <c r="E544" s="45" t="s">
        <v>16</v>
      </c>
      <c r="F544" s="71">
        <v>0</v>
      </c>
      <c r="G544" s="71">
        <v>0</v>
      </c>
      <c r="H544" s="13">
        <v>35</v>
      </c>
    </row>
    <row r="545" spans="1:8" x14ac:dyDescent="0.3">
      <c r="A545" s="74" t="s">
        <v>1363</v>
      </c>
      <c r="B545" s="74" t="s">
        <v>922</v>
      </c>
      <c r="C545" s="61"/>
      <c r="D545" s="62"/>
      <c r="E545" s="44" t="s">
        <v>80</v>
      </c>
      <c r="F545" s="71">
        <v>0</v>
      </c>
      <c r="G545" s="71">
        <v>0</v>
      </c>
      <c r="H545" s="13">
        <v>35</v>
      </c>
    </row>
    <row r="546" spans="1:8" x14ac:dyDescent="0.3">
      <c r="A546" s="74" t="s">
        <v>1816</v>
      </c>
      <c r="B546" s="74" t="s">
        <v>1322</v>
      </c>
      <c r="C546" s="61"/>
      <c r="D546" s="62"/>
      <c r="E546" s="44" t="s">
        <v>1227</v>
      </c>
      <c r="F546" s="71">
        <v>0</v>
      </c>
      <c r="G546" s="71">
        <v>0</v>
      </c>
      <c r="H546" s="13">
        <v>35</v>
      </c>
    </row>
    <row r="547" spans="1:8" x14ac:dyDescent="0.3">
      <c r="A547" s="12" t="s">
        <v>307</v>
      </c>
      <c r="B547" s="12">
        <v>38550</v>
      </c>
      <c r="C547" s="61"/>
      <c r="D547" s="62"/>
      <c r="E547" s="45" t="s">
        <v>165</v>
      </c>
      <c r="F547" s="71">
        <v>0</v>
      </c>
      <c r="G547" s="71">
        <v>0</v>
      </c>
      <c r="H547" s="13">
        <v>35</v>
      </c>
    </row>
    <row r="548" spans="1:8" x14ac:dyDescent="0.3">
      <c r="A548" s="12" t="s">
        <v>308</v>
      </c>
      <c r="B548" s="12">
        <v>43122</v>
      </c>
      <c r="C548" s="61"/>
      <c r="D548" s="62"/>
      <c r="E548" s="45" t="s">
        <v>166</v>
      </c>
      <c r="F548" s="71">
        <v>0</v>
      </c>
      <c r="G548" s="71">
        <v>0</v>
      </c>
      <c r="H548" s="13">
        <v>35</v>
      </c>
    </row>
    <row r="549" spans="1:8" x14ac:dyDescent="0.3">
      <c r="A549" s="12" t="s">
        <v>1155</v>
      </c>
      <c r="B549" s="12" t="s">
        <v>1039</v>
      </c>
      <c r="C549" s="61"/>
      <c r="D549" s="62"/>
      <c r="E549" s="44" t="s">
        <v>1047</v>
      </c>
      <c r="F549" s="71">
        <v>0</v>
      </c>
      <c r="G549" s="71">
        <v>0</v>
      </c>
      <c r="H549" s="13">
        <v>35</v>
      </c>
    </row>
    <row r="550" spans="1:8" x14ac:dyDescent="0.3">
      <c r="A550" s="12" t="s">
        <v>1364</v>
      </c>
      <c r="B550" s="12" t="s">
        <v>830</v>
      </c>
      <c r="C550" s="61"/>
      <c r="D550" s="62"/>
      <c r="E550" s="44" t="s">
        <v>67</v>
      </c>
      <c r="F550" s="71">
        <v>0</v>
      </c>
      <c r="G550" s="71">
        <v>0</v>
      </c>
      <c r="H550" s="13">
        <v>35</v>
      </c>
    </row>
    <row r="551" spans="1:8" x14ac:dyDescent="0.3">
      <c r="A551" s="12" t="s">
        <v>309</v>
      </c>
      <c r="B551" s="12" t="s">
        <v>167</v>
      </c>
      <c r="C551" s="61"/>
      <c r="D551" s="62"/>
      <c r="E551" s="45" t="s">
        <v>149</v>
      </c>
      <c r="F551" s="71">
        <v>0</v>
      </c>
      <c r="G551" s="71">
        <v>0</v>
      </c>
      <c r="H551" s="13">
        <v>35</v>
      </c>
    </row>
    <row r="552" spans="1:8" x14ac:dyDescent="0.3">
      <c r="A552" s="12" t="s">
        <v>310</v>
      </c>
      <c r="B552" s="12">
        <v>42785</v>
      </c>
      <c r="C552" s="61"/>
      <c r="D552" s="62"/>
      <c r="E552" s="45" t="s">
        <v>17</v>
      </c>
      <c r="F552" s="71">
        <v>0</v>
      </c>
      <c r="G552" s="71">
        <v>0</v>
      </c>
      <c r="H552" s="13">
        <v>35</v>
      </c>
    </row>
    <row r="553" spans="1:8" x14ac:dyDescent="0.3">
      <c r="A553" s="12" t="s">
        <v>1156</v>
      </c>
      <c r="B553" s="12" t="s">
        <v>1040</v>
      </c>
      <c r="C553" s="61"/>
      <c r="D553" s="62"/>
      <c r="E553" s="90" t="s">
        <v>1048</v>
      </c>
      <c r="F553" s="71">
        <v>0</v>
      </c>
      <c r="G553" s="71">
        <v>0</v>
      </c>
      <c r="H553" s="13">
        <v>35</v>
      </c>
    </row>
    <row r="554" spans="1:8" x14ac:dyDescent="0.3">
      <c r="A554" s="12" t="s">
        <v>1365</v>
      </c>
      <c r="B554" s="12" t="s">
        <v>474</v>
      </c>
      <c r="C554" s="61"/>
      <c r="D554" s="62"/>
      <c r="E554" s="44" t="s">
        <v>1266</v>
      </c>
      <c r="F554" s="71">
        <v>0</v>
      </c>
      <c r="G554" s="71">
        <v>0</v>
      </c>
      <c r="H554" s="13">
        <v>35</v>
      </c>
    </row>
    <row r="555" spans="1:8" x14ac:dyDescent="0.3">
      <c r="A555" s="12" t="s">
        <v>1366</v>
      </c>
      <c r="B555" s="12" t="s">
        <v>957</v>
      </c>
      <c r="C555" s="61"/>
      <c r="D555" s="62"/>
      <c r="E555" s="44" t="s">
        <v>168</v>
      </c>
      <c r="F555" s="71">
        <v>0</v>
      </c>
      <c r="G555" s="71">
        <v>0</v>
      </c>
      <c r="H555" s="13">
        <v>35</v>
      </c>
    </row>
    <row r="556" spans="1:8" x14ac:dyDescent="0.3">
      <c r="A556" s="89" t="s">
        <v>317</v>
      </c>
      <c r="B556" s="12">
        <v>38538</v>
      </c>
      <c r="C556" s="61"/>
      <c r="D556" s="62"/>
      <c r="E556" s="45" t="s">
        <v>169</v>
      </c>
      <c r="F556" s="71">
        <v>0</v>
      </c>
      <c r="G556" s="71">
        <v>0</v>
      </c>
      <c r="H556" s="13">
        <v>35</v>
      </c>
    </row>
    <row r="557" spans="1:8" x14ac:dyDescent="0.3">
      <c r="A557" s="89" t="s">
        <v>1358</v>
      </c>
      <c r="B557" s="12" t="s">
        <v>1588</v>
      </c>
      <c r="C557" s="61"/>
      <c r="D557" s="62"/>
      <c r="E557" s="44" t="s">
        <v>1493</v>
      </c>
      <c r="F557" s="71">
        <v>0</v>
      </c>
      <c r="G557" s="71">
        <v>0</v>
      </c>
      <c r="H557" s="13">
        <v>35</v>
      </c>
    </row>
    <row r="558" spans="1:8" x14ac:dyDescent="0.3">
      <c r="A558" s="12" t="s">
        <v>1157</v>
      </c>
      <c r="B558" s="12" t="s">
        <v>920</v>
      </c>
      <c r="C558" s="61"/>
      <c r="D558" s="62"/>
      <c r="E558" s="44" t="s">
        <v>1049</v>
      </c>
      <c r="F558" s="71">
        <v>0</v>
      </c>
      <c r="G558" s="71">
        <v>0</v>
      </c>
      <c r="H558" s="13">
        <v>35</v>
      </c>
    </row>
    <row r="559" spans="1:8" x14ac:dyDescent="0.3">
      <c r="A559" s="12" t="s">
        <v>1158</v>
      </c>
      <c r="B559" s="12" t="s">
        <v>1041</v>
      </c>
      <c r="C559" s="61"/>
      <c r="D559" s="62"/>
      <c r="E559" s="44" t="s">
        <v>1050</v>
      </c>
      <c r="F559" s="71">
        <v>0</v>
      </c>
      <c r="G559" s="71">
        <v>0</v>
      </c>
      <c r="H559" s="13">
        <v>35</v>
      </c>
    </row>
    <row r="560" spans="1:8" x14ac:dyDescent="0.3">
      <c r="A560" s="12" t="s">
        <v>1159</v>
      </c>
      <c r="B560" s="12" t="s">
        <v>923</v>
      </c>
      <c r="C560" s="61"/>
      <c r="D560" s="62"/>
      <c r="E560" s="44" t="s">
        <v>1051</v>
      </c>
      <c r="F560" s="71">
        <v>0</v>
      </c>
      <c r="G560" s="71">
        <v>0</v>
      </c>
      <c r="H560" s="13">
        <v>35</v>
      </c>
    </row>
    <row r="561" spans="1:8" x14ac:dyDescent="0.3">
      <c r="A561" s="12" t="s">
        <v>1160</v>
      </c>
      <c r="B561" s="12" t="s">
        <v>810</v>
      </c>
      <c r="C561" s="61"/>
      <c r="D561" s="62"/>
      <c r="E561" s="44" t="s">
        <v>170</v>
      </c>
      <c r="F561" s="71">
        <v>0</v>
      </c>
      <c r="G561" s="71">
        <v>0</v>
      </c>
      <c r="H561" s="13">
        <v>35</v>
      </c>
    </row>
    <row r="562" spans="1:8" x14ac:dyDescent="0.3">
      <c r="A562" s="12" t="s">
        <v>1161</v>
      </c>
      <c r="B562" s="12" t="s">
        <v>815</v>
      </c>
      <c r="C562" s="61"/>
      <c r="D562" s="62"/>
      <c r="E562" s="44" t="s">
        <v>1052</v>
      </c>
      <c r="F562" s="71">
        <v>0</v>
      </c>
      <c r="G562" s="71">
        <v>0</v>
      </c>
      <c r="H562" s="13">
        <v>35</v>
      </c>
    </row>
    <row r="563" spans="1:8" x14ac:dyDescent="0.3">
      <c r="A563" s="76" t="s">
        <v>944</v>
      </c>
      <c r="B563" s="76" t="s">
        <v>894</v>
      </c>
      <c r="C563" s="61"/>
      <c r="D563" s="62"/>
      <c r="E563" s="77" t="s">
        <v>899</v>
      </c>
      <c r="F563" s="71">
        <v>0</v>
      </c>
      <c r="G563" s="71">
        <v>0</v>
      </c>
      <c r="H563" s="13">
        <v>35</v>
      </c>
    </row>
    <row r="564" spans="1:8" x14ac:dyDescent="0.3">
      <c r="A564" s="76" t="s">
        <v>945</v>
      </c>
      <c r="B564" s="76" t="s">
        <v>171</v>
      </c>
      <c r="C564" s="61"/>
      <c r="D564" s="62"/>
      <c r="E564" s="77" t="s">
        <v>1053</v>
      </c>
      <c r="F564" s="71">
        <v>0</v>
      </c>
      <c r="G564" s="71">
        <v>0</v>
      </c>
      <c r="H564" s="13">
        <v>35</v>
      </c>
    </row>
    <row r="565" spans="1:8" x14ac:dyDescent="0.3">
      <c r="A565" s="76" t="s">
        <v>946</v>
      </c>
      <c r="B565" s="76" t="s">
        <v>895</v>
      </c>
      <c r="C565" s="61"/>
      <c r="D565" s="62"/>
      <c r="E565" s="77" t="s">
        <v>1054</v>
      </c>
      <c r="F565" s="71">
        <v>0</v>
      </c>
      <c r="G565" s="71">
        <v>0</v>
      </c>
      <c r="H565" s="13">
        <v>35</v>
      </c>
    </row>
    <row r="566" spans="1:8" x14ac:dyDescent="0.3">
      <c r="A566" s="76" t="s">
        <v>947</v>
      </c>
      <c r="B566" s="76" t="s">
        <v>172</v>
      </c>
      <c r="C566" s="61"/>
      <c r="D566" s="62"/>
      <c r="E566" s="77" t="s">
        <v>1055</v>
      </c>
      <c r="F566" s="71">
        <v>0</v>
      </c>
      <c r="G566" s="71">
        <v>0</v>
      </c>
      <c r="H566" s="13">
        <v>35</v>
      </c>
    </row>
    <row r="567" spans="1:8" x14ac:dyDescent="0.3">
      <c r="A567" s="76" t="s">
        <v>948</v>
      </c>
      <c r="B567" s="76" t="s">
        <v>173</v>
      </c>
      <c r="C567" s="61"/>
      <c r="D567" s="62"/>
      <c r="E567" s="77" t="s">
        <v>1056</v>
      </c>
      <c r="F567" s="71">
        <v>0</v>
      </c>
      <c r="G567" s="71">
        <v>0</v>
      </c>
      <c r="H567" s="13">
        <v>35</v>
      </c>
    </row>
    <row r="568" spans="1:8" x14ac:dyDescent="0.3">
      <c r="A568" s="76" t="s">
        <v>949</v>
      </c>
      <c r="B568" s="76" t="s">
        <v>174</v>
      </c>
      <c r="C568" s="61"/>
      <c r="D568" s="62"/>
      <c r="E568" s="77" t="s">
        <v>1057</v>
      </c>
      <c r="F568" s="71">
        <v>0</v>
      </c>
      <c r="G568" s="71">
        <v>0</v>
      </c>
      <c r="H568" s="13">
        <v>35</v>
      </c>
    </row>
    <row r="569" spans="1:8" x14ac:dyDescent="0.3">
      <c r="A569" s="76" t="s">
        <v>950</v>
      </c>
      <c r="B569" s="76" t="s">
        <v>175</v>
      </c>
      <c r="C569" s="61"/>
      <c r="D569" s="62"/>
      <c r="E569" s="77" t="s">
        <v>1058</v>
      </c>
      <c r="F569" s="71">
        <v>0</v>
      </c>
      <c r="G569" s="71">
        <v>0</v>
      </c>
      <c r="H569" s="13">
        <v>35</v>
      </c>
    </row>
    <row r="570" spans="1:8" x14ac:dyDescent="0.3">
      <c r="A570" s="76" t="s">
        <v>951</v>
      </c>
      <c r="B570" s="76" t="s">
        <v>176</v>
      </c>
      <c r="C570" s="61"/>
      <c r="D570" s="62"/>
      <c r="E570" s="77" t="s">
        <v>1059</v>
      </c>
      <c r="F570" s="71">
        <v>0</v>
      </c>
      <c r="G570" s="71">
        <v>0</v>
      </c>
      <c r="H570" s="13">
        <v>35</v>
      </c>
    </row>
    <row r="571" spans="1:8" x14ac:dyDescent="0.3">
      <c r="A571" s="76" t="s">
        <v>952</v>
      </c>
      <c r="B571" s="76" t="s">
        <v>896</v>
      </c>
      <c r="C571" s="61"/>
      <c r="D571" s="62"/>
      <c r="E571" s="77" t="s">
        <v>1060</v>
      </c>
      <c r="F571" s="71">
        <v>0</v>
      </c>
      <c r="G571" s="71">
        <v>0</v>
      </c>
      <c r="H571" s="13">
        <v>35</v>
      </c>
    </row>
    <row r="572" spans="1:8" x14ac:dyDescent="0.3">
      <c r="A572" s="76" t="s">
        <v>953</v>
      </c>
      <c r="B572" s="76" t="s">
        <v>177</v>
      </c>
      <c r="C572" s="61"/>
      <c r="D572" s="62"/>
      <c r="E572" s="77" t="s">
        <v>1061</v>
      </c>
      <c r="F572" s="71">
        <v>0</v>
      </c>
      <c r="G572" s="71">
        <v>0</v>
      </c>
      <c r="H572" s="13">
        <v>35</v>
      </c>
    </row>
    <row r="573" spans="1:8" x14ac:dyDescent="0.3">
      <c r="A573" s="12" t="s">
        <v>1367</v>
      </c>
      <c r="B573" s="12" t="s">
        <v>918</v>
      </c>
      <c r="C573" s="61"/>
      <c r="D573" s="62"/>
      <c r="E573" s="44" t="s">
        <v>1267</v>
      </c>
      <c r="F573" s="71">
        <v>0</v>
      </c>
      <c r="G573" s="71">
        <v>0</v>
      </c>
      <c r="H573" s="13">
        <v>50</v>
      </c>
    </row>
    <row r="574" spans="1:8" x14ac:dyDescent="0.3">
      <c r="A574" s="12" t="s">
        <v>1162</v>
      </c>
      <c r="B574" s="12" t="s">
        <v>918</v>
      </c>
      <c r="C574" s="61"/>
      <c r="D574" s="62"/>
      <c r="E574" s="44" t="s">
        <v>1062</v>
      </c>
      <c r="F574" s="71">
        <v>0</v>
      </c>
      <c r="G574" s="71">
        <v>0</v>
      </c>
      <c r="H574" s="13">
        <v>50</v>
      </c>
    </row>
    <row r="575" spans="1:8" x14ac:dyDescent="0.3">
      <c r="A575" s="12" t="s">
        <v>319</v>
      </c>
      <c r="B575" s="12">
        <v>45357</v>
      </c>
      <c r="C575" s="61"/>
      <c r="D575" s="62"/>
      <c r="E575" s="45" t="s">
        <v>83</v>
      </c>
      <c r="F575" s="71">
        <v>0</v>
      </c>
      <c r="G575" s="71">
        <v>0</v>
      </c>
      <c r="H575" s="13">
        <v>35</v>
      </c>
    </row>
    <row r="576" spans="1:8" x14ac:dyDescent="0.3">
      <c r="A576" s="12" t="s">
        <v>320</v>
      </c>
      <c r="B576" s="12">
        <v>38497</v>
      </c>
      <c r="C576" s="61"/>
      <c r="D576" s="62"/>
      <c r="E576" s="45" t="s">
        <v>70</v>
      </c>
      <c r="F576" s="71">
        <v>0</v>
      </c>
      <c r="G576" s="71">
        <v>0</v>
      </c>
      <c r="H576" s="13">
        <v>35</v>
      </c>
    </row>
    <row r="577" spans="1:8" x14ac:dyDescent="0.3">
      <c r="A577" s="12" t="s">
        <v>1817</v>
      </c>
      <c r="B577" s="12" t="s">
        <v>1589</v>
      </c>
      <c r="C577" s="61"/>
      <c r="D577" s="62"/>
      <c r="E577" s="44" t="s">
        <v>1595</v>
      </c>
      <c r="F577" s="71">
        <v>0</v>
      </c>
      <c r="G577" s="71">
        <v>0</v>
      </c>
      <c r="H577" s="13">
        <v>35</v>
      </c>
    </row>
    <row r="578" spans="1:8" x14ac:dyDescent="0.3">
      <c r="A578" s="12" t="s">
        <v>1818</v>
      </c>
      <c r="B578" s="12" t="s">
        <v>820</v>
      </c>
      <c r="C578" s="61"/>
      <c r="D578" s="62"/>
      <c r="E578" s="44" t="s">
        <v>1596</v>
      </c>
      <c r="F578" s="71">
        <v>0</v>
      </c>
      <c r="G578" s="71">
        <v>0</v>
      </c>
      <c r="H578" s="13">
        <v>35</v>
      </c>
    </row>
    <row r="579" spans="1:8" x14ac:dyDescent="0.3">
      <c r="A579" s="12" t="s">
        <v>1819</v>
      </c>
      <c r="B579" s="12" t="s">
        <v>821</v>
      </c>
      <c r="C579" s="61"/>
      <c r="D579" s="62"/>
      <c r="E579" s="44" t="s">
        <v>1597</v>
      </c>
      <c r="F579" s="71">
        <v>0</v>
      </c>
      <c r="G579" s="71">
        <v>0</v>
      </c>
      <c r="H579" s="13">
        <v>35</v>
      </c>
    </row>
    <row r="580" spans="1:8" x14ac:dyDescent="0.3">
      <c r="A580" s="12" t="s">
        <v>1368</v>
      </c>
      <c r="B580" s="12" t="s">
        <v>932</v>
      </c>
      <c r="C580" s="61"/>
      <c r="D580" s="62"/>
      <c r="E580" s="44" t="s">
        <v>1268</v>
      </c>
      <c r="F580" s="71">
        <v>0</v>
      </c>
      <c r="G580" s="71">
        <v>0</v>
      </c>
      <c r="H580" s="13">
        <v>35</v>
      </c>
    </row>
    <row r="581" spans="1:8" x14ac:dyDescent="0.3">
      <c r="A581" s="12" t="s">
        <v>1369</v>
      </c>
      <c r="B581" s="12" t="s">
        <v>959</v>
      </c>
      <c r="C581" s="61"/>
      <c r="D581" s="62"/>
      <c r="E581" s="44" t="s">
        <v>178</v>
      </c>
      <c r="F581" s="71">
        <v>0</v>
      </c>
      <c r="G581" s="71">
        <v>0</v>
      </c>
      <c r="H581" s="13">
        <v>35</v>
      </c>
    </row>
    <row r="582" spans="1:8" x14ac:dyDescent="0.3">
      <c r="A582" s="12" t="s">
        <v>1163</v>
      </c>
      <c r="B582" s="12" t="s">
        <v>1042</v>
      </c>
      <c r="C582" s="61"/>
      <c r="D582" s="62"/>
      <c r="E582" s="44" t="s">
        <v>1063</v>
      </c>
      <c r="F582" s="71">
        <v>0</v>
      </c>
      <c r="G582" s="71">
        <v>0</v>
      </c>
      <c r="H582" s="13">
        <v>35</v>
      </c>
    </row>
    <row r="583" spans="1:8" x14ac:dyDescent="0.3">
      <c r="A583" s="12" t="s">
        <v>326</v>
      </c>
      <c r="B583" s="12">
        <v>45967</v>
      </c>
      <c r="C583" s="61"/>
      <c r="D583" s="62"/>
      <c r="E583" s="45" t="s">
        <v>197</v>
      </c>
      <c r="F583" s="71">
        <v>0</v>
      </c>
      <c r="G583" s="71">
        <v>0</v>
      </c>
      <c r="H583" s="13">
        <v>35</v>
      </c>
    </row>
    <row r="584" spans="1:8" x14ac:dyDescent="0.3">
      <c r="A584" s="12" t="s">
        <v>1371</v>
      </c>
      <c r="B584" s="12" t="s">
        <v>897</v>
      </c>
      <c r="C584" s="61"/>
      <c r="D584" s="62"/>
      <c r="E584" s="44" t="s">
        <v>900</v>
      </c>
      <c r="F584" s="71">
        <v>0</v>
      </c>
      <c r="G584" s="71">
        <v>0</v>
      </c>
      <c r="H584" s="13">
        <v>35</v>
      </c>
    </row>
    <row r="585" spans="1:8" x14ac:dyDescent="0.3">
      <c r="A585" s="12" t="s">
        <v>1820</v>
      </c>
      <c r="B585" s="12" t="s">
        <v>1590</v>
      </c>
      <c r="C585" s="61"/>
      <c r="D585" s="62"/>
      <c r="E585" s="44" t="s">
        <v>1397</v>
      </c>
      <c r="F585" s="71">
        <v>0</v>
      </c>
      <c r="G585" s="71">
        <v>0</v>
      </c>
      <c r="H585" s="13">
        <v>35</v>
      </c>
    </row>
    <row r="586" spans="1:8" x14ac:dyDescent="0.3">
      <c r="A586" s="12" t="s">
        <v>1821</v>
      </c>
      <c r="B586" s="12" t="s">
        <v>1591</v>
      </c>
      <c r="C586" s="61"/>
      <c r="D586" s="62"/>
      <c r="E586" s="44" t="s">
        <v>1398</v>
      </c>
      <c r="F586" s="71">
        <v>0</v>
      </c>
      <c r="G586" s="71">
        <v>0</v>
      </c>
      <c r="H586" s="13">
        <v>35</v>
      </c>
    </row>
    <row r="587" spans="1:8" x14ac:dyDescent="0.3">
      <c r="A587" s="12" t="s">
        <v>1372</v>
      </c>
      <c r="B587" s="12" t="s">
        <v>416</v>
      </c>
      <c r="C587" s="61"/>
      <c r="D587" s="62"/>
      <c r="E587" s="44" t="s">
        <v>75</v>
      </c>
      <c r="F587" s="71">
        <v>0</v>
      </c>
      <c r="G587" s="71">
        <v>0</v>
      </c>
      <c r="H587" s="13">
        <v>35</v>
      </c>
    </row>
    <row r="588" spans="1:8" x14ac:dyDescent="0.3">
      <c r="A588" s="12" t="s">
        <v>1164</v>
      </c>
      <c r="B588" s="12" t="s">
        <v>832</v>
      </c>
      <c r="C588" s="61"/>
      <c r="D588" s="62"/>
      <c r="E588" s="44" t="s">
        <v>1064</v>
      </c>
      <c r="F588" s="71">
        <v>0</v>
      </c>
      <c r="G588" s="71">
        <v>0</v>
      </c>
      <c r="H588" s="13">
        <v>35</v>
      </c>
    </row>
    <row r="589" spans="1:8" x14ac:dyDescent="0.3">
      <c r="A589" s="12" t="s">
        <v>1165</v>
      </c>
      <c r="B589" s="12" t="s">
        <v>1043</v>
      </c>
      <c r="C589" s="61"/>
      <c r="D589" s="62"/>
      <c r="E589" s="44" t="s">
        <v>1014</v>
      </c>
      <c r="F589" s="71">
        <v>0</v>
      </c>
      <c r="G589" s="71">
        <v>0</v>
      </c>
      <c r="H589" s="13">
        <v>35</v>
      </c>
    </row>
    <row r="590" spans="1:8" x14ac:dyDescent="0.3">
      <c r="A590" s="12" t="s">
        <v>1373</v>
      </c>
      <c r="B590" s="12" t="s">
        <v>1262</v>
      </c>
      <c r="C590" s="61"/>
      <c r="D590" s="62"/>
      <c r="E590" s="44" t="s">
        <v>1269</v>
      </c>
      <c r="F590" s="71">
        <v>0</v>
      </c>
      <c r="G590" s="71">
        <v>0</v>
      </c>
      <c r="H590" s="13">
        <v>35</v>
      </c>
    </row>
    <row r="591" spans="1:8" x14ac:dyDescent="0.3">
      <c r="A591" s="12" t="s">
        <v>1167</v>
      </c>
      <c r="B591" s="12" t="s">
        <v>1044</v>
      </c>
      <c r="C591" s="61"/>
      <c r="D591" s="62"/>
      <c r="E591" s="44" t="s">
        <v>1598</v>
      </c>
      <c r="F591" s="71">
        <v>0</v>
      </c>
      <c r="G591" s="71">
        <v>0</v>
      </c>
      <c r="H591" s="13">
        <v>35</v>
      </c>
    </row>
    <row r="592" spans="1:8" x14ac:dyDescent="0.3">
      <c r="A592" s="12" t="s">
        <v>1168</v>
      </c>
      <c r="B592" s="12" t="s">
        <v>1044</v>
      </c>
      <c r="C592" s="61"/>
      <c r="D592" s="62"/>
      <c r="E592" s="44" t="s">
        <v>1599</v>
      </c>
      <c r="F592" s="71">
        <v>0</v>
      </c>
      <c r="G592" s="71">
        <v>0</v>
      </c>
      <c r="H592" s="13">
        <v>35</v>
      </c>
    </row>
    <row r="593" spans="1:8" x14ac:dyDescent="0.3">
      <c r="A593" s="12" t="s">
        <v>397</v>
      </c>
      <c r="B593" s="12">
        <v>46793</v>
      </c>
      <c r="C593" s="61"/>
      <c r="D593" s="62"/>
      <c r="E593" s="44" t="s">
        <v>403</v>
      </c>
      <c r="F593" s="71">
        <v>0</v>
      </c>
      <c r="G593" s="71">
        <v>0</v>
      </c>
      <c r="H593" s="13">
        <v>35</v>
      </c>
    </row>
    <row r="594" spans="1:8" x14ac:dyDescent="0.3">
      <c r="A594" s="12" t="s">
        <v>1822</v>
      </c>
      <c r="B594" s="12" t="s">
        <v>1592</v>
      </c>
      <c r="C594" s="61"/>
      <c r="D594" s="62"/>
      <c r="E594" s="44" t="s">
        <v>1600</v>
      </c>
      <c r="F594" s="71">
        <v>0</v>
      </c>
      <c r="G594" s="71">
        <v>0</v>
      </c>
      <c r="H594" s="13">
        <v>35</v>
      </c>
    </row>
    <row r="595" spans="1:8" x14ac:dyDescent="0.3">
      <c r="A595" s="12" t="s">
        <v>398</v>
      </c>
      <c r="B595" s="12">
        <v>47498</v>
      </c>
      <c r="C595" s="61"/>
      <c r="D595" s="62"/>
      <c r="E595" s="44" t="s">
        <v>404</v>
      </c>
      <c r="F595" s="71">
        <v>0</v>
      </c>
      <c r="G595" s="71">
        <v>0</v>
      </c>
      <c r="H595" s="13">
        <v>35</v>
      </c>
    </row>
    <row r="596" spans="1:8" x14ac:dyDescent="0.3">
      <c r="A596" s="12" t="s">
        <v>442</v>
      </c>
      <c r="B596" s="12">
        <v>47499</v>
      </c>
      <c r="C596" s="61"/>
      <c r="D596" s="62"/>
      <c r="E596" s="44" t="s">
        <v>437</v>
      </c>
      <c r="F596" s="71">
        <v>0</v>
      </c>
      <c r="G596" s="71">
        <v>0</v>
      </c>
      <c r="H596" s="13">
        <v>35</v>
      </c>
    </row>
    <row r="597" spans="1:8" x14ac:dyDescent="0.3">
      <c r="A597" s="12" t="s">
        <v>402</v>
      </c>
      <c r="B597" s="12">
        <v>47502</v>
      </c>
      <c r="C597" s="61"/>
      <c r="D597" s="62"/>
      <c r="E597" s="44" t="s">
        <v>393</v>
      </c>
      <c r="F597" s="71">
        <v>0</v>
      </c>
      <c r="G597" s="71">
        <v>0</v>
      </c>
      <c r="H597" s="13">
        <v>35</v>
      </c>
    </row>
    <row r="598" spans="1:8" x14ac:dyDescent="0.3">
      <c r="A598" s="12" t="s">
        <v>468</v>
      </c>
      <c r="B598" s="12">
        <v>46795</v>
      </c>
      <c r="C598" s="61"/>
      <c r="D598" s="62"/>
      <c r="E598" s="44" t="s">
        <v>466</v>
      </c>
      <c r="F598" s="71">
        <v>0</v>
      </c>
      <c r="G598" s="71">
        <v>0</v>
      </c>
      <c r="H598" s="13">
        <v>35</v>
      </c>
    </row>
    <row r="599" spans="1:8" x14ac:dyDescent="0.3">
      <c r="A599" s="12" t="s">
        <v>375</v>
      </c>
      <c r="B599" s="12" t="s">
        <v>394</v>
      </c>
      <c r="C599" s="61"/>
      <c r="D599" s="62"/>
      <c r="E599" s="44" t="s">
        <v>380</v>
      </c>
      <c r="F599" s="71">
        <v>0</v>
      </c>
      <c r="G599" s="71">
        <v>0</v>
      </c>
      <c r="H599" s="13">
        <v>35</v>
      </c>
    </row>
    <row r="600" spans="1:8" x14ac:dyDescent="0.3">
      <c r="A600" s="76" t="s">
        <v>954</v>
      </c>
      <c r="B600" s="76" t="s">
        <v>839</v>
      </c>
      <c r="C600" s="61"/>
      <c r="D600" s="62"/>
      <c r="E600" s="77" t="s">
        <v>901</v>
      </c>
      <c r="F600" s="71">
        <v>0</v>
      </c>
      <c r="G600" s="71">
        <v>0</v>
      </c>
      <c r="H600" s="13">
        <v>35</v>
      </c>
    </row>
    <row r="601" spans="1:8" x14ac:dyDescent="0.3">
      <c r="A601" s="12" t="s">
        <v>1823</v>
      </c>
      <c r="B601" s="12" t="s">
        <v>1593</v>
      </c>
      <c r="C601" s="61"/>
      <c r="D601" s="62"/>
      <c r="E601" s="44" t="s">
        <v>1601</v>
      </c>
      <c r="F601" s="71">
        <v>0</v>
      </c>
      <c r="G601" s="71">
        <v>0</v>
      </c>
      <c r="H601" s="13">
        <v>35</v>
      </c>
    </row>
    <row r="602" spans="1:8" x14ac:dyDescent="0.3">
      <c r="A602" s="12" t="s">
        <v>329</v>
      </c>
      <c r="B602" s="12">
        <v>46435</v>
      </c>
      <c r="C602" s="61"/>
      <c r="D602" s="62"/>
      <c r="E602" s="45" t="s">
        <v>184</v>
      </c>
      <c r="F602" s="71">
        <v>0</v>
      </c>
      <c r="G602" s="71">
        <v>0</v>
      </c>
      <c r="H602" s="13">
        <v>35</v>
      </c>
    </row>
    <row r="603" spans="1:8" x14ac:dyDescent="0.3">
      <c r="A603" s="12" t="s">
        <v>330</v>
      </c>
      <c r="B603" s="12">
        <v>46436</v>
      </c>
      <c r="C603" s="61"/>
      <c r="D603" s="62"/>
      <c r="E603" s="45" t="s">
        <v>185</v>
      </c>
      <c r="F603" s="71">
        <v>0</v>
      </c>
      <c r="G603" s="71">
        <v>0</v>
      </c>
      <c r="H603" s="13">
        <v>35</v>
      </c>
    </row>
    <row r="604" spans="1:8" x14ac:dyDescent="0.3">
      <c r="A604" s="12" t="s">
        <v>331</v>
      </c>
      <c r="B604" s="12">
        <v>46437</v>
      </c>
      <c r="C604" s="61"/>
      <c r="D604" s="62"/>
      <c r="E604" s="45" t="s">
        <v>186</v>
      </c>
      <c r="F604" s="71">
        <v>0</v>
      </c>
      <c r="G604" s="71">
        <v>0</v>
      </c>
      <c r="H604" s="13">
        <v>35</v>
      </c>
    </row>
    <row r="605" spans="1:8" x14ac:dyDescent="0.3">
      <c r="A605" s="12" t="s">
        <v>332</v>
      </c>
      <c r="B605" s="12">
        <v>46438</v>
      </c>
      <c r="C605" s="61"/>
      <c r="D605" s="62"/>
      <c r="E605" s="45" t="s">
        <v>187</v>
      </c>
      <c r="F605" s="71">
        <v>0</v>
      </c>
      <c r="G605" s="71">
        <v>0</v>
      </c>
      <c r="H605" s="13">
        <v>35</v>
      </c>
    </row>
    <row r="606" spans="1:8" x14ac:dyDescent="0.3">
      <c r="A606" s="12" t="s">
        <v>333</v>
      </c>
      <c r="B606" s="12">
        <v>46439</v>
      </c>
      <c r="C606" s="61"/>
      <c r="D606" s="62"/>
      <c r="E606" s="45" t="s">
        <v>188</v>
      </c>
      <c r="F606" s="71">
        <v>0</v>
      </c>
      <c r="G606" s="71">
        <v>0</v>
      </c>
      <c r="H606" s="13">
        <v>35</v>
      </c>
    </row>
    <row r="607" spans="1:8" x14ac:dyDescent="0.3">
      <c r="A607" s="12" t="s">
        <v>334</v>
      </c>
      <c r="B607" s="12">
        <v>46440</v>
      </c>
      <c r="C607" s="61"/>
      <c r="D607" s="62"/>
      <c r="E607" s="45" t="s">
        <v>190</v>
      </c>
      <c r="F607" s="71">
        <v>0</v>
      </c>
      <c r="G607" s="71">
        <v>0</v>
      </c>
      <c r="H607" s="13">
        <v>35</v>
      </c>
    </row>
    <row r="608" spans="1:8" x14ac:dyDescent="0.3">
      <c r="A608" s="12" t="s">
        <v>1374</v>
      </c>
      <c r="B608" s="12" t="s">
        <v>788</v>
      </c>
      <c r="C608" s="61"/>
      <c r="D608" s="62"/>
      <c r="E608" s="44" t="s">
        <v>1270</v>
      </c>
      <c r="F608" s="71">
        <v>0</v>
      </c>
      <c r="G608" s="71">
        <v>0</v>
      </c>
      <c r="H608" s="13">
        <v>35</v>
      </c>
    </row>
    <row r="609" spans="1:8" x14ac:dyDescent="0.3">
      <c r="A609" s="12" t="s">
        <v>335</v>
      </c>
      <c r="B609" s="12">
        <v>46442</v>
      </c>
      <c r="C609" s="61"/>
      <c r="D609" s="62"/>
      <c r="E609" s="45" t="s">
        <v>1603</v>
      </c>
      <c r="F609" s="71">
        <v>0</v>
      </c>
      <c r="G609" s="71">
        <v>0</v>
      </c>
      <c r="H609" s="13">
        <v>35</v>
      </c>
    </row>
    <row r="610" spans="1:8" x14ac:dyDescent="0.3">
      <c r="A610" s="76" t="s">
        <v>955</v>
      </c>
      <c r="B610" s="76">
        <v>46443</v>
      </c>
      <c r="C610" s="61"/>
      <c r="D610" s="62"/>
      <c r="E610" s="77" t="s">
        <v>1602</v>
      </c>
      <c r="F610" s="71">
        <v>0</v>
      </c>
      <c r="G610" s="71">
        <v>0</v>
      </c>
      <c r="H610" s="13">
        <v>35</v>
      </c>
    </row>
    <row r="611" spans="1:8" x14ac:dyDescent="0.3">
      <c r="A611" s="12" t="s">
        <v>336</v>
      </c>
      <c r="B611" s="12">
        <v>46444</v>
      </c>
      <c r="C611" s="61"/>
      <c r="D611" s="62"/>
      <c r="E611" s="45" t="s">
        <v>191</v>
      </c>
      <c r="F611" s="71">
        <v>0</v>
      </c>
      <c r="G611" s="71">
        <v>0</v>
      </c>
      <c r="H611" s="13">
        <v>35</v>
      </c>
    </row>
    <row r="612" spans="1:8" x14ac:dyDescent="0.3">
      <c r="A612" s="12" t="s">
        <v>337</v>
      </c>
      <c r="B612" s="12">
        <v>46445</v>
      </c>
      <c r="C612" s="61"/>
      <c r="D612" s="62"/>
      <c r="E612" s="45" t="s">
        <v>192</v>
      </c>
      <c r="F612" s="71">
        <v>0</v>
      </c>
      <c r="G612" s="71">
        <v>0</v>
      </c>
      <c r="H612" s="13">
        <v>35</v>
      </c>
    </row>
    <row r="613" spans="1:8" x14ac:dyDescent="0.3">
      <c r="A613" s="12" t="s">
        <v>338</v>
      </c>
      <c r="B613" s="12">
        <v>46446</v>
      </c>
      <c r="C613" s="61"/>
      <c r="D613" s="62"/>
      <c r="E613" s="45" t="s">
        <v>193</v>
      </c>
      <c r="F613" s="71">
        <v>0</v>
      </c>
      <c r="G613" s="71">
        <v>0</v>
      </c>
      <c r="H613" s="13">
        <v>35</v>
      </c>
    </row>
    <row r="614" spans="1:8" x14ac:dyDescent="0.3">
      <c r="A614" s="12" t="s">
        <v>339</v>
      </c>
      <c r="B614" s="12">
        <v>46447</v>
      </c>
      <c r="C614" s="61"/>
      <c r="D614" s="62"/>
      <c r="E614" s="45" t="s">
        <v>194</v>
      </c>
      <c r="F614" s="71">
        <v>0</v>
      </c>
      <c r="G614" s="71">
        <v>0</v>
      </c>
      <c r="H614" s="13">
        <v>35</v>
      </c>
    </row>
    <row r="615" spans="1:8" x14ac:dyDescent="0.3">
      <c r="A615" s="12" t="s">
        <v>340</v>
      </c>
      <c r="B615" s="12">
        <v>46448</v>
      </c>
      <c r="C615" s="61"/>
      <c r="D615" s="62"/>
      <c r="E615" s="45" t="s">
        <v>195</v>
      </c>
      <c r="F615" s="71">
        <v>0</v>
      </c>
      <c r="G615" s="71">
        <v>0</v>
      </c>
      <c r="H615" s="13">
        <v>35</v>
      </c>
    </row>
    <row r="616" spans="1:8" x14ac:dyDescent="0.3">
      <c r="A616" s="12" t="s">
        <v>341</v>
      </c>
      <c r="B616" s="12">
        <v>46449</v>
      </c>
      <c r="C616" s="61"/>
      <c r="D616" s="62"/>
      <c r="E616" s="45" t="s">
        <v>196</v>
      </c>
      <c r="F616" s="71">
        <v>0</v>
      </c>
      <c r="G616" s="71">
        <v>0</v>
      </c>
      <c r="H616" s="13">
        <v>35</v>
      </c>
    </row>
    <row r="617" spans="1:8" x14ac:dyDescent="0.3">
      <c r="A617" s="12" t="s">
        <v>499</v>
      </c>
      <c r="B617" s="12" t="s">
        <v>495</v>
      </c>
      <c r="C617" s="61"/>
      <c r="D617" s="62"/>
      <c r="E617" s="44" t="s">
        <v>496</v>
      </c>
      <c r="F617" s="71">
        <v>0</v>
      </c>
      <c r="G617" s="71">
        <v>0</v>
      </c>
      <c r="H617" s="13">
        <v>35</v>
      </c>
    </row>
    <row r="618" spans="1:8" x14ac:dyDescent="0.3">
      <c r="A618" s="76" t="s">
        <v>956</v>
      </c>
      <c r="B618" s="76" t="s">
        <v>898</v>
      </c>
      <c r="C618" s="61"/>
      <c r="D618" s="62"/>
      <c r="E618" s="77" t="s">
        <v>902</v>
      </c>
      <c r="F618" s="71">
        <v>0</v>
      </c>
      <c r="G618" s="71">
        <v>0</v>
      </c>
      <c r="H618" s="13">
        <v>35</v>
      </c>
    </row>
    <row r="619" spans="1:8" ht="14.5" thickBot="1" x14ac:dyDescent="0.35">
      <c r="A619" s="12" t="s">
        <v>500</v>
      </c>
      <c r="B619" s="12" t="s">
        <v>497</v>
      </c>
      <c r="C619" s="61"/>
      <c r="D619" s="62"/>
      <c r="E619" s="44" t="s">
        <v>498</v>
      </c>
      <c r="F619" s="71">
        <v>0</v>
      </c>
      <c r="G619" s="71">
        <v>0</v>
      </c>
      <c r="H619" s="13">
        <v>35</v>
      </c>
    </row>
    <row r="620" spans="1:8" ht="14.5" thickBot="1" x14ac:dyDescent="0.35">
      <c r="A620" s="66" t="s">
        <v>13</v>
      </c>
      <c r="B620" s="39"/>
      <c r="C620" s="39"/>
      <c r="D620" s="40"/>
      <c r="E620" s="43"/>
      <c r="F620" s="41"/>
      <c r="G620" s="42"/>
      <c r="H620" s="60"/>
    </row>
    <row r="621" spans="1:8" ht="14.5" thickBot="1" x14ac:dyDescent="0.35">
      <c r="A621" s="38" t="s">
        <v>22</v>
      </c>
      <c r="B621" s="39"/>
      <c r="C621" s="39"/>
      <c r="D621" s="40"/>
      <c r="E621" s="43" t="s">
        <v>51</v>
      </c>
      <c r="F621" s="41"/>
      <c r="G621" s="42"/>
      <c r="H621" s="60"/>
    </row>
    <row r="622" spans="1:8" x14ac:dyDescent="0.3">
      <c r="A622" s="12" t="s">
        <v>1305</v>
      </c>
      <c r="E622" s="67" t="s">
        <v>1199</v>
      </c>
      <c r="F622" s="35">
        <v>5</v>
      </c>
      <c r="G622" s="46">
        <v>337</v>
      </c>
      <c r="H622" s="46">
        <v>540</v>
      </c>
    </row>
    <row r="623" spans="1:8" x14ac:dyDescent="0.3">
      <c r="A623" s="99" t="s">
        <v>753</v>
      </c>
      <c r="B623" s="61"/>
      <c r="C623" s="61"/>
      <c r="D623" s="62"/>
      <c r="E623" s="75" t="s">
        <v>1200</v>
      </c>
      <c r="F623" s="35">
        <v>5</v>
      </c>
      <c r="G623" s="46">
        <v>337</v>
      </c>
      <c r="H623" s="46">
        <v>540</v>
      </c>
    </row>
    <row r="624" spans="1:8" x14ac:dyDescent="0.3">
      <c r="A624" s="99" t="s">
        <v>754</v>
      </c>
      <c r="B624" s="61"/>
      <c r="C624" s="61"/>
      <c r="D624" s="62"/>
      <c r="E624" s="75" t="s">
        <v>657</v>
      </c>
      <c r="F624" s="35">
        <v>5</v>
      </c>
      <c r="G624" s="46">
        <v>337</v>
      </c>
      <c r="H624" s="46">
        <v>540</v>
      </c>
    </row>
    <row r="625" spans="1:8" x14ac:dyDescent="0.3">
      <c r="A625" s="99" t="s">
        <v>755</v>
      </c>
      <c r="B625" s="61"/>
      <c r="C625" s="61"/>
      <c r="D625" s="62"/>
      <c r="E625" s="75" t="s">
        <v>658</v>
      </c>
      <c r="F625" s="35">
        <v>5</v>
      </c>
      <c r="G625" s="46">
        <v>337</v>
      </c>
      <c r="H625" s="46">
        <v>540</v>
      </c>
    </row>
    <row r="626" spans="1:8" x14ac:dyDescent="0.3">
      <c r="A626" s="99" t="s">
        <v>1306</v>
      </c>
      <c r="B626" s="61"/>
      <c r="C626" s="61"/>
      <c r="D626" s="62"/>
      <c r="E626" s="75" t="s">
        <v>1201</v>
      </c>
      <c r="F626" s="35">
        <v>5</v>
      </c>
      <c r="G626" s="46">
        <v>337</v>
      </c>
      <c r="H626" s="46">
        <v>540</v>
      </c>
    </row>
    <row r="627" spans="1:8" x14ac:dyDescent="0.3">
      <c r="A627" s="99" t="s">
        <v>756</v>
      </c>
      <c r="B627" s="61"/>
      <c r="C627" s="61"/>
      <c r="D627" s="62"/>
      <c r="E627" s="75" t="s">
        <v>659</v>
      </c>
      <c r="F627" s="35">
        <v>5</v>
      </c>
      <c r="G627" s="46">
        <v>337</v>
      </c>
      <c r="H627" s="46">
        <v>540</v>
      </c>
    </row>
    <row r="628" spans="1:8" x14ac:dyDescent="0.3">
      <c r="A628" s="99" t="s">
        <v>757</v>
      </c>
      <c r="B628" s="61"/>
      <c r="C628" s="61"/>
      <c r="D628" s="62"/>
      <c r="E628" s="75" t="s">
        <v>660</v>
      </c>
      <c r="F628" s="35">
        <v>5</v>
      </c>
      <c r="G628" s="46">
        <v>337</v>
      </c>
      <c r="H628" s="46">
        <v>540</v>
      </c>
    </row>
    <row r="629" spans="1:8" x14ac:dyDescent="0.3">
      <c r="A629" s="99" t="s">
        <v>758</v>
      </c>
      <c r="B629" s="61"/>
      <c r="C629" s="61"/>
      <c r="D629" s="62"/>
      <c r="E629" s="75" t="s">
        <v>661</v>
      </c>
      <c r="F629" s="35">
        <v>5</v>
      </c>
      <c r="G629" s="46">
        <v>337</v>
      </c>
      <c r="H629" s="46">
        <v>540</v>
      </c>
    </row>
    <row r="630" spans="1:8" x14ac:dyDescent="0.3">
      <c r="A630" s="99" t="s">
        <v>1307</v>
      </c>
      <c r="B630" s="61"/>
      <c r="C630" s="61"/>
      <c r="D630" s="62"/>
      <c r="E630" s="75" t="s">
        <v>1202</v>
      </c>
      <c r="F630" s="35">
        <v>5</v>
      </c>
      <c r="G630" s="46">
        <v>337</v>
      </c>
      <c r="H630" s="46">
        <v>540</v>
      </c>
    </row>
    <row r="631" spans="1:8" x14ac:dyDescent="0.3">
      <c r="A631" s="99" t="s">
        <v>759</v>
      </c>
      <c r="B631" s="61"/>
      <c r="C631" s="61"/>
      <c r="D631" s="62"/>
      <c r="E631" s="75" t="s">
        <v>662</v>
      </c>
      <c r="F631" s="35">
        <v>5</v>
      </c>
      <c r="G631" s="46">
        <v>337</v>
      </c>
      <c r="H631" s="46">
        <v>540</v>
      </c>
    </row>
    <row r="632" spans="1:8" x14ac:dyDescent="0.3">
      <c r="A632" s="99" t="s">
        <v>760</v>
      </c>
      <c r="B632" s="61"/>
      <c r="C632" s="61"/>
      <c r="D632" s="62"/>
      <c r="E632" s="75" t="s">
        <v>663</v>
      </c>
      <c r="F632" s="35">
        <v>5</v>
      </c>
      <c r="G632" s="46">
        <v>337</v>
      </c>
      <c r="H632" s="46">
        <v>540</v>
      </c>
    </row>
    <row r="633" spans="1:8" x14ac:dyDescent="0.3">
      <c r="A633" s="99" t="s">
        <v>761</v>
      </c>
      <c r="B633" s="61"/>
      <c r="C633" s="61"/>
      <c r="D633" s="62"/>
      <c r="E633" s="75" t="s">
        <v>664</v>
      </c>
      <c r="F633" s="35">
        <v>5</v>
      </c>
      <c r="G633" s="46">
        <v>337</v>
      </c>
      <c r="H633" s="46">
        <v>540</v>
      </c>
    </row>
    <row r="634" spans="1:8" x14ac:dyDescent="0.3">
      <c r="A634" s="99" t="s">
        <v>762</v>
      </c>
      <c r="B634" s="61"/>
      <c r="C634" s="61"/>
      <c r="D634" s="62"/>
      <c r="E634" s="75" t="s">
        <v>665</v>
      </c>
      <c r="F634" s="35">
        <v>5</v>
      </c>
      <c r="G634" s="46">
        <v>337</v>
      </c>
      <c r="H634" s="46">
        <v>540</v>
      </c>
    </row>
    <row r="635" spans="1:8" x14ac:dyDescent="0.3">
      <c r="A635" s="99" t="s">
        <v>554</v>
      </c>
      <c r="B635" s="61"/>
      <c r="C635" s="61"/>
      <c r="D635" s="62"/>
      <c r="E635" s="75" t="s">
        <v>532</v>
      </c>
      <c r="F635" s="35">
        <v>9</v>
      </c>
      <c r="G635" s="46">
        <v>588</v>
      </c>
      <c r="H635" s="46">
        <v>940</v>
      </c>
    </row>
    <row r="636" spans="1:8" x14ac:dyDescent="0.3">
      <c r="A636" s="99" t="s">
        <v>555</v>
      </c>
      <c r="B636" s="61"/>
      <c r="C636" s="61"/>
      <c r="D636" s="62"/>
      <c r="E636" s="75" t="s">
        <v>533</v>
      </c>
      <c r="F636" s="35">
        <v>9</v>
      </c>
      <c r="G636" s="46">
        <v>588</v>
      </c>
      <c r="H636" s="46">
        <v>940</v>
      </c>
    </row>
    <row r="637" spans="1:8" x14ac:dyDescent="0.3">
      <c r="A637" s="99" t="s">
        <v>556</v>
      </c>
      <c r="B637" s="61"/>
      <c r="C637" s="61"/>
      <c r="D637" s="62"/>
      <c r="E637" s="75" t="s">
        <v>534</v>
      </c>
      <c r="F637" s="35">
        <v>9</v>
      </c>
      <c r="G637" s="46">
        <v>588</v>
      </c>
      <c r="H637" s="46">
        <v>940</v>
      </c>
    </row>
    <row r="638" spans="1:8" x14ac:dyDescent="0.3">
      <c r="A638" s="99" t="s">
        <v>557</v>
      </c>
      <c r="B638" s="61"/>
      <c r="C638" s="61"/>
      <c r="D638" s="62"/>
      <c r="E638" s="75" t="s">
        <v>535</v>
      </c>
      <c r="F638" s="35">
        <v>9</v>
      </c>
      <c r="G638" s="46">
        <v>588</v>
      </c>
      <c r="H638" s="46">
        <v>940</v>
      </c>
    </row>
    <row r="639" spans="1:8" x14ac:dyDescent="0.3">
      <c r="A639" s="99" t="s">
        <v>558</v>
      </c>
      <c r="B639" s="61"/>
      <c r="C639" s="61"/>
      <c r="D639" s="62"/>
      <c r="E639" s="75" t="s">
        <v>536</v>
      </c>
      <c r="F639" s="35">
        <v>9</v>
      </c>
      <c r="G639" s="46">
        <v>588</v>
      </c>
      <c r="H639" s="46">
        <v>940</v>
      </c>
    </row>
    <row r="640" spans="1:8" x14ac:dyDescent="0.3">
      <c r="A640" s="99" t="s">
        <v>559</v>
      </c>
      <c r="B640" s="61"/>
      <c r="C640" s="61"/>
      <c r="D640" s="62"/>
      <c r="E640" s="75" t="s">
        <v>537</v>
      </c>
      <c r="F640" s="35">
        <v>9</v>
      </c>
      <c r="G640" s="46">
        <v>588</v>
      </c>
      <c r="H640" s="46">
        <v>940</v>
      </c>
    </row>
    <row r="641" spans="1:8" x14ac:dyDescent="0.3">
      <c r="A641" s="99" t="s">
        <v>560</v>
      </c>
      <c r="B641" s="61"/>
      <c r="C641" s="61"/>
      <c r="D641" s="62"/>
      <c r="E641" s="75" t="s">
        <v>538</v>
      </c>
      <c r="F641" s="35">
        <v>9</v>
      </c>
      <c r="G641" s="46">
        <v>588</v>
      </c>
      <c r="H641" s="46">
        <v>940</v>
      </c>
    </row>
    <row r="642" spans="1:8" x14ac:dyDescent="0.3">
      <c r="A642" s="99" t="s">
        <v>561</v>
      </c>
      <c r="B642" s="61"/>
      <c r="C642" s="61"/>
      <c r="D642" s="62"/>
      <c r="E642" s="75" t="s">
        <v>539</v>
      </c>
      <c r="F642" s="35">
        <v>9</v>
      </c>
      <c r="G642" s="46">
        <v>588</v>
      </c>
      <c r="H642" s="46">
        <v>940</v>
      </c>
    </row>
    <row r="643" spans="1:8" x14ac:dyDescent="0.3">
      <c r="A643" s="99" t="s">
        <v>894</v>
      </c>
      <c r="B643" s="61"/>
      <c r="C643" s="61"/>
      <c r="D643" s="62"/>
      <c r="E643" s="75" t="s">
        <v>864</v>
      </c>
      <c r="F643" s="35">
        <v>12</v>
      </c>
      <c r="G643" s="46">
        <v>813</v>
      </c>
      <c r="H643" s="46">
        <v>1300</v>
      </c>
    </row>
    <row r="644" spans="1:8" x14ac:dyDescent="0.3">
      <c r="A644" s="99" t="s">
        <v>171</v>
      </c>
      <c r="B644" s="61"/>
      <c r="C644" s="61"/>
      <c r="D644" s="62"/>
      <c r="E644" s="75" t="s">
        <v>865</v>
      </c>
      <c r="F644" s="35">
        <v>12</v>
      </c>
      <c r="G644" s="46">
        <v>813</v>
      </c>
      <c r="H644" s="46">
        <v>1300</v>
      </c>
    </row>
    <row r="645" spans="1:8" x14ac:dyDescent="0.3">
      <c r="A645" s="99" t="s">
        <v>895</v>
      </c>
      <c r="B645" s="61"/>
      <c r="C645" s="61"/>
      <c r="D645" s="62"/>
      <c r="E645" s="75" t="s">
        <v>866</v>
      </c>
      <c r="F645" s="35">
        <v>12</v>
      </c>
      <c r="G645" s="46">
        <v>813</v>
      </c>
      <c r="H645" s="46">
        <v>1300</v>
      </c>
    </row>
    <row r="646" spans="1:8" x14ac:dyDescent="0.3">
      <c r="A646" s="99" t="s">
        <v>172</v>
      </c>
      <c r="B646" s="61"/>
      <c r="C646" s="61"/>
      <c r="D646" s="62"/>
      <c r="E646" s="75" t="s">
        <v>540</v>
      </c>
      <c r="F646" s="35">
        <v>12</v>
      </c>
      <c r="G646" s="46">
        <v>813</v>
      </c>
      <c r="H646" s="46">
        <v>1300</v>
      </c>
    </row>
    <row r="647" spans="1:8" x14ac:dyDescent="0.3">
      <c r="A647" s="99" t="s">
        <v>173</v>
      </c>
      <c r="B647" s="61"/>
      <c r="C647" s="61"/>
      <c r="D647" s="62"/>
      <c r="E647" s="75" t="s">
        <v>541</v>
      </c>
      <c r="F647" s="35">
        <v>12</v>
      </c>
      <c r="G647" s="46">
        <v>813</v>
      </c>
      <c r="H647" s="46">
        <v>1300</v>
      </c>
    </row>
    <row r="648" spans="1:8" x14ac:dyDescent="0.3">
      <c r="A648" s="99" t="s">
        <v>174</v>
      </c>
      <c r="B648" s="61"/>
      <c r="C648" s="61"/>
      <c r="D648" s="62"/>
      <c r="E648" s="75" t="s">
        <v>542</v>
      </c>
      <c r="F648" s="35">
        <v>12</v>
      </c>
      <c r="G648" s="46">
        <v>813</v>
      </c>
      <c r="H648" s="46">
        <v>1300</v>
      </c>
    </row>
    <row r="649" spans="1:8" x14ac:dyDescent="0.3">
      <c r="A649" s="99" t="s">
        <v>175</v>
      </c>
      <c r="B649" s="61"/>
      <c r="C649" s="61"/>
      <c r="D649" s="62"/>
      <c r="E649" s="75" t="s">
        <v>543</v>
      </c>
      <c r="F649" s="35">
        <v>12</v>
      </c>
      <c r="G649" s="46">
        <v>813</v>
      </c>
      <c r="H649" s="46">
        <v>1300</v>
      </c>
    </row>
    <row r="650" spans="1:8" x14ac:dyDescent="0.3">
      <c r="A650" s="99" t="s">
        <v>176</v>
      </c>
      <c r="B650" s="61"/>
      <c r="C650" s="61"/>
      <c r="D650" s="62"/>
      <c r="E650" s="75" t="s">
        <v>1203</v>
      </c>
      <c r="F650" s="35">
        <v>12</v>
      </c>
      <c r="G650" s="46">
        <v>813</v>
      </c>
      <c r="H650" s="46">
        <v>1300</v>
      </c>
    </row>
    <row r="651" spans="1:8" x14ac:dyDescent="0.3">
      <c r="A651" s="99" t="s">
        <v>896</v>
      </c>
      <c r="B651" s="61"/>
      <c r="C651" s="61"/>
      <c r="D651" s="62"/>
      <c r="E651" s="75" t="s">
        <v>867</v>
      </c>
      <c r="F651" s="35">
        <v>12</v>
      </c>
      <c r="G651" s="46">
        <v>813</v>
      </c>
      <c r="H651" s="46">
        <v>1300</v>
      </c>
    </row>
    <row r="652" spans="1:8" x14ac:dyDescent="0.3">
      <c r="A652" s="99" t="s">
        <v>177</v>
      </c>
      <c r="B652" s="61"/>
      <c r="C652" s="61"/>
      <c r="D652" s="62"/>
      <c r="E652" s="75" t="s">
        <v>544</v>
      </c>
      <c r="F652" s="35">
        <v>12</v>
      </c>
      <c r="G652" s="46">
        <v>813</v>
      </c>
      <c r="H652" s="46">
        <v>1300</v>
      </c>
    </row>
    <row r="653" spans="1:8" x14ac:dyDescent="0.3">
      <c r="A653" s="99" t="s">
        <v>625</v>
      </c>
      <c r="B653" s="61"/>
      <c r="C653" s="61"/>
      <c r="D653" s="62"/>
      <c r="E653" s="75" t="s">
        <v>607</v>
      </c>
      <c r="F653" s="35">
        <v>10</v>
      </c>
      <c r="G653" s="46">
        <v>625</v>
      </c>
      <c r="H653" s="46">
        <v>1000</v>
      </c>
    </row>
    <row r="654" spans="1:8" x14ac:dyDescent="0.3">
      <c r="A654" s="99" t="s">
        <v>626</v>
      </c>
      <c r="B654" s="61"/>
      <c r="C654" s="61"/>
      <c r="D654" s="62"/>
      <c r="E654" s="75" t="s">
        <v>608</v>
      </c>
      <c r="F654" s="35">
        <v>10</v>
      </c>
      <c r="G654" s="46">
        <v>625</v>
      </c>
      <c r="H654" s="46">
        <v>1000</v>
      </c>
    </row>
    <row r="655" spans="1:8" x14ac:dyDescent="0.3">
      <c r="A655" s="99" t="s">
        <v>627</v>
      </c>
      <c r="B655" s="61"/>
      <c r="C655" s="61"/>
      <c r="D655" s="62"/>
      <c r="E655" s="75" t="s">
        <v>609</v>
      </c>
      <c r="F655" s="35">
        <v>10</v>
      </c>
      <c r="G655" s="46">
        <v>625</v>
      </c>
      <c r="H655" s="46">
        <v>1000</v>
      </c>
    </row>
    <row r="656" spans="1:8" x14ac:dyDescent="0.3">
      <c r="A656" s="99" t="s">
        <v>1308</v>
      </c>
      <c r="B656" s="61"/>
      <c r="C656" s="61"/>
      <c r="D656" s="62"/>
      <c r="E656" s="75" t="s">
        <v>1204</v>
      </c>
      <c r="F656" s="35">
        <v>10</v>
      </c>
      <c r="G656" s="46">
        <v>625</v>
      </c>
      <c r="H656" s="46">
        <v>1000</v>
      </c>
    </row>
    <row r="657" spans="1:8" x14ac:dyDescent="0.3">
      <c r="A657" s="99" t="s">
        <v>628</v>
      </c>
      <c r="B657" s="61"/>
      <c r="C657" s="61"/>
      <c r="D657" s="62"/>
      <c r="E657" s="75" t="s">
        <v>610</v>
      </c>
      <c r="F657" s="35">
        <v>10</v>
      </c>
      <c r="G657" s="46">
        <v>625</v>
      </c>
      <c r="H657" s="46">
        <v>1000</v>
      </c>
    </row>
    <row r="658" spans="1:8" x14ac:dyDescent="0.3">
      <c r="A658" s="99" t="s">
        <v>629</v>
      </c>
      <c r="B658" s="61"/>
      <c r="C658" s="61"/>
      <c r="D658" s="62"/>
      <c r="E658" s="75" t="s">
        <v>611</v>
      </c>
      <c r="F658" s="35">
        <v>10</v>
      </c>
      <c r="G658" s="46">
        <v>625</v>
      </c>
      <c r="H658" s="46">
        <v>1000</v>
      </c>
    </row>
    <row r="659" spans="1:8" x14ac:dyDescent="0.3">
      <c r="A659" s="99" t="s">
        <v>630</v>
      </c>
      <c r="B659" s="61"/>
      <c r="C659" s="61"/>
      <c r="D659" s="62"/>
      <c r="E659" s="75" t="s">
        <v>612</v>
      </c>
      <c r="F659" s="35">
        <v>10</v>
      </c>
      <c r="G659" s="46">
        <v>625</v>
      </c>
      <c r="H659" s="46">
        <v>1000</v>
      </c>
    </row>
    <row r="660" spans="1:8" x14ac:dyDescent="0.3">
      <c r="A660" s="99" t="s">
        <v>631</v>
      </c>
      <c r="B660" s="61"/>
      <c r="C660" s="61"/>
      <c r="D660" s="62"/>
      <c r="E660" s="75" t="s">
        <v>613</v>
      </c>
      <c r="F660" s="35">
        <v>10</v>
      </c>
      <c r="G660" s="46">
        <v>625</v>
      </c>
      <c r="H660" s="46">
        <v>1000</v>
      </c>
    </row>
    <row r="661" spans="1:8" x14ac:dyDescent="0.3">
      <c r="A661" s="99" t="s">
        <v>1309</v>
      </c>
      <c r="B661" s="61"/>
      <c r="C661" s="61"/>
      <c r="D661" s="62"/>
      <c r="E661" s="75" t="s">
        <v>1205</v>
      </c>
      <c r="F661" s="35">
        <v>12</v>
      </c>
      <c r="G661" s="46">
        <v>769</v>
      </c>
      <c r="H661" s="46">
        <v>1230</v>
      </c>
    </row>
    <row r="662" spans="1:8" x14ac:dyDescent="0.3">
      <c r="A662" s="99" t="s">
        <v>591</v>
      </c>
      <c r="B662" s="61"/>
      <c r="C662" s="61"/>
      <c r="D662" s="62"/>
      <c r="E662" s="75" t="s">
        <v>1206</v>
      </c>
      <c r="F662" s="35">
        <v>12</v>
      </c>
      <c r="G662" s="46">
        <v>769</v>
      </c>
      <c r="H662" s="46">
        <v>1230</v>
      </c>
    </row>
    <row r="663" spans="1:8" x14ac:dyDescent="0.3">
      <c r="A663" s="99" t="s">
        <v>592</v>
      </c>
      <c r="B663" s="61"/>
      <c r="C663" s="61"/>
      <c r="D663" s="62"/>
      <c r="E663" s="75" t="s">
        <v>1207</v>
      </c>
      <c r="F663" s="35">
        <v>12</v>
      </c>
      <c r="G663" s="46">
        <v>769</v>
      </c>
      <c r="H663" s="46">
        <v>1230</v>
      </c>
    </row>
    <row r="664" spans="1:8" x14ac:dyDescent="0.3">
      <c r="A664" s="99" t="s">
        <v>593</v>
      </c>
      <c r="B664" s="61"/>
      <c r="C664" s="61"/>
      <c r="D664" s="62"/>
      <c r="E664" s="75" t="s">
        <v>1208</v>
      </c>
      <c r="F664" s="35">
        <v>12</v>
      </c>
      <c r="G664" s="46">
        <v>769</v>
      </c>
      <c r="H664" s="46">
        <v>1230</v>
      </c>
    </row>
    <row r="665" spans="1:8" x14ac:dyDescent="0.3">
      <c r="A665" s="99" t="s">
        <v>594</v>
      </c>
      <c r="B665" s="61"/>
      <c r="C665" s="61"/>
      <c r="D665" s="62"/>
      <c r="E665" s="75" t="s">
        <v>1209</v>
      </c>
      <c r="F665" s="35">
        <v>12</v>
      </c>
      <c r="G665" s="46">
        <v>769</v>
      </c>
      <c r="H665" s="46">
        <v>1230</v>
      </c>
    </row>
    <row r="666" spans="1:8" x14ac:dyDescent="0.3">
      <c r="A666" s="99" t="s">
        <v>595</v>
      </c>
      <c r="B666" s="61"/>
      <c r="C666" s="61"/>
      <c r="D666" s="62"/>
      <c r="E666" s="75" t="s">
        <v>1210</v>
      </c>
      <c r="F666" s="35">
        <v>12</v>
      </c>
      <c r="G666" s="46">
        <v>769</v>
      </c>
      <c r="H666" s="46">
        <v>1230</v>
      </c>
    </row>
    <row r="667" spans="1:8" x14ac:dyDescent="0.3">
      <c r="A667" s="99" t="s">
        <v>596</v>
      </c>
      <c r="B667" s="61"/>
      <c r="C667" s="61"/>
      <c r="D667" s="62"/>
      <c r="E667" s="75" t="s">
        <v>1211</v>
      </c>
      <c r="F667" s="35">
        <v>12</v>
      </c>
      <c r="G667" s="46">
        <v>769</v>
      </c>
      <c r="H667" s="46">
        <v>1230</v>
      </c>
    </row>
    <row r="668" spans="1:8" x14ac:dyDescent="0.3">
      <c r="A668" s="99" t="s">
        <v>597</v>
      </c>
      <c r="B668" s="61"/>
      <c r="C668" s="61"/>
      <c r="D668" s="62"/>
      <c r="E668" s="75" t="s">
        <v>1212</v>
      </c>
      <c r="F668" s="35">
        <v>12</v>
      </c>
      <c r="G668" s="46">
        <v>769</v>
      </c>
      <c r="H668" s="46">
        <v>1230</v>
      </c>
    </row>
    <row r="669" spans="1:8" x14ac:dyDescent="0.3">
      <c r="A669" s="99" t="s">
        <v>598</v>
      </c>
      <c r="B669" s="61"/>
      <c r="C669" s="61"/>
      <c r="D669" s="62"/>
      <c r="E669" s="75" t="s">
        <v>1213</v>
      </c>
      <c r="F669" s="35">
        <v>12</v>
      </c>
      <c r="G669" s="46">
        <v>769</v>
      </c>
      <c r="H669" s="46">
        <v>1230</v>
      </c>
    </row>
    <row r="670" spans="1:8" x14ac:dyDescent="0.3">
      <c r="A670" s="99" t="s">
        <v>1824</v>
      </c>
      <c r="B670" s="61"/>
      <c r="C670" s="61"/>
      <c r="D670" s="62"/>
      <c r="E670" s="75" t="s">
        <v>1604</v>
      </c>
      <c r="F670" s="35">
        <v>8</v>
      </c>
      <c r="G670" s="46">
        <v>513</v>
      </c>
      <c r="H670" s="46">
        <v>820</v>
      </c>
    </row>
    <row r="671" spans="1:8" x14ac:dyDescent="0.3">
      <c r="A671" s="99" t="s">
        <v>1825</v>
      </c>
      <c r="B671" s="61"/>
      <c r="C671" s="61"/>
      <c r="D671" s="62"/>
      <c r="E671" s="75" t="s">
        <v>1605</v>
      </c>
      <c r="F671" s="35">
        <v>8</v>
      </c>
      <c r="G671" s="46">
        <v>513</v>
      </c>
      <c r="H671" s="46">
        <v>820</v>
      </c>
    </row>
    <row r="672" spans="1:8" x14ac:dyDescent="0.3">
      <c r="A672" s="99" t="s">
        <v>1826</v>
      </c>
      <c r="B672" s="61"/>
      <c r="C672" s="61"/>
      <c r="D672" s="62"/>
      <c r="E672" s="75" t="s">
        <v>1606</v>
      </c>
      <c r="F672" s="35">
        <v>8</v>
      </c>
      <c r="G672" s="46">
        <v>513</v>
      </c>
      <c r="H672" s="46">
        <v>820</v>
      </c>
    </row>
    <row r="673" spans="1:8" x14ac:dyDescent="0.3">
      <c r="A673" s="99" t="s">
        <v>1827</v>
      </c>
      <c r="B673" s="61"/>
      <c r="C673" s="61"/>
      <c r="D673" s="62"/>
      <c r="E673" s="75" t="s">
        <v>1607</v>
      </c>
      <c r="F673" s="35">
        <v>8</v>
      </c>
      <c r="G673" s="46">
        <v>513</v>
      </c>
      <c r="H673" s="46">
        <v>820</v>
      </c>
    </row>
    <row r="674" spans="1:8" x14ac:dyDescent="0.3">
      <c r="A674" s="99" t="s">
        <v>1828</v>
      </c>
      <c r="B674" s="61"/>
      <c r="C674" s="61"/>
      <c r="D674" s="62"/>
      <c r="E674" s="75" t="s">
        <v>1608</v>
      </c>
      <c r="F674" s="35">
        <v>8</v>
      </c>
      <c r="G674" s="46">
        <v>513</v>
      </c>
      <c r="H674" s="46">
        <v>820</v>
      </c>
    </row>
    <row r="675" spans="1:8" x14ac:dyDescent="0.3">
      <c r="A675" s="99" t="s">
        <v>1829</v>
      </c>
      <c r="B675" s="61"/>
      <c r="C675" s="61"/>
      <c r="D675" s="62"/>
      <c r="E675" s="75" t="s">
        <v>1609</v>
      </c>
      <c r="F675" s="35">
        <v>4</v>
      </c>
      <c r="G675" s="46">
        <v>262</v>
      </c>
      <c r="H675" s="46">
        <v>420</v>
      </c>
    </row>
    <row r="676" spans="1:8" x14ac:dyDescent="0.3">
      <c r="A676" s="99" t="s">
        <v>1830</v>
      </c>
      <c r="B676" s="61"/>
      <c r="C676" s="61"/>
      <c r="D676" s="62"/>
      <c r="E676" s="75" t="s">
        <v>1610</v>
      </c>
      <c r="F676" s="35">
        <v>4</v>
      </c>
      <c r="G676" s="46">
        <v>262</v>
      </c>
      <c r="H676" s="46">
        <v>420</v>
      </c>
    </row>
    <row r="677" spans="1:8" x14ac:dyDescent="0.3">
      <c r="A677" s="99" t="s">
        <v>1831</v>
      </c>
      <c r="B677" s="61"/>
      <c r="C677" s="61"/>
      <c r="D677" s="62"/>
      <c r="E677" s="75" t="s">
        <v>1611</v>
      </c>
      <c r="F677" s="35">
        <v>4</v>
      </c>
      <c r="G677" s="46">
        <v>262</v>
      </c>
      <c r="H677" s="46">
        <v>420</v>
      </c>
    </row>
    <row r="678" spans="1:8" x14ac:dyDescent="0.3">
      <c r="A678" s="99" t="s">
        <v>1832</v>
      </c>
      <c r="B678" s="61"/>
      <c r="C678" s="61"/>
      <c r="D678" s="62"/>
      <c r="E678" s="75" t="s">
        <v>1612</v>
      </c>
      <c r="F678" s="35">
        <v>11</v>
      </c>
      <c r="G678" s="46">
        <v>706</v>
      </c>
      <c r="H678" s="46">
        <v>1130</v>
      </c>
    </row>
    <row r="679" spans="1:8" x14ac:dyDescent="0.3">
      <c r="A679" s="99" t="s">
        <v>1833</v>
      </c>
      <c r="B679" s="61"/>
      <c r="C679" s="61"/>
      <c r="D679" s="62"/>
      <c r="E679" s="75" t="s">
        <v>1613</v>
      </c>
      <c r="F679" s="35">
        <v>11</v>
      </c>
      <c r="G679" s="46">
        <v>706</v>
      </c>
      <c r="H679" s="46">
        <v>1130</v>
      </c>
    </row>
    <row r="680" spans="1:8" x14ac:dyDescent="0.3">
      <c r="A680" s="99" t="s">
        <v>1834</v>
      </c>
      <c r="B680" s="61"/>
      <c r="C680" s="61"/>
      <c r="D680" s="62"/>
      <c r="E680" s="75" t="s">
        <v>1614</v>
      </c>
      <c r="F680" s="35">
        <v>11</v>
      </c>
      <c r="G680" s="46">
        <v>706</v>
      </c>
      <c r="H680" s="46">
        <v>1130</v>
      </c>
    </row>
    <row r="681" spans="1:8" x14ac:dyDescent="0.3">
      <c r="A681" s="99" t="s">
        <v>1835</v>
      </c>
      <c r="B681" s="61"/>
      <c r="C681" s="61"/>
      <c r="D681" s="62"/>
      <c r="E681" s="75" t="s">
        <v>1615</v>
      </c>
      <c r="F681" s="35">
        <v>11</v>
      </c>
      <c r="G681" s="46">
        <v>706</v>
      </c>
      <c r="H681" s="46">
        <v>1130</v>
      </c>
    </row>
    <row r="682" spans="1:8" x14ac:dyDescent="0.3">
      <c r="A682" s="99" t="s">
        <v>1836</v>
      </c>
      <c r="B682" s="61"/>
      <c r="C682" s="61"/>
      <c r="D682" s="62"/>
      <c r="E682" s="75" t="s">
        <v>1616</v>
      </c>
      <c r="F682" s="35">
        <v>11</v>
      </c>
      <c r="G682" s="46">
        <v>706</v>
      </c>
      <c r="H682" s="46">
        <v>1130</v>
      </c>
    </row>
    <row r="683" spans="1:8" x14ac:dyDescent="0.3">
      <c r="A683" s="99" t="s">
        <v>1837</v>
      </c>
      <c r="B683" s="61"/>
      <c r="C683" s="61"/>
      <c r="D683" s="62"/>
      <c r="E683" s="75" t="s">
        <v>1617</v>
      </c>
      <c r="F683" s="35">
        <v>11</v>
      </c>
      <c r="G683" s="46">
        <v>706</v>
      </c>
      <c r="H683" s="46">
        <v>1130</v>
      </c>
    </row>
    <row r="684" spans="1:8" x14ac:dyDescent="0.3">
      <c r="A684" s="99" t="s">
        <v>1088</v>
      </c>
      <c r="B684" s="61"/>
      <c r="C684" s="61"/>
      <c r="D684" s="62"/>
      <c r="E684" s="75" t="s">
        <v>977</v>
      </c>
      <c r="F684" s="35">
        <v>12</v>
      </c>
      <c r="G684" s="46">
        <v>813</v>
      </c>
      <c r="H684" s="46">
        <v>1300</v>
      </c>
    </row>
    <row r="685" spans="1:8" x14ac:dyDescent="0.3">
      <c r="A685" s="99" t="s">
        <v>1089</v>
      </c>
      <c r="B685" s="61"/>
      <c r="C685" s="61"/>
      <c r="D685" s="62"/>
      <c r="E685" s="75" t="s">
        <v>1214</v>
      </c>
      <c r="F685" s="35">
        <v>12</v>
      </c>
      <c r="G685" s="46">
        <v>813</v>
      </c>
      <c r="H685" s="46">
        <v>1300</v>
      </c>
    </row>
    <row r="686" spans="1:8" ht="14.5" thickBot="1" x14ac:dyDescent="0.35">
      <c r="A686" s="99" t="s">
        <v>1090</v>
      </c>
      <c r="B686" s="61"/>
      <c r="C686" s="61"/>
      <c r="D686" s="62"/>
      <c r="E686" s="75" t="s">
        <v>1215</v>
      </c>
      <c r="F686" s="35">
        <v>12</v>
      </c>
      <c r="G686" s="46">
        <v>813</v>
      </c>
      <c r="H686" s="46">
        <v>1300</v>
      </c>
    </row>
    <row r="687" spans="1:8" ht="14.5" thickBot="1" x14ac:dyDescent="0.35">
      <c r="A687" s="38" t="s">
        <v>22</v>
      </c>
      <c r="B687" s="39"/>
      <c r="C687" s="39"/>
      <c r="D687" s="40"/>
      <c r="E687" s="43" t="s">
        <v>735</v>
      </c>
      <c r="F687" s="41"/>
      <c r="G687" s="42"/>
      <c r="H687" s="60"/>
    </row>
    <row r="688" spans="1:8" x14ac:dyDescent="0.3">
      <c r="A688" s="99" t="s">
        <v>1311</v>
      </c>
      <c r="B688" s="61"/>
      <c r="C688" s="61"/>
      <c r="D688" s="62"/>
      <c r="E688" s="75" t="s">
        <v>1217</v>
      </c>
      <c r="F688" s="35">
        <v>8</v>
      </c>
      <c r="G688" s="46">
        <v>525</v>
      </c>
      <c r="H688" s="46">
        <v>840</v>
      </c>
    </row>
    <row r="689" spans="1:8" x14ac:dyDescent="0.3">
      <c r="A689" s="99" t="s">
        <v>804</v>
      </c>
      <c r="B689" s="61"/>
      <c r="C689" s="61"/>
      <c r="D689" s="62"/>
      <c r="E689" s="75" t="s">
        <v>703</v>
      </c>
      <c r="F689" s="35">
        <v>14</v>
      </c>
      <c r="G689" s="46">
        <v>937</v>
      </c>
      <c r="H689" s="46">
        <v>1500</v>
      </c>
    </row>
    <row r="690" spans="1:8" x14ac:dyDescent="0.3">
      <c r="A690" s="99" t="s">
        <v>1838</v>
      </c>
      <c r="B690" s="61"/>
      <c r="C690" s="61"/>
      <c r="D690" s="62"/>
      <c r="E690" s="75" t="s">
        <v>1618</v>
      </c>
      <c r="F690" s="35">
        <v>11</v>
      </c>
      <c r="G690" s="46">
        <v>731</v>
      </c>
      <c r="H690" s="46">
        <v>1170</v>
      </c>
    </row>
    <row r="691" spans="1:8" x14ac:dyDescent="0.3">
      <c r="A691" s="99" t="s">
        <v>1839</v>
      </c>
      <c r="B691" s="61"/>
      <c r="C691" s="61"/>
      <c r="D691" s="62"/>
      <c r="E691" s="75" t="s">
        <v>1619</v>
      </c>
      <c r="F691" s="35">
        <v>10</v>
      </c>
      <c r="G691" s="46">
        <v>682</v>
      </c>
      <c r="H691" s="46">
        <v>1090</v>
      </c>
    </row>
    <row r="692" spans="1:8" x14ac:dyDescent="0.3">
      <c r="A692" s="99" t="s">
        <v>1840</v>
      </c>
      <c r="B692" s="61"/>
      <c r="C692" s="61"/>
      <c r="D692" s="62"/>
      <c r="E692" s="75" t="s">
        <v>1620</v>
      </c>
      <c r="F692" s="35">
        <v>10</v>
      </c>
      <c r="G692" s="46">
        <v>637</v>
      </c>
      <c r="H692" s="46">
        <v>1020</v>
      </c>
    </row>
    <row r="693" spans="1:8" x14ac:dyDescent="0.3">
      <c r="A693" s="99" t="s">
        <v>1841</v>
      </c>
      <c r="B693" s="61"/>
      <c r="C693" s="61"/>
      <c r="D693" s="62"/>
      <c r="E693" s="75" t="s">
        <v>1621</v>
      </c>
      <c r="F693" s="35">
        <v>10</v>
      </c>
      <c r="G693" s="46">
        <v>637</v>
      </c>
      <c r="H693" s="46">
        <v>1020</v>
      </c>
    </row>
    <row r="694" spans="1:8" x14ac:dyDescent="0.3">
      <c r="A694" s="99" t="s">
        <v>1842</v>
      </c>
      <c r="B694" s="61"/>
      <c r="C694" s="61"/>
      <c r="D694" s="62"/>
      <c r="E694" s="75" t="s">
        <v>1622</v>
      </c>
      <c r="F694" s="35">
        <v>10</v>
      </c>
      <c r="G694" s="46">
        <v>637</v>
      </c>
      <c r="H694" s="46">
        <v>1020</v>
      </c>
    </row>
    <row r="695" spans="1:8" x14ac:dyDescent="0.3">
      <c r="A695" s="99" t="s">
        <v>1843</v>
      </c>
      <c r="B695" s="61"/>
      <c r="C695" s="61"/>
      <c r="D695" s="62"/>
      <c r="E695" s="75" t="s">
        <v>1623</v>
      </c>
      <c r="F695" s="35">
        <v>16</v>
      </c>
      <c r="G695" s="46">
        <v>1038</v>
      </c>
      <c r="H695" s="46">
        <v>1660</v>
      </c>
    </row>
    <row r="696" spans="1:8" x14ac:dyDescent="0.3">
      <c r="A696" s="99" t="s">
        <v>1844</v>
      </c>
      <c r="B696" s="61"/>
      <c r="C696" s="61"/>
      <c r="D696" s="62"/>
      <c r="E696" s="75" t="s">
        <v>1624</v>
      </c>
      <c r="F696" s="35">
        <v>16</v>
      </c>
      <c r="G696" s="46">
        <v>1038</v>
      </c>
      <c r="H696" s="46">
        <v>1660</v>
      </c>
    </row>
    <row r="697" spans="1:8" x14ac:dyDescent="0.3">
      <c r="A697" s="99" t="s">
        <v>1312</v>
      </c>
      <c r="B697" s="61"/>
      <c r="C697" s="61"/>
      <c r="D697" s="62"/>
      <c r="E697" s="75" t="s">
        <v>1218</v>
      </c>
      <c r="F697" s="35">
        <v>8</v>
      </c>
      <c r="G697" s="46">
        <v>525</v>
      </c>
      <c r="H697" s="46">
        <v>840</v>
      </c>
    </row>
    <row r="698" spans="1:8" x14ac:dyDescent="0.3">
      <c r="A698" s="99" t="s">
        <v>1085</v>
      </c>
      <c r="B698" s="61"/>
      <c r="C698" s="61"/>
      <c r="D698" s="62"/>
      <c r="E698" s="75" t="s">
        <v>975</v>
      </c>
      <c r="F698" s="35">
        <v>12</v>
      </c>
      <c r="G698" s="46">
        <v>813</v>
      </c>
      <c r="H698" s="46">
        <v>1300</v>
      </c>
    </row>
    <row r="699" spans="1:8" x14ac:dyDescent="0.3">
      <c r="A699" s="99" t="s">
        <v>1313</v>
      </c>
      <c r="B699" s="61"/>
      <c r="C699" s="61"/>
      <c r="D699" s="62"/>
      <c r="E699" s="75" t="s">
        <v>1219</v>
      </c>
      <c r="F699" s="35">
        <v>9</v>
      </c>
      <c r="G699" s="46">
        <v>581</v>
      </c>
      <c r="H699" s="46">
        <v>930</v>
      </c>
    </row>
    <row r="700" spans="1:8" x14ac:dyDescent="0.3">
      <c r="A700" s="99" t="s">
        <v>1314</v>
      </c>
      <c r="B700" s="61"/>
      <c r="C700" s="61"/>
      <c r="D700" s="62"/>
      <c r="E700" s="75" t="s">
        <v>1220</v>
      </c>
      <c r="F700" s="35">
        <v>9</v>
      </c>
      <c r="G700" s="46">
        <v>581</v>
      </c>
      <c r="H700" s="46">
        <v>930</v>
      </c>
    </row>
    <row r="701" spans="1:8" x14ac:dyDescent="0.3">
      <c r="A701" s="99" t="s">
        <v>1315</v>
      </c>
      <c r="B701" s="61"/>
      <c r="C701" s="61"/>
      <c r="D701" s="62"/>
      <c r="E701" s="75" t="s">
        <v>1221</v>
      </c>
      <c r="F701" s="35">
        <v>9</v>
      </c>
      <c r="G701" s="46">
        <v>581</v>
      </c>
      <c r="H701" s="46">
        <v>930</v>
      </c>
    </row>
    <row r="702" spans="1:8" ht="14.5" thickBot="1" x14ac:dyDescent="0.35">
      <c r="A702" s="99" t="s">
        <v>1087</v>
      </c>
      <c r="B702" s="61"/>
      <c r="C702" s="61"/>
      <c r="D702" s="62"/>
      <c r="E702" s="75" t="s">
        <v>198</v>
      </c>
      <c r="F702" s="35">
        <v>4</v>
      </c>
      <c r="G702" s="46">
        <v>140</v>
      </c>
      <c r="H702" s="46">
        <v>449</v>
      </c>
    </row>
    <row r="703" spans="1:8" ht="14.5" thickBot="1" x14ac:dyDescent="0.35">
      <c r="A703" s="38" t="s">
        <v>22</v>
      </c>
      <c r="B703" s="39"/>
      <c r="C703" s="39"/>
      <c r="D703" s="40"/>
      <c r="E703" s="43" t="s">
        <v>60</v>
      </c>
      <c r="F703" s="41"/>
      <c r="G703" s="42"/>
      <c r="H703" s="60"/>
    </row>
    <row r="704" spans="1:8" x14ac:dyDescent="0.3">
      <c r="A704" s="99" t="s">
        <v>443</v>
      </c>
      <c r="B704" s="61"/>
      <c r="C704" s="61"/>
      <c r="D704" s="62"/>
      <c r="E704" s="75" t="s">
        <v>428</v>
      </c>
      <c r="F704" s="35">
        <v>22</v>
      </c>
      <c r="G704" s="46">
        <v>1437</v>
      </c>
      <c r="H704" s="46">
        <v>2300</v>
      </c>
    </row>
    <row r="705" spans="1:8" x14ac:dyDescent="0.3">
      <c r="A705" s="99" t="s">
        <v>444</v>
      </c>
      <c r="B705" s="61"/>
      <c r="C705" s="61"/>
      <c r="D705" s="62"/>
      <c r="E705" s="75" t="s">
        <v>429</v>
      </c>
      <c r="F705" s="35">
        <v>16</v>
      </c>
      <c r="G705" s="46">
        <v>1038</v>
      </c>
      <c r="H705" s="46">
        <v>1660</v>
      </c>
    </row>
    <row r="706" spans="1:8" x14ac:dyDescent="0.3">
      <c r="A706" s="99" t="s">
        <v>1316</v>
      </c>
      <c r="B706" s="61"/>
      <c r="C706" s="61"/>
      <c r="D706" s="62"/>
      <c r="E706" s="75" t="s">
        <v>1222</v>
      </c>
      <c r="F706" s="35">
        <v>16</v>
      </c>
      <c r="G706" s="46">
        <v>1038</v>
      </c>
      <c r="H706" s="46">
        <v>1660</v>
      </c>
    </row>
    <row r="707" spans="1:8" x14ac:dyDescent="0.3">
      <c r="A707" s="99" t="s">
        <v>445</v>
      </c>
      <c r="B707" s="61"/>
      <c r="C707" s="61"/>
      <c r="D707" s="62"/>
      <c r="E707" s="75" t="s">
        <v>1223</v>
      </c>
      <c r="F707" s="35">
        <v>16</v>
      </c>
      <c r="G707" s="46">
        <v>1038</v>
      </c>
      <c r="H707" s="46">
        <v>1660</v>
      </c>
    </row>
    <row r="708" spans="1:8" x14ac:dyDescent="0.3">
      <c r="A708" s="99" t="s">
        <v>819</v>
      </c>
      <c r="B708" s="61"/>
      <c r="C708" s="61"/>
      <c r="D708" s="62"/>
      <c r="E708" s="75" t="s">
        <v>714</v>
      </c>
      <c r="F708" s="35">
        <v>7</v>
      </c>
      <c r="G708" s="46">
        <v>425</v>
      </c>
      <c r="H708" s="46">
        <v>680</v>
      </c>
    </row>
    <row r="709" spans="1:8" x14ac:dyDescent="0.3">
      <c r="A709" s="99" t="s">
        <v>810</v>
      </c>
      <c r="B709" s="61"/>
      <c r="C709" s="61"/>
      <c r="D709" s="62"/>
      <c r="E709" s="75" t="s">
        <v>170</v>
      </c>
      <c r="F709" s="35">
        <v>20</v>
      </c>
      <c r="G709" s="46">
        <v>1312</v>
      </c>
      <c r="H709" s="46">
        <v>2100</v>
      </c>
    </row>
    <row r="710" spans="1:8" x14ac:dyDescent="0.3">
      <c r="A710" s="99" t="s">
        <v>811</v>
      </c>
      <c r="B710" s="61"/>
      <c r="C710" s="61"/>
      <c r="D710" s="62"/>
      <c r="E710" s="75" t="s">
        <v>708</v>
      </c>
      <c r="F710" s="35">
        <v>20</v>
      </c>
      <c r="G710" s="46">
        <v>1312</v>
      </c>
      <c r="H710" s="46">
        <v>2100</v>
      </c>
    </row>
    <row r="711" spans="1:8" x14ac:dyDescent="0.3">
      <c r="A711" s="99" t="s">
        <v>812</v>
      </c>
      <c r="B711" s="61"/>
      <c r="C711" s="61"/>
      <c r="D711" s="62"/>
      <c r="E711" s="75" t="s">
        <v>709</v>
      </c>
      <c r="F711" s="35">
        <v>20</v>
      </c>
      <c r="G711" s="46">
        <v>1312</v>
      </c>
      <c r="H711" s="46">
        <v>2100</v>
      </c>
    </row>
    <row r="712" spans="1:8" x14ac:dyDescent="0.3">
      <c r="A712" s="99" t="s">
        <v>813</v>
      </c>
      <c r="B712" s="61"/>
      <c r="C712" s="61"/>
      <c r="D712" s="62"/>
      <c r="E712" s="75" t="s">
        <v>710</v>
      </c>
      <c r="F712" s="35">
        <v>20</v>
      </c>
      <c r="G712" s="46">
        <v>1312</v>
      </c>
      <c r="H712" s="46">
        <v>2100</v>
      </c>
    </row>
    <row r="713" spans="1:8" x14ac:dyDescent="0.3">
      <c r="A713" s="99" t="s">
        <v>814</v>
      </c>
      <c r="B713" s="61"/>
      <c r="C713" s="61"/>
      <c r="D713" s="62"/>
      <c r="E713" s="75" t="s">
        <v>711</v>
      </c>
      <c r="F713" s="35">
        <v>20</v>
      </c>
      <c r="G713" s="46">
        <v>1312</v>
      </c>
      <c r="H713" s="46">
        <v>2100</v>
      </c>
    </row>
    <row r="714" spans="1:8" x14ac:dyDescent="0.3">
      <c r="A714" s="99" t="s">
        <v>1319</v>
      </c>
      <c r="B714" s="61"/>
      <c r="C714" s="61"/>
      <c r="D714" s="62"/>
      <c r="E714" s="75" t="s">
        <v>1225</v>
      </c>
      <c r="F714" s="35">
        <v>20</v>
      </c>
      <c r="G714" s="46">
        <v>1312</v>
      </c>
      <c r="H714" s="46">
        <v>2100</v>
      </c>
    </row>
    <row r="715" spans="1:8" x14ac:dyDescent="0.3">
      <c r="A715" s="99" t="s">
        <v>815</v>
      </c>
      <c r="B715" s="61"/>
      <c r="C715" s="61"/>
      <c r="D715" s="62"/>
      <c r="E715" s="75" t="s">
        <v>712</v>
      </c>
      <c r="F715" s="35">
        <v>20</v>
      </c>
      <c r="G715" s="46">
        <v>1312</v>
      </c>
      <c r="H715" s="46">
        <v>2100</v>
      </c>
    </row>
    <row r="716" spans="1:8" x14ac:dyDescent="0.3">
      <c r="A716" s="99" t="s">
        <v>816</v>
      </c>
      <c r="B716" s="61"/>
      <c r="C716" s="61"/>
      <c r="D716" s="62"/>
      <c r="E716" s="75" t="s">
        <v>62</v>
      </c>
      <c r="F716" s="35">
        <v>18</v>
      </c>
      <c r="G716" s="46">
        <v>1162</v>
      </c>
      <c r="H716" s="46">
        <v>1860</v>
      </c>
    </row>
    <row r="717" spans="1:8" x14ac:dyDescent="0.3">
      <c r="A717" s="99" t="s">
        <v>817</v>
      </c>
      <c r="B717" s="61"/>
      <c r="C717" s="61"/>
      <c r="D717" s="62"/>
      <c r="E717" s="75" t="s">
        <v>868</v>
      </c>
      <c r="F717" s="35">
        <v>18</v>
      </c>
      <c r="G717" s="46">
        <v>1162</v>
      </c>
      <c r="H717" s="46">
        <v>1860</v>
      </c>
    </row>
    <row r="718" spans="1:8" x14ac:dyDescent="0.3">
      <c r="A718" s="99" t="s">
        <v>1100</v>
      </c>
      <c r="B718" s="61"/>
      <c r="C718" s="61"/>
      <c r="D718" s="62"/>
      <c r="E718" s="75" t="s">
        <v>990</v>
      </c>
      <c r="F718" s="35">
        <v>22</v>
      </c>
      <c r="G718" s="46">
        <v>1469</v>
      </c>
      <c r="H718" s="46">
        <v>2350</v>
      </c>
    </row>
    <row r="719" spans="1:8" x14ac:dyDescent="0.3">
      <c r="A719" s="99" t="s">
        <v>1101</v>
      </c>
      <c r="B719" s="61"/>
      <c r="C719" s="61"/>
      <c r="D719" s="62"/>
      <c r="E719" s="75" t="s">
        <v>991</v>
      </c>
      <c r="F719" s="35">
        <v>22</v>
      </c>
      <c r="G719" s="46">
        <v>1469</v>
      </c>
      <c r="H719" s="46">
        <v>2350</v>
      </c>
    </row>
    <row r="720" spans="1:8" x14ac:dyDescent="0.3">
      <c r="A720" s="99" t="s">
        <v>1102</v>
      </c>
      <c r="B720" s="61"/>
      <c r="C720" s="61"/>
      <c r="D720" s="62"/>
      <c r="E720" s="75" t="s">
        <v>992</v>
      </c>
      <c r="F720" s="35">
        <v>22</v>
      </c>
      <c r="G720" s="46">
        <v>1469</v>
      </c>
      <c r="H720" s="46">
        <v>2350</v>
      </c>
    </row>
    <row r="721" spans="1:8" x14ac:dyDescent="0.3">
      <c r="A721" s="99" t="s">
        <v>1103</v>
      </c>
      <c r="B721" s="61"/>
      <c r="C721" s="61"/>
      <c r="D721" s="62"/>
      <c r="E721" s="75" t="s">
        <v>993</v>
      </c>
      <c r="F721" s="35">
        <v>22</v>
      </c>
      <c r="G721" s="46">
        <v>1469</v>
      </c>
      <c r="H721" s="46">
        <v>2350</v>
      </c>
    </row>
    <row r="722" spans="1:8" x14ac:dyDescent="0.3">
      <c r="A722" s="99" t="s">
        <v>446</v>
      </c>
      <c r="B722" s="61"/>
      <c r="C722" s="61"/>
      <c r="D722" s="62"/>
      <c r="E722" s="75" t="s">
        <v>430</v>
      </c>
      <c r="F722" s="35">
        <v>15</v>
      </c>
      <c r="G722" s="46">
        <v>987</v>
      </c>
      <c r="H722" s="46">
        <v>1580</v>
      </c>
    </row>
    <row r="723" spans="1:8" x14ac:dyDescent="0.3">
      <c r="A723" s="99" t="s">
        <v>447</v>
      </c>
      <c r="B723" s="61"/>
      <c r="C723" s="61"/>
      <c r="D723" s="62"/>
      <c r="E723" s="75" t="s">
        <v>431</v>
      </c>
      <c r="F723" s="35">
        <v>15</v>
      </c>
      <c r="G723" s="46">
        <v>987</v>
      </c>
      <c r="H723" s="46">
        <v>1580</v>
      </c>
    </row>
    <row r="724" spans="1:8" x14ac:dyDescent="0.3">
      <c r="A724" s="99" t="s">
        <v>448</v>
      </c>
      <c r="B724" s="61"/>
      <c r="C724" s="61"/>
      <c r="D724" s="62"/>
      <c r="E724" s="75" t="s">
        <v>432</v>
      </c>
      <c r="F724" s="35">
        <v>15</v>
      </c>
      <c r="G724" s="46">
        <v>987</v>
      </c>
      <c r="H724" s="46">
        <v>1580</v>
      </c>
    </row>
    <row r="725" spans="1:8" x14ac:dyDescent="0.3">
      <c r="A725" s="99" t="s">
        <v>449</v>
      </c>
      <c r="B725" s="61"/>
      <c r="C725" s="61"/>
      <c r="D725" s="62"/>
      <c r="E725" s="75" t="s">
        <v>433</v>
      </c>
      <c r="F725" s="35">
        <v>15</v>
      </c>
      <c r="G725" s="46">
        <v>987</v>
      </c>
      <c r="H725" s="46">
        <v>1580</v>
      </c>
    </row>
    <row r="726" spans="1:8" x14ac:dyDescent="0.3">
      <c r="A726" s="99" t="s">
        <v>450</v>
      </c>
      <c r="B726" s="61"/>
      <c r="C726" s="61"/>
      <c r="D726" s="62"/>
      <c r="E726" s="75" t="s">
        <v>434</v>
      </c>
      <c r="F726" s="35">
        <v>15</v>
      </c>
      <c r="G726" s="46">
        <v>987</v>
      </c>
      <c r="H726" s="46">
        <v>1580</v>
      </c>
    </row>
    <row r="727" spans="1:8" x14ac:dyDescent="0.3">
      <c r="A727" s="99" t="s">
        <v>451</v>
      </c>
      <c r="B727" s="61"/>
      <c r="C727" s="61"/>
      <c r="D727" s="62"/>
      <c r="E727" s="75" t="s">
        <v>435</v>
      </c>
      <c r="F727" s="35">
        <v>15</v>
      </c>
      <c r="G727" s="46">
        <v>987</v>
      </c>
      <c r="H727" s="46">
        <v>1580</v>
      </c>
    </row>
    <row r="728" spans="1:8" ht="14.5" thickBot="1" x14ac:dyDescent="0.35">
      <c r="A728" s="99" t="s">
        <v>1082</v>
      </c>
      <c r="B728" s="61"/>
      <c r="C728" s="61"/>
      <c r="D728" s="62"/>
      <c r="E728" s="75" t="s">
        <v>972</v>
      </c>
      <c r="F728" s="35">
        <v>15</v>
      </c>
      <c r="G728" s="46">
        <v>1000</v>
      </c>
      <c r="H728" s="46">
        <v>1600</v>
      </c>
    </row>
    <row r="729" spans="1:8" ht="14.5" thickBot="1" x14ac:dyDescent="0.35">
      <c r="A729" s="38" t="s">
        <v>22</v>
      </c>
      <c r="B729" s="39"/>
      <c r="C729" s="39"/>
      <c r="D729" s="40"/>
      <c r="E729" s="43" t="s">
        <v>1290</v>
      </c>
      <c r="F729" s="41"/>
      <c r="G729" s="42"/>
      <c r="H729" s="60"/>
    </row>
    <row r="730" spans="1:8" x14ac:dyDescent="0.3">
      <c r="A730" s="99" t="s">
        <v>1113</v>
      </c>
      <c r="B730" s="61"/>
      <c r="C730" s="61"/>
      <c r="D730" s="62"/>
      <c r="E730" s="75" t="s">
        <v>1004</v>
      </c>
      <c r="F730" s="35">
        <v>6</v>
      </c>
      <c r="G730" s="46">
        <v>368</v>
      </c>
      <c r="H730" s="46">
        <v>590</v>
      </c>
    </row>
    <row r="731" spans="1:8" x14ac:dyDescent="0.3">
      <c r="A731" s="99" t="s">
        <v>1114</v>
      </c>
      <c r="B731" s="61"/>
      <c r="C731" s="61"/>
      <c r="D731" s="62"/>
      <c r="E731" s="75" t="s">
        <v>1005</v>
      </c>
      <c r="F731" s="35">
        <v>6</v>
      </c>
      <c r="G731" s="46">
        <v>368</v>
      </c>
      <c r="H731" s="46">
        <v>590</v>
      </c>
    </row>
    <row r="732" spans="1:8" x14ac:dyDescent="0.3">
      <c r="A732" s="99" t="s">
        <v>1115</v>
      </c>
      <c r="B732" s="61"/>
      <c r="C732" s="61"/>
      <c r="D732" s="62"/>
      <c r="E732" s="75" t="s">
        <v>1006</v>
      </c>
      <c r="F732" s="35">
        <v>6</v>
      </c>
      <c r="G732" s="46">
        <v>368</v>
      </c>
      <c r="H732" s="46">
        <v>590</v>
      </c>
    </row>
    <row r="733" spans="1:8" x14ac:dyDescent="0.3">
      <c r="A733" s="99" t="s">
        <v>1116</v>
      </c>
      <c r="B733" s="61"/>
      <c r="C733" s="61"/>
      <c r="D733" s="62"/>
      <c r="E733" s="75" t="s">
        <v>1007</v>
      </c>
      <c r="F733" s="35">
        <v>6</v>
      </c>
      <c r="G733" s="46">
        <v>368</v>
      </c>
      <c r="H733" s="46">
        <v>590</v>
      </c>
    </row>
    <row r="734" spans="1:8" x14ac:dyDescent="0.3">
      <c r="A734" s="99" t="s">
        <v>1117</v>
      </c>
      <c r="B734" s="61"/>
      <c r="C734" s="61"/>
      <c r="D734" s="62"/>
      <c r="E734" s="75" t="s">
        <v>1008</v>
      </c>
      <c r="F734" s="35">
        <v>6</v>
      </c>
      <c r="G734" s="46">
        <v>368</v>
      </c>
      <c r="H734" s="46">
        <v>590</v>
      </c>
    </row>
    <row r="735" spans="1:8" x14ac:dyDescent="0.3">
      <c r="A735" s="99" t="s">
        <v>1118</v>
      </c>
      <c r="B735" s="61"/>
      <c r="C735" s="61"/>
      <c r="D735" s="62"/>
      <c r="E735" s="75" t="s">
        <v>1009</v>
      </c>
      <c r="F735" s="35">
        <v>6</v>
      </c>
      <c r="G735" s="46">
        <v>368</v>
      </c>
      <c r="H735" s="46">
        <v>590</v>
      </c>
    </row>
    <row r="736" spans="1:8" x14ac:dyDescent="0.3">
      <c r="A736" s="99" t="s">
        <v>1119</v>
      </c>
      <c r="B736" s="61"/>
      <c r="C736" s="61"/>
      <c r="D736" s="62"/>
      <c r="E736" s="75" t="s">
        <v>1010</v>
      </c>
      <c r="F736" s="35">
        <v>6</v>
      </c>
      <c r="G736" s="46">
        <v>368</v>
      </c>
      <c r="H736" s="46">
        <v>590</v>
      </c>
    </row>
    <row r="737" spans="1:8" x14ac:dyDescent="0.3">
      <c r="A737" s="99" t="s">
        <v>829</v>
      </c>
      <c r="B737" s="61"/>
      <c r="C737" s="61"/>
      <c r="D737" s="62"/>
      <c r="E737" s="75" t="s">
        <v>719</v>
      </c>
      <c r="F737" s="35">
        <v>6</v>
      </c>
      <c r="G737" s="46">
        <v>368</v>
      </c>
      <c r="H737" s="46">
        <v>590</v>
      </c>
    </row>
    <row r="738" spans="1:8" ht="14.5" thickBot="1" x14ac:dyDescent="0.35">
      <c r="A738" s="99" t="s">
        <v>828</v>
      </c>
      <c r="B738" s="61"/>
      <c r="C738" s="61"/>
      <c r="D738" s="62"/>
      <c r="E738" s="75" t="s">
        <v>718</v>
      </c>
      <c r="F738" s="35">
        <v>8</v>
      </c>
      <c r="G738" s="46">
        <v>525</v>
      </c>
      <c r="H738" s="46">
        <v>840</v>
      </c>
    </row>
    <row r="739" spans="1:8" ht="14.5" thickBot="1" x14ac:dyDescent="0.35">
      <c r="A739" s="38" t="s">
        <v>22</v>
      </c>
      <c r="B739" s="39"/>
      <c r="C739" s="39"/>
      <c r="D739" s="40"/>
      <c r="E739" s="43" t="s">
        <v>65</v>
      </c>
      <c r="F739" s="41"/>
      <c r="G739" s="42"/>
      <c r="H739" s="60"/>
    </row>
    <row r="740" spans="1:8" x14ac:dyDescent="0.3">
      <c r="A740" s="99" t="s">
        <v>585</v>
      </c>
      <c r="B740" s="61"/>
      <c r="C740" s="61"/>
      <c r="D740" s="62"/>
      <c r="E740" s="75" t="s">
        <v>579</v>
      </c>
      <c r="F740" s="35">
        <v>25</v>
      </c>
      <c r="G740" s="46">
        <v>1625</v>
      </c>
      <c r="H740" s="46">
        <v>2600</v>
      </c>
    </row>
    <row r="741" spans="1:8" x14ac:dyDescent="0.3">
      <c r="A741" s="99" t="s">
        <v>1321</v>
      </c>
      <c r="B741" s="61"/>
      <c r="C741" s="61"/>
      <c r="D741" s="62"/>
      <c r="E741" s="75" t="s">
        <v>164</v>
      </c>
      <c r="F741" s="35">
        <v>36</v>
      </c>
      <c r="G741" s="46">
        <v>2375</v>
      </c>
      <c r="H741" s="46">
        <v>3800</v>
      </c>
    </row>
    <row r="742" spans="1:8" x14ac:dyDescent="0.3">
      <c r="A742" s="99" t="s">
        <v>830</v>
      </c>
      <c r="B742" s="61"/>
      <c r="C742" s="61"/>
      <c r="D742" s="62"/>
      <c r="E742" s="75" t="s">
        <v>67</v>
      </c>
      <c r="F742" s="35">
        <v>55</v>
      </c>
      <c r="G742" s="46">
        <v>3625</v>
      </c>
      <c r="H742" s="46">
        <v>5800</v>
      </c>
    </row>
    <row r="743" spans="1:8" x14ac:dyDescent="0.3">
      <c r="A743" s="99" t="s">
        <v>258</v>
      </c>
      <c r="B743" s="61"/>
      <c r="C743" s="61"/>
      <c r="D743" s="62"/>
      <c r="E743" s="75" t="s">
        <v>68</v>
      </c>
      <c r="F743" s="35">
        <v>43</v>
      </c>
      <c r="G743" s="46">
        <v>2812</v>
      </c>
      <c r="H743" s="46">
        <v>4500</v>
      </c>
    </row>
    <row r="744" spans="1:8" x14ac:dyDescent="0.3">
      <c r="A744" s="99" t="s">
        <v>1121</v>
      </c>
      <c r="B744" s="61"/>
      <c r="C744" s="61"/>
      <c r="D744" s="62"/>
      <c r="E744" s="75" t="s">
        <v>70</v>
      </c>
      <c r="F744" s="35">
        <v>36</v>
      </c>
      <c r="G744" s="46">
        <v>2375</v>
      </c>
      <c r="H744" s="46">
        <v>3800</v>
      </c>
    </row>
    <row r="745" spans="1:8" x14ac:dyDescent="0.3">
      <c r="A745" s="99" t="s">
        <v>922</v>
      </c>
      <c r="B745" s="61"/>
      <c r="C745" s="61"/>
      <c r="D745" s="62"/>
      <c r="E745" s="75" t="s">
        <v>80</v>
      </c>
      <c r="F745" s="35">
        <v>43</v>
      </c>
      <c r="G745" s="46">
        <v>2812</v>
      </c>
      <c r="H745" s="46">
        <v>4500</v>
      </c>
    </row>
    <row r="746" spans="1:8" x14ac:dyDescent="0.3">
      <c r="A746" s="99" t="s">
        <v>1322</v>
      </c>
      <c r="B746" s="61"/>
      <c r="C746" s="61"/>
      <c r="D746" s="62"/>
      <c r="E746" s="75" t="s">
        <v>1227</v>
      </c>
      <c r="F746" s="35">
        <v>54</v>
      </c>
      <c r="G746" s="46">
        <v>3500</v>
      </c>
      <c r="H746" s="46">
        <v>5600</v>
      </c>
    </row>
    <row r="747" spans="1:8" x14ac:dyDescent="0.3">
      <c r="A747" s="99" t="s">
        <v>474</v>
      </c>
      <c r="B747" s="61"/>
      <c r="C747" s="61"/>
      <c r="D747" s="62"/>
      <c r="E747" s="75" t="s">
        <v>467</v>
      </c>
      <c r="F747" s="35">
        <v>43</v>
      </c>
      <c r="G747" s="46">
        <v>2812</v>
      </c>
      <c r="H747" s="46">
        <v>4500</v>
      </c>
    </row>
    <row r="748" spans="1:8" x14ac:dyDescent="0.3">
      <c r="A748" s="99" t="s">
        <v>503</v>
      </c>
      <c r="B748" s="61"/>
      <c r="C748" s="61"/>
      <c r="D748" s="62"/>
      <c r="E748" s="75" t="s">
        <v>486</v>
      </c>
      <c r="F748" s="35">
        <v>10</v>
      </c>
      <c r="G748" s="46">
        <v>663</v>
      </c>
      <c r="H748" s="46">
        <v>1060</v>
      </c>
    </row>
    <row r="749" spans="1:8" x14ac:dyDescent="0.3">
      <c r="A749" s="99" t="s">
        <v>1323</v>
      </c>
      <c r="B749" s="61"/>
      <c r="C749" s="61"/>
      <c r="D749" s="62"/>
      <c r="E749" s="75" t="s">
        <v>1228</v>
      </c>
      <c r="F749" s="35">
        <v>43</v>
      </c>
      <c r="G749" s="46">
        <v>2812</v>
      </c>
      <c r="H749" s="46">
        <v>4500</v>
      </c>
    </row>
    <row r="750" spans="1:8" x14ac:dyDescent="0.3">
      <c r="A750" s="99" t="s">
        <v>1169</v>
      </c>
      <c r="B750" s="61"/>
      <c r="C750" s="61"/>
      <c r="D750" s="62"/>
      <c r="E750" s="75" t="s">
        <v>1045</v>
      </c>
      <c r="F750" s="35">
        <v>36</v>
      </c>
      <c r="G750" s="46">
        <v>2375</v>
      </c>
      <c r="H750" s="46">
        <v>3800</v>
      </c>
    </row>
    <row r="751" spans="1:8" x14ac:dyDescent="0.3">
      <c r="A751" s="99" t="s">
        <v>1324</v>
      </c>
      <c r="B751" s="61"/>
      <c r="C751" s="61"/>
      <c r="D751" s="62"/>
      <c r="E751" s="75" t="s">
        <v>1229</v>
      </c>
      <c r="F751" s="35">
        <v>48</v>
      </c>
      <c r="G751" s="46">
        <v>3125</v>
      </c>
      <c r="H751" s="46">
        <v>5000</v>
      </c>
    </row>
    <row r="752" spans="1:8" x14ac:dyDescent="0.3">
      <c r="A752" s="99" t="s">
        <v>831</v>
      </c>
      <c r="B752" s="61"/>
      <c r="C752" s="61"/>
      <c r="D752" s="62"/>
      <c r="E752" s="75" t="s">
        <v>72</v>
      </c>
      <c r="F752" s="35">
        <v>48</v>
      </c>
      <c r="G752" s="46">
        <v>3125</v>
      </c>
      <c r="H752" s="46">
        <v>5000</v>
      </c>
    </row>
    <row r="753" spans="1:8" x14ac:dyDescent="0.3">
      <c r="A753" s="99" t="s">
        <v>1325</v>
      </c>
      <c r="B753" s="61"/>
      <c r="C753" s="61"/>
      <c r="D753" s="62"/>
      <c r="E753" s="75" t="s">
        <v>1230</v>
      </c>
      <c r="F753" s="35">
        <v>36</v>
      </c>
      <c r="G753" s="46">
        <v>2375</v>
      </c>
      <c r="H753" s="46">
        <v>3800</v>
      </c>
    </row>
    <row r="754" spans="1:8" x14ac:dyDescent="0.3">
      <c r="A754" s="99" t="s">
        <v>1170</v>
      </c>
      <c r="B754" s="61"/>
      <c r="C754" s="61"/>
      <c r="D754" s="62"/>
      <c r="E754" s="75" t="s">
        <v>1073</v>
      </c>
      <c r="F754" s="35">
        <v>36</v>
      </c>
      <c r="G754" s="46">
        <v>2375</v>
      </c>
      <c r="H754" s="46">
        <v>3800</v>
      </c>
    </row>
    <row r="755" spans="1:8" x14ac:dyDescent="0.3">
      <c r="A755" s="99" t="s">
        <v>1172</v>
      </c>
      <c r="B755" s="61"/>
      <c r="C755" s="61"/>
      <c r="D755" s="62"/>
      <c r="E755" s="75" t="s">
        <v>1075</v>
      </c>
      <c r="F755" s="35">
        <v>31</v>
      </c>
      <c r="G755" s="46">
        <v>2000</v>
      </c>
      <c r="H755" s="46">
        <v>3200</v>
      </c>
    </row>
    <row r="756" spans="1:8" x14ac:dyDescent="0.3">
      <c r="A756" s="99" t="s">
        <v>1845</v>
      </c>
      <c r="B756" s="61"/>
      <c r="C756" s="61"/>
      <c r="D756" s="62"/>
      <c r="E756" s="75" t="s">
        <v>1625</v>
      </c>
      <c r="F756" s="35">
        <v>36</v>
      </c>
      <c r="G756" s="46">
        <v>2375</v>
      </c>
      <c r="H756" s="46">
        <v>3800</v>
      </c>
    </row>
    <row r="757" spans="1:8" x14ac:dyDescent="0.3">
      <c r="A757" s="99" t="s">
        <v>469</v>
      </c>
      <c r="B757" s="61"/>
      <c r="C757" s="61"/>
      <c r="D757" s="62"/>
      <c r="E757" s="75" t="s">
        <v>463</v>
      </c>
      <c r="F757" s="35">
        <v>10</v>
      </c>
      <c r="G757" s="46">
        <v>663</v>
      </c>
      <c r="H757" s="46">
        <v>1060</v>
      </c>
    </row>
    <row r="758" spans="1:8" x14ac:dyDescent="0.3">
      <c r="A758" s="99" t="s">
        <v>505</v>
      </c>
      <c r="B758" s="61"/>
      <c r="C758" s="61"/>
      <c r="D758" s="62"/>
      <c r="E758" s="75" t="s">
        <v>83</v>
      </c>
      <c r="F758" s="35">
        <v>48</v>
      </c>
      <c r="G758" s="46">
        <v>3125</v>
      </c>
      <c r="H758" s="46">
        <v>5000</v>
      </c>
    </row>
    <row r="759" spans="1:8" x14ac:dyDescent="0.3">
      <c r="A759" s="99" t="s">
        <v>1124</v>
      </c>
      <c r="B759" s="61"/>
      <c r="C759" s="61"/>
      <c r="D759" s="62"/>
      <c r="E759" s="75" t="s">
        <v>1013</v>
      </c>
      <c r="F759" s="35">
        <v>31</v>
      </c>
      <c r="G759" s="46">
        <v>2000</v>
      </c>
      <c r="H759" s="46">
        <v>3200</v>
      </c>
    </row>
    <row r="760" spans="1:8" x14ac:dyDescent="0.3">
      <c r="A760" s="99" t="s">
        <v>1331</v>
      </c>
      <c r="B760" s="61"/>
      <c r="C760" s="61"/>
      <c r="D760" s="62"/>
      <c r="E760" s="75" t="s">
        <v>1235</v>
      </c>
      <c r="F760" s="35">
        <v>54</v>
      </c>
      <c r="G760" s="46">
        <v>3500</v>
      </c>
      <c r="H760" s="46">
        <v>5600</v>
      </c>
    </row>
    <row r="761" spans="1:8" x14ac:dyDescent="0.3">
      <c r="A761" s="99" t="s">
        <v>189</v>
      </c>
      <c r="B761" s="61"/>
      <c r="C761" s="61"/>
      <c r="D761" s="62"/>
      <c r="E761" s="75" t="s">
        <v>1236</v>
      </c>
      <c r="F761" s="35">
        <v>36</v>
      </c>
      <c r="G761" s="46">
        <v>2375</v>
      </c>
      <c r="H761" s="46">
        <v>3800</v>
      </c>
    </row>
    <row r="762" spans="1:8" x14ac:dyDescent="0.3">
      <c r="A762" s="99" t="s">
        <v>1592</v>
      </c>
      <c r="B762" s="61"/>
      <c r="C762" s="61"/>
      <c r="D762" s="62"/>
      <c r="E762" s="75" t="s">
        <v>1600</v>
      </c>
      <c r="F762" s="35">
        <v>36</v>
      </c>
      <c r="G762" s="46">
        <v>2375</v>
      </c>
      <c r="H762" s="46">
        <v>3800</v>
      </c>
    </row>
    <row r="763" spans="1:8" x14ac:dyDescent="0.3">
      <c r="A763" s="99" t="s">
        <v>416</v>
      </c>
      <c r="B763" s="61"/>
      <c r="C763" s="61"/>
      <c r="D763" s="62"/>
      <c r="E763" s="75" t="s">
        <v>75</v>
      </c>
      <c r="F763" s="35">
        <v>25</v>
      </c>
      <c r="G763" s="46">
        <v>1625</v>
      </c>
      <c r="H763" s="46">
        <v>2600</v>
      </c>
    </row>
    <row r="764" spans="1:8" x14ac:dyDescent="0.3">
      <c r="A764" s="99" t="s">
        <v>1043</v>
      </c>
      <c r="B764" s="61"/>
      <c r="C764" s="61"/>
      <c r="D764" s="62"/>
      <c r="E764" s="75" t="s">
        <v>1014</v>
      </c>
      <c r="F764" s="35">
        <v>36</v>
      </c>
      <c r="G764" s="46">
        <v>2375</v>
      </c>
      <c r="H764" s="46">
        <v>3800</v>
      </c>
    </row>
    <row r="765" spans="1:8" x14ac:dyDescent="0.3">
      <c r="A765" s="99" t="s">
        <v>1328</v>
      </c>
      <c r="B765" s="61"/>
      <c r="C765" s="61"/>
      <c r="D765" s="62"/>
      <c r="E765" s="75" t="s">
        <v>1233</v>
      </c>
      <c r="F765" s="35">
        <v>25</v>
      </c>
      <c r="G765" s="46">
        <v>1625</v>
      </c>
      <c r="H765" s="46">
        <v>2600</v>
      </c>
    </row>
    <row r="766" spans="1:8" x14ac:dyDescent="0.3">
      <c r="A766" s="99" t="s">
        <v>1329</v>
      </c>
      <c r="B766" s="61"/>
      <c r="C766" s="61"/>
      <c r="D766" s="62"/>
      <c r="E766" s="75" t="s">
        <v>437</v>
      </c>
      <c r="F766" s="35">
        <v>25</v>
      </c>
      <c r="G766" s="46">
        <v>1625</v>
      </c>
      <c r="H766" s="46">
        <v>2600</v>
      </c>
    </row>
    <row r="767" spans="1:8" x14ac:dyDescent="0.3">
      <c r="A767" s="99" t="s">
        <v>1261</v>
      </c>
      <c r="B767" s="61"/>
      <c r="C767" s="61"/>
      <c r="D767" s="62"/>
      <c r="E767" s="75" t="s">
        <v>1626</v>
      </c>
      <c r="F767" s="35">
        <v>54</v>
      </c>
      <c r="G767" s="46">
        <v>3500</v>
      </c>
      <c r="H767" s="46">
        <v>5600</v>
      </c>
    </row>
    <row r="768" spans="1:8" x14ac:dyDescent="0.3">
      <c r="A768" s="99" t="s">
        <v>1330</v>
      </c>
      <c r="B768" s="61"/>
      <c r="C768" s="61"/>
      <c r="D768" s="62"/>
      <c r="E768" s="75" t="s">
        <v>1234</v>
      </c>
      <c r="F768" s="35">
        <v>36</v>
      </c>
      <c r="G768" s="46">
        <v>2375</v>
      </c>
      <c r="H768" s="46">
        <v>3800</v>
      </c>
    </row>
    <row r="769" spans="1:8" x14ac:dyDescent="0.3">
      <c r="A769" s="99" t="s">
        <v>1326</v>
      </c>
      <c r="B769" s="61"/>
      <c r="C769" s="61"/>
      <c r="D769" s="62"/>
      <c r="E769" s="75" t="s">
        <v>1231</v>
      </c>
      <c r="F769" s="35">
        <v>25</v>
      </c>
      <c r="G769" s="46">
        <v>1625</v>
      </c>
      <c r="H769" s="46">
        <v>2600</v>
      </c>
    </row>
    <row r="770" spans="1:8" x14ac:dyDescent="0.3">
      <c r="A770" s="99" t="s">
        <v>1332</v>
      </c>
      <c r="B770" s="61"/>
      <c r="C770" s="61"/>
      <c r="D770" s="62"/>
      <c r="E770" s="75" t="s">
        <v>1237</v>
      </c>
      <c r="F770" s="35">
        <v>36</v>
      </c>
      <c r="G770" s="46">
        <v>2375</v>
      </c>
      <c r="H770" s="46">
        <v>3800</v>
      </c>
    </row>
    <row r="771" spans="1:8" x14ac:dyDescent="0.3">
      <c r="A771" s="99" t="s">
        <v>1298</v>
      </c>
      <c r="B771" s="61"/>
      <c r="C771" s="61"/>
      <c r="D771" s="62"/>
      <c r="E771" s="75" t="s">
        <v>1184</v>
      </c>
      <c r="F771" s="35">
        <v>43</v>
      </c>
      <c r="G771" s="46">
        <v>2812</v>
      </c>
      <c r="H771" s="46">
        <v>4500</v>
      </c>
    </row>
    <row r="772" spans="1:8" ht="14.5" thickBot="1" x14ac:dyDescent="0.35">
      <c r="A772" s="99" t="s">
        <v>504</v>
      </c>
      <c r="B772" s="61"/>
      <c r="C772" s="61"/>
      <c r="D772" s="62"/>
      <c r="E772" s="75" t="s">
        <v>487</v>
      </c>
      <c r="F772" s="35">
        <v>10</v>
      </c>
      <c r="G772" s="46">
        <v>663</v>
      </c>
      <c r="H772" s="46">
        <v>1060</v>
      </c>
    </row>
    <row r="773" spans="1:8" ht="14.5" thickBot="1" x14ac:dyDescent="0.35">
      <c r="A773" s="38" t="s">
        <v>22</v>
      </c>
      <c r="B773" s="39"/>
      <c r="C773" s="39"/>
      <c r="D773" s="40"/>
      <c r="E773" s="43" t="s">
        <v>110</v>
      </c>
      <c r="F773" s="41"/>
      <c r="G773" s="42"/>
      <c r="H773" s="60"/>
    </row>
    <row r="774" spans="1:8" x14ac:dyDescent="0.3">
      <c r="A774" s="99" t="s">
        <v>1345</v>
      </c>
      <c r="B774" s="61"/>
      <c r="C774" s="61"/>
      <c r="D774" s="62"/>
      <c r="E774" s="75" t="s">
        <v>1249</v>
      </c>
      <c r="F774" s="35">
        <v>5</v>
      </c>
      <c r="G774" s="46">
        <v>331</v>
      </c>
      <c r="H774" s="46">
        <v>530</v>
      </c>
    </row>
    <row r="775" spans="1:8" x14ac:dyDescent="0.3">
      <c r="A775" s="99" t="s">
        <v>930</v>
      </c>
      <c r="B775" s="61"/>
      <c r="C775" s="61"/>
      <c r="D775" s="62"/>
      <c r="E775" s="75" t="s">
        <v>877</v>
      </c>
      <c r="F775" s="35">
        <v>6</v>
      </c>
      <c r="G775" s="46">
        <v>400</v>
      </c>
      <c r="H775" s="46">
        <v>640</v>
      </c>
    </row>
    <row r="776" spans="1:8" x14ac:dyDescent="0.3">
      <c r="A776" s="99" t="s">
        <v>1346</v>
      </c>
      <c r="B776" s="61"/>
      <c r="C776" s="61"/>
      <c r="D776" s="62"/>
      <c r="E776" s="75" t="s">
        <v>1250</v>
      </c>
      <c r="F776" s="35">
        <v>5</v>
      </c>
      <c r="G776" s="46">
        <v>331</v>
      </c>
      <c r="H776" s="46">
        <v>530</v>
      </c>
    </row>
    <row r="777" spans="1:8" x14ac:dyDescent="0.3">
      <c r="A777" s="99" t="s">
        <v>508</v>
      </c>
      <c r="B777" s="61"/>
      <c r="C777" s="61"/>
      <c r="D777" s="62"/>
      <c r="E777" s="75" t="s">
        <v>490</v>
      </c>
      <c r="F777" s="35">
        <v>6</v>
      </c>
      <c r="G777" s="46">
        <v>400</v>
      </c>
      <c r="H777" s="46">
        <v>640</v>
      </c>
    </row>
    <row r="778" spans="1:8" x14ac:dyDescent="0.3">
      <c r="A778" s="99" t="s">
        <v>914</v>
      </c>
      <c r="B778" s="61"/>
      <c r="C778" s="61"/>
      <c r="D778" s="62"/>
      <c r="E778" s="75" t="s">
        <v>856</v>
      </c>
      <c r="F778" s="35">
        <v>6</v>
      </c>
      <c r="G778" s="46">
        <v>412</v>
      </c>
      <c r="H778" s="46">
        <v>660</v>
      </c>
    </row>
    <row r="779" spans="1:8" ht="14.5" thickBot="1" x14ac:dyDescent="0.35">
      <c r="A779" s="99" t="s">
        <v>915</v>
      </c>
      <c r="B779" s="61"/>
      <c r="C779" s="61"/>
      <c r="D779" s="62"/>
      <c r="E779" s="75" t="s">
        <v>857</v>
      </c>
      <c r="F779" s="35">
        <v>6</v>
      </c>
      <c r="G779" s="46">
        <v>412</v>
      </c>
      <c r="H779" s="46">
        <v>660</v>
      </c>
    </row>
    <row r="780" spans="1:8" ht="14.5" thickBot="1" x14ac:dyDescent="0.35">
      <c r="A780" s="38" t="s">
        <v>22</v>
      </c>
      <c r="B780" s="39"/>
      <c r="C780" s="39"/>
      <c r="D780" s="40"/>
      <c r="E780" s="43" t="s">
        <v>101</v>
      </c>
      <c r="F780" s="41"/>
      <c r="G780" s="42"/>
      <c r="H780" s="60"/>
    </row>
    <row r="781" spans="1:8" x14ac:dyDescent="0.3">
      <c r="A781" s="99" t="s">
        <v>352</v>
      </c>
      <c r="B781" s="61"/>
      <c r="C781" s="61"/>
      <c r="D781" s="62"/>
      <c r="E781" s="75" t="s">
        <v>209</v>
      </c>
      <c r="F781" s="35">
        <v>7</v>
      </c>
      <c r="G781" s="46">
        <v>438</v>
      </c>
      <c r="H781" s="46">
        <v>700</v>
      </c>
    </row>
    <row r="782" spans="1:8" x14ac:dyDescent="0.3">
      <c r="A782" s="99" t="s">
        <v>266</v>
      </c>
      <c r="B782" s="61"/>
      <c r="C782" s="61"/>
      <c r="D782" s="62"/>
      <c r="E782" s="75" t="s">
        <v>104</v>
      </c>
      <c r="F782" s="35">
        <v>7</v>
      </c>
      <c r="G782" s="46">
        <v>438</v>
      </c>
      <c r="H782" s="46">
        <v>700</v>
      </c>
    </row>
    <row r="783" spans="1:8" x14ac:dyDescent="0.3">
      <c r="A783" s="99" t="s">
        <v>1335</v>
      </c>
      <c r="B783" s="61"/>
      <c r="C783" s="61"/>
      <c r="D783" s="62"/>
      <c r="E783" s="75" t="s">
        <v>1239</v>
      </c>
      <c r="F783" s="35">
        <v>4</v>
      </c>
      <c r="G783" s="46">
        <v>237</v>
      </c>
      <c r="H783" s="46">
        <v>380</v>
      </c>
    </row>
    <row r="784" spans="1:8" x14ac:dyDescent="0.3">
      <c r="A784" s="99" t="s">
        <v>1336</v>
      </c>
      <c r="B784" s="61"/>
      <c r="C784" s="61"/>
      <c r="D784" s="62"/>
      <c r="E784" s="75" t="s">
        <v>1240</v>
      </c>
      <c r="F784" s="35">
        <v>4</v>
      </c>
      <c r="G784" s="46">
        <v>237</v>
      </c>
      <c r="H784" s="46">
        <v>380</v>
      </c>
    </row>
    <row r="785" spans="1:8" x14ac:dyDescent="0.3">
      <c r="A785" s="99" t="s">
        <v>1136</v>
      </c>
      <c r="B785" s="61"/>
      <c r="C785" s="61"/>
      <c r="D785" s="62"/>
      <c r="E785" s="75" t="s">
        <v>1026</v>
      </c>
      <c r="F785" s="35">
        <v>4</v>
      </c>
      <c r="G785" s="46">
        <v>250</v>
      </c>
      <c r="H785" s="46">
        <v>400</v>
      </c>
    </row>
    <row r="786" spans="1:8" x14ac:dyDescent="0.3">
      <c r="A786" s="99" t="s">
        <v>1173</v>
      </c>
      <c r="B786" s="61"/>
      <c r="C786" s="61"/>
      <c r="D786" s="62"/>
      <c r="E786" s="75" t="s">
        <v>1076</v>
      </c>
      <c r="F786" s="35">
        <v>4</v>
      </c>
      <c r="G786" s="46">
        <v>250</v>
      </c>
      <c r="H786" s="46">
        <v>400</v>
      </c>
    </row>
    <row r="787" spans="1:8" x14ac:dyDescent="0.3">
      <c r="A787" s="99" t="s">
        <v>1337</v>
      </c>
      <c r="B787" s="61"/>
      <c r="C787" s="61"/>
      <c r="D787" s="62"/>
      <c r="E787" s="75" t="s">
        <v>1241</v>
      </c>
      <c r="F787" s="35">
        <v>2</v>
      </c>
      <c r="G787" s="46">
        <v>150</v>
      </c>
      <c r="H787" s="46">
        <v>240</v>
      </c>
    </row>
    <row r="788" spans="1:8" x14ac:dyDescent="0.3">
      <c r="A788" s="99" t="s">
        <v>1174</v>
      </c>
      <c r="B788" s="61"/>
      <c r="C788" s="61"/>
      <c r="D788" s="62"/>
      <c r="E788" s="75" t="s">
        <v>1077</v>
      </c>
      <c r="F788" s="35">
        <v>5</v>
      </c>
      <c r="G788" s="46">
        <v>300</v>
      </c>
      <c r="H788" s="46">
        <v>480</v>
      </c>
    </row>
    <row r="789" spans="1:8" x14ac:dyDescent="0.3">
      <c r="A789" s="99" t="s">
        <v>452</v>
      </c>
      <c r="B789" s="61"/>
      <c r="C789" s="61"/>
      <c r="D789" s="62"/>
      <c r="E789" s="75" t="s">
        <v>436</v>
      </c>
      <c r="F789" s="35">
        <v>3</v>
      </c>
      <c r="G789" s="46">
        <v>194</v>
      </c>
      <c r="H789" s="46">
        <v>310</v>
      </c>
    </row>
    <row r="790" spans="1:8" x14ac:dyDescent="0.3">
      <c r="A790" s="99" t="s">
        <v>1175</v>
      </c>
      <c r="B790" s="61"/>
      <c r="C790" s="61"/>
      <c r="D790" s="62"/>
      <c r="E790" s="75" t="s">
        <v>1078</v>
      </c>
      <c r="F790" s="35">
        <v>4</v>
      </c>
      <c r="G790" s="46">
        <v>250</v>
      </c>
      <c r="H790" s="46">
        <v>400</v>
      </c>
    </row>
    <row r="791" spans="1:8" x14ac:dyDescent="0.3">
      <c r="A791" s="99" t="s">
        <v>1338</v>
      </c>
      <c r="B791" s="61"/>
      <c r="C791" s="61"/>
      <c r="D791" s="62"/>
      <c r="E791" s="75" t="s">
        <v>1242</v>
      </c>
      <c r="F791" s="35">
        <v>2</v>
      </c>
      <c r="G791" s="46">
        <v>150</v>
      </c>
      <c r="H791" s="46">
        <v>240</v>
      </c>
    </row>
    <row r="792" spans="1:8" x14ac:dyDescent="0.3">
      <c r="A792" s="99" t="s">
        <v>1340</v>
      </c>
      <c r="B792" s="61"/>
      <c r="C792" s="61"/>
      <c r="D792" s="62"/>
      <c r="E792" s="75" t="s">
        <v>1244</v>
      </c>
      <c r="F792" s="35">
        <v>2</v>
      </c>
      <c r="G792" s="46">
        <v>150</v>
      </c>
      <c r="H792" s="46">
        <v>240</v>
      </c>
    </row>
    <row r="793" spans="1:8" x14ac:dyDescent="0.3">
      <c r="A793" s="99" t="s">
        <v>456</v>
      </c>
      <c r="B793" s="61"/>
      <c r="C793" s="61"/>
      <c r="D793" s="62"/>
      <c r="E793" s="75" t="s">
        <v>441</v>
      </c>
      <c r="F793" s="35">
        <v>12</v>
      </c>
      <c r="G793" s="46">
        <v>806</v>
      </c>
      <c r="H793" s="46">
        <v>1290</v>
      </c>
    </row>
    <row r="794" spans="1:8" x14ac:dyDescent="0.3">
      <c r="A794" s="99" t="s">
        <v>962</v>
      </c>
      <c r="B794" s="61"/>
      <c r="C794" s="61"/>
      <c r="D794" s="62"/>
      <c r="E794" s="75" t="s">
        <v>905</v>
      </c>
      <c r="F794" s="35">
        <v>12</v>
      </c>
      <c r="G794" s="46">
        <v>806</v>
      </c>
      <c r="H794" s="46">
        <v>1290</v>
      </c>
    </row>
    <row r="795" spans="1:8" x14ac:dyDescent="0.3">
      <c r="A795" s="99" t="s">
        <v>1083</v>
      </c>
      <c r="B795" s="61"/>
      <c r="C795" s="61"/>
      <c r="D795" s="62"/>
      <c r="E795" s="75" t="s">
        <v>973</v>
      </c>
      <c r="F795" s="35">
        <v>6</v>
      </c>
      <c r="G795" s="46">
        <v>406</v>
      </c>
      <c r="H795" s="46">
        <v>650</v>
      </c>
    </row>
    <row r="796" spans="1:8" x14ac:dyDescent="0.3">
      <c r="A796" s="99" t="s">
        <v>1084</v>
      </c>
      <c r="B796" s="61"/>
      <c r="C796" s="61"/>
      <c r="D796" s="62"/>
      <c r="E796" s="75" t="s">
        <v>974</v>
      </c>
      <c r="F796" s="35">
        <v>2</v>
      </c>
      <c r="G796" s="46">
        <v>150</v>
      </c>
      <c r="H796" s="46">
        <v>240</v>
      </c>
    </row>
    <row r="797" spans="1:8" x14ac:dyDescent="0.3">
      <c r="A797" s="99" t="s">
        <v>1342</v>
      </c>
      <c r="B797" s="61"/>
      <c r="C797" s="61"/>
      <c r="D797" s="62"/>
      <c r="E797" s="75" t="s">
        <v>1246</v>
      </c>
      <c r="F797" s="35">
        <v>4</v>
      </c>
      <c r="G797" s="46">
        <v>237</v>
      </c>
      <c r="H797" s="46">
        <v>380</v>
      </c>
    </row>
    <row r="798" spans="1:8" x14ac:dyDescent="0.3">
      <c r="A798" s="99" t="s">
        <v>741</v>
      </c>
      <c r="B798" s="61"/>
      <c r="C798" s="61"/>
      <c r="D798" s="62"/>
      <c r="E798" s="75" t="s">
        <v>639</v>
      </c>
      <c r="F798" s="35">
        <v>2</v>
      </c>
      <c r="G798" s="46">
        <v>162</v>
      </c>
      <c r="H798" s="46">
        <v>260</v>
      </c>
    </row>
    <row r="799" spans="1:8" x14ac:dyDescent="0.3">
      <c r="A799" s="99" t="s">
        <v>1344</v>
      </c>
      <c r="B799" s="61"/>
      <c r="C799" s="61"/>
      <c r="D799" s="62"/>
      <c r="E799" s="75" t="s">
        <v>1248</v>
      </c>
      <c r="F799" s="35">
        <v>4</v>
      </c>
      <c r="G799" s="46">
        <v>237</v>
      </c>
      <c r="H799" s="46">
        <v>380</v>
      </c>
    </row>
    <row r="800" spans="1:8" x14ac:dyDescent="0.3">
      <c r="A800" s="99" t="s">
        <v>1846</v>
      </c>
      <c r="B800" s="61"/>
      <c r="C800" s="61"/>
      <c r="D800" s="62"/>
      <c r="E800" s="75" t="s">
        <v>1627</v>
      </c>
      <c r="F800" s="35">
        <v>3</v>
      </c>
      <c r="G800" s="46">
        <v>194</v>
      </c>
      <c r="H800" s="46">
        <v>310</v>
      </c>
    </row>
    <row r="801" spans="1:8" x14ac:dyDescent="0.3">
      <c r="A801" s="99" t="s">
        <v>632</v>
      </c>
      <c r="B801" s="61"/>
      <c r="C801" s="61"/>
      <c r="D801" s="62"/>
      <c r="E801" s="75" t="s">
        <v>614</v>
      </c>
      <c r="F801" s="35">
        <v>2</v>
      </c>
      <c r="G801" s="46">
        <v>131</v>
      </c>
      <c r="H801" s="46">
        <v>210</v>
      </c>
    </row>
    <row r="802" spans="1:8" x14ac:dyDescent="0.3">
      <c r="A802" s="99" t="s">
        <v>743</v>
      </c>
      <c r="B802" s="61"/>
      <c r="C802" s="61"/>
      <c r="D802" s="62"/>
      <c r="E802" s="75" t="s">
        <v>641</v>
      </c>
      <c r="F802" s="35">
        <v>10</v>
      </c>
      <c r="G802" s="46">
        <v>313</v>
      </c>
      <c r="H802" s="46">
        <v>1000</v>
      </c>
    </row>
    <row r="803" spans="1:8" ht="14.5" thickBot="1" x14ac:dyDescent="0.35">
      <c r="A803" s="99" t="s">
        <v>376</v>
      </c>
      <c r="B803" s="61"/>
      <c r="C803" s="61"/>
      <c r="D803" s="62"/>
      <c r="E803" s="75" t="s">
        <v>371</v>
      </c>
      <c r="F803" s="35">
        <v>2</v>
      </c>
      <c r="G803" s="46">
        <v>150</v>
      </c>
      <c r="H803" s="46">
        <v>240</v>
      </c>
    </row>
    <row r="804" spans="1:8" ht="14.5" thickBot="1" x14ac:dyDescent="0.35">
      <c r="A804" s="38" t="s">
        <v>22</v>
      </c>
      <c r="B804" s="39"/>
      <c r="C804" s="39"/>
      <c r="D804" s="40"/>
      <c r="E804" s="43" t="s">
        <v>203</v>
      </c>
      <c r="F804" s="41"/>
      <c r="G804" s="42"/>
      <c r="H804" s="60"/>
    </row>
    <row r="805" spans="1:8" x14ac:dyDescent="0.3">
      <c r="A805" s="99" t="s">
        <v>1847</v>
      </c>
      <c r="B805" s="61"/>
      <c r="C805" s="61"/>
      <c r="D805" s="62"/>
      <c r="E805" s="75" t="s">
        <v>1628</v>
      </c>
      <c r="F805" s="35">
        <v>8</v>
      </c>
      <c r="G805" s="46">
        <v>518</v>
      </c>
      <c r="H805" s="46">
        <v>830</v>
      </c>
    </row>
    <row r="806" spans="1:8" ht="14.5" thickBot="1" x14ac:dyDescent="0.35">
      <c r="A806" s="99" t="s">
        <v>1297</v>
      </c>
      <c r="B806" s="61"/>
      <c r="C806" s="61"/>
      <c r="D806" s="62"/>
      <c r="E806" s="75" t="s">
        <v>1183</v>
      </c>
      <c r="F806" s="35">
        <v>7</v>
      </c>
      <c r="G806" s="46">
        <v>457</v>
      </c>
      <c r="H806" s="46">
        <v>730</v>
      </c>
    </row>
    <row r="807" spans="1:8" ht="14.5" thickBot="1" x14ac:dyDescent="0.35">
      <c r="A807" s="38" t="s">
        <v>22</v>
      </c>
      <c r="B807" s="39"/>
      <c r="C807" s="39"/>
      <c r="D807" s="40"/>
      <c r="E807" s="43" t="s">
        <v>212</v>
      </c>
      <c r="F807" s="41"/>
      <c r="G807" s="42"/>
      <c r="H807" s="60"/>
    </row>
    <row r="808" spans="1:8" x14ac:dyDescent="0.3">
      <c r="A808" s="99" t="s">
        <v>936</v>
      </c>
      <c r="B808" s="61"/>
      <c r="C808" s="61"/>
      <c r="D808" s="62"/>
      <c r="E808" s="75" t="s">
        <v>882</v>
      </c>
      <c r="F808" s="35">
        <v>7</v>
      </c>
      <c r="G808" s="46">
        <v>450</v>
      </c>
      <c r="H808" s="46">
        <v>720</v>
      </c>
    </row>
    <row r="809" spans="1:8" x14ac:dyDescent="0.3">
      <c r="A809" s="99" t="s">
        <v>570</v>
      </c>
      <c r="B809" s="61"/>
      <c r="C809" s="61"/>
      <c r="D809" s="62"/>
      <c r="E809" s="75" t="s">
        <v>550</v>
      </c>
      <c r="F809" s="35">
        <v>9</v>
      </c>
      <c r="G809" s="46">
        <v>562</v>
      </c>
      <c r="H809" s="46">
        <v>900</v>
      </c>
    </row>
    <row r="810" spans="1:8" x14ac:dyDescent="0.3">
      <c r="A810" s="99" t="s">
        <v>1351</v>
      </c>
      <c r="B810" s="61"/>
      <c r="C810" s="61"/>
      <c r="D810" s="62"/>
      <c r="E810" s="75" t="s">
        <v>1255</v>
      </c>
      <c r="F810" s="35">
        <v>9</v>
      </c>
      <c r="G810" s="46">
        <v>562</v>
      </c>
      <c r="H810" s="46">
        <v>900</v>
      </c>
    </row>
    <row r="811" spans="1:8" x14ac:dyDescent="0.3">
      <c r="A811" s="99" t="s">
        <v>512</v>
      </c>
      <c r="B811" s="61"/>
      <c r="C811" s="61"/>
      <c r="D811" s="62"/>
      <c r="E811" s="75" t="s">
        <v>494</v>
      </c>
      <c r="F811" s="35">
        <v>11</v>
      </c>
      <c r="G811" s="46">
        <v>687</v>
      </c>
      <c r="H811" s="46">
        <v>1100</v>
      </c>
    </row>
    <row r="812" spans="1:8" x14ac:dyDescent="0.3">
      <c r="A812" s="99" t="s">
        <v>939</v>
      </c>
      <c r="B812" s="61"/>
      <c r="C812" s="61"/>
      <c r="D812" s="62"/>
      <c r="E812" s="75" t="s">
        <v>885</v>
      </c>
      <c r="F812" s="35">
        <v>7</v>
      </c>
      <c r="G812" s="46">
        <v>450</v>
      </c>
      <c r="H812" s="46">
        <v>720</v>
      </c>
    </row>
    <row r="813" spans="1:8" x14ac:dyDescent="0.3">
      <c r="A813" s="99" t="s">
        <v>634</v>
      </c>
      <c r="B813" s="61"/>
      <c r="C813" s="61"/>
      <c r="D813" s="62"/>
      <c r="E813" s="75" t="s">
        <v>616</v>
      </c>
      <c r="F813" s="35">
        <v>5</v>
      </c>
      <c r="G813" s="46">
        <v>331</v>
      </c>
      <c r="H813" s="46">
        <v>530</v>
      </c>
    </row>
    <row r="814" spans="1:8" x14ac:dyDescent="0.3">
      <c r="A814" s="99" t="s">
        <v>744</v>
      </c>
      <c r="B814" s="61"/>
      <c r="C814" s="61"/>
      <c r="D814" s="62"/>
      <c r="E814" s="75" t="s">
        <v>642</v>
      </c>
      <c r="F814" s="35">
        <v>20</v>
      </c>
      <c r="G814" s="46">
        <v>1312</v>
      </c>
      <c r="H814" s="46">
        <v>2100</v>
      </c>
    </row>
    <row r="815" spans="1:8" x14ac:dyDescent="0.3">
      <c r="A815" s="99" t="s">
        <v>495</v>
      </c>
      <c r="B815" s="61"/>
      <c r="C815" s="61"/>
      <c r="D815" s="62"/>
      <c r="E815" s="75" t="s">
        <v>887</v>
      </c>
      <c r="F815" s="35">
        <v>12</v>
      </c>
      <c r="G815" s="46">
        <v>781</v>
      </c>
      <c r="H815" s="46">
        <v>1250</v>
      </c>
    </row>
    <row r="816" spans="1:8" x14ac:dyDescent="0.3">
      <c r="A816" s="99" t="s">
        <v>898</v>
      </c>
      <c r="B816" s="61"/>
      <c r="C816" s="61"/>
      <c r="D816" s="62"/>
      <c r="E816" s="75" t="s">
        <v>888</v>
      </c>
      <c r="F816" s="35">
        <v>12</v>
      </c>
      <c r="G816" s="46">
        <v>781</v>
      </c>
      <c r="H816" s="46">
        <v>1250</v>
      </c>
    </row>
    <row r="817" spans="1:8" x14ac:dyDescent="0.3">
      <c r="A817" s="99" t="s">
        <v>497</v>
      </c>
      <c r="B817" s="61"/>
      <c r="C817" s="61"/>
      <c r="D817" s="62"/>
      <c r="E817" s="75" t="s">
        <v>889</v>
      </c>
      <c r="F817" s="35">
        <v>14</v>
      </c>
      <c r="G817" s="46">
        <v>907</v>
      </c>
      <c r="H817" s="46">
        <v>1450</v>
      </c>
    </row>
    <row r="818" spans="1:8" x14ac:dyDescent="0.3">
      <c r="A818" s="99" t="s">
        <v>395</v>
      </c>
      <c r="B818" s="61"/>
      <c r="C818" s="61"/>
      <c r="D818" s="62"/>
      <c r="E818" s="75" t="s">
        <v>381</v>
      </c>
      <c r="F818" s="35">
        <v>13</v>
      </c>
      <c r="G818" s="46">
        <v>875</v>
      </c>
      <c r="H818" s="46">
        <v>1400</v>
      </c>
    </row>
    <row r="819" spans="1:8" x14ac:dyDescent="0.3">
      <c r="A819" s="99" t="s">
        <v>913</v>
      </c>
      <c r="B819" s="61"/>
      <c r="C819" s="61"/>
      <c r="D819" s="62"/>
      <c r="E819" s="75" t="s">
        <v>855</v>
      </c>
      <c r="F819" s="35">
        <v>32</v>
      </c>
      <c r="G819" s="46">
        <v>2062</v>
      </c>
      <c r="H819" s="46">
        <v>3300</v>
      </c>
    </row>
    <row r="820" spans="1:8" x14ac:dyDescent="0.3">
      <c r="A820" s="99" t="s">
        <v>635</v>
      </c>
      <c r="B820" s="61"/>
      <c r="C820" s="61"/>
      <c r="D820" s="62"/>
      <c r="E820" s="75" t="s">
        <v>617</v>
      </c>
      <c r="F820" s="35">
        <v>6</v>
      </c>
      <c r="G820" s="46">
        <v>387</v>
      </c>
      <c r="H820" s="46">
        <v>620</v>
      </c>
    </row>
    <row r="821" spans="1:8" x14ac:dyDescent="0.3">
      <c r="A821" s="99" t="s">
        <v>940</v>
      </c>
      <c r="B821" s="61"/>
      <c r="C821" s="61"/>
      <c r="D821" s="62"/>
      <c r="E821" s="75" t="s">
        <v>890</v>
      </c>
      <c r="F821" s="35">
        <v>6</v>
      </c>
      <c r="G821" s="46">
        <v>387</v>
      </c>
      <c r="H821" s="46">
        <v>620</v>
      </c>
    </row>
    <row r="822" spans="1:8" x14ac:dyDescent="0.3">
      <c r="A822" s="99" t="s">
        <v>1295</v>
      </c>
      <c r="B822" s="61"/>
      <c r="C822" s="61"/>
      <c r="D822" s="62"/>
      <c r="E822" s="75" t="s">
        <v>1181</v>
      </c>
      <c r="F822" s="35">
        <v>8</v>
      </c>
      <c r="G822" s="46">
        <v>544</v>
      </c>
      <c r="H822" s="46">
        <v>870</v>
      </c>
    </row>
    <row r="823" spans="1:8" ht="14.5" thickBot="1" x14ac:dyDescent="0.35">
      <c r="A823" s="99" t="s">
        <v>1296</v>
      </c>
      <c r="B823" s="61"/>
      <c r="C823" s="61"/>
      <c r="D823" s="62"/>
      <c r="E823" s="75" t="s">
        <v>1182</v>
      </c>
      <c r="F823" s="35">
        <v>6</v>
      </c>
      <c r="G823" s="46">
        <v>419</v>
      </c>
      <c r="H823" s="46">
        <v>670</v>
      </c>
    </row>
    <row r="824" spans="1:8" ht="14.5" thickBot="1" x14ac:dyDescent="0.35">
      <c r="A824" s="38" t="s">
        <v>22</v>
      </c>
      <c r="B824" s="39"/>
      <c r="C824" s="39"/>
      <c r="D824" s="40"/>
      <c r="E824" s="43" t="s">
        <v>737</v>
      </c>
      <c r="F824" s="41"/>
      <c r="G824" s="42"/>
      <c r="H824" s="60"/>
    </row>
    <row r="825" spans="1:8" x14ac:dyDescent="0.3">
      <c r="A825" s="99" t="s">
        <v>852</v>
      </c>
      <c r="B825" s="61"/>
      <c r="C825" s="61"/>
      <c r="D825" s="62"/>
      <c r="E825" s="75" t="s">
        <v>738</v>
      </c>
      <c r="F825" s="35">
        <v>6</v>
      </c>
      <c r="G825" s="46">
        <v>375</v>
      </c>
      <c r="H825" s="46">
        <v>600</v>
      </c>
    </row>
    <row r="826" spans="1:8" x14ac:dyDescent="0.3">
      <c r="A826" s="99" t="s">
        <v>843</v>
      </c>
      <c r="B826" s="61"/>
      <c r="C826" s="61"/>
      <c r="D826" s="62"/>
      <c r="E826" s="75" t="s">
        <v>729</v>
      </c>
      <c r="F826" s="35">
        <v>3</v>
      </c>
      <c r="G826" s="46">
        <v>106</v>
      </c>
      <c r="H826" s="46">
        <v>340</v>
      </c>
    </row>
    <row r="827" spans="1:8" ht="14.5" thickBot="1" x14ac:dyDescent="0.35">
      <c r="A827" s="99" t="s">
        <v>854</v>
      </c>
      <c r="B827" s="61"/>
      <c r="C827" s="61"/>
      <c r="D827" s="62"/>
      <c r="E827" s="75" t="s">
        <v>740</v>
      </c>
      <c r="F827" s="35">
        <v>6</v>
      </c>
      <c r="G827" s="46">
        <v>375</v>
      </c>
      <c r="H827" s="46">
        <v>600</v>
      </c>
    </row>
    <row r="828" spans="1:8" ht="14.5" thickBot="1" x14ac:dyDescent="0.35">
      <c r="A828" s="38" t="s">
        <v>22</v>
      </c>
      <c r="B828" s="39"/>
      <c r="C828" s="39"/>
      <c r="D828" s="40"/>
      <c r="E828" s="43" t="s">
        <v>584</v>
      </c>
      <c r="F828" s="41"/>
      <c r="G828" s="42"/>
      <c r="H828" s="60"/>
    </row>
    <row r="829" spans="1:8" ht="14.5" thickBot="1" x14ac:dyDescent="0.35">
      <c r="A829" s="99" t="s">
        <v>502</v>
      </c>
      <c r="B829" s="61"/>
      <c r="C829" s="61"/>
      <c r="D829" s="62"/>
      <c r="E829" s="75" t="s">
        <v>529</v>
      </c>
      <c r="F829" s="35">
        <v>122</v>
      </c>
      <c r="G829" s="46">
        <v>6625</v>
      </c>
      <c r="H829" s="46">
        <v>10600</v>
      </c>
    </row>
    <row r="830" spans="1:8" ht="14.5" thickBot="1" x14ac:dyDescent="0.35">
      <c r="A830" s="38" t="s">
        <v>22</v>
      </c>
      <c r="B830" s="39"/>
      <c r="C830" s="39"/>
      <c r="D830" s="40"/>
      <c r="E830" s="43" t="s">
        <v>157</v>
      </c>
      <c r="F830" s="41"/>
      <c r="G830" s="42"/>
      <c r="H830" s="60"/>
    </row>
    <row r="831" spans="1:8" x14ac:dyDescent="0.3">
      <c r="A831" s="99" t="s">
        <v>1848</v>
      </c>
      <c r="B831" s="61"/>
      <c r="C831" s="61"/>
      <c r="D831" s="62"/>
      <c r="E831" s="75" t="s">
        <v>1629</v>
      </c>
      <c r="F831" s="35">
        <v>6</v>
      </c>
      <c r="G831" s="46">
        <v>194</v>
      </c>
      <c r="H831" s="46">
        <v>620</v>
      </c>
    </row>
    <row r="832" spans="1:8" x14ac:dyDescent="0.3">
      <c r="A832" s="99" t="s">
        <v>941</v>
      </c>
      <c r="B832" s="61"/>
      <c r="C832" s="61"/>
      <c r="D832" s="62"/>
      <c r="E832" s="75" t="s">
        <v>891</v>
      </c>
      <c r="F832" s="35">
        <v>6</v>
      </c>
      <c r="G832" s="46">
        <v>194</v>
      </c>
      <c r="H832" s="46">
        <v>620</v>
      </c>
    </row>
    <row r="833" spans="1:8" x14ac:dyDescent="0.3">
      <c r="A833" s="99" t="s">
        <v>1334</v>
      </c>
      <c r="B833" s="61"/>
      <c r="C833" s="61"/>
      <c r="D833" s="62"/>
      <c r="E833" s="75" t="s">
        <v>872</v>
      </c>
      <c r="F833" s="35">
        <v>7</v>
      </c>
      <c r="G833" s="46">
        <v>218</v>
      </c>
      <c r="H833" s="46">
        <v>699</v>
      </c>
    </row>
    <row r="834" spans="1:8" x14ac:dyDescent="0.3">
      <c r="A834" s="99" t="s">
        <v>1849</v>
      </c>
      <c r="B834" s="61"/>
      <c r="C834" s="61"/>
      <c r="D834" s="62"/>
      <c r="E834" s="75" t="s">
        <v>1258</v>
      </c>
      <c r="F834" s="35">
        <v>6</v>
      </c>
      <c r="G834" s="46">
        <v>203</v>
      </c>
      <c r="H834" s="46">
        <v>650</v>
      </c>
    </row>
    <row r="835" spans="1:8" x14ac:dyDescent="0.3">
      <c r="A835" s="99" t="s">
        <v>1387</v>
      </c>
      <c r="B835" s="61"/>
      <c r="C835" s="61"/>
      <c r="D835" s="62"/>
      <c r="E835" s="75" t="s">
        <v>872</v>
      </c>
      <c r="F835" s="35">
        <v>4</v>
      </c>
      <c r="G835" s="46">
        <v>134</v>
      </c>
      <c r="H835" s="46">
        <v>429</v>
      </c>
    </row>
    <row r="836" spans="1:8" ht="14.5" thickBot="1" x14ac:dyDescent="0.35">
      <c r="A836" s="99" t="s">
        <v>1086</v>
      </c>
      <c r="B836" s="61"/>
      <c r="C836" s="61"/>
      <c r="D836" s="62"/>
      <c r="E836" s="75" t="s">
        <v>976</v>
      </c>
      <c r="F836" s="35">
        <v>15</v>
      </c>
      <c r="G836" s="46">
        <v>500</v>
      </c>
      <c r="H836" s="46">
        <v>1599</v>
      </c>
    </row>
    <row r="837" spans="1:8" ht="14.5" thickBot="1" x14ac:dyDescent="0.35">
      <c r="A837" s="66" t="s">
        <v>14</v>
      </c>
      <c r="B837" s="39"/>
      <c r="C837" s="39"/>
      <c r="D837" s="40"/>
      <c r="E837" s="43"/>
      <c r="F837" s="41"/>
      <c r="G837" s="42"/>
      <c r="H837" s="60"/>
    </row>
    <row r="838" spans="1:8" x14ac:dyDescent="0.3">
      <c r="A838" s="78" t="s">
        <v>22</v>
      </c>
      <c r="E838" s="47" t="s">
        <v>1630</v>
      </c>
      <c r="F838" s="63"/>
      <c r="G838" s="64"/>
      <c r="H838" s="65"/>
    </row>
    <row r="839" spans="1:8" x14ac:dyDescent="0.3">
      <c r="A839" s="55" t="s">
        <v>1143</v>
      </c>
      <c r="B839" s="61"/>
      <c r="C839" s="61"/>
      <c r="D839" s="62"/>
      <c r="E839" s="48" t="s">
        <v>1033</v>
      </c>
      <c r="F839" s="92">
        <v>5</v>
      </c>
      <c r="G839" s="93">
        <v>331</v>
      </c>
      <c r="H839" s="94">
        <v>529</v>
      </c>
    </row>
    <row r="840" spans="1:8" ht="14.5" x14ac:dyDescent="0.35">
      <c r="A840" s="51" t="s">
        <v>22</v>
      </c>
      <c r="B840" s="61"/>
      <c r="C840" s="61"/>
      <c r="D840" s="62"/>
      <c r="E840" s="49" t="s">
        <v>1631</v>
      </c>
      <c r="F840" s="63">
        <v>3</v>
      </c>
      <c r="G840" s="64">
        <v>187</v>
      </c>
      <c r="H840" s="65">
        <v>299</v>
      </c>
    </row>
    <row r="841" spans="1:8" ht="14.5" x14ac:dyDescent="0.35">
      <c r="A841" s="51" t="s">
        <v>22</v>
      </c>
      <c r="B841" s="61"/>
      <c r="C841" s="61"/>
      <c r="D841" s="62"/>
      <c r="E841" s="47" t="s">
        <v>1080</v>
      </c>
      <c r="F841" s="92"/>
      <c r="G841" s="93"/>
      <c r="H841" s="94"/>
    </row>
    <row r="842" spans="1:8" x14ac:dyDescent="0.3">
      <c r="A842" s="59" t="s">
        <v>274</v>
      </c>
      <c r="B842" s="61"/>
      <c r="C842" s="61"/>
      <c r="D842" s="62"/>
      <c r="E842" s="48" t="s">
        <v>120</v>
      </c>
      <c r="F842" s="92">
        <v>17</v>
      </c>
      <c r="G842" s="93">
        <v>1125</v>
      </c>
      <c r="H842" s="94">
        <v>1800</v>
      </c>
    </row>
    <row r="843" spans="1:8" x14ac:dyDescent="0.3">
      <c r="A843" s="55" t="s">
        <v>275</v>
      </c>
      <c r="B843" s="61"/>
      <c r="C843" s="61"/>
      <c r="D843" s="62"/>
      <c r="E843" s="48" t="s">
        <v>121</v>
      </c>
      <c r="F843" s="92">
        <v>18</v>
      </c>
      <c r="G843" s="93">
        <v>1156</v>
      </c>
      <c r="H843" s="94">
        <v>1849</v>
      </c>
    </row>
    <row r="844" spans="1:8" x14ac:dyDescent="0.3">
      <c r="A844" s="55" t="s">
        <v>276</v>
      </c>
      <c r="B844" s="61"/>
      <c r="C844" s="61"/>
      <c r="D844" s="62"/>
      <c r="E844" s="48" t="s">
        <v>122</v>
      </c>
      <c r="F844" s="92">
        <v>26</v>
      </c>
      <c r="G844" s="93">
        <v>1687</v>
      </c>
      <c r="H844" s="94">
        <v>2700</v>
      </c>
    </row>
    <row r="845" spans="1:8" x14ac:dyDescent="0.3">
      <c r="A845" s="55" t="s">
        <v>277</v>
      </c>
      <c r="B845" s="61"/>
      <c r="C845" s="61"/>
      <c r="D845" s="62"/>
      <c r="E845" s="48" t="s">
        <v>123</v>
      </c>
      <c r="F845" s="92">
        <v>40</v>
      </c>
      <c r="G845" s="93">
        <v>2625</v>
      </c>
      <c r="H845" s="94">
        <v>4200</v>
      </c>
    </row>
    <row r="846" spans="1:8" x14ac:dyDescent="0.3">
      <c r="A846" s="55" t="s">
        <v>294</v>
      </c>
      <c r="B846" s="61"/>
      <c r="C846" s="61"/>
      <c r="D846" s="62"/>
      <c r="E846" s="48" t="s">
        <v>149</v>
      </c>
      <c r="F846" s="92">
        <v>30</v>
      </c>
      <c r="G846" s="93">
        <v>1938</v>
      </c>
      <c r="H846" s="94">
        <v>3100</v>
      </c>
    </row>
    <row r="847" spans="1:8" x14ac:dyDescent="0.3">
      <c r="A847" s="56" t="s">
        <v>295</v>
      </c>
      <c r="B847" s="61"/>
      <c r="C847" s="61"/>
      <c r="D847" s="62"/>
      <c r="E847" s="49" t="s">
        <v>152</v>
      </c>
      <c r="F847" s="63">
        <v>102</v>
      </c>
      <c r="G847" s="64">
        <v>5562</v>
      </c>
      <c r="H847" s="65">
        <v>8899</v>
      </c>
    </row>
    <row r="848" spans="1:8" ht="42" x14ac:dyDescent="0.35">
      <c r="A848" s="51" t="s">
        <v>22</v>
      </c>
      <c r="B848" s="61"/>
      <c r="C848" s="61"/>
      <c r="D848" s="62"/>
      <c r="E848" s="95" t="s">
        <v>1632</v>
      </c>
      <c r="F848" s="63">
        <v>85</v>
      </c>
      <c r="G848" s="64">
        <v>4625</v>
      </c>
      <c r="H848" s="65">
        <v>7399</v>
      </c>
    </row>
    <row r="849" spans="1:8" ht="14.5" x14ac:dyDescent="0.35">
      <c r="A849" s="51" t="s">
        <v>22</v>
      </c>
      <c r="B849" s="61"/>
      <c r="C849" s="61"/>
      <c r="D849" s="62"/>
      <c r="E849" s="47" t="s">
        <v>1633</v>
      </c>
      <c r="F849" s="92"/>
      <c r="G849" s="93"/>
      <c r="H849" s="94"/>
    </row>
    <row r="850" spans="1:8" x14ac:dyDescent="0.3">
      <c r="A850" s="55" t="s">
        <v>279</v>
      </c>
      <c r="B850" s="61"/>
      <c r="C850" s="61"/>
      <c r="D850" s="62"/>
      <c r="E850" s="48" t="s">
        <v>125</v>
      </c>
      <c r="F850" s="92">
        <v>17</v>
      </c>
      <c r="G850" s="93">
        <v>1125</v>
      </c>
      <c r="H850" s="94">
        <v>1800</v>
      </c>
    </row>
    <row r="851" spans="1:8" x14ac:dyDescent="0.3">
      <c r="A851" s="55" t="s">
        <v>180</v>
      </c>
      <c r="B851" s="61"/>
      <c r="C851" s="61"/>
      <c r="D851" s="62"/>
      <c r="E851" s="48" t="s">
        <v>23</v>
      </c>
      <c r="F851" s="92">
        <v>30</v>
      </c>
      <c r="G851" s="93">
        <v>1938</v>
      </c>
      <c r="H851" s="94">
        <v>3100</v>
      </c>
    </row>
    <row r="852" spans="1:8" x14ac:dyDescent="0.3">
      <c r="A852" s="55" t="s">
        <v>179</v>
      </c>
      <c r="B852" s="61"/>
      <c r="C852" s="61"/>
      <c r="D852" s="62"/>
      <c r="E852" s="48" t="s">
        <v>24</v>
      </c>
      <c r="F852" s="92">
        <v>46</v>
      </c>
      <c r="G852" s="93">
        <v>3000</v>
      </c>
      <c r="H852" s="94">
        <v>4800</v>
      </c>
    </row>
    <row r="853" spans="1:8" x14ac:dyDescent="0.3">
      <c r="A853" s="55" t="s">
        <v>181</v>
      </c>
      <c r="B853" s="61"/>
      <c r="C853" s="61"/>
      <c r="D853" s="62"/>
      <c r="E853" s="48" t="s">
        <v>25</v>
      </c>
      <c r="F853" s="92">
        <v>37</v>
      </c>
      <c r="G853" s="93">
        <v>2407</v>
      </c>
      <c r="H853" s="94">
        <v>3850</v>
      </c>
    </row>
    <row r="854" spans="1:8" x14ac:dyDescent="0.3">
      <c r="A854" s="55" t="s">
        <v>182</v>
      </c>
      <c r="B854" s="61"/>
      <c r="C854" s="61"/>
      <c r="D854" s="62"/>
      <c r="E854" s="48" t="s">
        <v>26</v>
      </c>
      <c r="F854" s="92">
        <v>22</v>
      </c>
      <c r="G854" s="93">
        <v>1437</v>
      </c>
      <c r="H854" s="94">
        <v>2299</v>
      </c>
    </row>
    <row r="855" spans="1:8" x14ac:dyDescent="0.3">
      <c r="A855" s="57" t="s">
        <v>239</v>
      </c>
      <c r="B855" s="61"/>
      <c r="C855" s="61"/>
      <c r="D855" s="62"/>
      <c r="E855" s="49" t="s">
        <v>28</v>
      </c>
      <c r="F855" s="63">
        <v>119</v>
      </c>
      <c r="G855" s="64">
        <v>6500</v>
      </c>
      <c r="H855" s="65">
        <v>10399</v>
      </c>
    </row>
    <row r="856" spans="1:8" ht="42" x14ac:dyDescent="0.35">
      <c r="A856" s="51" t="s">
        <v>22</v>
      </c>
      <c r="B856" s="61"/>
      <c r="C856" s="61"/>
      <c r="D856" s="62"/>
      <c r="E856" s="95" t="s">
        <v>1634</v>
      </c>
      <c r="F856" s="63">
        <v>99</v>
      </c>
      <c r="G856" s="64">
        <v>5406</v>
      </c>
      <c r="H856" s="65">
        <v>8649</v>
      </c>
    </row>
    <row r="857" spans="1:8" x14ac:dyDescent="0.3">
      <c r="A857" s="54" t="s">
        <v>22</v>
      </c>
      <c r="B857" s="61"/>
      <c r="C857" s="61"/>
      <c r="D857" s="62"/>
      <c r="E857" s="47" t="s">
        <v>1635</v>
      </c>
      <c r="F857" s="92"/>
      <c r="G857" s="93"/>
      <c r="H857" s="94"/>
    </row>
    <row r="858" spans="1:8" x14ac:dyDescent="0.3">
      <c r="A858" s="55" t="s">
        <v>279</v>
      </c>
      <c r="B858" s="61"/>
      <c r="C858" s="61"/>
      <c r="D858" s="62"/>
      <c r="E858" s="48" t="s">
        <v>125</v>
      </c>
      <c r="F858" s="92">
        <v>17</v>
      </c>
      <c r="G858" s="93">
        <v>1125</v>
      </c>
      <c r="H858" s="94">
        <v>1800</v>
      </c>
    </row>
    <row r="859" spans="1:8" x14ac:dyDescent="0.3">
      <c r="A859" s="55" t="s">
        <v>280</v>
      </c>
      <c r="B859" s="61"/>
      <c r="C859" s="61"/>
      <c r="D859" s="62"/>
      <c r="E859" s="48" t="s">
        <v>127</v>
      </c>
      <c r="F859" s="92">
        <v>28</v>
      </c>
      <c r="G859" s="93">
        <v>1812</v>
      </c>
      <c r="H859" s="94">
        <v>2900</v>
      </c>
    </row>
    <row r="860" spans="1:8" x14ac:dyDescent="0.3">
      <c r="A860" s="55" t="s">
        <v>285</v>
      </c>
      <c r="B860" s="61"/>
      <c r="C860" s="61"/>
      <c r="D860" s="62"/>
      <c r="E860" s="48" t="s">
        <v>133</v>
      </c>
      <c r="F860" s="92">
        <v>43</v>
      </c>
      <c r="G860" s="93">
        <v>2812</v>
      </c>
      <c r="H860" s="94">
        <v>4500</v>
      </c>
    </row>
    <row r="861" spans="1:8" x14ac:dyDescent="0.3">
      <c r="A861" s="55" t="s">
        <v>286</v>
      </c>
      <c r="B861" s="61"/>
      <c r="C861" s="61"/>
      <c r="D861" s="62"/>
      <c r="E861" s="48" t="s">
        <v>134</v>
      </c>
      <c r="F861" s="92">
        <v>33</v>
      </c>
      <c r="G861" s="93">
        <v>2187</v>
      </c>
      <c r="H861" s="94">
        <v>3500</v>
      </c>
    </row>
    <row r="862" spans="1:8" x14ac:dyDescent="0.3">
      <c r="A862" s="55" t="s">
        <v>289</v>
      </c>
      <c r="B862" s="61"/>
      <c r="C862" s="61"/>
      <c r="D862" s="62"/>
      <c r="E862" s="48" t="s">
        <v>137</v>
      </c>
      <c r="F862" s="92">
        <v>33</v>
      </c>
      <c r="G862" s="93">
        <v>2187</v>
      </c>
      <c r="H862" s="94">
        <v>3500</v>
      </c>
    </row>
    <row r="863" spans="1:8" x14ac:dyDescent="0.3">
      <c r="A863" s="56" t="s">
        <v>297</v>
      </c>
      <c r="B863" s="61"/>
      <c r="C863" s="61"/>
      <c r="D863" s="62"/>
      <c r="E863" s="49" t="s">
        <v>154</v>
      </c>
      <c r="F863" s="63">
        <v>111</v>
      </c>
      <c r="G863" s="64">
        <v>6031</v>
      </c>
      <c r="H863" s="65">
        <v>9649</v>
      </c>
    </row>
    <row r="864" spans="1:8" ht="42" x14ac:dyDescent="0.35">
      <c r="A864" s="51" t="s">
        <v>22</v>
      </c>
      <c r="B864" s="61"/>
      <c r="C864" s="61"/>
      <c r="D864" s="62"/>
      <c r="E864" s="95" t="s">
        <v>1636</v>
      </c>
      <c r="F864" s="63">
        <v>92</v>
      </c>
      <c r="G864" s="64">
        <v>5031</v>
      </c>
      <c r="H864" s="65">
        <v>8049</v>
      </c>
    </row>
    <row r="865" spans="1:8" x14ac:dyDescent="0.3">
      <c r="A865" s="55" t="s">
        <v>22</v>
      </c>
      <c r="B865" s="61"/>
      <c r="C865" s="61"/>
      <c r="D865" s="62"/>
      <c r="E865" s="47" t="s">
        <v>1637</v>
      </c>
      <c r="F865" s="92"/>
      <c r="G865" s="93"/>
      <c r="H865" s="94"/>
    </row>
    <row r="866" spans="1:8" x14ac:dyDescent="0.3">
      <c r="A866" s="55" t="s">
        <v>279</v>
      </c>
      <c r="B866" s="61"/>
      <c r="C866" s="61"/>
      <c r="D866" s="62"/>
      <c r="E866" s="48" t="s">
        <v>125</v>
      </c>
      <c r="F866" s="92">
        <v>17</v>
      </c>
      <c r="G866" s="93">
        <v>1125</v>
      </c>
      <c r="H866" s="94">
        <v>1800</v>
      </c>
    </row>
    <row r="867" spans="1:8" x14ac:dyDescent="0.3">
      <c r="A867" s="55" t="s">
        <v>290</v>
      </c>
      <c r="B867" s="61"/>
      <c r="C867" s="61"/>
      <c r="D867" s="62"/>
      <c r="E867" s="48" t="s">
        <v>138</v>
      </c>
      <c r="F867" s="92">
        <v>28</v>
      </c>
      <c r="G867" s="93">
        <v>1812</v>
      </c>
      <c r="H867" s="94">
        <v>2900</v>
      </c>
    </row>
    <row r="868" spans="1:8" x14ac:dyDescent="0.3">
      <c r="A868" s="55" t="s">
        <v>283</v>
      </c>
      <c r="B868" s="61"/>
      <c r="C868" s="61"/>
      <c r="D868" s="62"/>
      <c r="E868" s="48" t="s">
        <v>131</v>
      </c>
      <c r="F868" s="92">
        <v>43</v>
      </c>
      <c r="G868" s="93">
        <v>2812</v>
      </c>
      <c r="H868" s="94">
        <v>4500</v>
      </c>
    </row>
    <row r="869" spans="1:8" x14ac:dyDescent="0.3">
      <c r="A869" s="55" t="s">
        <v>287</v>
      </c>
      <c r="B869" s="61"/>
      <c r="C869" s="61"/>
      <c r="D869" s="62"/>
      <c r="E869" s="48" t="s">
        <v>135</v>
      </c>
      <c r="F869" s="92">
        <v>33</v>
      </c>
      <c r="G869" s="93">
        <v>2187</v>
      </c>
      <c r="H869" s="94">
        <v>3500</v>
      </c>
    </row>
    <row r="870" spans="1:8" x14ac:dyDescent="0.3">
      <c r="A870" s="55" t="s">
        <v>289</v>
      </c>
      <c r="B870" s="61"/>
      <c r="C870" s="61"/>
      <c r="D870" s="62"/>
      <c r="E870" s="48" t="s">
        <v>137</v>
      </c>
      <c r="F870" s="92">
        <v>33</v>
      </c>
      <c r="G870" s="93">
        <v>2187</v>
      </c>
      <c r="H870" s="94">
        <v>3500</v>
      </c>
    </row>
    <row r="871" spans="1:8" x14ac:dyDescent="0.3">
      <c r="A871" s="57" t="s">
        <v>291</v>
      </c>
      <c r="B871" s="61"/>
      <c r="C871" s="61"/>
      <c r="D871" s="62"/>
      <c r="E871" s="49" t="s">
        <v>142</v>
      </c>
      <c r="F871" s="63">
        <v>111</v>
      </c>
      <c r="G871" s="64">
        <v>6031</v>
      </c>
      <c r="H871" s="65">
        <v>9649</v>
      </c>
    </row>
    <row r="872" spans="1:8" ht="42" x14ac:dyDescent="0.35">
      <c r="A872" s="51" t="s">
        <v>22</v>
      </c>
      <c r="B872" s="61"/>
      <c r="C872" s="61"/>
      <c r="D872" s="62"/>
      <c r="E872" s="95" t="s">
        <v>1636</v>
      </c>
      <c r="F872" s="63">
        <v>92</v>
      </c>
      <c r="G872" s="64">
        <v>5031</v>
      </c>
      <c r="H872" s="65">
        <v>8049</v>
      </c>
    </row>
    <row r="873" spans="1:8" x14ac:dyDescent="0.3">
      <c r="A873" s="55" t="s">
        <v>22</v>
      </c>
      <c r="B873" s="61"/>
      <c r="C873" s="61"/>
      <c r="D873" s="62"/>
      <c r="E873" s="47" t="s">
        <v>1638</v>
      </c>
      <c r="F873" s="92"/>
      <c r="G873" s="93"/>
      <c r="H873" s="94"/>
    </row>
    <row r="874" spans="1:8" x14ac:dyDescent="0.3">
      <c r="A874" s="54" t="s">
        <v>279</v>
      </c>
      <c r="B874" s="61"/>
      <c r="C874" s="61"/>
      <c r="D874" s="62"/>
      <c r="E874" s="44" t="s">
        <v>125</v>
      </c>
      <c r="F874" s="92">
        <v>17</v>
      </c>
      <c r="G874" s="93">
        <v>1125</v>
      </c>
      <c r="H874" s="94">
        <v>1800</v>
      </c>
    </row>
    <row r="875" spans="1:8" x14ac:dyDescent="0.3">
      <c r="A875" s="54" t="s">
        <v>281</v>
      </c>
      <c r="B875" s="61"/>
      <c r="C875" s="61"/>
      <c r="D875" s="62"/>
      <c r="E875" s="44" t="s">
        <v>128</v>
      </c>
      <c r="F875" s="92">
        <v>28</v>
      </c>
      <c r="G875" s="93">
        <v>1812</v>
      </c>
      <c r="H875" s="94">
        <v>2900</v>
      </c>
    </row>
    <row r="876" spans="1:8" x14ac:dyDescent="0.3">
      <c r="A876" s="54" t="s">
        <v>282</v>
      </c>
      <c r="B876" s="61"/>
      <c r="C876" s="61"/>
      <c r="D876" s="62"/>
      <c r="E876" s="44" t="s">
        <v>130</v>
      </c>
      <c r="F876" s="92">
        <v>43</v>
      </c>
      <c r="G876" s="93">
        <v>2812</v>
      </c>
      <c r="H876" s="94">
        <v>4500</v>
      </c>
    </row>
    <row r="877" spans="1:8" x14ac:dyDescent="0.3">
      <c r="A877" s="54" t="s">
        <v>286</v>
      </c>
      <c r="B877" s="61"/>
      <c r="C877" s="61"/>
      <c r="D877" s="62"/>
      <c r="E877" s="44" t="s">
        <v>134</v>
      </c>
      <c r="F877" s="92">
        <v>33</v>
      </c>
      <c r="G877" s="93">
        <v>2187</v>
      </c>
      <c r="H877" s="94">
        <v>3500</v>
      </c>
    </row>
    <row r="878" spans="1:8" x14ac:dyDescent="0.3">
      <c r="A878" s="54" t="s">
        <v>289</v>
      </c>
      <c r="B878" s="61"/>
      <c r="C878" s="61"/>
      <c r="D878" s="62"/>
      <c r="E878" s="44" t="s">
        <v>137</v>
      </c>
      <c r="F878" s="92">
        <v>33</v>
      </c>
      <c r="G878" s="93">
        <v>2187</v>
      </c>
      <c r="H878" s="94">
        <v>3500</v>
      </c>
    </row>
    <row r="879" spans="1:8" x14ac:dyDescent="0.3">
      <c r="A879" s="58" t="s">
        <v>296</v>
      </c>
      <c r="B879" s="61"/>
      <c r="C879" s="61"/>
      <c r="D879" s="62"/>
      <c r="E879" s="96" t="s">
        <v>153</v>
      </c>
      <c r="F879" s="63">
        <v>111</v>
      </c>
      <c r="G879" s="64">
        <v>6031</v>
      </c>
      <c r="H879" s="65">
        <v>9649</v>
      </c>
    </row>
    <row r="880" spans="1:8" ht="42" x14ac:dyDescent="0.35">
      <c r="A880" s="51" t="s">
        <v>22</v>
      </c>
      <c r="B880" s="61"/>
      <c r="C880" s="61"/>
      <c r="D880" s="62"/>
      <c r="E880" s="95" t="s">
        <v>1636</v>
      </c>
      <c r="F880" s="63">
        <v>92</v>
      </c>
      <c r="G880" s="64">
        <v>5031</v>
      </c>
      <c r="H880" s="65">
        <v>8049</v>
      </c>
    </row>
    <row r="881" spans="1:8" x14ac:dyDescent="0.3">
      <c r="A881" s="57" t="s">
        <v>22</v>
      </c>
      <c r="B881" s="61"/>
      <c r="C881" s="61"/>
      <c r="D881" s="62"/>
      <c r="E881" s="47" t="s">
        <v>1639</v>
      </c>
      <c r="F881" s="92"/>
      <c r="G881" s="93"/>
      <c r="H881" s="94"/>
    </row>
    <row r="882" spans="1:8" x14ac:dyDescent="0.3">
      <c r="A882" s="55" t="s">
        <v>279</v>
      </c>
      <c r="B882" s="61"/>
      <c r="C882" s="61"/>
      <c r="D882" s="62"/>
      <c r="E882" s="48" t="s">
        <v>125</v>
      </c>
      <c r="F882" s="92">
        <v>17</v>
      </c>
      <c r="G882" s="93">
        <v>1125</v>
      </c>
      <c r="H882" s="94">
        <v>1800</v>
      </c>
    </row>
    <row r="883" spans="1:8" x14ac:dyDescent="0.3">
      <c r="A883" s="55" t="s">
        <v>281</v>
      </c>
      <c r="B883" s="61"/>
      <c r="C883" s="61"/>
      <c r="D883" s="62"/>
      <c r="E883" s="48" t="s">
        <v>128</v>
      </c>
      <c r="F883" s="92">
        <v>28</v>
      </c>
      <c r="G883" s="93">
        <v>1812</v>
      </c>
      <c r="H883" s="94">
        <v>2900</v>
      </c>
    </row>
    <row r="884" spans="1:8" x14ac:dyDescent="0.3">
      <c r="A884" s="55" t="s">
        <v>284</v>
      </c>
      <c r="B884" s="61"/>
      <c r="C884" s="61"/>
      <c r="D884" s="62"/>
      <c r="E884" s="48" t="s">
        <v>132</v>
      </c>
      <c r="F884" s="92">
        <v>43</v>
      </c>
      <c r="G884" s="93">
        <v>2812</v>
      </c>
      <c r="H884" s="94">
        <v>4500</v>
      </c>
    </row>
    <row r="885" spans="1:8" x14ac:dyDescent="0.3">
      <c r="A885" s="55" t="s">
        <v>286</v>
      </c>
      <c r="B885" s="61"/>
      <c r="C885" s="61"/>
      <c r="D885" s="62"/>
      <c r="E885" s="48" t="s">
        <v>134</v>
      </c>
      <c r="F885" s="92">
        <v>33</v>
      </c>
      <c r="G885" s="93">
        <v>2187</v>
      </c>
      <c r="H885" s="94">
        <v>3500</v>
      </c>
    </row>
    <row r="886" spans="1:8" x14ac:dyDescent="0.3">
      <c r="A886" s="55" t="s">
        <v>288</v>
      </c>
      <c r="B886" s="61"/>
      <c r="C886" s="61"/>
      <c r="D886" s="62"/>
      <c r="E886" s="48" t="s">
        <v>136</v>
      </c>
      <c r="F886" s="92">
        <v>33</v>
      </c>
      <c r="G886" s="93">
        <v>2187</v>
      </c>
      <c r="H886" s="94">
        <v>3500</v>
      </c>
    </row>
    <row r="887" spans="1:8" x14ac:dyDescent="0.3">
      <c r="A887" s="56" t="s">
        <v>298</v>
      </c>
      <c r="B887" s="61"/>
      <c r="C887" s="61"/>
      <c r="D887" s="62"/>
      <c r="E887" s="49" t="s">
        <v>156</v>
      </c>
      <c r="F887" s="63">
        <v>111</v>
      </c>
      <c r="G887" s="64">
        <v>6031</v>
      </c>
      <c r="H887" s="65">
        <v>9649</v>
      </c>
    </row>
    <row r="888" spans="1:8" ht="42" x14ac:dyDescent="0.35">
      <c r="A888" s="51" t="s">
        <v>22</v>
      </c>
      <c r="B888" s="61"/>
      <c r="C888" s="61"/>
      <c r="D888" s="62"/>
      <c r="E888" s="95" t="s">
        <v>1636</v>
      </c>
      <c r="F888" s="63">
        <v>92</v>
      </c>
      <c r="G888" s="64">
        <v>5031</v>
      </c>
      <c r="H888" s="65">
        <v>8049</v>
      </c>
    </row>
    <row r="889" spans="1:8" ht="28" x14ac:dyDescent="0.35">
      <c r="A889" s="51" t="s">
        <v>22</v>
      </c>
      <c r="B889" s="61"/>
      <c r="C889" s="61"/>
      <c r="D889" s="62"/>
      <c r="E889" s="97" t="s">
        <v>221</v>
      </c>
      <c r="F889" s="92"/>
      <c r="G889" s="93"/>
      <c r="H889" s="94"/>
    </row>
    <row r="890" spans="1:8" ht="14.5" x14ac:dyDescent="0.35">
      <c r="A890" s="51" t="s">
        <v>22</v>
      </c>
      <c r="B890" s="61"/>
      <c r="C890" s="61"/>
      <c r="D890" s="62"/>
      <c r="E890" s="47" t="s">
        <v>1640</v>
      </c>
      <c r="F890" s="92"/>
      <c r="G890" s="93"/>
      <c r="H890" s="94"/>
    </row>
    <row r="891" spans="1:8" x14ac:dyDescent="0.3">
      <c r="A891" s="55" t="s">
        <v>242</v>
      </c>
      <c r="B891" s="61"/>
      <c r="C891" s="61"/>
      <c r="D891" s="62"/>
      <c r="E891" s="48" t="s">
        <v>419</v>
      </c>
      <c r="F891" s="92">
        <v>52</v>
      </c>
      <c r="G891" s="93">
        <v>3406</v>
      </c>
      <c r="H891" s="94">
        <v>5450</v>
      </c>
    </row>
    <row r="892" spans="1:8" x14ac:dyDescent="0.3">
      <c r="A892" s="55" t="s">
        <v>243</v>
      </c>
      <c r="B892" s="61"/>
      <c r="C892" s="61"/>
      <c r="D892" s="62"/>
      <c r="E892" s="48" t="s">
        <v>420</v>
      </c>
      <c r="F892" s="92">
        <v>52</v>
      </c>
      <c r="G892" s="93">
        <v>3406</v>
      </c>
      <c r="H892" s="94">
        <v>5450</v>
      </c>
    </row>
    <row r="893" spans="1:8" x14ac:dyDescent="0.3">
      <c r="A893" s="55" t="s">
        <v>244</v>
      </c>
      <c r="B893" s="61"/>
      <c r="C893" s="61"/>
      <c r="D893" s="62"/>
      <c r="E893" s="48" t="s">
        <v>421</v>
      </c>
      <c r="F893" s="92">
        <v>52</v>
      </c>
      <c r="G893" s="93">
        <v>3406</v>
      </c>
      <c r="H893" s="94">
        <v>5450</v>
      </c>
    </row>
    <row r="894" spans="1:8" ht="42" x14ac:dyDescent="0.35">
      <c r="A894" s="51" t="s">
        <v>22</v>
      </c>
      <c r="B894" s="61"/>
      <c r="C894" s="61"/>
      <c r="D894" s="62"/>
      <c r="E894" s="95" t="s">
        <v>1641</v>
      </c>
      <c r="F894" s="63">
        <v>31</v>
      </c>
      <c r="G894" s="64">
        <v>2031</v>
      </c>
      <c r="H894" s="65">
        <v>3249</v>
      </c>
    </row>
    <row r="895" spans="1:8" x14ac:dyDescent="0.3">
      <c r="A895" s="55" t="s">
        <v>251</v>
      </c>
      <c r="B895" s="61"/>
      <c r="C895" s="61"/>
      <c r="D895" s="62"/>
      <c r="E895" s="48" t="s">
        <v>39</v>
      </c>
      <c r="F895" s="92">
        <v>70</v>
      </c>
      <c r="G895" s="93">
        <v>4156</v>
      </c>
      <c r="H895" s="94">
        <v>6650</v>
      </c>
    </row>
    <row r="896" spans="1:8" x14ac:dyDescent="0.3">
      <c r="A896" s="55" t="s">
        <v>254</v>
      </c>
      <c r="B896" s="61"/>
      <c r="C896" s="61"/>
      <c r="D896" s="62"/>
      <c r="E896" s="48" t="s">
        <v>45</v>
      </c>
      <c r="F896" s="92">
        <v>70</v>
      </c>
      <c r="G896" s="93">
        <v>4156</v>
      </c>
      <c r="H896" s="94">
        <v>6650</v>
      </c>
    </row>
    <row r="897" spans="1:8" x14ac:dyDescent="0.3">
      <c r="A897" s="55" t="s">
        <v>255</v>
      </c>
      <c r="B897" s="61"/>
      <c r="C897" s="61"/>
      <c r="D897" s="62"/>
      <c r="E897" s="48" t="s">
        <v>46</v>
      </c>
      <c r="F897" s="92">
        <v>70</v>
      </c>
      <c r="G897" s="93">
        <v>4156</v>
      </c>
      <c r="H897" s="94">
        <v>6650</v>
      </c>
    </row>
    <row r="898" spans="1:8" ht="42" x14ac:dyDescent="0.35">
      <c r="A898" s="51" t="s">
        <v>22</v>
      </c>
      <c r="B898" s="61"/>
      <c r="C898" s="61"/>
      <c r="D898" s="62"/>
      <c r="E898" s="95" t="s">
        <v>1642</v>
      </c>
      <c r="F898" s="63">
        <v>42</v>
      </c>
      <c r="G898" s="64">
        <v>2499</v>
      </c>
      <c r="H898" s="65">
        <v>3999</v>
      </c>
    </row>
    <row r="899" spans="1:8" x14ac:dyDescent="0.3">
      <c r="A899" s="55" t="s">
        <v>241</v>
      </c>
      <c r="B899" s="61"/>
      <c r="C899" s="61"/>
      <c r="D899" s="62"/>
      <c r="E899" s="48" t="s">
        <v>34</v>
      </c>
      <c r="F899" s="92">
        <v>23</v>
      </c>
      <c r="G899" s="93">
        <v>1531</v>
      </c>
      <c r="H899" s="94">
        <v>2450</v>
      </c>
    </row>
    <row r="900" spans="1:8" ht="42" x14ac:dyDescent="0.35">
      <c r="A900" s="51" t="s">
        <v>22</v>
      </c>
      <c r="B900" s="61"/>
      <c r="C900" s="61"/>
      <c r="D900" s="62"/>
      <c r="E900" s="95" t="s">
        <v>1643</v>
      </c>
      <c r="F900" s="63">
        <v>14</v>
      </c>
      <c r="G900" s="64">
        <v>906</v>
      </c>
      <c r="H900" s="65">
        <v>1449</v>
      </c>
    </row>
    <row r="901" spans="1:8" x14ac:dyDescent="0.3">
      <c r="A901" s="55" t="s">
        <v>249</v>
      </c>
      <c r="B901" s="61"/>
      <c r="C901" s="61"/>
      <c r="D901" s="62"/>
      <c r="E901" s="48" t="s">
        <v>37</v>
      </c>
      <c r="F901" s="92">
        <v>50</v>
      </c>
      <c r="G901" s="93">
        <v>3218</v>
      </c>
      <c r="H901" s="94">
        <v>5150</v>
      </c>
    </row>
    <row r="902" spans="1:8" x14ac:dyDescent="0.3">
      <c r="A902" s="55" t="s">
        <v>250</v>
      </c>
      <c r="B902" s="61"/>
      <c r="C902" s="61"/>
      <c r="D902" s="62"/>
      <c r="E902" s="48" t="s">
        <v>38</v>
      </c>
      <c r="F902" s="92">
        <v>50</v>
      </c>
      <c r="G902" s="93">
        <v>3218</v>
      </c>
      <c r="H902" s="94">
        <v>5150</v>
      </c>
    </row>
    <row r="903" spans="1:8" ht="42" x14ac:dyDescent="0.35">
      <c r="A903" s="51" t="s">
        <v>22</v>
      </c>
      <c r="B903" s="61"/>
      <c r="C903" s="61"/>
      <c r="D903" s="62"/>
      <c r="E903" s="95" t="s">
        <v>1644</v>
      </c>
      <c r="F903" s="63">
        <v>30</v>
      </c>
      <c r="G903" s="64">
        <v>1937</v>
      </c>
      <c r="H903" s="65">
        <v>3099</v>
      </c>
    </row>
    <row r="904" spans="1:8" ht="14.5" x14ac:dyDescent="0.35">
      <c r="A904" s="51" t="s">
        <v>22</v>
      </c>
      <c r="B904" s="61"/>
      <c r="C904" s="61"/>
      <c r="D904" s="62"/>
      <c r="E904" s="47" t="s">
        <v>1645</v>
      </c>
      <c r="F904" s="92"/>
      <c r="G904" s="93"/>
      <c r="H904" s="94"/>
    </row>
    <row r="905" spans="1:8" x14ac:dyDescent="0.3">
      <c r="A905" s="55" t="s">
        <v>624</v>
      </c>
      <c r="B905" s="61"/>
      <c r="C905" s="61"/>
      <c r="D905" s="62"/>
      <c r="E905" s="48" t="s">
        <v>475</v>
      </c>
      <c r="F905" s="92">
        <v>25</v>
      </c>
      <c r="G905" s="93">
        <v>812</v>
      </c>
      <c r="H905" s="94">
        <v>2600</v>
      </c>
    </row>
    <row r="906" spans="1:8" x14ac:dyDescent="0.3">
      <c r="A906" s="55" t="s">
        <v>22</v>
      </c>
      <c r="B906" s="61"/>
      <c r="C906" s="61"/>
      <c r="D906" s="62"/>
      <c r="E906" s="49" t="s">
        <v>1646</v>
      </c>
      <c r="F906" s="63">
        <v>10</v>
      </c>
      <c r="G906" s="64">
        <v>312</v>
      </c>
      <c r="H906" s="65">
        <v>999</v>
      </c>
    </row>
    <row r="907" spans="1:8" x14ac:dyDescent="0.3">
      <c r="A907" s="55" t="s">
        <v>1390</v>
      </c>
      <c r="B907" s="61"/>
      <c r="C907" s="61"/>
      <c r="D907" s="62"/>
      <c r="E907" s="48" t="s">
        <v>475</v>
      </c>
      <c r="F907" s="92">
        <v>22</v>
      </c>
      <c r="G907" s="93">
        <v>719</v>
      </c>
      <c r="H907" s="94">
        <v>2299</v>
      </c>
    </row>
    <row r="908" spans="1:8" ht="14.5" x14ac:dyDescent="0.35">
      <c r="A908" s="51" t="s">
        <v>22</v>
      </c>
      <c r="B908" s="61"/>
      <c r="C908" s="61"/>
      <c r="D908" s="62"/>
      <c r="E908" s="49" t="s">
        <v>1647</v>
      </c>
      <c r="F908" s="63">
        <v>14</v>
      </c>
      <c r="G908" s="64">
        <v>468</v>
      </c>
      <c r="H908" s="65">
        <v>1499</v>
      </c>
    </row>
    <row r="909" spans="1:8" ht="14.5" x14ac:dyDescent="0.35">
      <c r="A909" s="51" t="s">
        <v>22</v>
      </c>
      <c r="B909" s="61"/>
      <c r="C909" s="61"/>
      <c r="D909" s="62"/>
      <c r="E909" s="47" t="s">
        <v>1648</v>
      </c>
      <c r="F909" s="92"/>
      <c r="G909" s="93"/>
      <c r="H909" s="94"/>
    </row>
    <row r="910" spans="1:8" x14ac:dyDescent="0.3">
      <c r="A910" s="55" t="s">
        <v>1375</v>
      </c>
      <c r="B910" s="61"/>
      <c r="C910" s="61"/>
      <c r="D910" s="62"/>
      <c r="E910" s="48" t="s">
        <v>1271</v>
      </c>
      <c r="F910" s="92">
        <v>5</v>
      </c>
      <c r="G910" s="93">
        <v>324</v>
      </c>
      <c r="H910" s="94">
        <v>519</v>
      </c>
    </row>
    <row r="911" spans="1:8" x14ac:dyDescent="0.3">
      <c r="A911" s="55" t="s">
        <v>1376</v>
      </c>
      <c r="B911" s="61"/>
      <c r="C911" s="61"/>
      <c r="D911" s="62"/>
      <c r="E911" s="48" t="s">
        <v>1649</v>
      </c>
      <c r="F911" s="92">
        <v>5</v>
      </c>
      <c r="G911" s="93">
        <v>324</v>
      </c>
      <c r="H911" s="94">
        <v>519</v>
      </c>
    </row>
    <row r="912" spans="1:8" x14ac:dyDescent="0.3">
      <c r="A912" s="55" t="s">
        <v>1377</v>
      </c>
      <c r="B912" s="61"/>
      <c r="C912" s="61"/>
      <c r="D912" s="62"/>
      <c r="E912" s="48" t="s">
        <v>1650</v>
      </c>
      <c r="F912" s="92">
        <v>5</v>
      </c>
      <c r="G912" s="93">
        <v>324</v>
      </c>
      <c r="H912" s="94">
        <v>519</v>
      </c>
    </row>
    <row r="913" spans="1:8" x14ac:dyDescent="0.3">
      <c r="A913" s="55" t="s">
        <v>1378</v>
      </c>
      <c r="B913" s="61"/>
      <c r="C913" s="61"/>
      <c r="D913" s="62"/>
      <c r="E913" s="48" t="s">
        <v>1651</v>
      </c>
      <c r="F913" s="92">
        <v>5</v>
      </c>
      <c r="G913" s="93">
        <v>324</v>
      </c>
      <c r="H913" s="94">
        <v>519</v>
      </c>
    </row>
    <row r="914" spans="1:8" x14ac:dyDescent="0.3">
      <c r="A914" s="55" t="s">
        <v>1379</v>
      </c>
      <c r="B914" s="61"/>
      <c r="C914" s="61"/>
      <c r="D914" s="62"/>
      <c r="E914" s="48" t="s">
        <v>1652</v>
      </c>
      <c r="F914" s="92">
        <v>5</v>
      </c>
      <c r="G914" s="93">
        <v>324</v>
      </c>
      <c r="H914" s="94">
        <v>519</v>
      </c>
    </row>
    <row r="915" spans="1:8" x14ac:dyDescent="0.3">
      <c r="A915" s="55" t="s">
        <v>1380</v>
      </c>
      <c r="B915" s="61"/>
      <c r="C915" s="61"/>
      <c r="D915" s="62"/>
      <c r="E915" s="48" t="s">
        <v>1653</v>
      </c>
      <c r="F915" s="92">
        <v>5</v>
      </c>
      <c r="G915" s="93">
        <v>324</v>
      </c>
      <c r="H915" s="94">
        <v>519</v>
      </c>
    </row>
    <row r="916" spans="1:8" ht="14.5" x14ac:dyDescent="0.35">
      <c r="A916" s="51" t="s">
        <v>22</v>
      </c>
      <c r="B916" s="61"/>
      <c r="C916" s="61"/>
      <c r="D916" s="62"/>
      <c r="E916" s="49" t="s">
        <v>1654</v>
      </c>
      <c r="F916" s="63">
        <v>4</v>
      </c>
      <c r="G916" s="64">
        <v>249</v>
      </c>
      <c r="H916" s="65">
        <v>399</v>
      </c>
    </row>
    <row r="917" spans="1:8" ht="14.5" x14ac:dyDescent="0.35">
      <c r="A917" s="51" t="s">
        <v>22</v>
      </c>
      <c r="B917" s="61"/>
      <c r="C917" s="61"/>
      <c r="D917" s="62"/>
      <c r="E917" s="47" t="s">
        <v>1655</v>
      </c>
      <c r="F917" s="92"/>
      <c r="G917" s="93"/>
      <c r="H917" s="94"/>
    </row>
    <row r="918" spans="1:8" x14ac:dyDescent="0.3">
      <c r="A918" s="55" t="s">
        <v>1738</v>
      </c>
      <c r="B918" s="61"/>
      <c r="C918" s="61"/>
      <c r="D918" s="62"/>
      <c r="E918" s="48" t="s">
        <v>1487</v>
      </c>
      <c r="F918" s="92">
        <v>36</v>
      </c>
      <c r="G918" s="93">
        <v>2375</v>
      </c>
      <c r="H918" s="94">
        <v>3800</v>
      </c>
    </row>
    <row r="919" spans="1:8" ht="42" x14ac:dyDescent="0.35">
      <c r="A919" s="51" t="s">
        <v>22</v>
      </c>
      <c r="B919" s="61"/>
      <c r="C919" s="61"/>
      <c r="D919" s="62"/>
      <c r="E919" s="95" t="s">
        <v>1656</v>
      </c>
      <c r="F919" s="63">
        <v>14</v>
      </c>
      <c r="G919" s="64">
        <v>937</v>
      </c>
      <c r="H919" s="65">
        <v>1499</v>
      </c>
    </row>
    <row r="920" spans="1:8" ht="14.5" x14ac:dyDescent="0.35">
      <c r="A920" s="51" t="s">
        <v>22</v>
      </c>
      <c r="B920" s="61"/>
      <c r="C920" s="61"/>
      <c r="D920" s="62"/>
      <c r="E920" s="47" t="s">
        <v>1657</v>
      </c>
      <c r="F920" s="92"/>
      <c r="G920" s="93"/>
      <c r="H920" s="94"/>
    </row>
    <row r="921" spans="1:8" x14ac:dyDescent="0.3">
      <c r="A921" s="55" t="s">
        <v>245</v>
      </c>
      <c r="B921" s="61"/>
      <c r="C921" s="61"/>
      <c r="D921" s="62"/>
      <c r="E921" s="48" t="s">
        <v>18</v>
      </c>
      <c r="F921" s="92">
        <v>26</v>
      </c>
      <c r="G921" s="93">
        <v>1687</v>
      </c>
      <c r="H921" s="94">
        <v>2700</v>
      </c>
    </row>
    <row r="922" spans="1:8" ht="42" x14ac:dyDescent="0.35">
      <c r="A922" s="51" t="s">
        <v>22</v>
      </c>
      <c r="B922" s="61"/>
      <c r="C922" s="61"/>
      <c r="D922" s="62"/>
      <c r="E922" s="95" t="s">
        <v>1658</v>
      </c>
      <c r="F922" s="63">
        <v>15</v>
      </c>
      <c r="G922" s="64">
        <v>999</v>
      </c>
      <c r="H922" s="65">
        <v>1599</v>
      </c>
    </row>
    <row r="923" spans="1:8" ht="14.5" x14ac:dyDescent="0.35">
      <c r="A923" s="51" t="s">
        <v>22</v>
      </c>
      <c r="B923" s="61"/>
      <c r="C923" s="61"/>
      <c r="D923" s="62"/>
      <c r="E923" s="47" t="s">
        <v>1659</v>
      </c>
      <c r="F923" s="92"/>
      <c r="G923" s="93"/>
      <c r="H923" s="94"/>
    </row>
    <row r="924" spans="1:8" x14ac:dyDescent="0.3">
      <c r="A924" s="55" t="s">
        <v>1044</v>
      </c>
      <c r="B924" s="61"/>
      <c r="C924" s="61"/>
      <c r="D924" s="62"/>
      <c r="E924" s="48" t="s">
        <v>1473</v>
      </c>
      <c r="F924" s="92">
        <v>15</v>
      </c>
      <c r="G924" s="93">
        <v>987</v>
      </c>
      <c r="H924" s="94">
        <v>1580</v>
      </c>
    </row>
    <row r="925" spans="1:8" x14ac:dyDescent="0.3">
      <c r="A925" s="55" t="s">
        <v>1726</v>
      </c>
      <c r="B925" s="61"/>
      <c r="C925" s="61"/>
      <c r="D925" s="62"/>
      <c r="E925" s="48" t="s">
        <v>1660</v>
      </c>
      <c r="F925" s="92">
        <v>15</v>
      </c>
      <c r="G925" s="93">
        <v>987</v>
      </c>
      <c r="H925" s="94">
        <v>1580</v>
      </c>
    </row>
    <row r="926" spans="1:8" x14ac:dyDescent="0.3">
      <c r="A926" s="55" t="s">
        <v>1727</v>
      </c>
      <c r="B926" s="61"/>
      <c r="C926" s="61"/>
      <c r="D926" s="62"/>
      <c r="E926" s="48" t="s">
        <v>1661</v>
      </c>
      <c r="F926" s="92">
        <v>15</v>
      </c>
      <c r="G926" s="93">
        <v>987</v>
      </c>
      <c r="H926" s="94">
        <v>1580</v>
      </c>
    </row>
    <row r="927" spans="1:8" x14ac:dyDescent="0.3">
      <c r="A927" s="55" t="s">
        <v>1728</v>
      </c>
      <c r="B927" s="61"/>
      <c r="C927" s="61"/>
      <c r="D927" s="62"/>
      <c r="E927" s="48" t="s">
        <v>1662</v>
      </c>
      <c r="F927" s="92">
        <v>15</v>
      </c>
      <c r="G927" s="93">
        <v>987</v>
      </c>
      <c r="H927" s="94">
        <v>1580</v>
      </c>
    </row>
    <row r="928" spans="1:8" x14ac:dyDescent="0.3">
      <c r="A928" s="55" t="s">
        <v>1729</v>
      </c>
      <c r="B928" s="61"/>
      <c r="C928" s="61"/>
      <c r="D928" s="62"/>
      <c r="E928" s="48" t="s">
        <v>1663</v>
      </c>
      <c r="F928" s="92">
        <v>15</v>
      </c>
      <c r="G928" s="93">
        <v>987</v>
      </c>
      <c r="H928" s="94">
        <v>1580</v>
      </c>
    </row>
    <row r="929" spans="1:8" x14ac:dyDescent="0.3">
      <c r="A929" s="55" t="s">
        <v>1730</v>
      </c>
      <c r="B929" s="61"/>
      <c r="C929" s="61"/>
      <c r="D929" s="62"/>
      <c r="E929" s="48" t="s">
        <v>1664</v>
      </c>
      <c r="F929" s="92">
        <v>15</v>
      </c>
      <c r="G929" s="93">
        <v>987</v>
      </c>
      <c r="H929" s="94">
        <v>1580</v>
      </c>
    </row>
    <row r="930" spans="1:8" x14ac:dyDescent="0.3">
      <c r="A930" s="55" t="s">
        <v>1731</v>
      </c>
      <c r="B930" s="61"/>
      <c r="C930" s="61"/>
      <c r="D930" s="62"/>
      <c r="E930" s="48" t="s">
        <v>1665</v>
      </c>
      <c r="F930" s="92">
        <v>15</v>
      </c>
      <c r="G930" s="93">
        <v>987</v>
      </c>
      <c r="H930" s="94">
        <v>1580</v>
      </c>
    </row>
    <row r="931" spans="1:8" x14ac:dyDescent="0.3">
      <c r="A931" s="55" t="s">
        <v>1732</v>
      </c>
      <c r="B931" s="61"/>
      <c r="C931" s="61"/>
      <c r="D931" s="62"/>
      <c r="E931" s="48" t="s">
        <v>1666</v>
      </c>
      <c r="F931" s="92">
        <v>15</v>
      </c>
      <c r="G931" s="93">
        <v>987</v>
      </c>
      <c r="H931" s="94">
        <v>1580</v>
      </c>
    </row>
    <row r="932" spans="1:8" x14ac:dyDescent="0.3">
      <c r="A932" s="55" t="s">
        <v>1733</v>
      </c>
      <c r="B932" s="61"/>
      <c r="C932" s="61"/>
      <c r="D932" s="62"/>
      <c r="E932" s="48" t="s">
        <v>1667</v>
      </c>
      <c r="F932" s="92">
        <v>15</v>
      </c>
      <c r="G932" s="93">
        <v>987</v>
      </c>
      <c r="H932" s="94">
        <v>1580</v>
      </c>
    </row>
    <row r="933" spans="1:8" ht="42.5" thickBot="1" x14ac:dyDescent="0.35">
      <c r="A933" s="100" t="s">
        <v>22</v>
      </c>
      <c r="B933" s="61"/>
      <c r="C933" s="61"/>
      <c r="D933" s="62"/>
      <c r="E933" s="95" t="s">
        <v>1668</v>
      </c>
      <c r="F933" s="63">
        <v>7</v>
      </c>
      <c r="G933" s="64">
        <v>437</v>
      </c>
      <c r="H933" s="65">
        <v>699</v>
      </c>
    </row>
    <row r="934" spans="1:8" ht="14.5" thickBot="1" x14ac:dyDescent="0.35">
      <c r="A934" s="66" t="s">
        <v>222</v>
      </c>
      <c r="B934" s="39"/>
      <c r="C934" s="39"/>
      <c r="D934" s="40"/>
      <c r="E934" s="43"/>
      <c r="F934" s="41"/>
      <c r="G934" s="42"/>
      <c r="H934" s="60"/>
    </row>
    <row r="935" spans="1:8" x14ac:dyDescent="0.3">
      <c r="A935" s="12" t="s">
        <v>311</v>
      </c>
      <c r="B935" s="14"/>
      <c r="C935" s="8" t="s">
        <v>223</v>
      </c>
      <c r="E935" s="52" t="s">
        <v>224</v>
      </c>
      <c r="F935" s="37">
        <v>0</v>
      </c>
      <c r="G935" s="37">
        <v>0</v>
      </c>
      <c r="H935" s="46">
        <v>35</v>
      </c>
    </row>
    <row r="936" spans="1:8" x14ac:dyDescent="0.3">
      <c r="A936" s="12" t="s">
        <v>312</v>
      </c>
      <c r="B936" s="14"/>
      <c r="C936" s="8" t="s">
        <v>223</v>
      </c>
      <c r="D936" s="62"/>
      <c r="E936" s="52" t="s">
        <v>225</v>
      </c>
      <c r="F936" s="37">
        <v>0</v>
      </c>
      <c r="G936" s="37">
        <v>0</v>
      </c>
      <c r="H936" s="46">
        <v>35</v>
      </c>
    </row>
    <row r="937" spans="1:8" x14ac:dyDescent="0.3">
      <c r="A937" s="12" t="s">
        <v>358</v>
      </c>
      <c r="B937" s="14"/>
      <c r="C937" s="8" t="s">
        <v>223</v>
      </c>
      <c r="D937" s="62"/>
      <c r="E937" s="52" t="s">
        <v>215</v>
      </c>
      <c r="F937" s="37">
        <v>0</v>
      </c>
      <c r="G937" s="37">
        <v>0</v>
      </c>
      <c r="H937" s="46">
        <v>35</v>
      </c>
    </row>
    <row r="938" spans="1:8" x14ac:dyDescent="0.3">
      <c r="A938" s="12" t="s">
        <v>360</v>
      </c>
      <c r="B938" s="14"/>
      <c r="C938" s="8" t="s">
        <v>223</v>
      </c>
      <c r="D938" s="62"/>
      <c r="E938" s="52" t="s">
        <v>218</v>
      </c>
      <c r="F938" s="37">
        <v>0</v>
      </c>
      <c r="G938" s="37">
        <v>0</v>
      </c>
      <c r="H938" s="46">
        <v>35</v>
      </c>
    </row>
    <row r="939" spans="1:8" x14ac:dyDescent="0.3">
      <c r="A939" s="12" t="s">
        <v>361</v>
      </c>
      <c r="B939" s="14"/>
      <c r="C939" s="8" t="s">
        <v>223</v>
      </c>
      <c r="D939" s="62"/>
      <c r="E939" s="52" t="s">
        <v>219</v>
      </c>
      <c r="F939" s="37">
        <v>0</v>
      </c>
      <c r="G939" s="37">
        <v>0</v>
      </c>
      <c r="H939" s="46">
        <v>35</v>
      </c>
    </row>
    <row r="940" spans="1:8" x14ac:dyDescent="0.3">
      <c r="A940" s="12" t="s">
        <v>313</v>
      </c>
      <c r="B940" s="14"/>
      <c r="C940" s="8" t="s">
        <v>223</v>
      </c>
      <c r="D940" s="62"/>
      <c r="E940" s="52" t="s">
        <v>226</v>
      </c>
      <c r="F940" s="37">
        <v>0</v>
      </c>
      <c r="G940" s="37">
        <v>0</v>
      </c>
      <c r="H940" s="46">
        <v>35</v>
      </c>
    </row>
    <row r="941" spans="1:8" x14ac:dyDescent="0.3">
      <c r="A941" s="12" t="s">
        <v>314</v>
      </c>
      <c r="B941" s="14"/>
      <c r="C941" s="8" t="s">
        <v>223</v>
      </c>
      <c r="D941" s="62"/>
      <c r="E941" s="52" t="s">
        <v>227</v>
      </c>
      <c r="F941" s="37">
        <v>0</v>
      </c>
      <c r="G941" s="37">
        <v>0</v>
      </c>
      <c r="H941" s="46">
        <v>35</v>
      </c>
    </row>
    <row r="942" spans="1:8" x14ac:dyDescent="0.3">
      <c r="A942" s="12" t="s">
        <v>315</v>
      </c>
      <c r="B942" s="14"/>
      <c r="C942" s="8" t="s">
        <v>223</v>
      </c>
      <c r="D942" s="62"/>
      <c r="E942" s="52" t="s">
        <v>228</v>
      </c>
      <c r="F942" s="37">
        <v>0</v>
      </c>
      <c r="G942" s="37">
        <v>0</v>
      </c>
      <c r="H942" s="46">
        <v>35</v>
      </c>
    </row>
    <row r="943" spans="1:8" x14ac:dyDescent="0.3">
      <c r="A943" s="12" t="s">
        <v>316</v>
      </c>
      <c r="B943" s="14"/>
      <c r="C943" s="8" t="s">
        <v>223</v>
      </c>
      <c r="D943" s="62"/>
      <c r="E943" s="52" t="s">
        <v>229</v>
      </c>
      <c r="F943" s="37">
        <v>0</v>
      </c>
      <c r="G943" s="37">
        <v>0</v>
      </c>
      <c r="H943" s="46">
        <v>35</v>
      </c>
    </row>
    <row r="944" spans="1:8" x14ac:dyDescent="0.3">
      <c r="A944" s="12" t="s">
        <v>357</v>
      </c>
      <c r="B944" s="14"/>
      <c r="C944" s="8" t="s">
        <v>223</v>
      </c>
      <c r="D944" s="62"/>
      <c r="E944" s="52" t="s">
        <v>217</v>
      </c>
      <c r="F944" s="37">
        <v>0</v>
      </c>
      <c r="G944" s="37">
        <v>0</v>
      </c>
      <c r="H944" s="46">
        <v>35</v>
      </c>
    </row>
    <row r="945" spans="1:8" x14ac:dyDescent="0.3">
      <c r="A945" s="12" t="s">
        <v>362</v>
      </c>
      <c r="B945" s="14"/>
      <c r="C945" s="8" t="s">
        <v>223</v>
      </c>
      <c r="D945" s="62"/>
      <c r="E945" s="52" t="s">
        <v>220</v>
      </c>
      <c r="F945" s="37">
        <v>0</v>
      </c>
      <c r="G945" s="37">
        <v>0</v>
      </c>
      <c r="H945" s="46">
        <v>35</v>
      </c>
    </row>
    <row r="946" spans="1:8" x14ac:dyDescent="0.3">
      <c r="A946" s="12" t="s">
        <v>359</v>
      </c>
      <c r="B946" s="14"/>
      <c r="C946" s="8" t="s">
        <v>223</v>
      </c>
      <c r="D946" s="62"/>
      <c r="E946" s="52" t="s">
        <v>216</v>
      </c>
      <c r="F946" s="37">
        <v>0</v>
      </c>
      <c r="G946" s="37">
        <v>0</v>
      </c>
      <c r="H946" s="46">
        <v>35</v>
      </c>
    </row>
    <row r="947" spans="1:8" x14ac:dyDescent="0.3">
      <c r="A947" s="12" t="s">
        <v>322</v>
      </c>
      <c r="B947" s="14"/>
      <c r="C947" s="8" t="s">
        <v>223</v>
      </c>
      <c r="D947" s="62"/>
      <c r="E947" s="52" t="s">
        <v>230</v>
      </c>
      <c r="F947" s="37">
        <v>0</v>
      </c>
      <c r="G947" s="37">
        <v>0</v>
      </c>
      <c r="H947" s="46">
        <v>35</v>
      </c>
    </row>
    <row r="948" spans="1:8" x14ac:dyDescent="0.3">
      <c r="A948" s="12" t="s">
        <v>323</v>
      </c>
      <c r="B948" s="14"/>
      <c r="C948" s="8" t="s">
        <v>223</v>
      </c>
      <c r="D948" s="62"/>
      <c r="E948" s="52" t="s">
        <v>231</v>
      </c>
      <c r="F948" s="37">
        <v>0</v>
      </c>
      <c r="G948" s="37">
        <v>0</v>
      </c>
      <c r="H948" s="46">
        <v>35</v>
      </c>
    </row>
    <row r="949" spans="1:8" x14ac:dyDescent="0.3">
      <c r="A949" s="12" t="s">
        <v>324</v>
      </c>
      <c r="B949" s="14"/>
      <c r="C949" s="8" t="s">
        <v>223</v>
      </c>
      <c r="D949" s="62"/>
      <c r="E949" s="52" t="s">
        <v>232</v>
      </c>
      <c r="F949" s="37">
        <v>0</v>
      </c>
      <c r="G949" s="37">
        <v>0</v>
      </c>
      <c r="H949" s="46">
        <v>35</v>
      </c>
    </row>
    <row r="950" spans="1:8" x14ac:dyDescent="0.3">
      <c r="A950" s="12" t="s">
        <v>325</v>
      </c>
      <c r="B950" s="14"/>
      <c r="C950" s="8" t="s">
        <v>223</v>
      </c>
      <c r="D950" s="62"/>
      <c r="E950" s="52" t="s">
        <v>233</v>
      </c>
      <c r="F950" s="37">
        <v>0</v>
      </c>
      <c r="G950" s="37">
        <v>0</v>
      </c>
      <c r="H950" s="46">
        <v>35</v>
      </c>
    </row>
    <row r="951" spans="1:8" x14ac:dyDescent="0.3">
      <c r="A951" s="12" t="s">
        <v>276</v>
      </c>
      <c r="B951" s="14">
        <v>0.35222222222222199</v>
      </c>
      <c r="C951" s="8" t="s">
        <v>223</v>
      </c>
      <c r="D951" s="62"/>
      <c r="E951" s="52" t="s">
        <v>122</v>
      </c>
      <c r="F951" s="37">
        <v>17</v>
      </c>
      <c r="G951" s="46">
        <v>1093</v>
      </c>
      <c r="H951" s="46">
        <v>1749</v>
      </c>
    </row>
    <row r="952" spans="1:8" x14ac:dyDescent="0.3">
      <c r="A952" s="12" t="s">
        <v>277</v>
      </c>
      <c r="B952" s="14">
        <v>0.34547619047618999</v>
      </c>
      <c r="C952" s="8" t="s">
        <v>223</v>
      </c>
      <c r="D952" s="62"/>
      <c r="E952" s="52" t="s">
        <v>123</v>
      </c>
      <c r="F952" s="37">
        <v>26</v>
      </c>
      <c r="G952" s="46">
        <v>1718</v>
      </c>
      <c r="H952" s="46">
        <v>2749</v>
      </c>
    </row>
    <row r="953" spans="1:8" x14ac:dyDescent="0.3">
      <c r="A953" s="12" t="s">
        <v>280</v>
      </c>
      <c r="B953" s="14">
        <v>0.34517241379310298</v>
      </c>
      <c r="C953" s="8" t="s">
        <v>223</v>
      </c>
      <c r="D953" s="62"/>
      <c r="E953" s="52" t="s">
        <v>127</v>
      </c>
      <c r="F953" s="37">
        <v>18</v>
      </c>
      <c r="G953" s="46">
        <v>1187</v>
      </c>
      <c r="H953" s="46">
        <v>1899</v>
      </c>
    </row>
    <row r="954" spans="1:8" x14ac:dyDescent="0.3">
      <c r="A954" s="12" t="s">
        <v>281</v>
      </c>
      <c r="B954" s="14">
        <v>0.34517241379310298</v>
      </c>
      <c r="C954" s="8" t="s">
        <v>223</v>
      </c>
      <c r="D954" s="62"/>
      <c r="E954" s="52" t="s">
        <v>128</v>
      </c>
      <c r="F954" s="37">
        <v>18</v>
      </c>
      <c r="G954" s="46">
        <v>1187</v>
      </c>
      <c r="H954" s="46">
        <v>1899</v>
      </c>
    </row>
    <row r="955" spans="1:8" x14ac:dyDescent="0.3">
      <c r="A955" s="12" t="s">
        <v>282</v>
      </c>
      <c r="B955" s="14">
        <v>0.34466666666666701</v>
      </c>
      <c r="C955" s="8" t="s">
        <v>223</v>
      </c>
      <c r="D955" s="62"/>
      <c r="E955" s="52" t="s">
        <v>130</v>
      </c>
      <c r="F955" s="37">
        <v>28</v>
      </c>
      <c r="G955" s="46">
        <v>1843</v>
      </c>
      <c r="H955" s="46">
        <v>2949</v>
      </c>
    </row>
    <row r="956" spans="1:8" x14ac:dyDescent="0.3">
      <c r="A956" s="12" t="s">
        <v>283</v>
      </c>
      <c r="B956" s="14">
        <v>0.34466666666666701</v>
      </c>
      <c r="C956" s="8" t="s">
        <v>223</v>
      </c>
      <c r="D956" s="62"/>
      <c r="E956" s="52" t="s">
        <v>131</v>
      </c>
      <c r="F956" s="37">
        <v>28</v>
      </c>
      <c r="G956" s="46">
        <v>1843</v>
      </c>
      <c r="H956" s="46">
        <v>2949</v>
      </c>
    </row>
    <row r="957" spans="1:8" x14ac:dyDescent="0.3">
      <c r="A957" s="12" t="s">
        <v>284</v>
      </c>
      <c r="B957" s="14">
        <v>0.34466666666666701</v>
      </c>
      <c r="C957" s="8" t="s">
        <v>223</v>
      </c>
      <c r="D957" s="62"/>
      <c r="E957" s="52" t="s">
        <v>132</v>
      </c>
      <c r="F957" s="37">
        <v>28</v>
      </c>
      <c r="G957" s="46">
        <v>1843</v>
      </c>
      <c r="H957" s="46">
        <v>2949</v>
      </c>
    </row>
    <row r="958" spans="1:8" x14ac:dyDescent="0.3">
      <c r="A958" s="12" t="s">
        <v>285</v>
      </c>
      <c r="B958" s="14">
        <v>0.34466666666666701</v>
      </c>
      <c r="C958" s="8" t="s">
        <v>223</v>
      </c>
      <c r="D958" s="62"/>
      <c r="E958" s="52" t="s">
        <v>133</v>
      </c>
      <c r="F958" s="37">
        <v>28</v>
      </c>
      <c r="G958" s="46">
        <v>1843</v>
      </c>
      <c r="H958" s="46">
        <v>2949</v>
      </c>
    </row>
    <row r="959" spans="1:8" x14ac:dyDescent="0.3">
      <c r="A959" s="12" t="s">
        <v>180</v>
      </c>
      <c r="B959" s="14">
        <v>0.35516129032258098</v>
      </c>
      <c r="C959" s="8" t="s">
        <v>223</v>
      </c>
      <c r="D959" s="62"/>
      <c r="E959" s="52" t="s">
        <v>23</v>
      </c>
      <c r="F959" s="37">
        <v>19</v>
      </c>
      <c r="G959" s="46">
        <v>1250</v>
      </c>
      <c r="H959" s="46">
        <v>1999</v>
      </c>
    </row>
    <row r="960" spans="1:8" x14ac:dyDescent="0.3">
      <c r="A960" s="12" t="s">
        <v>179</v>
      </c>
      <c r="B960" s="14">
        <v>0.354375</v>
      </c>
      <c r="C960" s="8" t="s">
        <v>223</v>
      </c>
      <c r="D960" s="62"/>
      <c r="E960" s="52" t="s">
        <v>24</v>
      </c>
      <c r="F960" s="37">
        <v>30</v>
      </c>
      <c r="G960" s="46">
        <v>1937</v>
      </c>
      <c r="H960" s="46">
        <v>3099</v>
      </c>
    </row>
    <row r="961" spans="1:8" x14ac:dyDescent="0.3">
      <c r="A961" s="12" t="s">
        <v>290</v>
      </c>
      <c r="B961" s="14">
        <v>0.34517241379310298</v>
      </c>
      <c r="C961" s="8" t="s">
        <v>223</v>
      </c>
      <c r="D961" s="62"/>
      <c r="E961" s="52" t="s">
        <v>138</v>
      </c>
      <c r="F961" s="37">
        <v>18</v>
      </c>
      <c r="G961" s="46">
        <v>1187</v>
      </c>
      <c r="H961" s="46">
        <v>1899</v>
      </c>
    </row>
    <row r="962" spans="1:8" x14ac:dyDescent="0.3">
      <c r="A962" s="12" t="s">
        <v>291</v>
      </c>
      <c r="B962" s="14">
        <v>0.400683229813665</v>
      </c>
      <c r="C962" s="8" t="s">
        <v>223</v>
      </c>
      <c r="D962" s="62"/>
      <c r="E962" s="52" t="s">
        <v>142</v>
      </c>
      <c r="F962" s="37">
        <v>111</v>
      </c>
      <c r="G962" s="46">
        <v>6031</v>
      </c>
      <c r="H962" s="46">
        <v>9649</v>
      </c>
    </row>
    <row r="963" spans="1:8" x14ac:dyDescent="0.3">
      <c r="A963" s="12" t="s">
        <v>295</v>
      </c>
      <c r="B963" s="14">
        <v>0.398716216216216</v>
      </c>
      <c r="C963" s="8" t="s">
        <v>29</v>
      </c>
      <c r="D963" s="62"/>
      <c r="E963" s="48" t="s">
        <v>152</v>
      </c>
      <c r="F963" s="37">
        <v>102</v>
      </c>
      <c r="G963" s="46">
        <v>5562</v>
      </c>
      <c r="H963" s="46">
        <v>8899</v>
      </c>
    </row>
    <row r="964" spans="1:8" x14ac:dyDescent="0.3">
      <c r="A964" s="12" t="s">
        <v>296</v>
      </c>
      <c r="B964" s="14">
        <v>0.400683229813665</v>
      </c>
      <c r="C964" s="8" t="s">
        <v>223</v>
      </c>
      <c r="D964" s="62"/>
      <c r="E964" s="52" t="s">
        <v>153</v>
      </c>
      <c r="F964" s="37">
        <v>111</v>
      </c>
      <c r="G964" s="46">
        <v>6031</v>
      </c>
      <c r="H964" s="46">
        <v>9649</v>
      </c>
    </row>
    <row r="965" spans="1:8" x14ac:dyDescent="0.3">
      <c r="A965" s="12" t="s">
        <v>297</v>
      </c>
      <c r="B965" s="14">
        <v>0.400683229813665</v>
      </c>
      <c r="C965" s="8" t="s">
        <v>223</v>
      </c>
      <c r="D965" s="62"/>
      <c r="E965" s="52" t="s">
        <v>154</v>
      </c>
      <c r="F965" s="37">
        <v>111</v>
      </c>
      <c r="G965" s="46">
        <v>6031</v>
      </c>
      <c r="H965" s="46">
        <v>9649</v>
      </c>
    </row>
    <row r="966" spans="1:8" x14ac:dyDescent="0.3">
      <c r="A966" s="12" t="s">
        <v>298</v>
      </c>
      <c r="B966" s="14">
        <v>0.400683229813665</v>
      </c>
      <c r="C966" s="8" t="s">
        <v>223</v>
      </c>
      <c r="D966" s="62"/>
      <c r="E966" s="52" t="s">
        <v>156</v>
      </c>
      <c r="F966" s="37">
        <v>111</v>
      </c>
      <c r="G966" s="46">
        <v>6031</v>
      </c>
      <c r="H966" s="46">
        <v>9649</v>
      </c>
    </row>
    <row r="967" spans="1:8" x14ac:dyDescent="0.3">
      <c r="A967" s="12" t="s">
        <v>239</v>
      </c>
      <c r="B967" s="14">
        <v>0.398901734104046</v>
      </c>
      <c r="C967" s="8" t="s">
        <v>223</v>
      </c>
      <c r="D967" s="62"/>
      <c r="E967" s="52" t="s">
        <v>28</v>
      </c>
      <c r="F967" s="37">
        <v>119</v>
      </c>
      <c r="G967" s="46">
        <v>6500</v>
      </c>
      <c r="H967" s="46">
        <v>10399</v>
      </c>
    </row>
    <row r="968" spans="1:8" ht="14.5" x14ac:dyDescent="0.35">
      <c r="A968" s="12" t="s">
        <v>363</v>
      </c>
      <c r="B968" s="101"/>
      <c r="C968" s="8" t="s">
        <v>29</v>
      </c>
      <c r="D968" s="62"/>
      <c r="E968" s="52" t="s">
        <v>234</v>
      </c>
      <c r="F968" s="37">
        <v>0</v>
      </c>
      <c r="G968" s="37">
        <v>0</v>
      </c>
      <c r="H968" s="46">
        <v>175</v>
      </c>
    </row>
    <row r="969" spans="1:8" x14ac:dyDescent="0.3">
      <c r="A969" s="12" t="s">
        <v>363</v>
      </c>
      <c r="B969" s="53">
        <v>0.32</v>
      </c>
      <c r="C969" s="8" t="s">
        <v>29</v>
      </c>
      <c r="D969" s="62"/>
      <c r="E969" s="50" t="s">
        <v>234</v>
      </c>
      <c r="F969" s="37">
        <v>0</v>
      </c>
      <c r="G969" s="37">
        <v>0</v>
      </c>
      <c r="H969" s="46">
        <v>595</v>
      </c>
    </row>
    <row r="970" spans="1:8" ht="14.5" x14ac:dyDescent="0.35">
      <c r="A970" s="12" t="s">
        <v>364</v>
      </c>
      <c r="B970" s="101"/>
      <c r="C970" s="8" t="s">
        <v>29</v>
      </c>
      <c r="D970" s="62"/>
      <c r="E970" s="52" t="s">
        <v>235</v>
      </c>
      <c r="F970" s="37">
        <v>0</v>
      </c>
      <c r="G970" s="37">
        <v>0</v>
      </c>
      <c r="H970" s="46">
        <v>175</v>
      </c>
    </row>
    <row r="971" spans="1:8" x14ac:dyDescent="0.3">
      <c r="A971" s="12" t="s">
        <v>364</v>
      </c>
      <c r="B971" s="53">
        <v>0.32</v>
      </c>
      <c r="C971" s="8" t="s">
        <v>29</v>
      </c>
      <c r="D971" s="62"/>
      <c r="E971" s="50" t="s">
        <v>235</v>
      </c>
      <c r="F971" s="37">
        <v>0</v>
      </c>
      <c r="G971" s="37">
        <v>0</v>
      </c>
      <c r="H971" s="46">
        <v>595</v>
      </c>
    </row>
    <row r="972" spans="1:8" ht="14.5" x14ac:dyDescent="0.35">
      <c r="A972" s="12" t="s">
        <v>365</v>
      </c>
      <c r="B972" s="101"/>
      <c r="C972" s="8" t="s">
        <v>29</v>
      </c>
      <c r="D972" s="62"/>
      <c r="E972" s="52" t="s">
        <v>236</v>
      </c>
      <c r="F972" s="37">
        <v>0</v>
      </c>
      <c r="G972" s="37">
        <v>0</v>
      </c>
      <c r="H972" s="46">
        <v>175</v>
      </c>
    </row>
    <row r="973" spans="1:8" x14ac:dyDescent="0.3">
      <c r="A973" s="12" t="s">
        <v>365</v>
      </c>
      <c r="B973" s="53">
        <v>0.32</v>
      </c>
      <c r="C973" s="8" t="s">
        <v>29</v>
      </c>
      <c r="D973" s="62"/>
      <c r="E973" s="50" t="s">
        <v>236</v>
      </c>
      <c r="F973" s="37">
        <v>0</v>
      </c>
      <c r="G973" s="37">
        <v>0</v>
      </c>
      <c r="H973" s="46">
        <v>595</v>
      </c>
    </row>
    <row r="974" spans="1:8" x14ac:dyDescent="0.3">
      <c r="A974" s="12" t="s">
        <v>300</v>
      </c>
      <c r="B974" s="53"/>
      <c r="C974" s="8" t="s">
        <v>29</v>
      </c>
      <c r="D974" s="62"/>
      <c r="E974" s="52" t="s">
        <v>237</v>
      </c>
      <c r="F974" s="37">
        <v>0</v>
      </c>
      <c r="G974" s="37">
        <v>0</v>
      </c>
      <c r="H974" s="46">
        <v>175</v>
      </c>
    </row>
    <row r="975" spans="1:8" x14ac:dyDescent="0.3">
      <c r="A975" s="12" t="s">
        <v>300</v>
      </c>
      <c r="B975" s="53">
        <v>0.32</v>
      </c>
      <c r="C975" s="8" t="s">
        <v>29</v>
      </c>
      <c r="D975" s="62"/>
      <c r="E975" s="50" t="s">
        <v>237</v>
      </c>
      <c r="F975" s="37">
        <v>0</v>
      </c>
      <c r="G975" s="37">
        <v>0</v>
      </c>
      <c r="H975" s="46">
        <v>595</v>
      </c>
    </row>
    <row r="976" spans="1:8" x14ac:dyDescent="0.3">
      <c r="A976" s="12" t="s">
        <v>366</v>
      </c>
      <c r="B976" s="53"/>
      <c r="C976" s="8" t="s">
        <v>29</v>
      </c>
      <c r="D976" s="62"/>
      <c r="E976" s="52" t="s">
        <v>238</v>
      </c>
      <c r="F976" s="37">
        <v>0</v>
      </c>
      <c r="G976" s="37">
        <v>0</v>
      </c>
      <c r="H976" s="46">
        <v>175</v>
      </c>
    </row>
    <row r="977" spans="1:8" x14ac:dyDescent="0.3">
      <c r="A977" s="12" t="s">
        <v>366</v>
      </c>
      <c r="B977" s="53">
        <v>0.32</v>
      </c>
      <c r="C977" s="8" t="s">
        <v>29</v>
      </c>
      <c r="D977" s="62"/>
      <c r="E977" s="50" t="s">
        <v>238</v>
      </c>
      <c r="F977" s="37">
        <v>0</v>
      </c>
      <c r="G977" s="37">
        <v>0</v>
      </c>
      <c r="H977" s="46">
        <v>595</v>
      </c>
    </row>
  </sheetData>
  <conditionalFormatting sqref="A10:A21 A24:A25 A28:A39">
    <cfRule type="expression" dxfId="9" priority="10" stopIfTrue="1">
      <formula>AND(COUNTIF(#REF!, A10)&gt;1,NOT(ISBLANK(A10)))</formula>
    </cfRule>
  </conditionalFormatting>
  <conditionalFormatting sqref="A935:A946">
    <cfRule type="duplicateValues" dxfId="8" priority="9"/>
  </conditionalFormatting>
  <conditionalFormatting sqref="A935:A969">
    <cfRule type="expression" dxfId="7" priority="8" stopIfTrue="1">
      <formula>AND(COUNTIF(#REF!, A935)&gt;1,NOT(ISBLANK(A935)))</formula>
    </cfRule>
  </conditionalFormatting>
  <conditionalFormatting sqref="A962 A947:A950">
    <cfRule type="duplicateValues" dxfId="6" priority="7"/>
  </conditionalFormatting>
  <conditionalFormatting sqref="A963:A967 A951:A961">
    <cfRule type="duplicateValues" dxfId="5" priority="6"/>
  </conditionalFormatting>
  <conditionalFormatting sqref="A968:A969">
    <cfRule type="duplicateValues" dxfId="4" priority="5"/>
  </conditionalFormatting>
  <conditionalFormatting sqref="A970:A975">
    <cfRule type="duplicateValues" dxfId="3" priority="3"/>
    <cfRule type="expression" dxfId="2" priority="4" stopIfTrue="1">
      <formula>AND(COUNTIF(#REF!, A970)&gt;1,NOT(ISBLANK(A970)))</formula>
    </cfRule>
  </conditionalFormatting>
  <conditionalFormatting sqref="A976:A977">
    <cfRule type="duplicateValues" dxfId="1" priority="1"/>
    <cfRule type="expression" dxfId="0" priority="2" stopIfTrue="1">
      <formula>AND(COUNTIF(#REF!, A976)&gt;1,NOT(ISBLANK(A976)))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A3:C977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КАЛЬКУЛЯТОР</vt:lpstr>
      <vt:lpstr>01.01.2026 - 24.01.2026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Kolabkina, Oksana</cp:lastModifiedBy>
  <dcterms:created xsi:type="dcterms:W3CDTF">2010-10-22T09:05:43Z</dcterms:created>
  <dcterms:modified xsi:type="dcterms:W3CDTF">2025-12-28T09:30:48Z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2025-02-01T17:45:49Z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8711a758-14cb-4403-a0ae-547634654f0a</vt:lpwstr>
  </property>
  <property fmtid="{D5CDD505-2E9C-101B-9397-08002B2CF9AE}" pid="16" name="MSIP_Label_b029aa55-c717-49c7-96ad-42e953bc7712_ContentBits">
    <vt:lpwstr>0</vt:lpwstr>
  </property>
</Properties>
</file>