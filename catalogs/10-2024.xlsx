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10 каталог 2024 года/Прайс-листы и каталоги на 10 каталог 2024 года/"/>
    </mc:Choice>
  </mc:AlternateContent>
  <xr:revisionPtr revIDLastSave="0" documentId="13_ncr:1_{F5471062-11A3-4DCF-85E7-FCDD3F18EF19}" xr6:coauthVersionLast="47" xr6:coauthVersionMax="47" xr10:uidLastSave="{00000000-0000-0000-0000-000000000000}"/>
  <bookViews>
    <workbookView xWindow="-103" yWindow="-103" windowWidth="18720" windowHeight="11949" tabRatio="791" xr2:uid="{00000000-000D-0000-FFFF-FFFF00000000}"/>
  </bookViews>
  <sheets>
    <sheet name="10 КАТАЛОГ`24 (1)" sheetId="1" r:id="rId1"/>
    <sheet name="10 КАТАЛОГ`24 (2)" sheetId="2" r:id="rId2"/>
    <sheet name="10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  <externalReference r:id="rId9"/>
    <externalReference r:id="rId10"/>
  </externalReferences>
  <definedNames>
    <definedName name="_xlnm._FilterDatabase" localSheetId="0" hidden="1">'10 КАТАЛОГ`24 (1)'!$B$1:$C$493</definedName>
    <definedName name="_xlnm._FilterDatabase" localSheetId="1" hidden="1">'10 КАТАЛОГ`24 (2)'!#REF!</definedName>
    <definedName name="_xlnm._FilterDatabase" localSheetId="2" hidden="1">'10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'10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'10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6" l="1"/>
  <c r="C24" i="6"/>
  <c r="C23" i="6"/>
  <c r="C22" i="6"/>
  <c r="C21" i="6"/>
  <c r="C19" i="6"/>
  <c r="C18" i="6"/>
  <c r="C17" i="6"/>
  <c r="C16" i="6"/>
  <c r="C13" i="6"/>
  <c r="C12" i="6"/>
  <c r="C9" i="6"/>
  <c r="C8" i="6"/>
  <c r="C7" i="6"/>
  <c r="C6" i="6"/>
  <c r="C3" i="6"/>
  <c r="D88" i="2"/>
  <c r="B13" i="2"/>
  <c r="B52" i="2"/>
  <c r="B75" i="2"/>
  <c r="B76" i="2"/>
  <c r="B85" i="2"/>
  <c r="B139" i="2"/>
  <c r="B3" i="2"/>
  <c r="C13" i="2"/>
  <c r="C52" i="2"/>
  <c r="C75" i="2"/>
  <c r="C76" i="2"/>
  <c r="C85" i="2"/>
  <c r="C139" i="2"/>
  <c r="C3" i="2"/>
  <c r="D166" i="2" l="1"/>
  <c r="D112" i="2"/>
  <c r="D100" i="2"/>
  <c r="D129" i="2"/>
  <c r="D163" i="2"/>
  <c r="D29" i="2"/>
  <c r="D137" i="2"/>
  <c r="D174" i="2"/>
  <c r="D173" i="2"/>
  <c r="D162" i="2"/>
  <c r="D64" i="2"/>
  <c r="D161" i="2"/>
  <c r="D52" i="2"/>
  <c r="D165" i="2"/>
  <c r="D160" i="2"/>
  <c r="D28" i="2"/>
  <c r="D149" i="2"/>
  <c r="D148" i="2"/>
  <c r="D177" i="2"/>
  <c r="D136" i="2"/>
  <c r="D146" i="2"/>
  <c r="D76" i="2"/>
  <c r="D40" i="2"/>
  <c r="D152" i="2"/>
  <c r="D150" i="2"/>
  <c r="D178" i="2"/>
  <c r="D126" i="2"/>
  <c r="D175" i="2"/>
  <c r="D124" i="2"/>
  <c r="D2" i="2"/>
  <c r="D172" i="2"/>
  <c r="D159" i="2"/>
  <c r="D147" i="2"/>
  <c r="D135" i="2"/>
  <c r="D123" i="2"/>
  <c r="D111" i="2"/>
  <c r="D99" i="2"/>
  <c r="D87" i="2"/>
  <c r="D75" i="2"/>
  <c r="D63" i="2"/>
  <c r="D51" i="2"/>
  <c r="D39" i="2"/>
  <c r="D24" i="2"/>
  <c r="D171" i="2"/>
  <c r="D134" i="2"/>
  <c r="D122" i="2"/>
  <c r="D110" i="2"/>
  <c r="D98" i="2"/>
  <c r="D86" i="2"/>
  <c r="D74" i="2"/>
  <c r="D62" i="2"/>
  <c r="D50" i="2"/>
  <c r="D38" i="2"/>
  <c r="D22" i="2"/>
  <c r="D183" i="2"/>
  <c r="D158" i="2"/>
  <c r="D182" i="2"/>
  <c r="D157" i="2"/>
  <c r="D133" i="2"/>
  <c r="D109" i="2"/>
  <c r="D97" i="2"/>
  <c r="D85" i="2"/>
  <c r="D73" i="2"/>
  <c r="D61" i="2"/>
  <c r="D49" i="2"/>
  <c r="D37" i="2"/>
  <c r="D20" i="2"/>
  <c r="D170" i="2"/>
  <c r="D145" i="2"/>
  <c r="D121" i="2"/>
  <c r="D181" i="2"/>
  <c r="D169" i="2"/>
  <c r="D156" i="2"/>
  <c r="D144" i="2"/>
  <c r="D132" i="2"/>
  <c r="D120" i="2"/>
  <c r="D108" i="2"/>
  <c r="D96" i="2"/>
  <c r="D84" i="2"/>
  <c r="D72" i="2"/>
  <c r="D60" i="2"/>
  <c r="D48" i="2"/>
  <c r="D36" i="2"/>
  <c r="D18" i="2"/>
  <c r="D168" i="2"/>
  <c r="D143" i="2"/>
  <c r="D119" i="2"/>
  <c r="D107" i="2"/>
  <c r="D95" i="2"/>
  <c r="D83" i="2"/>
  <c r="D71" i="2"/>
  <c r="D59" i="2"/>
  <c r="D47" i="2"/>
  <c r="D35" i="2"/>
  <c r="D15" i="2"/>
  <c r="D180" i="2"/>
  <c r="D155" i="2"/>
  <c r="D131" i="2"/>
  <c r="D179" i="2"/>
  <c r="D167" i="2"/>
  <c r="D154" i="2"/>
  <c r="D142" i="2"/>
  <c r="D130" i="2"/>
  <c r="D118" i="2"/>
  <c r="D106" i="2"/>
  <c r="D94" i="2"/>
  <c r="D82" i="2"/>
  <c r="D70" i="2"/>
  <c r="D58" i="2"/>
  <c r="D46" i="2"/>
  <c r="D34" i="2"/>
  <c r="D10" i="2"/>
  <c r="D153" i="2"/>
  <c r="D141" i="2"/>
  <c r="D117" i="2"/>
  <c r="D105" i="2"/>
  <c r="D93" i="2"/>
  <c r="D81" i="2"/>
  <c r="D69" i="2"/>
  <c r="D57" i="2"/>
  <c r="D45" i="2"/>
  <c r="D33" i="2"/>
  <c r="D11" i="2"/>
  <c r="D128" i="2"/>
  <c r="D116" i="2"/>
  <c r="D104" i="2"/>
  <c r="D92" i="2"/>
  <c r="D80" i="2"/>
  <c r="D68" i="2"/>
  <c r="D56" i="2"/>
  <c r="D44" i="2"/>
  <c r="D32" i="2"/>
  <c r="D16" i="2"/>
  <c r="D140" i="2"/>
  <c r="D176" i="2"/>
  <c r="D151" i="2"/>
  <c r="D139" i="2"/>
  <c r="D127" i="2"/>
  <c r="D115" i="2"/>
  <c r="D103" i="2"/>
  <c r="D91" i="2"/>
  <c r="D79" i="2"/>
  <c r="D67" i="2"/>
  <c r="D55" i="2"/>
  <c r="D43" i="2"/>
  <c r="D31" i="2"/>
  <c r="D138" i="2"/>
  <c r="D114" i="2"/>
  <c r="D102" i="2"/>
  <c r="D90" i="2"/>
  <c r="D78" i="2"/>
  <c r="D66" i="2"/>
  <c r="D54" i="2"/>
  <c r="D42" i="2"/>
  <c r="D30" i="2"/>
  <c r="D125" i="2"/>
  <c r="D113" i="2"/>
  <c r="D101" i="2"/>
  <c r="D89" i="2"/>
  <c r="D77" i="2"/>
  <c r="D65" i="2"/>
  <c r="D53" i="2"/>
  <c r="D41" i="2"/>
  <c r="D27" i="2"/>
  <c r="D17" i="2"/>
  <c r="D21" i="2"/>
  <c r="D9" i="2"/>
  <c r="D8" i="2"/>
  <c r="D19" i="2"/>
  <c r="D7" i="2"/>
  <c r="D6" i="2"/>
  <c r="D5" i="2"/>
  <c r="D4" i="2"/>
  <c r="D3" i="2"/>
  <c r="D26" i="2"/>
  <c r="D14" i="2"/>
  <c r="D25" i="2"/>
  <c r="D13" i="2"/>
  <c r="D12" i="2"/>
  <c r="D23" i="2"/>
</calcChain>
</file>

<file path=xl/sharedStrings.xml><?xml version="1.0" encoding="utf-8"?>
<sst xmlns="http://schemas.openxmlformats.org/spreadsheetml/2006/main" count="1868" uniqueCount="1171">
  <si>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</si>
  <si>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</si>
  <si>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</si>
  <si>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</si>
  <si>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</si>
  <si>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</si>
  <si>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</si>
  <si>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</si>
  <si>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</si>
  <si>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</si>
  <si>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</si>
  <si>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</si>
  <si>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</si>
  <si>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</si>
  <si>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</si>
  <si>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</si>
  <si>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</si>
  <si>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</si>
  <si>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</si>
  <si>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</si>
  <si>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</si>
  <si>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</si>
  <si>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</si>
  <si>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</si>
  <si>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</si>
  <si>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</si>
  <si>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</si>
  <si>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</si>
  <si>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</si>
  <si>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</si>
  <si>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</si>
  <si>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</si>
  <si>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</si>
  <si>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</si>
  <si>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ПРЕБИОТИЧЕСКИЙ НАПИТОК С ПИЩЕВЫМИ ВОЛОКНАМИ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</si>
  <si>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</si>
  <si>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</si>
  <si>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</si>
  <si>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</si>
  <si>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</si>
  <si>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</si>
  <si>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</si>
  <si>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</si>
  <si>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</si>
  <si>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</si>
  <si>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</si>
  <si>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</si>
  <si>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</si>
  <si>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</si>
  <si>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</si>
  <si>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</si>
  <si>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</si>
  <si>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</si>
  <si>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</si>
  <si>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</si>
  <si>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</si>
  <si>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</si>
  <si>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</si>
  <si>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</si>
  <si>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</si>
  <si>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</si>
  <si>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</si>
  <si>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</si>
  <si>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</si>
  <si>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</si>
  <si>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</si>
  <si>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</si>
  <si>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</si>
  <si>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</si>
  <si>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</si>
  <si>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</si>
  <si>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</si>
  <si>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</si>
  <si>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</si>
  <si>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</si>
  <si>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</si>
  <si>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</si>
  <si>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</si>
  <si>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</si>
  <si>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</si>
  <si>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</si>
  <si>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</si>
  <si>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</si>
  <si>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</si>
  <si>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</si>
  <si>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</si>
  <si>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</si>
  <si>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</si>
  <si>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</si>
  <si>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</si>
  <si>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</si>
  <si>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</si>
  <si>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</si>
  <si>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</si>
  <si>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</si>
  <si>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</si>
  <si>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</si>
  <si>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</si>
  <si>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</si>
  <si>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</si>
  <si>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</si>
  <si>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</si>
  <si>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</si>
  <si>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</si>
  <si>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</si>
  <si>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</si>
  <si>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</si>
  <si>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</si>
  <si>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</si>
  <si>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</si>
  <si>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</si>
  <si>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</si>
  <si>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ЩИПЧИКИ ДЛЯ ЗАВИВКИ РЕСНИЦ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</si>
  <si>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</si>
  <si>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</si>
  <si>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</si>
  <si>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</si>
  <si>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</si>
  <si>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</si>
  <si>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</si>
  <si>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</si>
  <si>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</si>
  <si>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</si>
  <si>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</si>
  <si>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</si>
  <si>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</si>
  <si>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</si>
  <si>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</si>
  <si>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</si>
  <si>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</si>
  <si>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</si>
  <si>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</si>
  <si>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</si>
  <si>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</si>
  <si>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</si>
  <si>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</si>
  <si>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КОНЦЕНТРИРОВАННЫЙ КРЕМ-СКУЛЬПТОР ДЛЯ ШЕИ И ДЕКОЛЬТЕ NOVAGE</t>
  </si>
  <si>
    <t>2</t>
  </si>
  <si>
    <t>КОМПЛЕКСНЫЙ УХОД ПРОТИВ МОРЩИН NOVAGE+ WRINKLE SMOOTH</t>
  </si>
  <si>
    <t>КОСМЕТИЧКА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</si>
  <si>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</si>
  <si>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</si>
  <si>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</si>
  <si>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</si>
  <si>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</si>
  <si>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</si>
  <si>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</si>
  <si>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</si>
  <si>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</si>
  <si>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</si>
  <si>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</si>
  <si>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</si>
  <si>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</si>
  <si>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</si>
  <si>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</si>
  <si>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</si>
  <si>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</si>
  <si>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</si>
  <si>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</si>
  <si>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</si>
  <si>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</si>
  <si>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</si>
  <si>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</si>
  <si>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</si>
  <si>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</si>
  <si>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</si>
  <si>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</si>
  <si>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</si>
  <si>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</si>
  <si>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</si>
  <si>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</si>
  <si>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</si>
  <si>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</si>
  <si>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</si>
  <si>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</si>
  <si>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</si>
  <si>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</si>
  <si>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</si>
  <si>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</si>
  <si>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</si>
  <si>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</si>
  <si>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</si>
  <si>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</si>
  <si>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</si>
  <si>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</si>
  <si>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</si>
  <si>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</si>
  <si>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</si>
  <si>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</si>
  <si>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</si>
  <si>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</si>
  <si>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</si>
  <si>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</si>
  <si>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</si>
  <si>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</si>
  <si>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</si>
  <si>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</si>
  <si>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</si>
  <si>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</si>
  <si>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</si>
  <si>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</si>
  <si>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</si>
  <si>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</si>
  <si>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</si>
  <si>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</si>
  <si>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</si>
  <si>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</si>
  <si>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</si>
  <si>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</si>
  <si>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</si>
  <si>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</si>
  <si>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</si>
  <si>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</si>
  <si>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</si>
  <si>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</si>
  <si>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</si>
  <si>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</si>
  <si>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</si>
  <si>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</si>
  <si>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</si>
  <si>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</si>
  <si>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</si>
  <si>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</si>
  <si>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</si>
  <si>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</si>
  <si>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</si>
  <si>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</si>
  <si>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</si>
  <si>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</si>
  <si>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</si>
  <si>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</si>
  <si>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</si>
  <si>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</si>
  <si>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</si>
  <si>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</si>
  <si>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</si>
  <si>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</si>
  <si>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</si>
  <si>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</si>
  <si>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</si>
  <si>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</si>
  <si>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</si>
  <si>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</si>
  <si>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</si>
  <si>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</si>
  <si>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</si>
  <si>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</si>
  <si>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</si>
  <si>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</si>
  <si>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</si>
  <si>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</si>
  <si>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</si>
  <si>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</si>
  <si>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</si>
  <si>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</si>
  <si>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</si>
  <si>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</si>
  <si>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</si>
  <si>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</si>
  <si>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</si>
  <si>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</si>
  <si>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</si>
  <si>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</si>
  <si>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</si>
  <si>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</si>
  <si>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</si>
  <si>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КАТАЛОГИ</t>
  </si>
  <si>
    <t>код</t>
  </si>
  <si>
    <t>наименование</t>
  </si>
  <si>
    <t>1 каталог, руб.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</si>
  <si>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</si>
  <si>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</si>
  <si>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</si>
  <si>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</si>
  <si>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</si>
  <si>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</si>
  <si>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</si>
  <si>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</si>
  <si>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</si>
  <si>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Дополнительно  ты можешь приобрести следующие наборы каталогов Oriflame:</t>
  </si>
  <si>
    <t xml:space="preserve">НОЧНАЯ МАСКА ДЛЯ ИНТЕНСИВНОГО ВОССТАНОВЛЕНИЯ КОЖИ NOVAGE+ 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</si>
  <si>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</si>
  <si>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</si>
  <si>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</si>
  <si>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</si>
  <si>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</si>
  <si>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</si>
  <si>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</si>
  <si>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</si>
  <si>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</si>
  <si>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</si>
  <si>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</si>
  <si>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</si>
  <si>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</si>
  <si>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</si>
  <si>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</si>
  <si>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</si>
  <si>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</si>
  <si>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</si>
  <si>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</si>
  <si>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</si>
  <si>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</si>
  <si>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35661</t>
  </si>
  <si>
    <t>ОЧИЩАЮЩИЙ КРЕМ ДЛЯ УМЫВАНИЯ LOVE NATURE</t>
  </si>
  <si>
    <t>ПИНЦЕТ ДЛЯ БРОВЕЙ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</si>
  <si>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</si>
  <si>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</si>
  <si>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</si>
  <si>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УХАЖИВАЮЩИЙ КРЕМ ДЛЯ ДУША С ОРГАНИЧЕСКИМ ОВСОМ И АБРИКОСОМ LOVE NATURE</t>
  </si>
  <si>
    <t>ОСНОВА ПОД МАКИЯЖ С ПРЕБИОТИЧЕСКОЙ СЫВОРОТКОЙ GIORDANI GOLD</t>
  </si>
  <si>
    <t>ОБОДОК ДЛЯ ВОЛОС</t>
  </si>
  <si>
    <t>МИЦЕЛЛЯРНЫЙ ОЧИЩАЮЩИЙ ЛОСЬОН DIAMOND CELLULAR</t>
  </si>
  <si>
    <t>СОЛНЦЕЗАЩИТНЫЙ КРЕМ ДЛЯ ЛИЦА SUN ZONE SPF 50</t>
  </si>
  <si>
    <t>ДЕТСКИЙ СОЛНЦЕЗАЩИТНЫЙ ЛОСЬОН SUN ZONE SPF 50</t>
  </si>
  <si>
    <t>ОБНОВЛЯЮЩИЙ ПИЛИНГ ДЛЯ ЛИЦА NOVAGE</t>
  </si>
  <si>
    <t>СОЛНЦЕЗАЩИТНЫЙ СПРЕЙ ДЛЯ ЛИЦА И ТЕЛА ORIFLAME SUN 360 С SPF 50</t>
  </si>
  <si>
    <t>ИНТЕНСИВНЫЙ АНТИВОЗРАСТНОЙ КРЕМ ДЛЯ РУК С SPF 25 NOVAGE</t>
  </si>
  <si>
    <t>ЖЕЛЕ ДЛЯ ЛИЦА И ТЕЛА ПОСЛЕ ЗАГАРА ORIFLAME SUN 360</t>
  </si>
  <si>
    <t xml:space="preserve">ШАМПУНЬ С ЦЕННЫМИ МАСЛАМИ ELEO </t>
  </si>
  <si>
    <t xml:space="preserve">КОНДИЦИОНЕР ДЛЯ ВОЛОС С ЦЕННЫМИ МАСЛАМИ ELEO </t>
  </si>
  <si>
    <t>СЫВОРОТКА-КОНЦЕНТРАТ АНТИВОЗРАСТНОГО ДЕЙСТВИЯ С РЕТИНОЛОМ NOVAGE PROCEUTICALS</t>
  </si>
  <si>
    <t>СЫВОРОТКА-КОНЦЕНТРАТ ДЛЯ ПОВЫШЕНИЯ УПРУГОСТИ КОЖИ С ПЕПТИДАМИ NOVAGE PROCEUTICALS</t>
  </si>
  <si>
    <t>ЛЁГКИЙ МУЛЬТИАКТИВНЫЙ ДНЕВНОЙ КРЕМ NOVAGE+</t>
  </si>
  <si>
    <t>НАСЫЩЕННЫЙ МУЛЬТИАКТИВНЫЙ ДНЕВНОЙ КРЕМ NOVAGE+</t>
  </si>
  <si>
    <t>МУЛЬТИФУНКЦИОНАЛЬНЫЙ ЗАЩИТНЫЙ КРЕМ ДЛЯ ЛИЦА SPF 50 NOVAGE+ PROCEUTICALS</t>
  </si>
  <si>
    <t>НОЧНАЯ МАСКА ДЛЯ ИНТЕНСИВНОГО ВОССТАНОВЛЕНИЯ КОЖИ NOVAGE+</t>
  </si>
  <si>
    <t>УВЛАЖНЯЮЩАЯ ЭССЕНЦИЯ-СПРЕЙ ДЛЯ ЛИЦА NOVAGE+ PROCEUTICALS</t>
  </si>
  <si>
    <t>ЖЕНСКАЯ ПАРФЮМЕРНАЯ ВОДА LOVE POTION</t>
  </si>
  <si>
    <t>УКРЕПЛЯЮЩАЯ МАСКА-СМУЗИ ДЛЯ ВОЛОС С ОРГАНИЧЕСКИМ БАНАНОМ LOVE NATURE</t>
  </si>
  <si>
    <t>НЕСМЫВАЕМЫЙ КРЕМ-УХОД ДЛЯ ВОЛОС 2 В 1 DUOLOGI</t>
  </si>
  <si>
    <t>ПАРФЮМЕРНАЯ ВОДА VOLARE TENDER</t>
  </si>
  <si>
    <t>ЧАСЫ С РЕМЕШКОМ-ЛЕНТОЙ</t>
  </si>
  <si>
    <t>46052</t>
  </si>
  <si>
    <t>46060</t>
  </si>
  <si>
    <t>УВЛАЖНЯЮЩИЙ КРЕМ ДЛЯ РУК «МОЛОКО И МЕД - ЗОЛОТАЯ СЕРИЯ»</t>
  </si>
  <si>
    <t>ОЧИЩАЮЩАЯ ГЛИНЯНАЯ МАСКА ДЛЯ ВСЕХ ТИПОВ КОЖИ OPTIMALS</t>
  </si>
  <si>
    <t>ПАРФЮМЕРНАЯ ВОДА LOVE POTION SECRETS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</si>
  <si>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</si>
  <si>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</si>
  <si>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</si>
  <si>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ТОНИК ДЛЯ КОЖИ ГОЛОВЫ ПРОТИВ ВЫПАДЕНИЯ ВОЛОС DUOLOGI</t>
  </si>
  <si>
    <t>ТЕРМОЗАЩИТНЫЙ СПРЕЙ ДЛЯ ВОЛОС DUOLOGI</t>
  </si>
  <si>
    <t>МНОГОРАЗОВЫЙ БРИТВЕННЫЙ СТАНОК</t>
  </si>
  <si>
    <t>СМЕННЫЕ КАССЕТЫ ДЛЯ БРИТВЕННОГО СТАНКА</t>
  </si>
  <si>
    <t>КРЕМ ДЛЯ РУК С ОРГАНИЧЕСКИМ РОЗОВЫМ ГРЕЙПФРУТОМ LOVE NATURE</t>
  </si>
  <si>
    <t>ШАМПУНЬ ДЛЯ ИНТЕНСИВНОГО ВОССТАНОВЛЕНИЯ ВОЛОС DUOLOGI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</si>
  <si>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</si>
  <si>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</si>
  <si>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</si>
  <si>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</si>
  <si>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НОВИНКИ WELLOSOPHY</t>
  </si>
  <si>
    <t>ПАРФЮМЕРНАЯ ВОДА WHISPERS OF ME</t>
  </si>
  <si>
    <t>СПЕЦИАЛЬНОЕ СМЯГЧАЮЩЕЕ СРЕДСТВО С МАСЛОМ СЕМЯН АРБУЗА</t>
  </si>
  <si>
    <t>МЫЛО NEON VIBES</t>
  </si>
  <si>
    <t>ГЕЛЬ ДЛЯ ДУША NEON VIBES</t>
  </si>
  <si>
    <t>ЛОСЬОН ДЛЯ РУК И ТЕЛА NEON VIBES</t>
  </si>
  <si>
    <t>ЩЁТКА-МАССАЖЁР ДЛЯ ТЕЛА</t>
  </si>
  <si>
    <t>ГУБКА ДЛЯ ОЧИЩЕНИЯ ЛИЦА</t>
  </si>
  <si>
    <t>СКРЕБОК ГУАША ДЛЯ ТЕЛА</t>
  </si>
  <si>
    <t>ОХЛАЖДАЮЩЕЕ ПОЛОТЕНЦЕ</t>
  </si>
  <si>
    <t>ТУШЬ ДЛЯ РЕСНИЦ С ЭФФЕКТОМ ВЕЕРНОГО ОБЪЁМА ONCOLOUR - СИНИЙ</t>
  </si>
  <si>
    <t>ВОССТАНАВЛИВАЮЩИЕ КАПСУЛЫ ДЛЯ ЛИЦА С КОНЦЕНТРАТОМ МАСЕЛ NOVAGE+</t>
  </si>
  <si>
    <t>БОДРЯЩИЙ ГЕЛЬ ДЛЯ ДУША С ОРГАНИЧЕСКОЙ КОКОСОВОЙ ВОДОЙ И ДЫНЕЙ LOVE NATURE</t>
  </si>
  <si>
    <t>ТУАЛЕТНАЯ ВОДА JOYCE ROSE</t>
  </si>
  <si>
    <t xml:space="preserve">ПАРФЮМЕРНАЯ ВОДА SO FEVER TOGETHER HER </t>
  </si>
  <si>
    <t>ТУАЛЕТНАЯ ВОДА SO FEVER ECSTATIC HIM</t>
  </si>
  <si>
    <t>НАБОР КРЕМОВ ДЛЯ РУК AFTERNOON TEA</t>
  </si>
  <si>
    <t xml:space="preserve">ЖЕНСКАЯ ПАРФЮМЕРНАЯ ВОДА NORDIC WATERS INFINITE BLUE </t>
  </si>
  <si>
    <t>ЖЕНСКАЯ ПАРФЮМЕРНАЯ ВОДА NORDIC WATERS INFINITE BLUE</t>
  </si>
  <si>
    <t>154</t>
  </si>
  <si>
    <t>155</t>
  </si>
  <si>
    <t>128</t>
  </si>
  <si>
    <t>69</t>
  </si>
  <si>
    <t>146</t>
  </si>
  <si>
    <t>96</t>
  </si>
  <si>
    <t>99</t>
  </si>
  <si>
    <t>97</t>
  </si>
  <si>
    <t>93</t>
  </si>
  <si>
    <t>94</t>
  </si>
  <si>
    <t>95</t>
  </si>
  <si>
    <t>61</t>
  </si>
  <si>
    <t>63</t>
  </si>
  <si>
    <t>153</t>
  </si>
  <si>
    <t>165</t>
  </si>
  <si>
    <t>115</t>
  </si>
  <si>
    <t>109</t>
  </si>
  <si>
    <t>32</t>
  </si>
  <si>
    <t>120</t>
  </si>
  <si>
    <t>62</t>
  </si>
  <si>
    <t>125</t>
  </si>
  <si>
    <t>124</t>
  </si>
  <si>
    <t>113</t>
  </si>
  <si>
    <t>45</t>
  </si>
  <si>
    <t>119</t>
  </si>
  <si>
    <t>129</t>
  </si>
  <si>
    <t>114</t>
  </si>
  <si>
    <t>26</t>
  </si>
  <si>
    <t>78</t>
  </si>
  <si>
    <t>133</t>
  </si>
  <si>
    <t>40</t>
  </si>
  <si>
    <t>123</t>
  </si>
  <si>
    <t>91</t>
  </si>
  <si>
    <t>19</t>
  </si>
  <si>
    <t>20</t>
  </si>
  <si>
    <t>107</t>
  </si>
  <si>
    <t>18</t>
  </si>
  <si>
    <t>152</t>
  </si>
  <si>
    <t>117</t>
  </si>
  <si>
    <t>116</t>
  </si>
  <si>
    <t>54</t>
  </si>
  <si>
    <t>38</t>
  </si>
  <si>
    <t>46</t>
  </si>
  <si>
    <t>122</t>
  </si>
  <si>
    <t>50</t>
  </si>
  <si>
    <t>22</t>
  </si>
  <si>
    <t>10</t>
  </si>
  <si>
    <t>11</t>
  </si>
  <si>
    <t>27</t>
  </si>
  <si>
    <t>15</t>
  </si>
  <si>
    <t>141</t>
  </si>
  <si>
    <t>163</t>
  </si>
  <si>
    <t>160</t>
  </si>
  <si>
    <t>53</t>
  </si>
  <si>
    <t>132</t>
  </si>
  <si>
    <t>5</t>
  </si>
  <si>
    <t>166</t>
  </si>
  <si>
    <t>161</t>
  </si>
  <si>
    <t>151</t>
  </si>
  <si>
    <t>75</t>
  </si>
  <si>
    <t>70</t>
  </si>
  <si>
    <t>17</t>
  </si>
  <si>
    <t>112</t>
  </si>
  <si>
    <t>136</t>
  </si>
  <si>
    <t>9</t>
  </si>
  <si>
    <t>80</t>
  </si>
  <si>
    <t>81</t>
  </si>
  <si>
    <t>33</t>
  </si>
  <si>
    <t>82</t>
  </si>
  <si>
    <t>83</t>
  </si>
  <si>
    <t>85</t>
  </si>
  <si>
    <t>86</t>
  </si>
  <si>
    <t>87</t>
  </si>
  <si>
    <t>149</t>
  </si>
  <si>
    <t>137</t>
  </si>
  <si>
    <t>150</t>
  </si>
  <si>
    <t>138</t>
  </si>
  <si>
    <t>77</t>
  </si>
  <si>
    <t>74</t>
  </si>
  <si>
    <t>135</t>
  </si>
  <si>
    <t>140</t>
  </si>
  <si>
    <t>72</t>
  </si>
  <si>
    <t>73</t>
  </si>
  <si>
    <t>59</t>
  </si>
  <si>
    <t>51</t>
  </si>
  <si>
    <t>147</t>
  </si>
  <si>
    <t>56</t>
  </si>
  <si>
    <t>35</t>
  </si>
  <si>
    <t>41</t>
  </si>
  <si>
    <t>34</t>
  </si>
  <si>
    <t>43</t>
  </si>
  <si>
    <t>79</t>
  </si>
  <si>
    <t>55</t>
  </si>
  <si>
    <t>23</t>
  </si>
  <si>
    <t>21</t>
  </si>
  <si>
    <t>67</t>
  </si>
  <si>
    <t>66</t>
  </si>
  <si>
    <t>68</t>
  </si>
  <si>
    <t>64</t>
  </si>
  <si>
    <t>65</t>
  </si>
  <si>
    <t>104</t>
  </si>
  <si>
    <t>39</t>
  </si>
  <si>
    <t>105</t>
  </si>
  <si>
    <t>13</t>
  </si>
  <si>
    <t>121</t>
  </si>
  <si>
    <t>48</t>
  </si>
  <si>
    <t>57</t>
  </si>
  <si>
    <t>139</t>
  </si>
  <si>
    <t>89</t>
  </si>
  <si>
    <t>131</t>
  </si>
  <si>
    <t>24</t>
  </si>
  <si>
    <t>106</t>
  </si>
  <si>
    <t>111</t>
  </si>
  <si>
    <t>148</t>
  </si>
  <si>
    <t>130</t>
  </si>
  <si>
    <t>143</t>
  </si>
  <si>
    <t>142</t>
  </si>
  <si>
    <t>103</t>
  </si>
  <si>
    <t>49</t>
  </si>
  <si>
    <t>37</t>
  </si>
  <si>
    <t>88</t>
  </si>
  <si>
    <t>127</t>
  </si>
  <si>
    <t>25</t>
  </si>
  <si>
    <t>47</t>
  </si>
  <si>
    <t>71</t>
  </si>
  <si>
    <t>157</t>
  </si>
  <si>
    <t>156</t>
  </si>
  <si>
    <t>52</t>
  </si>
  <si>
    <t>КЛЕТОЧНЫЙ КРЕМ МОЛОДОСТИ DIAMOND CELLULAR</t>
  </si>
  <si>
    <t>НОЧНОЙ ВОССТАНАВЛИВАЮЩИЙ КЛЕТОЧНЫЙ КРЕМ DIAMOND CELLULAR</t>
  </si>
  <si>
    <t>ИНСТРУМЕНТ ДЛЯ ОЧИСТКИ ЛИЦА</t>
  </si>
  <si>
    <t>СПОНЖ КОННЯКУ</t>
  </si>
  <si>
    <t>ТУАЛЕТНАЯ ВОДА MEN'S COLLECTION CITRUS TONIC</t>
  </si>
  <si>
    <t xml:space="preserve">ЛОСЬОН ДЛЯ РУК И ТЕЛА С ЛИМОНОМ И ВЕРБЕНОЙ ESSENSE &amp; CO. </t>
  </si>
  <si>
    <t>СРЕДСТВО ДЛЯ СНЯТИЯ МАКИЯЖА THE ONE</t>
  </si>
  <si>
    <t>СКРАБ ДЛЯ РУК «МОЛОКО И МЕД - ЗОЛОТАЯ СЕРИЯ»</t>
  </si>
  <si>
    <t xml:space="preserve">ШАРИКОВЫЙ ДЕЗОДОРАНТ-АНТИПЕРСПИРАНТ BE THE LEGEND </t>
  </si>
  <si>
    <t>ШАРИКОВЫЙ ДЕЗОДОРАНТ MISS GIORDANI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</si>
  <si>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</si>
  <si>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</si>
  <si>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</si>
  <si>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</si>
  <si>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</si>
  <si>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</si>
  <si>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АНТИБАКТЕРИАЛЬНОЕ СРЕДСТВО ДЛЯ ЛИЦА LOVE NATURE</t>
  </si>
  <si>
    <t>АНТИБАКТЕРИАЛЬНЫЙ КАРАНДАШ-КОРРЕКТОР "ЧАЙНОЕ ДЕРЕВО"</t>
  </si>
  <si>
    <t>НЕВИДИМЫЙ ГЕЛЬ ДЛЯ УКЛАДКИ ВОЛОС NORTH FOR MEN</t>
  </si>
  <si>
    <t xml:space="preserve">ЖИДКАЯ ПОДВОДКА ONCOLOUR - ЧЕРНЫЙ 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</si>
  <si>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</si>
  <si>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</si>
  <si>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</si>
  <si>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ПОДВОДКА ДЛЯ ГЛАЗ THE ONE WONDER LINER - ЧЁРНЫЙ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</si>
  <si>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</si>
  <si>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</si>
  <si>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</si>
  <si>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</si>
  <si>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</si>
  <si>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</si>
  <si>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</si>
  <si>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</si>
  <si>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</si>
  <si>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КОНДИЦИОНЕР ДЛЯ ВОЛОС «МОЛОКО И МЕД - ЗОЛОТАЯ СЕРИЯ»</t>
  </si>
  <si>
    <t>МАСКА ДЛЯ ВОЛОС MILK &amp; HONEY GOLD</t>
  </si>
  <si>
    <t>СПЕЦИАЛЬНОЕ СМЯГЧАЮЩЕЕ СРЕДСТВО С МАСЛОМ МАЛИНОВЫХ СЕМЯН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</si>
  <si>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</si>
  <si>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</si>
  <si>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</si>
  <si>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</si>
  <si>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</si>
  <si>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</si>
  <si>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</si>
  <si>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ПЕРЧАТКИ ДЛЯ УХОДА ЗА КОЖЕЙ РУК (С СЕНСОРНОЙ ФУНКЦИЕЙ)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</si>
  <si>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</si>
  <si>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</si>
  <si>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</si>
  <si>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 xml:space="preserve">ТУАЛЕТНАЯ ВОДА JOYCE JADE </t>
  </si>
  <si>
    <t>ГЕЛЕВЫЕ НАКЛЕЙКИ ДЛЯ ОБУВИ</t>
  </si>
  <si>
    <t>ДУХИ SIGNATURE FOR HER</t>
  </si>
  <si>
    <t>ЖИДКОСТЬ ДЛЯ БЕРЕЖНОГО СНЯТИЯ ЛАКА THE ONE EXPERT CARE</t>
  </si>
  <si>
    <t>МАТОВАЯ ПОМАДА ONCOLOUR  - МЯГКИЙ ПЕРСИК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</si>
  <si>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</si>
  <si>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</si>
  <si>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</si>
  <si>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</si>
  <si>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</si>
  <si>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</si>
  <si>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</si>
  <si>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</si>
  <si>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</si>
  <si>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</si>
  <si>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</si>
  <si>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</si>
  <si>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</si>
  <si>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</si>
  <si>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</si>
  <si>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</si>
  <si>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</si>
  <si>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</si>
  <si>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</si>
  <si>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ОБЪЁМНАЯ ТУШЬ ДЛЯ РЕСНИЦ GIORDANI GOLD - ЧЁРНЫЙ</t>
  </si>
  <si>
    <t>БОДРЯЩЕЕ МЫЛО С ОРГАНИЧЕСКОЙ КОКОСОВОЙ ВОДОЙ И ДЫНЕЙ LOVE NATURE</t>
  </si>
  <si>
    <t>ЛОСЬОН ДЛЯ ТЕЛА С ОРГАНИЧЕСКОЙ МЯТОЙ И МАЛИНОЙ LOVE NATURE. БОЛЬШОЙ ОБЪЁМ</t>
  </si>
  <si>
    <t>ШАРИКОВЫЙ ДЕЗОДОРАНТ DIVINE</t>
  </si>
  <si>
    <t>СПОНЖИ ДЛЯ МАКИЯЖА</t>
  </si>
  <si>
    <t>ПИТАТЕЛЬНОЕ МАСЛО ДЛЯ СУХИХ ВОЛОС С ОРГАНИЧЕСКОЙ ПШЕНИЦЕЙ И КОКОСОМ LOVE NATURE</t>
  </si>
  <si>
    <t>ОЧИЩАЮЩИЙ ТОНИК PURE SKIN</t>
  </si>
  <si>
    <t>МАТИРУЮЩИЙ КРЕМ ДЛЯ ЛИЦА PURE SKIN</t>
  </si>
  <si>
    <t>ТУШЬ ДЛЯ РЕСНИЦ С ЭФФЕКТОМ ВЕЕРНОГО ОБЪЁМА ONCOLOUR - ЧЁРНЫЙ</t>
  </si>
  <si>
    <t>ШАРИКОВЫЙ ДЕЗОДОРАНТ-АНТИПЕРСПИРАНТ GIORDANI GOLD MAN</t>
  </si>
  <si>
    <t>ПАРФЮМИРОВАННЫЙ КРЕМ ДЛЯ ТЕЛА GG ESSENZA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</si>
  <si>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</si>
  <si>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</si>
  <si>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</si>
  <si>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</si>
  <si>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</si>
  <si>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4-СТОРОННЯЯ ПИЛКА ДЛЯ НОГТЕЙ</t>
  </si>
  <si>
    <t>МЯГКАЯ ЗУБНАЯ ЩЁТКА OPTIFRESH (ЗЕЛЁНАЯ)</t>
  </si>
  <si>
    <t>КИСТЬ ДЛЯ ПУДРЫ THE ONE</t>
  </si>
  <si>
    <t>КИСТЬ ДЛЯ РУМЯН THE ONE</t>
  </si>
  <si>
    <t>КИСТЬ ДЛЯ КОНТУРИНГА THE ONE</t>
  </si>
  <si>
    <t>КИСТЬ ДЛЯ РАСТУШЕВКИ ТЕНЕЙ THE ONE</t>
  </si>
  <si>
    <t>КИСТЬ ДЛЯ ПОМАДЫ THE ONE</t>
  </si>
  <si>
    <t>ПАРФЮМЕРНАЯ ВОДА AMBER ELIXIR</t>
  </si>
  <si>
    <t>ПАРФЮМЕРНАЯ ВОДА GIORDANI GOLD ESSENZA</t>
  </si>
  <si>
    <t>ПАРФЮМИРОВАННЫЙ КРЕМ ДЛЯ ТЕЛА AMBER ELIXIR</t>
  </si>
  <si>
    <t xml:space="preserve">ТУАЛЕТНАЯ ВОДА MEN'S COLLECTION DARK WOOD </t>
  </si>
  <si>
    <t>ШАРИКОВЫЙ ДЕЗОДОРАНТ-АНТИПЕРСПИРАНТ MISTER GIORDANI</t>
  </si>
  <si>
    <t xml:space="preserve">ШАРИКОВЫЙ ДЕЗОДОРАНТ-АНТИПЕРСПИРАНТ GLACIER 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</si>
  <si>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</si>
  <si>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</si>
  <si>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</si>
  <si>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</si>
  <si>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</si>
  <si>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СРЕДСТВО ДЛЯ ОЧИЩЕНИЯ КОЖИ И ВЫРАВНИВАНИЯ ТОНА OPTIMALS</t>
  </si>
  <si>
    <t>УВЛАЖНЯЮЩАЯ МИЦЕЛЛЯРНАЯ ВОДА OPTIMALS</t>
  </si>
  <si>
    <t>СТОЙКИЙ МАРКЕР-ПОДВОДКА ДЛЯ ГЛАЗ В БОЛЬШОМ ОБЪЕМЕ THE ONE - ЧЕРНЫЙ</t>
  </si>
  <si>
    <t>ТУШЬ ДЛЯ РЕСНИЦ С ДВОЙНЫМ ЭФФЕКТОМ THE ONE DOUBLE EFFECT - ЧËРНЫЙ</t>
  </si>
  <si>
    <t>ПАРФЮМЕРНАЯ ВОДА GIORDANI GOLD ESSENZA. МИНИ-СПРЕЙ</t>
  </si>
  <si>
    <t>ПАРФЮМИРОВАННЫЙ СПРЕЙ-ДЕЗОДОРАНТ ДЛЯ ТЕЛА GG ESSENZA</t>
  </si>
  <si>
    <t>ОЧИЩАЮЩАЯ МАСКА-ПЛЁНКА С УГЛЁМ PURE SKIN</t>
  </si>
  <si>
    <t xml:space="preserve">ПАРФЮМИРОВАННЫЙ КРЕМ ДЛЯ ТЕЛА ECLAT FEMME WEEKEND </t>
  </si>
  <si>
    <t>ЗАЩИТНЫЙ ГЕЛЬ ДЛЯ ИНТИМНОЙ ГИГИЕНЫ FEMINELLE (РЕФИЛ)</t>
  </si>
  <si>
    <t>ТУШЬ С ЭФФЕКТОМ КОШАЧЬИХ ГЛАЗ THE ONE TREMENDOUS - ЧЁРНЫЙ</t>
  </si>
  <si>
    <t>ЗАКРЕПЛЯЮЩЕЕ ПОКРЫТИЕ ДЛЯ ГЕЛЬ-ЛАКА THE ONE</t>
  </si>
  <si>
    <t>СКРАБ-ШАМПУНЬ ДЛЯ ВОЛОС С УГЛЁМ И ОРГАНИЧЕСКОЙ МЯТОЙ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</si>
  <si>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</si>
  <si>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</si>
  <si>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</si>
  <si>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</si>
  <si>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</si>
  <si>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</si>
  <si>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</si>
  <si>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</si>
  <si>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</si>
  <si>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</si>
  <si>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ВЛАГОСТОЙКАЯ ТУШЬ ДЛЯ РЕСНИЦ THE ONE IN ACTION</t>
  </si>
  <si>
    <t>ШАРИКОВЫЙ ДЕЗОДОРАНТ GIORDANI GOLD WOMAN</t>
  </si>
  <si>
    <t>ОЧИЩАЮЩЕЕ СРЕДСТВО ДЛЯ ЛИЦА 3 В 1 GLOW ESSENTIALS</t>
  </si>
  <si>
    <t>ВЫРАВНИВАЮЩАЯ БАЗА ПОД МАКИЯЖ THE ONE MAKE-UP PRO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</si>
  <si>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</si>
  <si>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</si>
  <si>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</si>
  <si>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</si>
  <si>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</si>
  <si>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</si>
  <si>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</si>
  <si>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</si>
  <si>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</si>
  <si>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</si>
  <si>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</si>
  <si>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</si>
  <si>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</si>
  <si>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</si>
  <si>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</si>
  <si>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</si>
  <si>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СЛИВОВО-РОЗОВЫЙ</t>
  </si>
  <si>
    <t>РУМЯНА-БРОНЗЕР В ШАРИКАХ GG - СИЯНИЕ ЗОЛОТА</t>
  </si>
  <si>
    <t>ЗУБНАЯ ПАСТА С ТРАВЯНЫМИ МАСЛАМИ OPTIFRESH</t>
  </si>
  <si>
    <t>ШАМПУНЬ ДЛЯ ИНТЕНСИВНОГО ВОССТАНОВЛЕНИЯ ВОЛОС DUOLOGI (РЕФИЛ)</t>
  </si>
  <si>
    <t>МАСКА ДЛЯ ИНТЕНСИВНОГО ВОССТАНОВЛЕНИЯ ВОЛОС DUOLOGI</t>
  </si>
  <si>
    <t>ВОССТАНАВЛИВАЮЩАЯ СЫВОРОТКА ДЛЯ СЕКУЩИХСЯ ВОЛОС DUOLOGI</t>
  </si>
  <si>
    <t>УСПОКАИВАЮЩИЙ ТОНИК ДЛЯ КОЖИ ГОЛОВЫ DUOLOGI</t>
  </si>
  <si>
    <t>ШАРИКОВЫЙ ДЕЗОДОРАНТ-АНТИПЕРСПИРАНТ ECLAT FEMME WEEKEND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</si>
  <si>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</si>
  <si>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</si>
  <si>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МНОГОРАЗОВЫЕ ДИСКИ ДЛЯ ОЧИЩЕНИЯ КОЖИ</t>
  </si>
  <si>
    <t>ЖИДКОЕ МЫЛО ДЛЯ РУК С ЛИМОНОМ И ВЕРБЕНОЙ ESSENSE &amp; CO. (РЕФИЛ)</t>
  </si>
  <si>
    <t>ЖИДКОЕ МЫЛО ДЛЯ РУК И ТЕЛА MILK &amp; HONEY GOLD. ЗОЛОТАЯ КЛАССИКА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</si>
  <si>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</si>
  <si>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</si>
  <si>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</si>
  <si>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</si>
  <si>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ЩЁТКА-БРАШИНГ ДЛЯ ВОЛОС STYLERPRO</t>
  </si>
  <si>
    <t>СКЕЛЕТНАЯ ЩЁТКА ДЛЯ ВОЛОС STYLERPRO</t>
  </si>
  <si>
    <t>КРЕМ-АНТИПЕРСПИРАНТ ДЛЯ НОГ FEET UP EVERYDAY</t>
  </si>
  <si>
    <t>ОСВЕЖАЮЩИЙ СПРЕЙ-ДЕЗОДОРАНТ ДЛЯ НОГ FEET UP EVERYDAY</t>
  </si>
  <si>
    <t>ДВУСТОРОННЯЯ РАСЧЁСКА STYLERPRO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</si>
  <si>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</si>
  <si>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</si>
  <si>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МАССАЖЁР ДЛЯ КОЖИ ГОЛОВЫ DUOLOGI</t>
  </si>
  <si>
    <t>МУЖСКАЯ КОСМЕТИЧКА</t>
  </si>
  <si>
    <t>ГЕЛЬ ДЛЯ ДУША С ОРГАНИЧЕСКИМ АЛОЭ ВЕРА SIMPLE JOYS LOVE NATURE</t>
  </si>
  <si>
    <t>НОСКИ ДЛЯ УХОДА ЗА КОЖЕЙ НОГ</t>
  </si>
  <si>
    <t>КИСТЬ ДЛЯ КРЕМА И СЫВОРОТКИ</t>
  </si>
  <si>
    <t>МАССАЖЁР ДЛЯ КОЖИ ВОКРУГ ГЛАЗ</t>
  </si>
  <si>
    <t>ТУАЛЕТНАЯ ВОДА MISTER GIORDANI</t>
  </si>
  <si>
    <t>ТУАЛЕТНАЯ ВОДА ДЛЯ НЕГО ECLAT TOUJOURS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</si>
  <si>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</si>
  <si>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</si>
  <si>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</si>
  <si>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ТУАЛЕТНАЯ ВОДА LUCIA</t>
  </si>
  <si>
    <t>ТУАЛЕТНАЯ ВОДА WOMEN'S COLLECTION CHERRY BLOSSOM</t>
  </si>
  <si>
    <t>КРЕМ ДЛЯ РУК С ОРГАНИЧЕСКИМ МАСЛОМ АВОКАДО LOVE NATURE</t>
  </si>
  <si>
    <t>ПАРФЮМЕРНАЯ ВОДА SO FEVER ECSTATIC HER</t>
  </si>
  <si>
    <t>ИНТЕНСИВНО ПОДТЯГИВАЮЩИЕ КАПСУЛЫ ДЛЯ ЛИЦА ROYAL VELVET</t>
  </si>
  <si>
    <t>ОЧИЩАЮЩЕЕ СРЕДСТВО ДЛЯ ДУША BEAUTANICALS</t>
  </si>
  <si>
    <t>МУЖСКАЯ ПАРФЮМЕРНАЯ ВОДА NORDIC WATERS</t>
  </si>
  <si>
    <t>МУЖСКАЯ ТУАЛЕТНАЯ ВОДА GREATER</t>
  </si>
  <si>
    <t>СТИК ДЛЯ КОЖИ ВОКРУГ ГЛАЗ WAUNT «ЭФФЕКТ СВЕЖЕГО ВЗГЛЯДА»</t>
  </si>
  <si>
    <t xml:space="preserve">ТУАЛЕТНАЯ ВОДА ECLAT FEMME WEEKEND </t>
  </si>
  <si>
    <t>ПАРФЮМЕРНАЯ ВОДА MAGNETISTA</t>
  </si>
  <si>
    <t>ТУАЛЕТНАЯ ВОДА GREATER</t>
  </si>
  <si>
    <t>ЖЕНСКАЯ ПАРФЮМЕРНАЯ ВОДА NORDIC WATERS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</si>
  <si>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</si>
  <si>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</si>
  <si>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</si>
  <si>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МАТИРУЮЩИЙ РОЛИК</t>
  </si>
  <si>
    <t>ОЧИЩАЮЩАЯ ЩЁТКА ДЛЯ ЛИЦА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</si>
  <si>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</si>
  <si>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</si>
  <si>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</si>
  <si>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</si>
  <si>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</si>
  <si>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</si>
  <si>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</si>
  <si>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</si>
  <si>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</si>
  <si>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</si>
  <si>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</si>
  <si>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</si>
  <si>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</si>
  <si>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</si>
  <si>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ЗАГАДОЧНЫЙ ВИШНЕВЫЙ</t>
  </si>
  <si>
    <t>СТОЙКИЕ ТЕНИ-КАРАНДАШ ДЛЯ ВЕК THE ONE COLOUR - МАГНЕТИЧЕСКИЙ ПЕРСИКОВЫЙ</t>
  </si>
  <si>
    <t xml:space="preserve">                                                                                              - ИЗЫСКАННЫЙ РОЗОВЫЙ</t>
  </si>
  <si>
    <t xml:space="preserve">                                                                                              - ПЛЕНИТЕЛЬНЫЙ МАУВ</t>
  </si>
  <si>
    <t>ПАРФЮМЕРНАЯ ВОДА INFINITA MY SUNSHINE (ПРОБНИК)</t>
  </si>
  <si>
    <t>ТУАЛЕТНАЯ ВОДА WOMEN'S COLLECTION CHARMING VIOLET</t>
  </si>
  <si>
    <t>ТУАЛЕТНАЯ ВОДА MEN'S COLLECTION AGAVE POWER</t>
  </si>
  <si>
    <t>ОСВЕЖАЮЩИЙ ГЕЛЬ ДЛЯ ИНТИМНОЙ ГИГИЕНЫ FEMINELLE. ЛИМИТИРОВАННЫЙ ВЫПУСК</t>
  </si>
  <si>
    <t>ЩЁТОЧКА ДЛЯ ОЧИЩЕНИЯ ЛИЦА</t>
  </si>
  <si>
    <t>СПОНЖ КОННЯКУ С УГЛЁМ</t>
  </si>
  <si>
    <t>ДЕЗОДОРАНТ-АНТИПЕРСПИРАНТ ДЛЯ ЭКСТРЕМАЛЬНОЙ ЗАЩИТЫ ACTIVELLE</t>
  </si>
  <si>
    <t>СПРЕЙ ДЕЗОДОРАНТ С УХАЖИВАЮЩИМ КОМПЛЕКСОМ ACTIVELLE</t>
  </si>
  <si>
    <t>ТУАЛЕТНАЯ ВОДА ON THE EDGE</t>
  </si>
  <si>
    <t>УНИВЕРСАЛЬНЫЙ УВЛАЖНЯЮЩИЙ КРЕМ ДЛЯ ЛИЦА И ТЕЛА ESSENTIALS</t>
  </si>
  <si>
    <t>ШАМПУНЬ MILK &amp; HONEY GOLD</t>
  </si>
  <si>
    <t>ПАЛЕТКА ДЛЯ КОНТУРИНГА THE ONE - СРЕДНИЙ</t>
  </si>
  <si>
    <t>ПАРФЮМЕРНАЯ ВОДА ДЛЯ НЕЁ LOST IN YOU</t>
  </si>
  <si>
    <t>ПАРФЮМЕРНАЯ ВОДА ДЛЯ НЕГО LOST IN YOU</t>
  </si>
  <si>
    <t>ПАРФЮМЕРНАЯ ВОДА .SE SWEDISH EXPERIENCE WILD HEARTS</t>
  </si>
  <si>
    <t>ШАРИКОВЫЙ ДЕЗОДОРАНТ БЕЗ БЕЛЫХ СЛЕДОВ ACTIVELLE</t>
  </si>
  <si>
    <t>ПИТАТЕЛЬНЫЙ ЛОСЬОН ДЛЯ ТЕЛА BEAUTANICALS</t>
  </si>
  <si>
    <t>ВЫРАВНИВАЮЩИЙ КРЕМ ДЛЯ ЛИЦА С SPF 10 GLOW ESSENTIALS</t>
  </si>
  <si>
    <t>РОЛИКОВЫЙ КРИОМАССАЖЁР ДЛЯ ЛИЦА</t>
  </si>
  <si>
    <t>ДЕТСКИЙ ШАМПУНЬ ДЛЯ ВОЛОС LOVE NATURE</t>
  </si>
  <si>
    <t>ДЕТСКИЙ СПРЕЙ С АРОМАТОМ МАНДАРИНА И ИМБИРНОГО ПЕЧЕНЬЯ LOVE NATURE</t>
  </si>
  <si>
    <t>ДЕТСКИЙ ШАМПУНЬ ДЛЯ ВОЛОС И ТЕЛА  LOVE NATURE</t>
  </si>
  <si>
    <t>НАБОР ДЛЯ ПЕДИКЮРА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</si>
  <si>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</si>
  <si>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</si>
  <si>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КИРПИЧНЫЙ КРАСНЫЙ</t>
  </si>
  <si>
    <t>ЖЕНСКИЕ СОЛНЦЕЗАЩИТНЫЕ ОЧКИ В КОРИЧНЕВОЙ ОПРАВЕ</t>
  </si>
  <si>
    <t>КОВРИК ДЛЯ ПЛЯЖА</t>
  </si>
  <si>
    <t>НАСЫЩЕННЫЙ КРЕМ-КОНДИЦИОНЕР ДЛЯ ВОЛОС DUOLOGI (ПРОБНИК)</t>
  </si>
  <si>
    <t>УВЛАЖНЯЮЩИЙ КРЕМ ДЛЯ ЛИЦА LOVE NATURE</t>
  </si>
  <si>
    <t>УСПОКАИВАЮЩАЯ МАСКА ДЛЯ ЛИЦА LOVE NATURE</t>
  </si>
  <si>
    <t>НАБОР СЕРЁГ "БЛИСТАТЕЛЬНОЕ ТРИО"</t>
  </si>
  <si>
    <t>ШКАТУЛКА ДЛЯ УКРАШЕНИЙ</t>
  </si>
  <si>
    <t>НАБОР РЕЗИНОК ДЛЯ ВОЛОС</t>
  </si>
  <si>
    <t>НОЧНАЯ МАСКА ДЛЯ ИНТЕНСИВНОГО ВОССТАНОВЛЕНИЯ КОЖИ NOVAGE+ (ПРОБНИК)</t>
  </si>
  <si>
    <t>НАБОР ДЛЯ ТЕЛА LOVE NATURE</t>
  </si>
  <si>
    <t>НАБОР ДЛЯ ВОЛОС LOVE NATURE</t>
  </si>
  <si>
    <t>НАБОР AMBER EIXIR</t>
  </si>
  <si>
    <t>НАБОР ECLAT FEMME</t>
  </si>
  <si>
    <t>101</t>
  </si>
  <si>
    <t>102</t>
  </si>
  <si>
    <t>СПЕЦИАЛЬНОЕ СМЯГЧАЮЩЕЕ СРЕДСТВО</t>
  </si>
  <si>
    <t>ПОВЯЗКА НА ГОЛОВУ</t>
  </si>
  <si>
    <t>ПОДТЯГИВАЮЩИЙ КРЕМ ДЛЯ ВЕК ROYAL VELVET</t>
  </si>
  <si>
    <t>ЗЕРКАЛО</t>
  </si>
  <si>
    <t xml:space="preserve">ЖИДКОЕ МЫЛО ДЛЯ РУК С ЛИМОНОМ И ВЕРБЕНОЙ ESSENSE &amp; CO. 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</si>
  <si>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</si>
  <si>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</si>
  <si>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</si>
  <si>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</si>
  <si>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</si>
  <si>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ЗАЩИТНЫЙ ГЕЛЬ ДЛЯ ИНТИМНОЙ ГИГИЕНЫ FEMINELLE</t>
  </si>
  <si>
    <t>60</t>
  </si>
  <si>
    <t>ОБНОВЛЯЮЩЕЕ МЫЛО BEAUTANICALS</t>
  </si>
  <si>
    <t>ОЧИЩАЮЩЕЕ СРЕДСТВО ДЛЯ СИЯНИЯ ЛИЦА С ОРГАНИЧЕСКИМ АБРИКОСОМ И АПЕЛЬСИНОМ LOVE NATURE</t>
  </si>
  <si>
    <t>30</t>
  </si>
  <si>
    <t>31</t>
  </si>
  <si>
    <t>ЗАЩИТНОЕ МАСЛО ДЛЯ ВОЛОС ELEO</t>
  </si>
  <si>
    <t>ОТБЕЛИВАЮЩАЯ ЗУБНАЯ ПАСТА OPTIFRESH</t>
  </si>
  <si>
    <t>ТОНАЛЬНЫЙ ФЛЮИД ДЛЯ СИЯНИЯ КОЖИ ONCOLOUR - СВЕТЛЫЙ</t>
  </si>
  <si>
    <t>ОСВЕЖАЮЩИЙ ГЕЛЬ ДЛЯ ДУША С ОКЕАНСКИМ АККОРДОМ SCENTS &amp; MOMENTS</t>
  </si>
  <si>
    <t>УСПОКАИВАЮЩИЙ ГЕЛЬ ДЛЯ ДУША С МИНДАЛЬНЫМ ЦВЕТОМ SCENTS &amp; MOMENTS</t>
  </si>
  <si>
    <t>БОДРЯЩИЙ ГЕЛЬ ДЛЯ ДУША С РОЗОВЫМ ГРЕЙПФРУТОМ SCENTS &amp; MOMENTS</t>
  </si>
  <si>
    <t>92</t>
  </si>
  <si>
    <t>84</t>
  </si>
  <si>
    <t>УВЛАЖНЯЮЩАЯ МАСКА ДЛЯ ЛИЦА C ГРАНАТОМ LOVE NATURE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</si>
  <si>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</si>
  <si>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</si>
  <si>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</si>
  <si>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</si>
  <si>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</si>
  <si>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</si>
  <si>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</si>
  <si>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</si>
  <si>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БОДРЯЩИЙ ГЕЛЬ ДЛЯ ДУША LOVE NATURE. БОЛЬШОЙ ОБЪЁМ</t>
  </si>
  <si>
    <t>ПИТАТЕЛЬНЫЙ ШАМПУНЬ ДЛЯ СУХИХ ВОЛОС С ОРГАНИЧЕСКОЙ ПШЕНИЦЕЙ И КОКОСОМ LOVE NATURE</t>
  </si>
  <si>
    <t>ШАМПУНЬ ДЛЯ СУХИХ ВОЛОС С ПШЕНИЦЕЙ И КОКОСОМ LOVE NATURE. БОЛЬШОЙ ОБЪЁМ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</si>
  <si>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</si>
  <si>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</si>
  <si>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МАСКА ДЛЯ ЛИЦА С ЭФФЕКТОМ ПИЛИНГА WAUNT</t>
  </si>
  <si>
    <t>ДНЕВНОЙ КРЕМ WAUNT «ДЗЕН-ЭФФЕКТ»</t>
  </si>
  <si>
    <t>УХАЖИВАЮЩАЯ ПОДВОДКА ДЛЯ ГЛАЗ GIORDANI GOLD - ЧЁРНЫЙ</t>
  </si>
  <si>
    <t>ГЕЛЬ-ЛАК ДЛЯ НОГТЕЙ THE ONE - СОЛНЕЧНЫЙ ПУНШ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</si>
  <si>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</si>
  <si>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</si>
  <si>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</si>
  <si>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ОТШЕЛУШИВАЮЩИЙ ГЕЛЬ ДЛЯ ДУША С ОРГАНИЧЕСКОЙ МЯТОЙ И МАЛИНОЙ LOVE NATURE</t>
  </si>
  <si>
    <t>ОТШЕЛУШИВАЮЩИЙ ГЕЛЬ ДЛЯ ДУША С МАЛИНОЙ LOVE NATURE. БОЛЬШОЙ ОБЪЁМ</t>
  </si>
  <si>
    <t>ПОДВОДКА ДЛЯ ГЛАЗ THE ONE  - СЕРЕБРИСТЫЙ МЕТАЛЛИК</t>
  </si>
  <si>
    <t>ОБНОВЛЯЮЩАЯ МАСКА ДЛЯ ЛИЦА ИЗ БИОЦЕЛЛЮЛОЗЫ С НИАЦИНАМИДОМ И ЭКСТРАКТОМ ЦЕНТЕЛЛЫ NOVAGE PROCEUTICALS</t>
  </si>
  <si>
    <t>УКРЕПЛЯЮЩЕЕ ПОКРЫТИЕ ДЛЯ НОГТЕЙ THE ONE EXPERT CARE</t>
  </si>
  <si>
    <t>СЫВОРОТКА ДЛЯ НОГТЕЙ THE ONE EXPERT CARE</t>
  </si>
  <si>
    <t>28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</si>
  <si>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</si>
  <si>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- ЯРКИЙ АЛЫЙ</t>
  </si>
  <si>
    <t xml:space="preserve">                                                                                             - ШОКОЛАДНАЯ ВИШНЯ</t>
  </si>
  <si>
    <t>СЫВОРОТКА ДЛЯ ИНТЕНСИВНОГО УВЛАЖНЕНИЯ NOVAGE+ PROCEUTICALS</t>
  </si>
  <si>
    <t>ЗУБНАЯ ЩЁТКА СРЕДНЕЙ ЖЁСТКОСТИ OPTIFRESH (ГОЛУБАЯ)</t>
  </si>
  <si>
    <t>29</t>
  </si>
  <si>
    <t>УВЛАЖНЯЮЩАЯ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</si>
  <si>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</si>
  <si>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</si>
  <si>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</si>
  <si>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</si>
  <si>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</si>
  <si>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</si>
  <si>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</si>
  <si>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</si>
  <si>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</si>
  <si>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</si>
  <si>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158</t>
  </si>
  <si>
    <t>МАСКА ДЛЯ ЛИЦА МНОГОРАЗОВАЯ ФИКСИРУЮЩАЯ</t>
  </si>
  <si>
    <t>ВОССТАНАВЛИВАЮЩИЙ СКРАБ ДЛЯ ЛИЦА С КЛЮКВОЙ LOVE NATURE</t>
  </si>
  <si>
    <t>ОЧИЩАЮЩАЯ МАСКА ДЛЯ ЛИЦА С ВЕРБЕНОЙ LOVE NATURE</t>
  </si>
  <si>
    <t>РАЗГЛАЖИВАЮЩАЯ ТКАНЕВАЯ МАСКА С ПЕРСИКОМ LOVE NATURE</t>
  </si>
  <si>
    <t>ГЕЛЬ ДЛЯ ДУША С СОСНОЙ И ЭВКАЛИПТОМ SCENTS &amp; MOMENT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</si>
  <si>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</si>
  <si>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</si>
  <si>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</si>
  <si>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СУХОЙ ШАМПУНЬ ДЛЯ КОНТРОЛЯ ЖИРНОСТИ DUOLOGI</t>
  </si>
  <si>
    <t>СКРАБ ДЛЯ КОЖИ ГОЛОВЫ ПРОТИВ ПЕРХОТИ DUOLOGI</t>
  </si>
  <si>
    <t>МУЛЬТИФУНКЦИОНАЛЬНЫЙ СС-СПРЕЙ ДЛЯ ВОЛОС DUOLOGI</t>
  </si>
  <si>
    <t>КИСТЬ ДЛЯ РАСПРЕДЕЛЕНИЯ КРЕМА</t>
  </si>
  <si>
    <t>ПИТАТЕЛЬНЫЙ КРЕМ ДЛЯ РУК И ТЕЛА MILK &amp; HONEY GOLD. ЗОЛОТАЯ КЛАССИКА</t>
  </si>
  <si>
    <t>УНИВЕРСАЛЬНЫЙ КРЕМ ДЛЯ ЛИЦА И ТЕЛА С ОРГАНИЧЕСКИМ МАСЛОМ КАКАО И МЯТОЙ LOVE NATURE</t>
  </si>
  <si>
    <t>МИНИ-КРЕМ ДЛЯ РУК</t>
  </si>
  <si>
    <t>СМЯГЧАЮЩИЙ КРЕМ ДЛЯ НОГ FEET UP EVERYDAY</t>
  </si>
  <si>
    <t>ПИТАТЕЛЬНАЯ МАСКА ДЛЯ СТУПНЕЙ FEET UP EVERYDAY</t>
  </si>
  <si>
    <t>СТИК ДЛЯ МАКИЯЖА THE ONE - СОЛНЕЧНЫЙ РУМЯНЕЦ</t>
  </si>
  <si>
    <t xml:space="preserve">                                                    - ЗОЛОТИСТЫЙ ЗАКАТ</t>
  </si>
  <si>
    <t xml:space="preserve">ГЕЛЬ-ЛАК ДЛЯ НОГТЕЙ THE ONE - АЛЫЙ ЗАКАТ </t>
  </si>
  <si>
    <t xml:space="preserve">                                                        - ДИВНЫЙ КРАСНЫЙ </t>
  </si>
  <si>
    <t xml:space="preserve">                                                        - РОЗОВОЕ НЕБО </t>
  </si>
  <si>
    <t xml:space="preserve">                                                        - СОЛНЕЧНЫЙ НЮД </t>
  </si>
  <si>
    <t>МНОГОФУНКЦИОНАЛЬНАЯ ТУШЬ ДЛЯ РЕСНИЦ 5 В 1 THE ONE WONDER LASH. ЛИМИТИРОВАННЫЙ ВЫПУСК - ЧЁРНЫЙ</t>
  </si>
  <si>
    <t>СОЛНЦЕЗАЩИТНЫЙ КОЗЫРЁК</t>
  </si>
  <si>
    <t>118</t>
  </si>
  <si>
    <t>МАТОВАЯ ПОМАДА ONCOLOUR - НЮДОВЫЙ БЕЖ</t>
  </si>
  <si>
    <t>КАТАЛОГ № 11 2024 (05.08.2024 - 24.08.2024)</t>
  </si>
  <si>
    <t>ТУАЛЕТНАЯ ВОДА WHISPERS OF ME</t>
  </si>
  <si>
    <t>ШАРИКОВЫЙ ДЕЗОДОРАНТ-АНТИПЕРСПИРАНТ С УХАЖИВАЮЩИМ КОМПЛЕКСОМ ACTIVELLE</t>
  </si>
  <si>
    <t>СПРЕЙ ДЕЗОДОРАНТ ДЛЯ ЭКСТРЕМАЛЬНОЙ ЗАЩИТЫ ACTIVELLE</t>
  </si>
  <si>
    <t>ПАРФЮМИРОВАННЫЙ СПРЕЙ ДЛЯ ТЕЛА LOVE POTION SO TEMPTING</t>
  </si>
  <si>
    <t xml:space="preserve">ОСВЕЖАЮЩИЙ ГЕЛЬ ДЛЯ ИНТИМНОЙ ГИГИЕНЫ FEMINELLE  </t>
  </si>
  <si>
    <t xml:space="preserve">ТУАЛЕТНАЯ ВОДА GLACIER </t>
  </si>
  <si>
    <t>ДЕТСКИЙ МНОГОФУНКЦИОНАЛЬНЫЙ БАЛЬЗАМ BABY O</t>
  </si>
  <si>
    <t>ДЕТСКОЕ МАСЛО ДЛЯ КОЖИ BABY O</t>
  </si>
  <si>
    <t>ДЕТСКИЙ ШАМПУНЬ ДЛЯ ВОЛОС И ТЕЛА BABY O </t>
  </si>
  <si>
    <t>СЫВОРОТКА-РЯЗМЯГЧИТЕЛЬ МОЗОЛЕЙ И НАТОПТЫШЕЙ FEET UP ANVANCED</t>
  </si>
  <si>
    <t>ЗАЩИТНЫЙ ГЕЛЬ ДЛЯ БРИТЬЯ NOVAGE MEN</t>
  </si>
  <si>
    <t>ПЕНА ДЛЯ БРИТЬЯ И УМЫВАНИЯ 2-В-1 NORTH FOR MEN SUBZERO</t>
  </si>
  <si>
    <t>ШАМПУНЬ ДЛЯ ВОЛОС И ТЕЛА NORTH FOR MEN SUBZERO</t>
  </si>
  <si>
    <t>МЫЛО NORTH FOR MEN SUBZERO</t>
  </si>
  <si>
    <t>ВОССТАНАВЛИВАЮЩИЙ КОНДИЦИОНЕР ДЛЯ ВОЛОС BEAUTANICALS</t>
  </si>
  <si>
    <t>ВОССТАНАВЛИВАЮЩИЙ ШАМПУНЬ BEAUTANICALS</t>
  </si>
  <si>
    <t>ЛАК ДЛЯ НОГТЕЙ ONCOLOUR - ЖЕМЧУГ</t>
  </si>
  <si>
    <t>ДЕТСКИЙ ШАМПУНЬ ДЛЯ ВОЛОС И ТЕЛА С ЯБЛОКОМ LOVE NATURE</t>
  </si>
  <si>
    <t xml:space="preserve">                                                                                -  НЕЖНЫЙ ЗАГАР</t>
  </si>
  <si>
    <t>СТОЙКИЙ ГЛЯНЦЕВЫЙ ЛАК ДЛЯ НОГТЕЙ THE ONE - ТОПЛЕНОЕ МОЛОКО</t>
  </si>
  <si>
    <t>ПАРФЮМЕРНАЯ ВОДА POSSESS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</si>
  <si>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</si>
  <si>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</si>
  <si>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</si>
  <si>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ТОЧИЛКА ДЛЯ КАРАНДАШЕЙ</t>
  </si>
  <si>
    <t>ПАРФЮМЕРНАЯ ВОДА MISS GIORDANI</t>
  </si>
  <si>
    <t>ТУАЛЕТНАЯ ВОДА BE THE LEGEND</t>
  </si>
  <si>
    <t>КИСТЬ ДЛЯ ПУДРЫ И РУМЯН</t>
  </si>
  <si>
    <t>ЖИДКОЕ МЫЛО ДЛЯ РУК MILK &amp; HONEY GOLD</t>
  </si>
  <si>
    <t>ДЕЗОДОРАНТ-АНТИПЕРСПИРАНТ ДЛЯ ТЕЛА ECLAT HOMME</t>
  </si>
  <si>
    <t xml:space="preserve">ТУАЛЕТНАЯ ВОДА WOMEN'S COLLECTION WHITE LILAC </t>
  </si>
  <si>
    <t xml:space="preserve">КРЕМ ДЛЯ ЗАГРУБЕВШЕЙ КОЖИ НОГ FEET UP ADVANCED </t>
  </si>
  <si>
    <t xml:space="preserve">ИНТЕНСИВНО УВЛАЖНЯЮЩАЯ МАСКА ДЛЯ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</si>
  <si>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</si>
  <si>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</si>
  <si>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МАТИРУЮЩАЯ КОМПАКТНАЯ ПУДРА GIORDANI GOLD - СЛОНОВАЯ КОСТЬ</t>
  </si>
  <si>
    <t>УДЛИНЯЮЩАЯ ТУШЬ ДЛЯ РЕСНИЦ ONCOLOUR - ЧЕРНЫЙ</t>
  </si>
  <si>
    <t xml:space="preserve">УДЛИНЯЮЩАЯ ТУШЬ С ЭФФЕКТОМ НАРАЩИВАНИЯ РЕСНИЦ THE ONE LASH EXTENSION - ЧЕРНЫЙ </t>
  </si>
  <si>
    <t>ТУАЛЕТНАЯ ВОДА ECLAT AMOUR</t>
  </si>
  <si>
    <t>СТИК ДЛЯ МАКИЯЖА THE ONE - ХАЙЛАЙТЕР</t>
  </si>
  <si>
    <t>СТИК ДЛЯ МАКИЯЖА THE ONE - РУМЯНА</t>
  </si>
  <si>
    <t>СТИК ДЛЯ МАКИЯЖА THE ONE - БРОНЗЕР</t>
  </si>
  <si>
    <t>РАСКЛАДНОЕ ЗЕРКАЛО</t>
  </si>
  <si>
    <t>ПАРФЮМЕРНАЯ ВОДА DIVINE</t>
  </si>
  <si>
    <t>ПАРФЮМЕРНАЯ ВОДА DIVINE EXCLUSIVE</t>
  </si>
  <si>
    <t>ПАРФЮМИРОВАННЫЙ СПРЕЙ ДЛЯ ТЕЛА LOVE POTION BLOSSOM KISS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</si>
  <si>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</si>
  <si>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</si>
  <si>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</si>
  <si>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</si>
  <si>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</si>
  <si>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</si>
  <si>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</si>
  <si>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</si>
  <si>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</si>
  <si>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</si>
  <si>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</si>
  <si>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</si>
  <si>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</si>
  <si>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</si>
  <si>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</si>
  <si>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</si>
  <si>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ЗУБНАЯ ПАСТА ДЛЯ ЧУВСТВИТЕЛЬНЫХ ЗУБОВ OPTIFRESH</t>
  </si>
  <si>
    <t>ОБЪЕМНАЯ ТУШЬ ДЛЯ РЕСНИЦ ONCOLOUR - ЧЕРНЫЙ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</si>
  <si>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</si>
  <si>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</si>
  <si>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</si>
  <si>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</si>
  <si>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</si>
  <si>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</si>
  <si>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</si>
  <si>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</si>
  <si>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</si>
  <si>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</si>
  <si>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КОНСИЛЕР В СТИКЕ ONCOLOUR - СЛОНОВАЯ КОСТЬ</t>
  </si>
  <si>
    <t xml:space="preserve">                                                      - ЕСТЕСТВЕННЫЙ БЕЖ 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</si>
  <si>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</si>
  <si>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</si>
  <si>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</si>
  <si>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РУМЯНА-БРОНЗЕР В ШАРИКАХ GIORDANI GOLD - НАТУРАЛЬНОЕ СИЯНИЕ</t>
  </si>
  <si>
    <t xml:space="preserve">                                                                                -  ЗОЛОТАЯ БРОНЗА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</si>
  <si>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</si>
  <si>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</si>
  <si>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УХАЖИВАЮЩЕЕ МЫЛО С ОРГАНИЧЕСКИМ ОВСОМ И АБРИКОСОМ LOVE NATURE</t>
  </si>
  <si>
    <t>ВОССТАНАВЛИВАЮЩАЯ МАСКА-СМУЗИ ДЛЯ ВОЛОС С ОРГАНИЧЕСКОЙ ПАПАЙЕЙ LOVE NATURE</t>
  </si>
  <si>
    <t>ШАМПУНЬ ПРОТИВ ПЕРХОТИ LOVE NATURE</t>
  </si>
  <si>
    <t>ШАМПУНЬ-УХОД 2 В 1 ДЛЯ ВСЕХ ТИПОВ ВОЛОС  LOVE NATURE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</si>
  <si>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</si>
  <si>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</si>
  <si>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</si>
  <si>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</si>
  <si>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</si>
  <si>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</si>
  <si>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</si>
  <si>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ПИТАТЕЛЬНЫЙ КРЕМ ДЛЯ ДУША С ОРГАНИЧЕСКИМ МАСЛОМ КАКАО И КОКОСА LOVE NATURE</t>
  </si>
  <si>
    <t>МАССАЖНАЯ МОЧАЛКА-ПЕРЧАТКА</t>
  </si>
  <si>
    <t>МОЧАЛКА ДЛЯ ДУША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</si>
  <si>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</si>
  <si>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</si>
  <si>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</si>
  <si>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</si>
  <si>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</si>
  <si>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</si>
  <si>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</si>
  <si>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</si>
  <si>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</si>
  <si>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</si>
  <si>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</si>
  <si>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</si>
  <si>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</si>
  <si>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</si>
  <si>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</si>
  <si>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</si>
  <si>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</si>
  <si>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</si>
  <si>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</si>
  <si>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</si>
  <si>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</si>
  <si>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</si>
  <si>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</si>
  <si>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</si>
  <si>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</si>
  <si>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</si>
  <si>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</si>
  <si>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</si>
  <si>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</si>
  <si>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</si>
  <si>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</si>
  <si>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</si>
  <si>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</si>
  <si>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</si>
  <si>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</si>
  <si>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</si>
  <si>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</si>
  <si>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ПАРФЮМЕРНАЯ ВОДА DIVINE. МИНИ-СПРЕЙ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</si>
  <si>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</si>
  <si>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</si>
  <si>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</si>
  <si>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</si>
  <si>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</si>
  <si>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МНОГОФУНКЦИОНАЛЬНАЯ ТУШЬ ДЛЯ РЕСНИЦ 5 В 1 THE ONE WONDERLASH - ЧЁРНЫЙ</t>
  </si>
  <si>
    <t>ТУШЬ С ЭФФЕКТОМ ГИПНОТИЧЕСКОГО ВЗГЛЯДА THE ONE HYPNOTIC DEPTH - ЧЁРНЫЙ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</si>
  <si>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</si>
  <si>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</si>
  <si>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</si>
  <si>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ОБЪЕМНАЯ ВОДОСТОЙКАЯ ТУШЬ ДЛЯ РЕСНИЦ ONCOLOUR - ЧЕРНЫЙ</t>
  </si>
  <si>
    <t>ЩИПЧИКИ ДЛЯ КУТИКУЛЫ</t>
  </si>
  <si>
    <t>ПИЛКА ДЛЯ НОГТЕЙ</t>
  </si>
  <si>
    <t>НАБОР ДЛЯ МАНИКЮРА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</si>
  <si>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</si>
  <si>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ВАНИЛЬНЫЙ</t>
  </si>
  <si>
    <t>ГАРМОНИЗИРУЮЩАЯ ТОНАЛЬНАЯ ОСНОВА PURE FORIA GIORDANI GOLD - БЕЖЕВЫЙ</t>
  </si>
  <si>
    <t xml:space="preserve">                                                                                                                        - ПЕСОЧНЫЙ</t>
  </si>
  <si>
    <t>КАРАНДАШ ДЛЯ ГЛАЗ THE ONE - ЧЁРНЫЙ</t>
  </si>
  <si>
    <t xml:space="preserve">                                                      - КОРИЧНЕВЫЙ</t>
  </si>
  <si>
    <t>МЯГКАЯ ДЕТСКАЯ ЗУБНАЯ ЩЁТКА OPTIFRESH (РОЗОВАЯ)</t>
  </si>
  <si>
    <t>КИСТЬ ДЛЯ ТОНАЛЬНОЙ ОСНОВЫ THE ONE</t>
  </si>
  <si>
    <t>КИСТЬ ДЛЯ ЖИДКИХ И КРЕМОВЫХ ТЕКСТУР THE ONE</t>
  </si>
  <si>
    <t>КИСТЬ ДЛЯ КОНСИЛЕРА THE ONE</t>
  </si>
  <si>
    <t>ДВУСТОРОННЯЯ КИСТЬ ДЛЯ БРОВЕЙ THE ONE</t>
  </si>
  <si>
    <t xml:space="preserve">ТУАЛЕТНАЯ ВОДА ASCENDANT </t>
  </si>
  <si>
    <t>ТУАЛЕТНАЯ ВОДА ELVIE</t>
  </si>
  <si>
    <t xml:space="preserve">ПАРФЮМИРОВАННЫЙ СПРЕЙ-ДЕЗОДОРАНТ ДЛЯ ТЕЛА POSSESS </t>
  </si>
  <si>
    <t>ТУАЛЕТНАЯ ВОДА DEBONAIR</t>
  </si>
  <si>
    <t xml:space="preserve">СТОЙКИЙ МАРКЕР-ПОДВОДКА ДЛЯ ГЛАЗ THE ONE - ЧЕРНЫЙ </t>
  </si>
  <si>
    <t>ТЕНИ-КАРАНДАШ ДЛЯ ВЕК THE ONE COLOUR  - ХРУСТАЛЬ</t>
  </si>
  <si>
    <t xml:space="preserve">                                                                              - СЕРЕБРО </t>
  </si>
  <si>
    <t xml:space="preserve">                                                                             - БРОНЗА </t>
  </si>
  <si>
    <t xml:space="preserve">                                                                             - СЛИВА</t>
  </si>
  <si>
    <t xml:space="preserve">                                                                             - ШАМПАНСКОЕ </t>
  </si>
  <si>
    <t xml:space="preserve">                                                                             - ЗОЛОТО </t>
  </si>
  <si>
    <t xml:space="preserve">                                                                             - ИНДИГО </t>
  </si>
  <si>
    <t>СУПЕРТУШЬ ДЛЯ РЕСНИЦ GIORDANI GOLD - ЧЁРНЫЙ</t>
  </si>
  <si>
    <t xml:space="preserve"> ТУАЛЕТНАЯ ВОДА ECLAT HOMME </t>
  </si>
  <si>
    <t>ПАРФЮМЕРНАЯ ВОДА POSSESS ABSOLUTE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</si>
  <si>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</si>
  <si>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</si>
  <si>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ТУШЬ ДЛЯ РЕСНИЦ 5 В 1 THE ONE C ЭФФЕКТОМ HD - ЧЁРНЫЙ</t>
  </si>
  <si>
    <t>ТУШЬ 360° С ЭФФЕКТОМ НАКЛАДНЫХ РЕСНИЦ THE ONE</t>
  </si>
  <si>
    <t>ВОДОСТОЙКАЯ ТУШЬ 360 С ЭФФЕКТОМ НАКЛАДНЫХ РЕСНИЦ THE ONE - ЧЁРНЫЙ</t>
  </si>
  <si>
    <t>ТУШЬ С ЭКСТРЕМАЛЬНЫМ ОБЪЁМОМ THE ONE TREMENDOUS - ЧЁРНЫЙ</t>
  </si>
  <si>
    <t>ПИТАТЕЛЬНАЯ МАСКА-СМУЗИ ДЛЯ ВОЛОС С ОРГАНИЧЕСКИМ АВОКАДО LOVE NATURE</t>
  </si>
  <si>
    <t>ТУШЬ ДЛЯ БРОВЕЙ THE ONE - КОРИЧНЕВЫЙ</t>
  </si>
  <si>
    <t xml:space="preserve">                                                - ТЁМНО-КОРИЧНЕВЫЙ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</si>
  <si>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</si>
  <si>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</si>
  <si>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</si>
  <si>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</si>
  <si>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</si>
  <si>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</si>
  <si>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</si>
  <si>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</si>
  <si>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</si>
  <si>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</si>
  <si>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</si>
  <si>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</si>
  <si>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</si>
  <si>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</si>
  <si>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</si>
  <si>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РАССЫПЧАТАЯ ПУДРА THE ONE MAKE-UP PRO</t>
  </si>
  <si>
    <t>КОНДИЦИОНЕР ДЛЯ ЖИРНЫХ ВОЛОС С ОРГАНИЧЕСКИМИ ЛИМОНОМ И МЯТОЙ LOVE NATURE</t>
  </si>
  <si>
    <t>ПАРФЮМЕРНАЯ ВОДА AMBER ELIXIR. МИНИ-СПРЕЙ</t>
  </si>
  <si>
    <t>ПАРФЮМЕРНАЯ ВОДА POSSESS. МИНИ-СПРЕЙ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</si>
  <si>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</si>
  <si>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</si>
  <si>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МЫЛО NORTH FOR MEN ULTIMATE BALANCE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</si>
  <si>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</si>
  <si>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</si>
  <si>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</si>
  <si>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ЗАЩИТНАЯ НАКЛАДКА-ТРАФАРЕТ ДЛЯ МАКИЯЖА ГЛАЗ</t>
  </si>
  <si>
    <t>МОЧАЛКА ДЛЯ ДУША С УГЛЁМ</t>
  </si>
  <si>
    <t>ЗАКРЕПЛЯЮЩИЙ СПРЕЙ ДЛЯ МАКИЯЖА THE ONE MAKE-UP PRO</t>
  </si>
  <si>
    <t>ТУАЛЕТНАЯ ВОДА VENTURE UNLIMITED</t>
  </si>
  <si>
    <t>ТУАЛЕТНАЯ ВОДА WOMEN'S COLLECTION OSMANTHUS INFUSION</t>
  </si>
  <si>
    <t>ТУАЛЕТНАЯ ВОДА MEN'S COLLECTION WILD GREEN</t>
  </si>
  <si>
    <t>КРЕМ ДЛЯ НОГ С РОЗОВЫМ ГРЕЙПФРУТОМ И КИВИ FEET UP</t>
  </si>
  <si>
    <t>СПРЕЙ-ДЕЗОДОРАНТ ДЛЯ НОГ С РОЗОВЫМ ГРЕЙПФРУТОМ И КИВИ FEET UP</t>
  </si>
  <si>
    <t>СКРАБ ДЛЯ ТЕЛА THE BODY EDITION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</si>
  <si>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</si>
  <si>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</si>
  <si>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</si>
  <si>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</si>
  <si>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</si>
  <si>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</si>
  <si>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</si>
  <si>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</si>
  <si>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</si>
  <si>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ОСВЕЖАЮЩАЯ ЗУБНАЯ ПАСТА OPTIFRESH</t>
  </si>
  <si>
    <t>ДЕТСКАЯ ЗУБНАЯ ПАСТА С КЛУБНИЧНЫМ ВКУСОМ OPTIFRESH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</si>
  <si>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</si>
  <si>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</si>
  <si>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</si>
  <si>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</si>
  <si>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</si>
  <si>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</si>
  <si>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</si>
  <si>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</si>
  <si>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</si>
  <si>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</si>
  <si>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</si>
  <si>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</si>
  <si>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</si>
  <si>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</si>
  <si>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</si>
  <si>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</si>
  <si>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ЖИДКОЕ МЫЛО ДЛЯ РУК И ТЕЛА С ДИКИМ МАКОМ И ВАНИЛЬЮ ESSENSE &amp; CO.</t>
  </si>
  <si>
    <t>МУЖСКОЙ ТРИММЕР 4-В-1</t>
  </si>
  <si>
    <t>ТУАЛЕТНАЯ ВОДА EXCITE BY ORIFLAME</t>
  </si>
  <si>
    <t>ДВУСТОРОННИЕ ТЕНИ-ПОДВОДКА ДЛЯ ВЕК ONCOLOUR - СЛАДКАЯ РОЗА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</si>
  <si>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</si>
  <si>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</si>
  <si>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</si>
  <si>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</si>
  <si>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</si>
  <si>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</si>
  <si>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</si>
  <si>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>АНТИЦЕЛЛЮЛИТНЫЙ МАССАЖЁР THE BODY EDITION</t>
  </si>
  <si>
    <t>ТРИММЕР ДЛЯ ЛИЦА И ТЕЛА</t>
  </si>
  <si>
    <t>ТУАЛЕТНАЯ ВОДА ECLAT AMOUR INTENSITE</t>
  </si>
  <si>
    <t>ТУАЛЕТНАЯ ВОДА ECLAT TOUJOURS INTENSITE</t>
  </si>
  <si>
    <t>ТУАЛЕТНАЯ ВОДА ECLAT MADEMOISELLE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</si>
  <si>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</si>
  <si>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</si>
  <si>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</si>
  <si>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</si>
  <si>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</si>
  <si>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</si>
  <si>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МАССАЖНАЯ ЩЁТКА ДЛЯ ВОЛОС STYLERPRO</t>
  </si>
  <si>
    <t>ЩЁТКА ДЛЯ УКЛАДКИ ВОЛОС STYLERPRO</t>
  </si>
  <si>
    <t>ШИРОКАЯ МАССАЖНАЯ ЩЁТКА ДЛЯ ВОЛОС STYLERPRO</t>
  </si>
  <si>
    <t>ПИТАТЕЛЬНЫЙ НЕСМЫВАЕМЫЙ КОНДИЦИОНЕР ДЛЯ ВОЛОС С ЦВЕТКАМИ БАНАНА И ОРГАНИЧЕСКИМИ ЯГОДАМИ АСАИ LOVE NATURE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</si>
  <si>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</si>
  <si>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</si>
  <si>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ОЧИЩАЮЩИЙ ШАМПУНЬ ДЛЯ ЖИРНЫХ ВОЛОС С ЯБЛОКОМ И ОРГАНИЧЕСКИМ КЕЙЛОМ LOVE NATURE</t>
  </si>
  <si>
    <t>ЩЁТКА ДЛЯ РАСПУТЫВАНИЯ ВОЛОС STYLERPRO</t>
  </si>
  <si>
    <t>РАСЧЁСКА ДЛЯ НАЧЁСОВ STYLERPRO</t>
  </si>
  <si>
    <t>ИНСТРУМЕНТ ДЛЯ ЧИСТКИ РАСЧЁСОК STYLERPRO</t>
  </si>
  <si>
    <t>ОСВЕЖАЮЩЕЕ ЖИДКОЕ МЫЛО С ОРГАНИЧЕСКИМ ЗЕЛЁНЫМ ЧАЕМ И ОГУРЦОМ LOVE NATURE</t>
  </si>
  <si>
    <t>МАСКА ДЛЯ ВОЛОС С ОРГАНИЧЕСКИМ МАНГО И МАРАКУЙЕЙ LOVE NATURE</t>
  </si>
  <si>
    <t>ГЕЛЬ ДЛЯ ДУША С ОРГАНИЧЕСКИМ МАНГО И МАРАКУЙЕЙ LOVE NATURE</t>
  </si>
  <si>
    <t>ГЕЛЬ-ФИКСАТОР ДЛЯ БРОВЕЙ THE ONE</t>
  </si>
  <si>
    <t>ШЕЛКОВИСТАЯ КИСТЬ ДЛЯ ТОНАЛЬНОЙ ОСНОВЫ GIORDANI GOLD</t>
  </si>
  <si>
    <t>ГЕЛЬ ДЛЯ ДУША С ОРГАНИЧЕСКИМ АНАНАСОМ SIMPLE JOYS LOVE NATURE</t>
  </si>
  <si>
    <t>ГЕЛЬ ДЛЯ ДУША С ОРГАНИЧЕСКОЙ КЛУБНИКОЙ SIMPLE JOYS LOVE NATURE</t>
  </si>
  <si>
    <t>ГЕЛЬ ДЛЯ ДУША С ОРГАНИЧЕСКИМ ГРЕЙПФРУТОМ SIMPLE JOYS LOVE NATURE</t>
  </si>
  <si>
    <t>ГЕЛЬ ДЛЯ ДУША С ОРГАНИЧЕСКИМ КРАСНЫМ ЯБЛОКОМ SIMPLE JOYS LOVE NATURE</t>
  </si>
  <si>
    <t>ДЕТСКАЯ ГУБКА ДЛЯ КУПАНИЯ LOVE NATURE</t>
  </si>
  <si>
    <t>ПОЛОТЕНЦЕ-ТЮРБАН ДЛЯ ВОЛОС</t>
  </si>
  <si>
    <t>СТЕКЛЯННАЯ ПИЛКА ДЛЯ НОГ</t>
  </si>
  <si>
    <t>НАБОР ДЛЯ УХОДА ЗА НОГТЯМИ</t>
  </si>
  <si>
    <t>ПИНЦЕТ</t>
  </si>
  <si>
    <t>СПОНЖ ДЛЯ МАКИЯЖА</t>
  </si>
  <si>
    <t>МНОГОРАЗОВАЯ ФИКСИРУЮЩАЯ МАСКА ДЛЯ ЛИЦА</t>
  </si>
  <si>
    <t>КУСАЧКИ ДЛЯ НОГТЕЙ</t>
  </si>
  <si>
    <t>ПЕМЗА ДЛЯ НОГ</t>
  </si>
  <si>
    <t>ШЛИФОВАЛЬНАЯ ПИЛКА ДЛЯ НОГ</t>
  </si>
  <si>
    <t>ИНСТРУМЕНТ ДЛЯ УДАЛЕНИЯ МОЗОЛЕЙ</t>
  </si>
  <si>
    <t>ТЁРКА ДЛЯ НОГ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</si>
  <si>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</si>
  <si>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</si>
  <si>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</si>
  <si>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ПОДВОДКА ДЛЯ ГЛАЗ THE ONE WONDER LINER - МОРОЗНЫЙ ИНЕЙ</t>
  </si>
  <si>
    <t>4</t>
  </si>
  <si>
    <t>7</t>
  </si>
  <si>
    <t>3</t>
  </si>
  <si>
    <t>8</t>
  </si>
  <si>
    <t>предложение со стр. 9</t>
  </si>
  <si>
    <t>ЦЕНА 1999 РУБ. ПРИ ЗАКАЗЕ НА 2000 РУБ. ИЗ ЭТОГО КАТАЛОГА ИЛИ НА САЙТЕ В ПЕРИОД ДЕЙСТВИЯ КАТАЛОГА (КРОМЕ 47380 И ПРОДУКТА ЗА ДОСТАВКУ)</t>
  </si>
  <si>
    <t>предложение со стр. 13</t>
  </si>
  <si>
    <t>предложение со стр. 32-33</t>
  </si>
  <si>
    <t>ПРИ ПОКУПКЕ ЛЮБЫХ ДВУХ СРЕДСТВ ЦЕНА КАЖДОГО 149 РУБ.</t>
  </si>
  <si>
    <t>ПРИ ПОКУПКЕ ЛЮБЫХ ДВУХ АРОМАТОВ ЦЕНА КАЖДОГО 1299 РУБ.</t>
  </si>
  <si>
    <t>предложение со стр. 34</t>
  </si>
  <si>
    <t>предложение со стр. 35</t>
  </si>
  <si>
    <t>предложение со стр. 38</t>
  </si>
  <si>
    <t xml:space="preserve">ЦЕНА 399 РУБ. ПРИ ЗАКАЗЕ ЛЮБОЙ ПОМАДЫ СО СТР. 37-45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</si>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</sst>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1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1" fontId="2" fillId="0" borderId="20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2" xfId="0" applyFont="1" applyBorder="1"/>
    <xf numFmtId="0" fontId="43" fillId="0" borderId="23" xfId="0" applyFont="1" applyBorder="1"/>
    <xf numFmtId="0" fontId="43" fillId="0" borderId="22" xfId="0" applyFont="1" applyBorder="1" applyAlignment="1">
      <alignment wrapText="1"/>
    </xf>
    <xf numFmtId="0" fontId="44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45" fillId="29" borderId="22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4" xfId="0" applyFont="1" applyBorder="1"/>
    <xf numFmtId="0" fontId="47" fillId="0" borderId="22" xfId="0" applyFont="1" applyBorder="1"/>
    <xf numFmtId="0" fontId="48" fillId="0" borderId="22" xfId="0" applyFont="1" applyBorder="1" applyAlignment="1">
      <alignment horizontal="center"/>
    </xf>
    <xf numFmtId="0" fontId="44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44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43" fillId="0" borderId="22" xfId="0" applyFont="1" applyBorder="1" applyAlignment="1">
      <alignment horizontal="center" wrapText="1"/>
    </xf>
    <xf numFmtId="0" fontId="44" fillId="0" borderId="26" xfId="0" applyFont="1" applyBorder="1" applyAlignment="1">
      <alignment horizontal="right"/>
    </xf>
    <xf numFmtId="0" fontId="3" fillId="0" borderId="27" xfId="21" applyFont="1" applyBorder="1"/>
    <xf numFmtId="0" fontId="49" fillId="0" borderId="26" xfId="0" applyFont="1" applyBorder="1" applyAlignment="1">
      <alignment horizontal="center"/>
    </xf>
    <xf numFmtId="0" fontId="44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9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0" fontId="2" fillId="0" borderId="19" xfId="21" applyFont="1" applyBorder="1" applyAlignment="1">
      <alignment horizontal="center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2" fillId="0" borderId="29" xfId="21" applyNumberFormat="1" applyFont="1" applyBorder="1" applyAlignment="1">
      <alignment horizontal="center" vertical="center"/>
    </xf>
    <xf numFmtId="1" fontId="2" fillId="0" borderId="29" xfId="21" applyNumberFormat="1" applyFont="1" applyBorder="1" applyAlignment="1">
      <alignment horizontal="center" vertical="center"/>
    </xf>
    <xf numFmtId="0" fontId="3" fillId="0" borderId="29" xfId="21" applyFont="1" applyBorder="1" applyAlignment="1">
      <alignment horizontal="center" vertical="center"/>
    </xf>
    <xf numFmtId="3" fontId="2" fillId="0" borderId="30" xfId="21" applyNumberFormat="1" applyFont="1" applyBorder="1" applyAlignment="1">
      <alignment horizontal="center" vertical="center"/>
    </xf>
    <xf numFmtId="0" fontId="2" fillId="27" borderId="19" xfId="0" applyFont="1" applyFill="1" applyBorder="1" applyAlignment="1">
      <alignment horizontal="center"/>
    </xf>
    <xf numFmtId="0" fontId="4" fillId="0" borderId="29" xfId="21" applyFont="1" applyBorder="1" applyAlignment="1">
      <alignment horizontal="left" vertical="center"/>
    </xf>
    <xf numFmtId="3" fontId="2" fillId="0" borderId="29" xfId="21" applyNumberFormat="1" applyFont="1" applyBorder="1" applyAlignment="1">
      <alignment horizontal="center" vertical="center"/>
    </xf>
    <xf numFmtId="0" fontId="4" fillId="0" borderId="20" xfId="21" applyFont="1" applyBorder="1" applyAlignment="1">
      <alignment horizontal="left" vertical="center"/>
    </xf>
    <xf numFmtId="0" fontId="2" fillId="0" borderId="34" xfId="21" applyFont="1" applyBorder="1" applyAlignment="1">
      <alignment horizontal="center" vertical="center"/>
    </xf>
    <xf numFmtId="9" fontId="2" fillId="0" borderId="35" xfId="21" applyNumberFormat="1" applyFont="1" applyBorder="1" applyAlignment="1">
      <alignment horizontal="center" vertical="center"/>
    </xf>
    <xf numFmtId="1" fontId="2" fillId="0" borderId="35" xfId="21" applyNumberFormat="1" applyFont="1" applyBorder="1" applyAlignment="1">
      <alignment horizontal="center" vertical="center"/>
    </xf>
    <xf numFmtId="0" fontId="2" fillId="0" borderId="35" xfId="21" applyFont="1" applyBorder="1" applyAlignment="1">
      <alignment horizontal="center" vertical="center"/>
    </xf>
    <xf numFmtId="0" fontId="3" fillId="0" borderId="35" xfId="21" applyFont="1" applyBorder="1" applyAlignment="1">
      <alignment horizontal="center" vertical="center"/>
    </xf>
    <xf numFmtId="3" fontId="2" fillId="0" borderId="35" xfId="21" applyNumberFormat="1" applyFont="1" applyBorder="1" applyAlignment="1">
      <alignment horizontal="center" vertical="center"/>
    </xf>
    <xf numFmtId="3" fontId="2" fillId="0" borderId="36" xfId="21" applyNumberFormat="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0" borderId="10" xfId="21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9" fontId="2" fillId="0" borderId="32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4" fillId="0" borderId="32" xfId="21" applyFont="1" applyBorder="1" applyAlignment="1">
      <alignment horizontal="left" vertical="center"/>
    </xf>
    <xf numFmtId="0" fontId="3" fillId="0" borderId="32" xfId="21" applyFont="1" applyBorder="1" applyAlignment="1">
      <alignment horizontal="center" vertical="center"/>
    </xf>
    <xf numFmtId="3" fontId="2" fillId="0" borderId="32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3" fontId="2" fillId="0" borderId="37" xfId="21" applyNumberFormat="1" applyFont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9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&#1055;&#1088;&#1072;&#1081;&#1089;-&#1083;&#1080;&#1089;&#1090;&#1099;%202024\&#1050;&#1072;&#1090;&#1072;&#1083;&#1086;&#1075;%20&#1056;&#1086;&#1089;&#1089;&#1080;&#1103;%2010%202024\C10-2024_Russia_for%20DOF.xlsx" TargetMode="External"/><Relationship Id="rId1" Type="http://schemas.openxmlformats.org/officeDocument/2006/relationships/externalLinkPath" Target="file:///U:\&#1055;&#1088;&#1072;&#1081;&#1089;-&#1083;&#1080;&#1089;&#1090;&#1099;%202024\&#1050;&#1072;&#1090;&#1072;&#1083;&#1086;&#1075;%20&#1056;&#1086;&#1089;&#1089;&#1080;&#1103;%2010%202024\C10-2024_Russia_for%20DOF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02%20&#1050;&#1040;&#1058;&#1040;&#1051;&#1054;&#1043;%6024%20c%2029.01.2024%20&#1087;&#1086;%2017.02.2024%20&#1048;&#1058;&#1054;&#1043;.xlsx" TargetMode="External"/><Relationship Id="rId2" Type="http://schemas.microsoft.com/office/2019/04/relationships/externalLinkLongPath" Target="&#1055;&#1056;&#1040;&#1049;&#1057;%20&#1056;&#1054;&#1057;&#1057;&#1048;&#1071;%2002%20&#1050;&#1040;&#1058;&#1040;&#1051;&#1054;&#1043;%6024%20c%2029.01.2024%20&#1087;&#1086;%2017.02.2024%20&#1048;&#1058;&#1054;&#1043;.xlsx?3DFDAEA5" TargetMode="External"/><Relationship Id="rId1" Type="http://schemas.openxmlformats.org/officeDocument/2006/relationships/externalLinkPath" Target="file:///\\3DFDAEA5\&#1055;&#1056;&#1040;&#1049;&#1057;%20&#1056;&#1054;&#1057;&#1057;&#1048;&#1071;%2002%20&#1050;&#1040;&#1058;&#1040;&#1051;&#1054;&#1043;%6024%20c%2029.01.2024%20&#1087;&#1086;%2017.02.2024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</sheetNames>
    <sheetDataSet>
      <sheetData sheetId="0">
        <row r="1">
          <cell r="B1" t="str">
            <v>Code</v>
          </cell>
          <cell r="C1" t="str">
            <v>Description</v>
          </cell>
          <cell r="D1" t="str">
            <v>BP</v>
          </cell>
          <cell r="E1" t="str">
            <v>BV</v>
          </cell>
          <cell r="F1" t="str">
            <v>Consultant price standard</v>
          </cell>
          <cell r="G1" t="str">
            <v>Consultant price offer</v>
          </cell>
          <cell r="H1" t="str">
            <v>Ctlg. price stnd.</v>
          </cell>
          <cell r="I1" t="str">
            <v>Catalog price offer LC</v>
          </cell>
          <cell r="J1" t="str">
            <v>Offer type</v>
          </cell>
          <cell r="K1" t="str">
            <v>Discount</v>
          </cell>
          <cell r="L1" t="str">
            <v>Page</v>
          </cell>
          <cell r="M1" t="str">
            <v>Source of sales</v>
          </cell>
          <cell r="N1" t="str">
            <v>Is sample</v>
          </cell>
          <cell r="O1" t="str">
            <v>Sample product</v>
          </cell>
        </row>
        <row r="2">
          <cell r="A2">
            <v>41437</v>
          </cell>
          <cell r="B2">
            <v>41437</v>
          </cell>
          <cell r="C2" t="str">
            <v xml:space="preserve">GG Iconic Hybrid Eyeliner - Black </v>
          </cell>
          <cell r="D2">
            <v>13</v>
          </cell>
          <cell r="E2">
            <v>834</v>
          </cell>
          <cell r="F2">
            <v>1040</v>
          </cell>
          <cell r="G2">
            <v>1040</v>
          </cell>
          <cell r="H2">
            <v>1300</v>
          </cell>
          <cell r="I2">
            <v>1300</v>
          </cell>
          <cell r="J2" t="str">
            <v>NO</v>
          </cell>
          <cell r="K2">
            <v>0</v>
          </cell>
          <cell r="L2" t="str">
            <v>5</v>
          </cell>
          <cell r="M2" t="str">
            <v>CTLG</v>
          </cell>
          <cell r="N2" t="str">
            <v/>
          </cell>
          <cell r="O2" t="str">
            <v/>
          </cell>
        </row>
        <row r="3">
          <cell r="A3">
            <v>33654</v>
          </cell>
          <cell r="B3">
            <v>33654</v>
          </cell>
          <cell r="C3" t="str">
            <v>Mister Giordani Edt</v>
          </cell>
          <cell r="D3">
            <v>33</v>
          </cell>
          <cell r="E3">
            <v>2117</v>
          </cell>
          <cell r="F3">
            <v>2640</v>
          </cell>
          <cell r="G3">
            <v>2640</v>
          </cell>
          <cell r="H3">
            <v>3300</v>
          </cell>
          <cell r="I3">
            <v>3300</v>
          </cell>
          <cell r="J3" t="str">
            <v>NO</v>
          </cell>
          <cell r="K3">
            <v>0</v>
          </cell>
          <cell r="L3" t="str">
            <v>5</v>
          </cell>
          <cell r="M3" t="str">
            <v>CTLG</v>
          </cell>
          <cell r="N3" t="str">
            <v/>
          </cell>
          <cell r="O3" t="str">
            <v/>
          </cell>
        </row>
        <row r="4">
          <cell r="A4">
            <v>44300</v>
          </cell>
          <cell r="B4">
            <v>44300</v>
          </cell>
          <cell r="C4" t="str">
            <v>Love Potion Sensual Ruby EDP</v>
          </cell>
          <cell r="D4">
            <v>33</v>
          </cell>
          <cell r="E4">
            <v>2117</v>
          </cell>
          <cell r="F4">
            <v>2640</v>
          </cell>
          <cell r="G4">
            <v>2640</v>
          </cell>
          <cell r="H4">
            <v>3300</v>
          </cell>
          <cell r="I4">
            <v>3300</v>
          </cell>
          <cell r="J4" t="str">
            <v>NO</v>
          </cell>
          <cell r="K4">
            <v>0</v>
          </cell>
          <cell r="L4" t="str">
            <v>5</v>
          </cell>
          <cell r="M4" t="str">
            <v>CTLG</v>
          </cell>
          <cell r="N4" t="str">
            <v/>
          </cell>
          <cell r="O4" t="str">
            <v/>
          </cell>
        </row>
        <row r="5">
          <cell r="A5">
            <v>38601</v>
          </cell>
          <cell r="B5">
            <v>38601</v>
          </cell>
          <cell r="C5" t="str">
            <v>Eleo Protecting Hair Oil</v>
          </cell>
          <cell r="D5">
            <v>19</v>
          </cell>
          <cell r="E5">
            <v>1251</v>
          </cell>
          <cell r="F5">
            <v>1560</v>
          </cell>
          <cell r="G5">
            <v>1560</v>
          </cell>
          <cell r="H5">
            <v>1950</v>
          </cell>
          <cell r="I5">
            <v>1950</v>
          </cell>
          <cell r="J5" t="str">
            <v>NO</v>
          </cell>
          <cell r="K5">
            <v>0</v>
          </cell>
          <cell r="L5" t="str">
            <v>5</v>
          </cell>
          <cell r="M5" t="str">
            <v>CTLG</v>
          </cell>
          <cell r="N5" t="str">
            <v/>
          </cell>
          <cell r="O5" t="str">
            <v/>
          </cell>
        </row>
        <row r="6">
          <cell r="A6">
            <v>41355</v>
          </cell>
          <cell r="B6">
            <v>41355</v>
          </cell>
          <cell r="C6" t="str">
            <v>Waunt Glow Hydro Boost Serum</v>
          </cell>
          <cell r="D6">
            <v>19</v>
          </cell>
          <cell r="E6">
            <v>1251</v>
          </cell>
          <cell r="F6">
            <v>1560</v>
          </cell>
          <cell r="G6">
            <v>1560</v>
          </cell>
          <cell r="H6">
            <v>1950</v>
          </cell>
          <cell r="I6">
            <v>1950</v>
          </cell>
          <cell r="J6" t="str">
            <v>NO</v>
          </cell>
          <cell r="K6">
            <v>0</v>
          </cell>
          <cell r="L6" t="str">
            <v>5</v>
          </cell>
          <cell r="M6" t="str">
            <v>CTLG</v>
          </cell>
          <cell r="N6" t="str">
            <v/>
          </cell>
          <cell r="O6" t="str">
            <v/>
          </cell>
        </row>
        <row r="7">
          <cell r="A7">
            <v>47380</v>
          </cell>
          <cell r="B7">
            <v>47380</v>
          </cell>
          <cell r="C7" t="str">
            <v>Sunset Colour Changing Watch</v>
          </cell>
          <cell r="D7">
            <v>30</v>
          </cell>
          <cell r="E7">
            <v>962</v>
          </cell>
          <cell r="F7">
            <v>2399</v>
          </cell>
          <cell r="G7">
            <v>2399</v>
          </cell>
          <cell r="H7">
            <v>2999</v>
          </cell>
          <cell r="I7">
            <v>2999</v>
          </cell>
          <cell r="J7" t="str">
            <v>PWP</v>
          </cell>
          <cell r="K7">
            <v>0</v>
          </cell>
          <cell r="L7" t="str">
            <v>9</v>
          </cell>
          <cell r="M7" t="str">
            <v>CTLG</v>
          </cell>
          <cell r="N7" t="str">
            <v/>
          </cell>
          <cell r="O7" t="str">
            <v/>
          </cell>
        </row>
        <row r="8">
          <cell r="A8">
            <v>1</v>
          </cell>
          <cell r="B8">
            <v>1</v>
          </cell>
          <cell r="C8" t="str">
            <v>Sunset Colour Changing Watch</v>
          </cell>
          <cell r="D8">
            <v>20</v>
          </cell>
          <cell r="E8">
            <v>641</v>
          </cell>
          <cell r="F8">
            <v>2399</v>
          </cell>
          <cell r="G8">
            <v>1599</v>
          </cell>
          <cell r="H8">
            <v>2999</v>
          </cell>
          <cell r="I8">
            <v>1999</v>
          </cell>
          <cell r="J8" t="str">
            <v>PWP</v>
          </cell>
          <cell r="K8">
            <v>0.33344448149383099</v>
          </cell>
          <cell r="L8" t="str">
            <v>9</v>
          </cell>
          <cell r="M8" t="str">
            <v>CTLG</v>
          </cell>
          <cell r="N8" t="str">
            <v/>
          </cell>
          <cell r="O8" t="str">
            <v/>
          </cell>
        </row>
        <row r="9">
          <cell r="A9">
            <v>44001</v>
          </cell>
          <cell r="B9">
            <v>44001</v>
          </cell>
          <cell r="C9" t="str">
            <v>THE ONE Eyelash Curler</v>
          </cell>
          <cell r="D9">
            <v>3</v>
          </cell>
          <cell r="E9">
            <v>83</v>
          </cell>
          <cell r="F9">
            <v>384</v>
          </cell>
          <cell r="G9">
            <v>207</v>
          </cell>
          <cell r="H9">
            <v>480</v>
          </cell>
          <cell r="I9">
            <v>259</v>
          </cell>
          <cell r="J9" t="str">
            <v>SD</v>
          </cell>
          <cell r="K9">
            <v>0.46041666666666697</v>
          </cell>
          <cell r="L9" t="str">
            <v>10</v>
          </cell>
          <cell r="M9" t="str">
            <v>CTLG</v>
          </cell>
          <cell r="N9" t="str">
            <v/>
          </cell>
          <cell r="O9" t="str">
            <v/>
          </cell>
        </row>
        <row r="10">
          <cell r="A10">
            <v>40672</v>
          </cell>
          <cell r="B10">
            <v>40672</v>
          </cell>
          <cell r="C10" t="str">
            <v>TO 5-in-1 Wonder Lash XXL Mas... - Black</v>
          </cell>
          <cell r="D10">
            <v>3</v>
          </cell>
          <cell r="E10">
            <v>205</v>
          </cell>
          <cell r="F10">
            <v>640</v>
          </cell>
          <cell r="G10">
            <v>255</v>
          </cell>
          <cell r="H10">
            <v>800</v>
          </cell>
          <cell r="I10">
            <v>319</v>
          </cell>
          <cell r="J10" t="str">
            <v>SD</v>
          </cell>
          <cell r="K10">
            <v>0.60124999999999995</v>
          </cell>
          <cell r="L10" t="str">
            <v>11</v>
          </cell>
          <cell r="M10" t="str">
            <v>CTLG</v>
          </cell>
          <cell r="N10" t="str">
            <v/>
          </cell>
          <cell r="O10" t="str">
            <v/>
          </cell>
        </row>
        <row r="11">
          <cell r="A11">
            <v>40697</v>
          </cell>
          <cell r="B11">
            <v>40697</v>
          </cell>
          <cell r="C11" t="str">
            <v>TO 5-in-1 Wonder Lash XXL WP ... - Black</v>
          </cell>
          <cell r="D11">
            <v>3</v>
          </cell>
          <cell r="E11">
            <v>205</v>
          </cell>
          <cell r="F11">
            <v>640</v>
          </cell>
          <cell r="G11">
            <v>255</v>
          </cell>
          <cell r="H11">
            <v>800</v>
          </cell>
          <cell r="I11">
            <v>319</v>
          </cell>
          <cell r="J11" t="str">
            <v>SD</v>
          </cell>
          <cell r="K11">
            <v>0.60124999999999995</v>
          </cell>
          <cell r="L11" t="str">
            <v>11</v>
          </cell>
          <cell r="M11" t="str">
            <v>CTLG</v>
          </cell>
          <cell r="N11" t="str">
            <v/>
          </cell>
          <cell r="O11" t="str">
            <v/>
          </cell>
        </row>
        <row r="12">
          <cell r="A12">
            <v>47377</v>
          </cell>
          <cell r="B12">
            <v>47377</v>
          </cell>
          <cell r="C12" t="str">
            <v>TO 5-in-1 Wonder Lash 17th Bi... - Black</v>
          </cell>
          <cell r="D12">
            <v>3</v>
          </cell>
          <cell r="E12">
            <v>205</v>
          </cell>
          <cell r="F12">
            <v>640</v>
          </cell>
          <cell r="G12">
            <v>255</v>
          </cell>
          <cell r="H12">
            <v>800</v>
          </cell>
          <cell r="I12">
            <v>319</v>
          </cell>
          <cell r="J12" t="str">
            <v>SD</v>
          </cell>
          <cell r="K12">
            <v>0.60124999999999995</v>
          </cell>
          <cell r="L12" t="str">
            <v>11</v>
          </cell>
          <cell r="M12" t="str">
            <v>CTLG</v>
          </cell>
          <cell r="N12" t="str">
            <v/>
          </cell>
          <cell r="O12" t="str">
            <v/>
          </cell>
        </row>
        <row r="13">
          <cell r="A13">
            <v>12760</v>
          </cell>
          <cell r="B13">
            <v>12760</v>
          </cell>
          <cell r="C13" t="str">
            <v>Tender Care Natural Balm</v>
          </cell>
          <cell r="D13">
            <v>2</v>
          </cell>
          <cell r="E13">
            <v>109</v>
          </cell>
          <cell r="F13">
            <v>304</v>
          </cell>
          <cell r="G13">
            <v>135</v>
          </cell>
          <cell r="H13">
            <v>380</v>
          </cell>
          <cell r="I13">
            <v>169</v>
          </cell>
          <cell r="J13" t="str">
            <v>COB</v>
          </cell>
          <cell r="K13">
            <v>0.55526315789473701</v>
          </cell>
          <cell r="L13" t="str">
            <v>13</v>
          </cell>
          <cell r="M13" t="str">
            <v>CTLG</v>
          </cell>
          <cell r="N13" t="str">
            <v/>
          </cell>
          <cell r="O13" t="str">
            <v/>
          </cell>
        </row>
        <row r="14">
          <cell r="A14">
            <v>2</v>
          </cell>
          <cell r="B14">
            <v>2</v>
          </cell>
          <cell r="C14" t="str">
            <v>Tender Care Natural Balm</v>
          </cell>
          <cell r="D14">
            <v>1</v>
          </cell>
          <cell r="E14">
            <v>95</v>
          </cell>
          <cell r="F14">
            <v>304</v>
          </cell>
          <cell r="G14">
            <v>119</v>
          </cell>
          <cell r="H14">
            <v>380</v>
          </cell>
          <cell r="I14">
            <v>149</v>
          </cell>
          <cell r="J14" t="str">
            <v>COB</v>
          </cell>
          <cell r="K14">
            <v>0.60789473684210504</v>
          </cell>
          <cell r="L14" t="str">
            <v>13</v>
          </cell>
          <cell r="M14" t="str">
            <v>CTLG</v>
          </cell>
          <cell r="N14" t="str">
            <v/>
          </cell>
          <cell r="O14" t="str">
            <v/>
          </cell>
        </row>
        <row r="15">
          <cell r="A15">
            <v>36152</v>
          </cell>
          <cell r="B15">
            <v>36152</v>
          </cell>
          <cell r="C15" t="str">
            <v xml:space="preserve">Tender Care Raspberry </v>
          </cell>
          <cell r="D15">
            <v>2</v>
          </cell>
          <cell r="E15">
            <v>109</v>
          </cell>
          <cell r="F15">
            <v>304</v>
          </cell>
          <cell r="G15">
            <v>135</v>
          </cell>
          <cell r="H15">
            <v>380</v>
          </cell>
          <cell r="I15">
            <v>169</v>
          </cell>
          <cell r="J15" t="str">
            <v>COB</v>
          </cell>
          <cell r="K15">
            <v>0.55526315789473701</v>
          </cell>
          <cell r="L15" t="str">
            <v>13</v>
          </cell>
          <cell r="M15" t="str">
            <v>CTLG</v>
          </cell>
          <cell r="N15" t="str">
            <v/>
          </cell>
          <cell r="O15" t="str">
            <v/>
          </cell>
        </row>
        <row r="16">
          <cell r="A16">
            <v>36152</v>
          </cell>
          <cell r="B16">
            <v>36152</v>
          </cell>
          <cell r="C16" t="str">
            <v xml:space="preserve">Tender Care Raspberry </v>
          </cell>
          <cell r="D16">
            <v>1</v>
          </cell>
          <cell r="E16">
            <v>95</v>
          </cell>
          <cell r="F16">
            <v>304</v>
          </cell>
          <cell r="G16">
            <v>119</v>
          </cell>
          <cell r="H16">
            <v>380</v>
          </cell>
          <cell r="I16">
            <v>149</v>
          </cell>
          <cell r="J16" t="str">
            <v>COB</v>
          </cell>
          <cell r="K16">
            <v>0.60789473684210504</v>
          </cell>
          <cell r="L16" t="str">
            <v>13</v>
          </cell>
          <cell r="M16" t="str">
            <v>CTLG</v>
          </cell>
          <cell r="N16" t="str">
            <v/>
          </cell>
          <cell r="O16" t="str">
            <v/>
          </cell>
        </row>
        <row r="17">
          <cell r="A17">
            <v>36153</v>
          </cell>
          <cell r="B17">
            <v>36153</v>
          </cell>
          <cell r="C17" t="str">
            <v>Tender Care Passion Fruit</v>
          </cell>
          <cell r="D17">
            <v>2</v>
          </cell>
          <cell r="E17">
            <v>109</v>
          </cell>
          <cell r="F17">
            <v>304</v>
          </cell>
          <cell r="G17">
            <v>135</v>
          </cell>
          <cell r="H17">
            <v>380</v>
          </cell>
          <cell r="I17">
            <v>169</v>
          </cell>
          <cell r="J17" t="str">
            <v>COB</v>
          </cell>
          <cell r="K17">
            <v>0.55526315789473701</v>
          </cell>
          <cell r="L17" t="str">
            <v>13</v>
          </cell>
          <cell r="M17" t="str">
            <v>CTLG</v>
          </cell>
          <cell r="N17" t="str">
            <v/>
          </cell>
          <cell r="O17" t="str">
            <v/>
          </cell>
        </row>
        <row r="18">
          <cell r="A18">
            <v>36153</v>
          </cell>
          <cell r="B18">
            <v>36153</v>
          </cell>
          <cell r="C18" t="str">
            <v>Tender Care Passion Fruit</v>
          </cell>
          <cell r="D18">
            <v>1</v>
          </cell>
          <cell r="E18">
            <v>95</v>
          </cell>
          <cell r="F18">
            <v>304</v>
          </cell>
          <cell r="G18">
            <v>119</v>
          </cell>
          <cell r="H18">
            <v>380</v>
          </cell>
          <cell r="I18">
            <v>149</v>
          </cell>
          <cell r="J18" t="str">
            <v>COB</v>
          </cell>
          <cell r="K18">
            <v>0.60789473684210504</v>
          </cell>
          <cell r="L18" t="str">
            <v>13</v>
          </cell>
          <cell r="M18" t="str">
            <v>CTLG</v>
          </cell>
          <cell r="N18" t="str">
            <v/>
          </cell>
          <cell r="O18" t="str">
            <v/>
          </cell>
        </row>
        <row r="19">
          <cell r="A19">
            <v>44398</v>
          </cell>
          <cell r="B19">
            <v>44398</v>
          </cell>
          <cell r="C19" t="str">
            <v>Tender Care Natural Watermelon Balm</v>
          </cell>
          <cell r="D19">
            <v>2</v>
          </cell>
          <cell r="E19">
            <v>109</v>
          </cell>
          <cell r="F19">
            <v>304</v>
          </cell>
          <cell r="G19">
            <v>135</v>
          </cell>
          <cell r="H19">
            <v>380</v>
          </cell>
          <cell r="I19">
            <v>169</v>
          </cell>
          <cell r="J19" t="str">
            <v>COB</v>
          </cell>
          <cell r="K19">
            <v>0.55526315789473701</v>
          </cell>
          <cell r="L19" t="str">
            <v>13</v>
          </cell>
          <cell r="M19" t="str">
            <v>CTLG</v>
          </cell>
          <cell r="N19" t="str">
            <v/>
          </cell>
          <cell r="O19" t="str">
            <v/>
          </cell>
        </row>
        <row r="20">
          <cell r="A20">
            <v>44398</v>
          </cell>
          <cell r="B20">
            <v>44398</v>
          </cell>
          <cell r="C20" t="str">
            <v>Tender Care Natural Watermelon Balm</v>
          </cell>
          <cell r="D20">
            <v>1</v>
          </cell>
          <cell r="E20">
            <v>95</v>
          </cell>
          <cell r="F20">
            <v>304</v>
          </cell>
          <cell r="G20">
            <v>119</v>
          </cell>
          <cell r="H20">
            <v>380</v>
          </cell>
          <cell r="I20">
            <v>149</v>
          </cell>
          <cell r="J20" t="str">
            <v>COB</v>
          </cell>
          <cell r="K20">
            <v>0.60789473684210504</v>
          </cell>
          <cell r="L20" t="str">
            <v>13</v>
          </cell>
          <cell r="M20" t="str">
            <v>CTLG</v>
          </cell>
          <cell r="N20" t="str">
            <v/>
          </cell>
          <cell r="O20" t="str">
            <v/>
          </cell>
        </row>
        <row r="21">
          <cell r="A21">
            <v>39377</v>
          </cell>
          <cell r="B21">
            <v>39377</v>
          </cell>
          <cell r="C21" t="str">
            <v>Scents &amp; Moments Ocean Dive SG</v>
          </cell>
          <cell r="D21">
            <v>2</v>
          </cell>
          <cell r="E21">
            <v>141</v>
          </cell>
          <cell r="F21">
            <v>320</v>
          </cell>
          <cell r="G21">
            <v>175</v>
          </cell>
          <cell r="H21">
            <v>400</v>
          </cell>
          <cell r="I21">
            <v>219</v>
          </cell>
          <cell r="J21" t="str">
            <v>SD</v>
          </cell>
          <cell r="K21">
            <v>0.45250000000000001</v>
          </cell>
          <cell r="L21" t="str">
            <v>15</v>
          </cell>
          <cell r="M21" t="str">
            <v>CTLG</v>
          </cell>
          <cell r="N21" t="str">
            <v/>
          </cell>
          <cell r="O21" t="str">
            <v/>
          </cell>
        </row>
        <row r="22">
          <cell r="A22">
            <v>39393</v>
          </cell>
          <cell r="B22">
            <v>39393</v>
          </cell>
          <cell r="C22" t="str">
            <v>Scents &amp; Moments Soft Cuddles SG</v>
          </cell>
          <cell r="D22">
            <v>2</v>
          </cell>
          <cell r="E22">
            <v>141</v>
          </cell>
          <cell r="F22">
            <v>320</v>
          </cell>
          <cell r="G22">
            <v>175</v>
          </cell>
          <cell r="H22">
            <v>400</v>
          </cell>
          <cell r="I22">
            <v>219</v>
          </cell>
          <cell r="J22" t="str">
            <v>SD</v>
          </cell>
          <cell r="K22">
            <v>0.45250000000000001</v>
          </cell>
          <cell r="L22" t="str">
            <v>15</v>
          </cell>
          <cell r="M22" t="str">
            <v>CTLG</v>
          </cell>
          <cell r="N22" t="str">
            <v/>
          </cell>
          <cell r="O22" t="str">
            <v/>
          </cell>
        </row>
        <row r="23">
          <cell r="A23">
            <v>39426</v>
          </cell>
          <cell r="B23">
            <v>39426</v>
          </cell>
          <cell r="C23" t="str">
            <v>Scents &amp; Moments Paradise Sunri SG</v>
          </cell>
          <cell r="D23">
            <v>2</v>
          </cell>
          <cell r="E23">
            <v>141</v>
          </cell>
          <cell r="F23">
            <v>320</v>
          </cell>
          <cell r="G23">
            <v>175</v>
          </cell>
          <cell r="H23">
            <v>400</v>
          </cell>
          <cell r="I23">
            <v>219</v>
          </cell>
          <cell r="J23" t="str">
            <v>SD</v>
          </cell>
          <cell r="K23">
            <v>0.45250000000000001</v>
          </cell>
          <cell r="L23" t="str">
            <v>15</v>
          </cell>
          <cell r="M23" t="str">
            <v>CTLG</v>
          </cell>
          <cell r="N23" t="str">
            <v/>
          </cell>
          <cell r="O23" t="str">
            <v/>
          </cell>
        </row>
        <row r="24">
          <cell r="A24">
            <v>44371</v>
          </cell>
          <cell r="B24">
            <v>44371</v>
          </cell>
          <cell r="C24" t="str">
            <v>Scents &amp; Moments Into The Forest SG</v>
          </cell>
          <cell r="D24">
            <v>2</v>
          </cell>
          <cell r="E24">
            <v>141</v>
          </cell>
          <cell r="F24">
            <v>320</v>
          </cell>
          <cell r="G24">
            <v>175</v>
          </cell>
          <cell r="H24">
            <v>400</v>
          </cell>
          <cell r="I24">
            <v>219</v>
          </cell>
          <cell r="J24" t="str">
            <v>SD</v>
          </cell>
          <cell r="K24">
            <v>0.45250000000000001</v>
          </cell>
          <cell r="L24" t="str">
            <v>15</v>
          </cell>
          <cell r="M24" t="str">
            <v>CTLG</v>
          </cell>
          <cell r="N24" t="str">
            <v/>
          </cell>
          <cell r="O24" t="str">
            <v/>
          </cell>
        </row>
        <row r="25">
          <cell r="A25">
            <v>45106</v>
          </cell>
          <cell r="B25">
            <v>45106</v>
          </cell>
          <cell r="C25" t="str">
            <v>Love Nature Talc Floral Bloom</v>
          </cell>
          <cell r="D25">
            <v>2</v>
          </cell>
          <cell r="E25">
            <v>141</v>
          </cell>
          <cell r="F25">
            <v>296</v>
          </cell>
          <cell r="G25">
            <v>175</v>
          </cell>
          <cell r="H25">
            <v>370</v>
          </cell>
          <cell r="I25">
            <v>219</v>
          </cell>
          <cell r="J25" t="str">
            <v>SD</v>
          </cell>
          <cell r="K25">
            <v>0.40810810810810799</v>
          </cell>
          <cell r="L25" t="str">
            <v>17</v>
          </cell>
          <cell r="M25" t="str">
            <v>CTLG</v>
          </cell>
          <cell r="N25" t="str">
            <v/>
          </cell>
          <cell r="O25" t="str">
            <v/>
          </cell>
        </row>
        <row r="26">
          <cell r="A26">
            <v>45107</v>
          </cell>
          <cell r="B26">
            <v>45107</v>
          </cell>
          <cell r="C26" t="str">
            <v>Love Nature Talc Sandal Caress</v>
          </cell>
          <cell r="D26">
            <v>2</v>
          </cell>
          <cell r="E26">
            <v>141</v>
          </cell>
          <cell r="F26">
            <v>296</v>
          </cell>
          <cell r="G26">
            <v>175</v>
          </cell>
          <cell r="H26">
            <v>370</v>
          </cell>
          <cell r="I26">
            <v>219</v>
          </cell>
          <cell r="J26" t="str">
            <v>SD</v>
          </cell>
          <cell r="K26">
            <v>0.40810810810810799</v>
          </cell>
          <cell r="L26" t="str">
            <v>17</v>
          </cell>
          <cell r="M26" t="str">
            <v>CTLG</v>
          </cell>
          <cell r="N26" t="str">
            <v/>
          </cell>
          <cell r="O26" t="str">
            <v/>
          </cell>
        </row>
        <row r="27">
          <cell r="A27">
            <v>45353</v>
          </cell>
          <cell r="B27">
            <v>45353</v>
          </cell>
          <cell r="C27" t="str">
            <v xml:space="preserve">Love Nature Talc Cooling Delight </v>
          </cell>
          <cell r="D27">
            <v>2</v>
          </cell>
          <cell r="E27">
            <v>141</v>
          </cell>
          <cell r="F27">
            <v>296</v>
          </cell>
          <cell r="G27">
            <v>175</v>
          </cell>
          <cell r="H27">
            <v>370</v>
          </cell>
          <cell r="I27">
            <v>219</v>
          </cell>
          <cell r="J27" t="str">
            <v>SD</v>
          </cell>
          <cell r="K27">
            <v>0.40810810810810799</v>
          </cell>
          <cell r="L27" t="str">
            <v>17</v>
          </cell>
          <cell r="M27" t="str">
            <v>CTLG</v>
          </cell>
          <cell r="N27" t="str">
            <v/>
          </cell>
          <cell r="O27" t="str">
            <v/>
          </cell>
        </row>
        <row r="28">
          <cell r="A28">
            <v>46358</v>
          </cell>
          <cell r="B28">
            <v>46358</v>
          </cell>
          <cell r="C28" t="str">
            <v>StylerPRO Round Thermal Brush</v>
          </cell>
          <cell r="D28">
            <v>4</v>
          </cell>
          <cell r="E28">
            <v>141</v>
          </cell>
          <cell r="F28">
            <v>704</v>
          </cell>
          <cell r="G28">
            <v>351</v>
          </cell>
          <cell r="H28">
            <v>880</v>
          </cell>
          <cell r="I28">
            <v>439</v>
          </cell>
          <cell r="J28" t="str">
            <v>SD</v>
          </cell>
          <cell r="K28">
            <v>0.50113636363636405</v>
          </cell>
          <cell r="L28" t="str">
            <v>18</v>
          </cell>
          <cell r="M28" t="str">
            <v>CTLG</v>
          </cell>
          <cell r="N28" t="str">
            <v/>
          </cell>
          <cell r="O28" t="str">
            <v/>
          </cell>
        </row>
        <row r="29">
          <cell r="A29">
            <v>46359</v>
          </cell>
          <cell r="B29">
            <v>46359</v>
          </cell>
          <cell r="C29" t="str">
            <v>StylerPRO Flexi Vent Brush</v>
          </cell>
          <cell r="D29">
            <v>4</v>
          </cell>
          <cell r="E29">
            <v>128</v>
          </cell>
          <cell r="F29">
            <v>640</v>
          </cell>
          <cell r="G29">
            <v>319</v>
          </cell>
          <cell r="H29">
            <v>800</v>
          </cell>
          <cell r="I29">
            <v>399</v>
          </cell>
          <cell r="J29" t="str">
            <v>SD</v>
          </cell>
          <cell r="K29">
            <v>0.50124999999999997</v>
          </cell>
          <cell r="L29" t="str">
            <v>18</v>
          </cell>
          <cell r="M29" t="str">
            <v>CTLG</v>
          </cell>
          <cell r="N29" t="str">
            <v/>
          </cell>
          <cell r="O29" t="str">
            <v/>
          </cell>
        </row>
        <row r="30">
          <cell r="A30">
            <v>44956</v>
          </cell>
          <cell r="B30">
            <v>44956</v>
          </cell>
          <cell r="C30" t="str">
            <v>DUOLOGI Colour Protect shampoo</v>
          </cell>
          <cell r="D30">
            <v>5</v>
          </cell>
          <cell r="E30">
            <v>352</v>
          </cell>
          <cell r="F30">
            <v>800</v>
          </cell>
          <cell r="G30">
            <v>439</v>
          </cell>
          <cell r="H30">
            <v>1000</v>
          </cell>
          <cell r="I30">
            <v>549</v>
          </cell>
          <cell r="J30" t="str">
            <v>SD</v>
          </cell>
          <cell r="K30">
            <v>0.45100000000000001</v>
          </cell>
          <cell r="L30" t="str">
            <v>19</v>
          </cell>
          <cell r="M30" t="str">
            <v>CTLG</v>
          </cell>
          <cell r="N30" t="str">
            <v/>
          </cell>
          <cell r="O30" t="str">
            <v/>
          </cell>
        </row>
        <row r="31">
          <cell r="A31">
            <v>44962</v>
          </cell>
          <cell r="B31">
            <v>44962</v>
          </cell>
          <cell r="C31" t="str">
            <v>DUOLOGI Oil Control Dry Shampoo</v>
          </cell>
          <cell r="D31">
            <v>6</v>
          </cell>
          <cell r="E31">
            <v>403</v>
          </cell>
          <cell r="F31">
            <v>920</v>
          </cell>
          <cell r="G31">
            <v>503</v>
          </cell>
          <cell r="H31">
            <v>1150</v>
          </cell>
          <cell r="I31">
            <v>629</v>
          </cell>
          <cell r="J31" t="str">
            <v>SD</v>
          </cell>
          <cell r="K31">
            <v>0.45304347826086999</v>
          </cell>
          <cell r="L31" t="str">
            <v>19</v>
          </cell>
          <cell r="M31" t="str">
            <v>CTLG</v>
          </cell>
          <cell r="N31" t="str">
            <v/>
          </cell>
          <cell r="O31" t="str">
            <v/>
          </cell>
        </row>
        <row r="32">
          <cell r="A32">
            <v>44968</v>
          </cell>
          <cell r="B32">
            <v>44968</v>
          </cell>
          <cell r="C32" t="str">
            <v>DUOLOGI CC Hair Beautifier 10 in 1</v>
          </cell>
          <cell r="D32">
            <v>7</v>
          </cell>
          <cell r="E32">
            <v>436</v>
          </cell>
          <cell r="F32">
            <v>1000</v>
          </cell>
          <cell r="G32">
            <v>543</v>
          </cell>
          <cell r="H32">
            <v>1250</v>
          </cell>
          <cell r="I32">
            <v>679</v>
          </cell>
          <cell r="J32" t="str">
            <v>SD</v>
          </cell>
          <cell r="K32">
            <v>0.45679999999999998</v>
          </cell>
          <cell r="L32" t="str">
            <v>19</v>
          </cell>
          <cell r="M32" t="str">
            <v>CTLG</v>
          </cell>
          <cell r="N32" t="str">
            <v/>
          </cell>
          <cell r="O32" t="str">
            <v/>
          </cell>
        </row>
        <row r="33">
          <cell r="A33">
            <v>47386</v>
          </cell>
          <cell r="B33">
            <v>47386</v>
          </cell>
          <cell r="C33" t="str">
            <v>Sunset Beach Cap</v>
          </cell>
          <cell r="D33">
            <v>20</v>
          </cell>
          <cell r="E33">
            <v>641</v>
          </cell>
          <cell r="F33">
            <v>1599</v>
          </cell>
          <cell r="G33">
            <v>1599</v>
          </cell>
          <cell r="H33">
            <v>1999</v>
          </cell>
          <cell r="I33">
            <v>1999</v>
          </cell>
          <cell r="J33" t="str">
            <v>NO</v>
          </cell>
          <cell r="K33">
            <v>0</v>
          </cell>
          <cell r="L33" t="str">
            <v>20</v>
          </cell>
          <cell r="M33" t="str">
            <v>CTLG</v>
          </cell>
          <cell r="N33" t="str">
            <v/>
          </cell>
          <cell r="O33" t="str">
            <v/>
          </cell>
        </row>
        <row r="34">
          <cell r="A34">
            <v>23378</v>
          </cell>
          <cell r="B34">
            <v>23378</v>
          </cell>
          <cell r="C34" t="str">
            <v>SUN ZONE UV Protector SPF 50</v>
          </cell>
          <cell r="D34">
            <v>10</v>
          </cell>
          <cell r="E34">
            <v>628</v>
          </cell>
          <cell r="F34">
            <v>1040</v>
          </cell>
          <cell r="G34">
            <v>783</v>
          </cell>
          <cell r="H34">
            <v>1300</v>
          </cell>
          <cell r="I34">
            <v>979</v>
          </cell>
          <cell r="J34" t="str">
            <v>SD</v>
          </cell>
          <cell r="K34">
            <v>0.246923076923077</v>
          </cell>
          <cell r="L34" t="str">
            <v>21</v>
          </cell>
          <cell r="M34" t="str">
            <v>CTLG</v>
          </cell>
          <cell r="N34" t="str">
            <v/>
          </cell>
          <cell r="O34" t="str">
            <v/>
          </cell>
        </row>
        <row r="35">
          <cell r="A35">
            <v>30568</v>
          </cell>
          <cell r="B35">
            <v>30568</v>
          </cell>
          <cell r="C35" t="str">
            <v>Sun Zone Sun cream for kids SPF 50</v>
          </cell>
          <cell r="D35">
            <v>16</v>
          </cell>
          <cell r="E35">
            <v>1026</v>
          </cell>
          <cell r="F35">
            <v>1680</v>
          </cell>
          <cell r="G35">
            <v>1279</v>
          </cell>
          <cell r="H35">
            <v>2100</v>
          </cell>
          <cell r="I35">
            <v>1599</v>
          </cell>
          <cell r="J35" t="str">
            <v>SD</v>
          </cell>
          <cell r="K35">
            <v>0.23857142857142899</v>
          </cell>
          <cell r="L35" t="str">
            <v>21</v>
          </cell>
          <cell r="M35" t="str">
            <v>CTLG</v>
          </cell>
          <cell r="N35" t="str">
            <v/>
          </cell>
          <cell r="O35" t="str">
            <v/>
          </cell>
        </row>
        <row r="36">
          <cell r="A36">
            <v>34891</v>
          </cell>
          <cell r="B36">
            <v>34891</v>
          </cell>
          <cell r="C36" t="str">
            <v>Sun 360 Dry Mist Body + Face SPF 50</v>
          </cell>
          <cell r="D36">
            <v>16</v>
          </cell>
          <cell r="E36">
            <v>1026</v>
          </cell>
          <cell r="F36">
            <v>1680</v>
          </cell>
          <cell r="G36">
            <v>1279</v>
          </cell>
          <cell r="H36">
            <v>2100</v>
          </cell>
          <cell r="I36">
            <v>1599</v>
          </cell>
          <cell r="J36" t="str">
            <v>SD</v>
          </cell>
          <cell r="K36">
            <v>0.23857142857142899</v>
          </cell>
          <cell r="L36" t="str">
            <v>21</v>
          </cell>
          <cell r="M36" t="str">
            <v>CTLG</v>
          </cell>
          <cell r="N36" t="str">
            <v/>
          </cell>
          <cell r="O36" t="str">
            <v/>
          </cell>
        </row>
        <row r="37">
          <cell r="A37">
            <v>35759</v>
          </cell>
          <cell r="B37">
            <v>35759</v>
          </cell>
          <cell r="C37" t="str">
            <v>Sun 360 After Sun Jelly Body + Face</v>
          </cell>
          <cell r="D37">
            <v>5</v>
          </cell>
          <cell r="E37">
            <v>352</v>
          </cell>
          <cell r="F37">
            <v>680</v>
          </cell>
          <cell r="G37">
            <v>439</v>
          </cell>
          <cell r="H37">
            <v>850</v>
          </cell>
          <cell r="I37">
            <v>549</v>
          </cell>
          <cell r="J37" t="str">
            <v>SD</v>
          </cell>
          <cell r="K37">
            <v>0.35411764705882398</v>
          </cell>
          <cell r="L37" t="str">
            <v>21</v>
          </cell>
          <cell r="M37" t="str">
            <v>CTLG</v>
          </cell>
          <cell r="N37" t="str">
            <v/>
          </cell>
          <cell r="O37" t="str">
            <v/>
          </cell>
        </row>
        <row r="38">
          <cell r="A38">
            <v>47419</v>
          </cell>
          <cell r="B38">
            <v>47419</v>
          </cell>
          <cell r="C38" t="str">
            <v>Moisturiser &amp; Serum Brush</v>
          </cell>
          <cell r="D38">
            <v>4</v>
          </cell>
          <cell r="E38">
            <v>141</v>
          </cell>
          <cell r="F38">
            <v>640</v>
          </cell>
          <cell r="G38">
            <v>351</v>
          </cell>
          <cell r="H38">
            <v>800</v>
          </cell>
          <cell r="I38">
            <v>439</v>
          </cell>
          <cell r="J38" t="str">
            <v>SD</v>
          </cell>
          <cell r="K38">
            <v>0.45124999999999998</v>
          </cell>
          <cell r="L38" t="str">
            <v>22</v>
          </cell>
          <cell r="M38" t="str">
            <v>CTLG</v>
          </cell>
          <cell r="N38" t="str">
            <v/>
          </cell>
          <cell r="O38" t="str">
            <v/>
          </cell>
        </row>
        <row r="39">
          <cell r="A39">
            <v>42566</v>
          </cell>
          <cell r="B39">
            <v>42566</v>
          </cell>
          <cell r="C39" t="str">
            <v>Optimals Hydra Radiance Eye Cream</v>
          </cell>
          <cell r="D39">
            <v>6</v>
          </cell>
          <cell r="E39">
            <v>372</v>
          </cell>
          <cell r="F39">
            <v>840</v>
          </cell>
          <cell r="G39">
            <v>463</v>
          </cell>
          <cell r="H39">
            <v>1050</v>
          </cell>
          <cell r="I39">
            <v>579</v>
          </cell>
          <cell r="J39" t="str">
            <v>SD</v>
          </cell>
          <cell r="K39">
            <v>0.44857142857142901</v>
          </cell>
          <cell r="L39" t="str">
            <v>23</v>
          </cell>
          <cell r="M39" t="str">
            <v>CTLG</v>
          </cell>
          <cell r="N39" t="str">
            <v/>
          </cell>
          <cell r="O39" t="str">
            <v/>
          </cell>
        </row>
        <row r="40">
          <cell r="A40">
            <v>42567</v>
          </cell>
          <cell r="B40">
            <v>42567</v>
          </cell>
          <cell r="C40" t="str">
            <v>Optimals Hydra Radiance Serum</v>
          </cell>
          <cell r="D40">
            <v>6</v>
          </cell>
          <cell r="E40">
            <v>372</v>
          </cell>
          <cell r="F40">
            <v>840</v>
          </cell>
          <cell r="G40">
            <v>463</v>
          </cell>
          <cell r="H40">
            <v>1050</v>
          </cell>
          <cell r="I40">
            <v>579</v>
          </cell>
          <cell r="J40" t="str">
            <v>SD</v>
          </cell>
          <cell r="K40">
            <v>0.44857142857142901</v>
          </cell>
          <cell r="L40" t="str">
            <v>23</v>
          </cell>
          <cell r="M40" t="str">
            <v>CTLG</v>
          </cell>
          <cell r="N40" t="str">
            <v/>
          </cell>
          <cell r="O40" t="str">
            <v/>
          </cell>
        </row>
        <row r="41">
          <cell r="A41">
            <v>42588</v>
          </cell>
          <cell r="B41">
            <v>42588</v>
          </cell>
          <cell r="C41" t="str">
            <v>Optimals Hydra Radiance Day Rich</v>
          </cell>
          <cell r="D41">
            <v>6</v>
          </cell>
          <cell r="E41">
            <v>372</v>
          </cell>
          <cell r="F41">
            <v>840</v>
          </cell>
          <cell r="G41">
            <v>463</v>
          </cell>
          <cell r="H41">
            <v>1050</v>
          </cell>
          <cell r="I41">
            <v>579</v>
          </cell>
          <cell r="J41" t="str">
            <v>SD</v>
          </cell>
          <cell r="K41">
            <v>0.44857142857142901</v>
          </cell>
          <cell r="L41" t="str">
            <v>23</v>
          </cell>
          <cell r="M41" t="str">
            <v>CTLG</v>
          </cell>
          <cell r="N41" t="str">
            <v/>
          </cell>
          <cell r="O41" t="str">
            <v/>
          </cell>
        </row>
        <row r="42">
          <cell r="A42">
            <v>42589</v>
          </cell>
          <cell r="B42">
            <v>42589</v>
          </cell>
          <cell r="C42" t="str">
            <v>Optimals Hydra Radiance Night Rich</v>
          </cell>
          <cell r="D42">
            <v>6</v>
          </cell>
          <cell r="E42">
            <v>372</v>
          </cell>
          <cell r="F42">
            <v>840</v>
          </cell>
          <cell r="G42">
            <v>463</v>
          </cell>
          <cell r="H42">
            <v>1050</v>
          </cell>
          <cell r="I42">
            <v>579</v>
          </cell>
          <cell r="J42" t="str">
            <v>SD</v>
          </cell>
          <cell r="K42">
            <v>0.44857142857142901</v>
          </cell>
          <cell r="L42" t="str">
            <v>23</v>
          </cell>
          <cell r="M42" t="str">
            <v>CTLG</v>
          </cell>
          <cell r="N42" t="str">
            <v/>
          </cell>
          <cell r="O42" t="str">
            <v/>
          </cell>
        </row>
        <row r="43">
          <cell r="A43">
            <v>47422</v>
          </cell>
          <cell r="B43">
            <v>47422</v>
          </cell>
          <cell r="C43" t="str">
            <v>Eye Reviver</v>
          </cell>
          <cell r="D43">
            <v>4</v>
          </cell>
          <cell r="E43">
            <v>118</v>
          </cell>
          <cell r="F43">
            <v>544</v>
          </cell>
          <cell r="G43">
            <v>295</v>
          </cell>
          <cell r="H43">
            <v>680</v>
          </cell>
          <cell r="I43">
            <v>369</v>
          </cell>
          <cell r="J43" t="str">
            <v>SD</v>
          </cell>
          <cell r="K43">
            <v>0.45735294117647102</v>
          </cell>
          <cell r="L43" t="str">
            <v>24</v>
          </cell>
          <cell r="M43" t="str">
            <v>CTLG</v>
          </cell>
          <cell r="N43" t="str">
            <v/>
          </cell>
          <cell r="O43" t="str">
            <v/>
          </cell>
        </row>
        <row r="44">
          <cell r="A44">
            <v>22815</v>
          </cell>
          <cell r="B44">
            <v>22815</v>
          </cell>
          <cell r="C44" t="str">
            <v>Royal Velvet Firming Eye Cream</v>
          </cell>
          <cell r="D44">
            <v>4</v>
          </cell>
          <cell r="E44">
            <v>275</v>
          </cell>
          <cell r="F44">
            <v>760</v>
          </cell>
          <cell r="G44">
            <v>343</v>
          </cell>
          <cell r="H44">
            <v>950</v>
          </cell>
          <cell r="I44">
            <v>429</v>
          </cell>
          <cell r="J44" t="str">
            <v>SD</v>
          </cell>
          <cell r="K44">
            <v>0.54842105263157903</v>
          </cell>
          <cell r="L44" t="str">
            <v>25</v>
          </cell>
          <cell r="M44" t="str">
            <v>CTLG</v>
          </cell>
          <cell r="N44" t="str">
            <v/>
          </cell>
          <cell r="O44" t="str">
            <v/>
          </cell>
        </row>
        <row r="45">
          <cell r="A45">
            <v>24547</v>
          </cell>
          <cell r="B45">
            <v>24547</v>
          </cell>
          <cell r="C45" t="str">
            <v>Royal Velvet Capsules</v>
          </cell>
          <cell r="D45">
            <v>19</v>
          </cell>
          <cell r="E45">
            <v>1218</v>
          </cell>
          <cell r="F45">
            <v>2480</v>
          </cell>
          <cell r="G45">
            <v>1519</v>
          </cell>
          <cell r="H45">
            <v>3100</v>
          </cell>
          <cell r="I45">
            <v>1899</v>
          </cell>
          <cell r="J45" t="str">
            <v>SD</v>
          </cell>
          <cell r="K45">
            <v>0.38741935483870998</v>
          </cell>
          <cell r="L45" t="str">
            <v>25</v>
          </cell>
          <cell r="M45" t="str">
            <v>CTLG</v>
          </cell>
          <cell r="N45" t="str">
            <v/>
          </cell>
          <cell r="O45" t="str">
            <v/>
          </cell>
        </row>
        <row r="46">
          <cell r="A46">
            <v>47209</v>
          </cell>
          <cell r="B46">
            <v>47209</v>
          </cell>
          <cell r="C46" t="str">
            <v>Novage+ Skin Care Case</v>
          </cell>
          <cell r="D46">
            <v>27</v>
          </cell>
          <cell r="E46">
            <v>866</v>
          </cell>
          <cell r="F46">
            <v>2160</v>
          </cell>
          <cell r="G46">
            <v>2160</v>
          </cell>
          <cell r="H46">
            <v>2700</v>
          </cell>
          <cell r="I46">
            <v>2700</v>
          </cell>
          <cell r="J46" t="str">
            <v>NO</v>
          </cell>
          <cell r="K46">
            <v>0</v>
          </cell>
          <cell r="L46" t="str">
            <v>26</v>
          </cell>
          <cell r="M46" t="str">
            <v>CTLG</v>
          </cell>
          <cell r="N46" t="str">
            <v/>
          </cell>
          <cell r="O46" t="str">
            <v/>
          </cell>
        </row>
        <row r="47">
          <cell r="A47">
            <v>41059</v>
          </cell>
          <cell r="B47">
            <v>41059</v>
          </cell>
          <cell r="C47" t="str">
            <v xml:space="preserve">Novage+ Proceuticals SPF 50 </v>
          </cell>
          <cell r="D47">
            <v>14</v>
          </cell>
          <cell r="E47">
            <v>898</v>
          </cell>
          <cell r="F47">
            <v>1840</v>
          </cell>
          <cell r="G47">
            <v>1119</v>
          </cell>
          <cell r="H47">
            <v>2300</v>
          </cell>
          <cell r="I47">
            <v>1399</v>
          </cell>
          <cell r="J47" t="str">
            <v>SD</v>
          </cell>
          <cell r="K47">
            <v>0.39173913043478298</v>
          </cell>
          <cell r="L47" t="str">
            <v>27</v>
          </cell>
          <cell r="M47" t="str">
            <v>CTLG</v>
          </cell>
          <cell r="N47" t="str">
            <v/>
          </cell>
          <cell r="O47" t="str">
            <v/>
          </cell>
        </row>
        <row r="48">
          <cell r="A48">
            <v>42263</v>
          </cell>
          <cell r="B48">
            <v>42263</v>
          </cell>
          <cell r="C48" t="str">
            <v xml:space="preserve">Novage+ Proceuticals Micro Essence </v>
          </cell>
          <cell r="D48">
            <v>10</v>
          </cell>
          <cell r="E48">
            <v>641</v>
          </cell>
          <cell r="F48">
            <v>1320</v>
          </cell>
          <cell r="G48">
            <v>799</v>
          </cell>
          <cell r="H48">
            <v>1650</v>
          </cell>
          <cell r="I48">
            <v>999</v>
          </cell>
          <cell r="J48" t="str">
            <v>SD</v>
          </cell>
          <cell r="K48">
            <v>0.39454545454545498</v>
          </cell>
          <cell r="L48" t="str">
            <v>27</v>
          </cell>
          <cell r="M48" t="str">
            <v>CTLG</v>
          </cell>
          <cell r="N48" t="str">
            <v/>
          </cell>
          <cell r="O48" t="str">
            <v/>
          </cell>
        </row>
        <row r="49">
          <cell r="A49">
            <v>42786</v>
          </cell>
          <cell r="B49">
            <v>42786</v>
          </cell>
          <cell r="C49" t="str">
            <v>GG Essenza Parfum Purse Spray</v>
          </cell>
          <cell r="D49">
            <v>6</v>
          </cell>
          <cell r="E49">
            <v>365</v>
          </cell>
          <cell r="F49">
            <v>760</v>
          </cell>
          <cell r="G49">
            <v>455</v>
          </cell>
          <cell r="H49">
            <v>950</v>
          </cell>
          <cell r="I49">
            <v>569</v>
          </cell>
          <cell r="J49" t="str">
            <v>SD</v>
          </cell>
          <cell r="K49">
            <v>0.40105263157894699</v>
          </cell>
          <cell r="L49" t="str">
            <v>28</v>
          </cell>
          <cell r="M49" t="str">
            <v>CTLG</v>
          </cell>
          <cell r="N49" t="str">
            <v/>
          </cell>
          <cell r="O49" t="str">
            <v/>
          </cell>
        </row>
        <row r="50">
          <cell r="A50">
            <v>42806</v>
          </cell>
          <cell r="B50">
            <v>42806</v>
          </cell>
          <cell r="C50" t="str">
            <v>Giordani Gold Essenza Body Spray</v>
          </cell>
          <cell r="D50">
            <v>2</v>
          </cell>
          <cell r="E50">
            <v>128</v>
          </cell>
          <cell r="F50">
            <v>664</v>
          </cell>
          <cell r="G50">
            <v>159</v>
          </cell>
          <cell r="H50">
            <v>830</v>
          </cell>
          <cell r="I50">
            <v>199</v>
          </cell>
          <cell r="J50" t="str">
            <v>SD</v>
          </cell>
          <cell r="K50">
            <v>0.76024096385542195</v>
          </cell>
          <cell r="L50" t="str">
            <v>28</v>
          </cell>
          <cell r="M50" t="str">
            <v>CTLG</v>
          </cell>
          <cell r="N50" t="str">
            <v/>
          </cell>
          <cell r="O50" t="str">
            <v/>
          </cell>
        </row>
        <row r="51">
          <cell r="A51">
            <v>42206</v>
          </cell>
          <cell r="B51">
            <v>42206</v>
          </cell>
          <cell r="C51" t="str">
            <v xml:space="preserve">GG Essenza Perfumed Body Cream </v>
          </cell>
          <cell r="D51">
            <v>7</v>
          </cell>
          <cell r="E51">
            <v>449</v>
          </cell>
          <cell r="F51">
            <v>920</v>
          </cell>
          <cell r="G51">
            <v>559</v>
          </cell>
          <cell r="H51">
            <v>1150</v>
          </cell>
          <cell r="I51">
            <v>699</v>
          </cell>
          <cell r="J51" t="str">
            <v>SD</v>
          </cell>
          <cell r="K51">
            <v>0.39217391304347798</v>
          </cell>
          <cell r="L51" t="str">
            <v>28</v>
          </cell>
          <cell r="M51" t="str">
            <v>CTLG</v>
          </cell>
          <cell r="N51" t="str">
            <v/>
          </cell>
          <cell r="O51" t="str">
            <v/>
          </cell>
        </row>
        <row r="52">
          <cell r="A52">
            <v>42503</v>
          </cell>
          <cell r="B52">
            <v>42503</v>
          </cell>
          <cell r="C52" t="str">
            <v>Giordani Gold Essenza Parfum</v>
          </cell>
          <cell r="D52">
            <v>29</v>
          </cell>
          <cell r="E52">
            <v>1860</v>
          </cell>
          <cell r="F52">
            <v>3840</v>
          </cell>
          <cell r="G52">
            <v>2320</v>
          </cell>
          <cell r="H52">
            <v>4800</v>
          </cell>
          <cell r="I52">
            <v>2900</v>
          </cell>
          <cell r="J52" t="str">
            <v>SD</v>
          </cell>
          <cell r="K52">
            <v>0.39583333333333298</v>
          </cell>
          <cell r="L52" t="str">
            <v>29</v>
          </cell>
          <cell r="M52" t="str">
            <v>CTLG</v>
          </cell>
          <cell r="N52" t="str">
            <v/>
          </cell>
          <cell r="O52" t="str">
            <v/>
          </cell>
        </row>
        <row r="53">
          <cell r="A53">
            <v>38540</v>
          </cell>
          <cell r="B53">
            <v>38540</v>
          </cell>
          <cell r="C53" t="str">
            <v xml:space="preserve">Signature for her Parfum </v>
          </cell>
          <cell r="D53">
            <v>29</v>
          </cell>
          <cell r="E53">
            <v>1860</v>
          </cell>
          <cell r="F53">
            <v>3840</v>
          </cell>
          <cell r="G53">
            <v>2320</v>
          </cell>
          <cell r="H53">
            <v>4800</v>
          </cell>
          <cell r="I53">
            <v>2900</v>
          </cell>
          <cell r="J53" t="str">
            <v>SD</v>
          </cell>
          <cell r="K53">
            <v>0.39583333333333298</v>
          </cell>
          <cell r="L53" t="str">
            <v>30</v>
          </cell>
          <cell r="M53" t="str">
            <v>CTLG</v>
          </cell>
          <cell r="N53" t="str">
            <v/>
          </cell>
          <cell r="O53" t="str">
            <v/>
          </cell>
        </row>
        <row r="54">
          <cell r="A54">
            <v>38587</v>
          </cell>
          <cell r="B54">
            <v>38587</v>
          </cell>
          <cell r="C54" t="str">
            <v xml:space="preserve">Signature for him Parfum </v>
          </cell>
          <cell r="D54">
            <v>29</v>
          </cell>
          <cell r="E54">
            <v>1860</v>
          </cell>
          <cell r="F54">
            <v>3840</v>
          </cell>
          <cell r="G54">
            <v>2320</v>
          </cell>
          <cell r="H54">
            <v>4800</v>
          </cell>
          <cell r="I54">
            <v>2900</v>
          </cell>
          <cell r="J54" t="str">
            <v>SD</v>
          </cell>
          <cell r="K54">
            <v>0.39583333333333298</v>
          </cell>
          <cell r="L54" t="str">
            <v>31</v>
          </cell>
          <cell r="M54" t="str">
            <v>CTLG</v>
          </cell>
          <cell r="N54" t="str">
            <v/>
          </cell>
          <cell r="O54" t="str">
            <v/>
          </cell>
        </row>
        <row r="55">
          <cell r="A55">
            <v>38552</v>
          </cell>
          <cell r="B55">
            <v>38552</v>
          </cell>
          <cell r="C55" t="str">
            <v>Greater Eau de Toilette for him</v>
          </cell>
          <cell r="D55">
            <v>17</v>
          </cell>
          <cell r="E55">
            <v>1090</v>
          </cell>
          <cell r="F55">
            <v>2240</v>
          </cell>
          <cell r="G55">
            <v>1359</v>
          </cell>
          <cell r="H55">
            <v>2800</v>
          </cell>
          <cell r="I55">
            <v>1699</v>
          </cell>
          <cell r="J55" t="str">
            <v>COB</v>
          </cell>
          <cell r="K55">
            <v>0.39321428571428602</v>
          </cell>
          <cell r="L55" t="str">
            <v>32</v>
          </cell>
          <cell r="M55" t="str">
            <v>CTLG</v>
          </cell>
          <cell r="N55" t="str">
            <v/>
          </cell>
          <cell r="O55" t="str">
            <v/>
          </cell>
        </row>
        <row r="56">
          <cell r="A56">
            <v>3</v>
          </cell>
          <cell r="B56">
            <v>3</v>
          </cell>
          <cell r="C56" t="str">
            <v>Greater Eau de Toilette for him</v>
          </cell>
          <cell r="D56">
            <v>13</v>
          </cell>
          <cell r="E56">
            <v>833</v>
          </cell>
          <cell r="F56">
            <v>2240</v>
          </cell>
          <cell r="G56">
            <v>1039</v>
          </cell>
          <cell r="H56">
            <v>2800</v>
          </cell>
          <cell r="I56">
            <v>1299</v>
          </cell>
          <cell r="J56" t="str">
            <v>COB</v>
          </cell>
          <cell r="K56">
            <v>0.53607142857142898</v>
          </cell>
          <cell r="L56" t="str">
            <v>32</v>
          </cell>
          <cell r="M56" t="str">
            <v>CTLG</v>
          </cell>
          <cell r="N56" t="str">
            <v/>
          </cell>
          <cell r="O56" t="str">
            <v/>
          </cell>
        </row>
        <row r="57">
          <cell r="A57">
            <v>43118</v>
          </cell>
          <cell r="B57">
            <v>43118</v>
          </cell>
          <cell r="C57" t="str">
            <v>Greater Eau de Toilette for her</v>
          </cell>
          <cell r="D57">
            <v>17</v>
          </cell>
          <cell r="E57">
            <v>1090</v>
          </cell>
          <cell r="F57">
            <v>2240</v>
          </cell>
          <cell r="G57">
            <v>1359</v>
          </cell>
          <cell r="H57">
            <v>2800</v>
          </cell>
          <cell r="I57">
            <v>1699</v>
          </cell>
          <cell r="J57" t="str">
            <v>COB</v>
          </cell>
          <cell r="K57">
            <v>0.39321428571428602</v>
          </cell>
          <cell r="L57" t="str">
            <v>33</v>
          </cell>
          <cell r="M57" t="str">
            <v>CTLG</v>
          </cell>
          <cell r="N57" t="str">
            <v/>
          </cell>
          <cell r="O57" t="str">
            <v/>
          </cell>
        </row>
        <row r="58">
          <cell r="A58">
            <v>43118</v>
          </cell>
          <cell r="B58">
            <v>43118</v>
          </cell>
          <cell r="C58" t="str">
            <v>Greater Eau de Toilette for her</v>
          </cell>
          <cell r="D58">
            <v>13</v>
          </cell>
          <cell r="E58">
            <v>833</v>
          </cell>
          <cell r="F58">
            <v>2240</v>
          </cell>
          <cell r="G58">
            <v>1039</v>
          </cell>
          <cell r="H58">
            <v>2800</v>
          </cell>
          <cell r="I58">
            <v>1299</v>
          </cell>
          <cell r="J58" t="str">
            <v>COB</v>
          </cell>
          <cell r="K58">
            <v>0.53607142857142898</v>
          </cell>
          <cell r="L58" t="str">
            <v>33</v>
          </cell>
          <cell r="M58" t="str">
            <v>CTLG</v>
          </cell>
          <cell r="N58" t="str">
            <v/>
          </cell>
          <cell r="O58" t="str">
            <v/>
          </cell>
        </row>
        <row r="59">
          <cell r="A59">
            <v>41281</v>
          </cell>
          <cell r="B59">
            <v>41281</v>
          </cell>
          <cell r="C59" t="str">
            <v>LN Purifying Soap Bar</v>
          </cell>
          <cell r="D59">
            <v>1</v>
          </cell>
          <cell r="E59">
            <v>64</v>
          </cell>
          <cell r="F59">
            <v>160</v>
          </cell>
          <cell r="G59">
            <v>79</v>
          </cell>
          <cell r="H59">
            <v>200</v>
          </cell>
          <cell r="I59">
            <v>99</v>
          </cell>
          <cell r="J59" t="str">
            <v>SET</v>
          </cell>
          <cell r="K59">
            <v>0.505</v>
          </cell>
          <cell r="L59" t="str">
            <v>34</v>
          </cell>
          <cell r="M59" t="str">
            <v>CTLG</v>
          </cell>
          <cell r="N59" t="str">
            <v/>
          </cell>
          <cell r="O59" t="str">
            <v/>
          </cell>
        </row>
        <row r="60">
          <cell r="A60">
            <v>47009</v>
          </cell>
          <cell r="B60">
            <v>47009</v>
          </cell>
          <cell r="C60" t="str">
            <v>Simple Joys SG Aloe Vera LN</v>
          </cell>
          <cell r="D60">
            <v>2</v>
          </cell>
          <cell r="E60">
            <v>160</v>
          </cell>
          <cell r="F60">
            <v>336</v>
          </cell>
          <cell r="G60">
            <v>199</v>
          </cell>
          <cell r="H60">
            <v>420</v>
          </cell>
          <cell r="I60">
            <v>249</v>
          </cell>
          <cell r="J60" t="str">
            <v>SET</v>
          </cell>
          <cell r="K60">
            <v>0.40714285714285697</v>
          </cell>
          <cell r="L60" t="str">
            <v>34</v>
          </cell>
          <cell r="M60" t="str">
            <v>CTLG</v>
          </cell>
          <cell r="N60" t="str">
            <v/>
          </cell>
          <cell r="O60" t="str">
            <v/>
          </cell>
        </row>
        <row r="61">
          <cell r="A61">
            <v>44280</v>
          </cell>
          <cell r="B61">
            <v>44280</v>
          </cell>
          <cell r="C61" t="str">
            <v>LN Caring HC</v>
          </cell>
          <cell r="D61">
            <v>2</v>
          </cell>
          <cell r="E61">
            <v>128</v>
          </cell>
          <cell r="F61">
            <v>328</v>
          </cell>
          <cell r="G61">
            <v>159</v>
          </cell>
          <cell r="H61">
            <v>410</v>
          </cell>
          <cell r="I61">
            <v>199</v>
          </cell>
          <cell r="J61" t="str">
            <v>SET</v>
          </cell>
          <cell r="K61">
            <v>0.51463414634146298</v>
          </cell>
          <cell r="L61" t="str">
            <v>34</v>
          </cell>
          <cell r="M61" t="str">
            <v>CTLG</v>
          </cell>
          <cell r="N61" t="str">
            <v/>
          </cell>
          <cell r="O61" t="str">
            <v/>
          </cell>
        </row>
        <row r="62">
          <cell r="A62">
            <v>150547</v>
          </cell>
          <cell r="B62">
            <v>150547</v>
          </cell>
          <cell r="C62" t="str">
            <v>Buy (41281, 44280, 47009) at</v>
          </cell>
          <cell r="D62">
            <v>5</v>
          </cell>
          <cell r="E62">
            <v>321</v>
          </cell>
          <cell r="F62">
            <v>824</v>
          </cell>
          <cell r="G62">
            <v>399</v>
          </cell>
          <cell r="H62">
            <v>1030</v>
          </cell>
          <cell r="I62">
            <v>499</v>
          </cell>
          <cell r="K62">
            <v>0.51553398058252398</v>
          </cell>
          <cell r="L62" t="str">
            <v>34</v>
          </cell>
          <cell r="M62" t="str">
            <v>CTLG</v>
          </cell>
          <cell r="N62" t="str">
            <v/>
          </cell>
          <cell r="O62" t="str">
            <v/>
          </cell>
        </row>
        <row r="63">
          <cell r="A63">
            <v>41354</v>
          </cell>
          <cell r="B63">
            <v>41354</v>
          </cell>
          <cell r="C63" t="str">
            <v>LN Lemon &amp; Mint Shampoo</v>
          </cell>
          <cell r="D63">
            <v>4</v>
          </cell>
          <cell r="E63">
            <v>288</v>
          </cell>
          <cell r="F63">
            <v>656</v>
          </cell>
          <cell r="G63">
            <v>359</v>
          </cell>
          <cell r="H63">
            <v>820</v>
          </cell>
          <cell r="I63">
            <v>449</v>
          </cell>
          <cell r="J63" t="str">
            <v>SET</v>
          </cell>
          <cell r="K63">
            <v>0.45243902439024403</v>
          </cell>
          <cell r="L63" t="str">
            <v>35</v>
          </cell>
          <cell r="M63" t="str">
            <v>CTLG</v>
          </cell>
          <cell r="N63" t="str">
            <v/>
          </cell>
          <cell r="O63" t="str">
            <v/>
          </cell>
        </row>
        <row r="64">
          <cell r="A64">
            <v>43253</v>
          </cell>
          <cell r="B64">
            <v>43253</v>
          </cell>
          <cell r="C64" t="str">
            <v>LN Peppermint &amp; Charcoal hair scrub</v>
          </cell>
          <cell r="D64">
            <v>1</v>
          </cell>
          <cell r="E64">
            <v>83</v>
          </cell>
          <cell r="F64">
            <v>232</v>
          </cell>
          <cell r="G64">
            <v>103</v>
          </cell>
          <cell r="H64">
            <v>290</v>
          </cell>
          <cell r="I64">
            <v>129</v>
          </cell>
          <cell r="J64" t="str">
            <v>SET</v>
          </cell>
          <cell r="K64">
            <v>0.555172413793103</v>
          </cell>
          <cell r="L64" t="str">
            <v>35</v>
          </cell>
          <cell r="M64" t="str">
            <v>CTLG</v>
          </cell>
          <cell r="N64" t="str">
            <v/>
          </cell>
          <cell r="O64" t="str">
            <v/>
          </cell>
        </row>
        <row r="65">
          <cell r="A65">
            <v>43661</v>
          </cell>
          <cell r="B65">
            <v>43661</v>
          </cell>
          <cell r="C65" t="str">
            <v>LN Hair Mask Strengthening banana</v>
          </cell>
          <cell r="D65">
            <v>1</v>
          </cell>
          <cell r="E65">
            <v>83</v>
          </cell>
          <cell r="F65">
            <v>232</v>
          </cell>
          <cell r="G65">
            <v>103</v>
          </cell>
          <cell r="H65">
            <v>290</v>
          </cell>
          <cell r="I65">
            <v>129</v>
          </cell>
          <cell r="J65" t="str">
            <v>SET</v>
          </cell>
          <cell r="K65">
            <v>0.555172413793103</v>
          </cell>
          <cell r="L65" t="str">
            <v>35</v>
          </cell>
          <cell r="M65" t="str">
            <v>CTLG</v>
          </cell>
          <cell r="N65" t="str">
            <v/>
          </cell>
          <cell r="O65" t="str">
            <v/>
          </cell>
        </row>
        <row r="66">
          <cell r="A66">
            <v>150548</v>
          </cell>
          <cell r="B66">
            <v>150548</v>
          </cell>
          <cell r="C66" t="str">
            <v>Buy (41354, 43253, 43661) at</v>
          </cell>
          <cell r="D66">
            <v>5</v>
          </cell>
          <cell r="E66">
            <v>321</v>
          </cell>
          <cell r="F66">
            <v>1120</v>
          </cell>
          <cell r="G66">
            <v>399</v>
          </cell>
          <cell r="H66">
            <v>1400</v>
          </cell>
          <cell r="I66">
            <v>499</v>
          </cell>
          <cell r="K66">
            <v>0.64357142857142902</v>
          </cell>
          <cell r="L66" t="str">
            <v>35</v>
          </cell>
          <cell r="M66" t="str">
            <v>CTLG</v>
          </cell>
          <cell r="N66" t="str">
            <v/>
          </cell>
          <cell r="O66" t="str">
            <v/>
          </cell>
        </row>
        <row r="67">
          <cell r="A67">
            <v>38948</v>
          </cell>
          <cell r="B67">
            <v>38948</v>
          </cell>
          <cell r="C67" t="str">
            <v>OnColour Matte Lipstick - S Peach</v>
          </cell>
          <cell r="D67">
            <v>2</v>
          </cell>
          <cell r="E67">
            <v>147</v>
          </cell>
          <cell r="F67">
            <v>384</v>
          </cell>
          <cell r="G67">
            <v>183</v>
          </cell>
          <cell r="H67">
            <v>480</v>
          </cell>
          <cell r="I67">
            <v>229</v>
          </cell>
          <cell r="J67" t="str">
            <v>SD</v>
          </cell>
          <cell r="K67">
            <v>0.52291666666666703</v>
          </cell>
          <cell r="L67" t="str">
            <v>37</v>
          </cell>
          <cell r="M67" t="str">
            <v>CTLG</v>
          </cell>
          <cell r="N67" t="str">
            <v/>
          </cell>
          <cell r="O67" t="str">
            <v/>
          </cell>
        </row>
        <row r="68">
          <cell r="A68">
            <v>39800</v>
          </cell>
          <cell r="B68">
            <v>39800</v>
          </cell>
          <cell r="C68" t="str">
            <v>OnColour Matte Lipstick - N bei e</v>
          </cell>
          <cell r="D68">
            <v>2</v>
          </cell>
          <cell r="E68">
            <v>147</v>
          </cell>
          <cell r="F68">
            <v>384</v>
          </cell>
          <cell r="G68">
            <v>183</v>
          </cell>
          <cell r="H68">
            <v>480</v>
          </cell>
          <cell r="I68">
            <v>229</v>
          </cell>
          <cell r="J68" t="str">
            <v>SD</v>
          </cell>
          <cell r="K68">
            <v>0.52291666666666703</v>
          </cell>
          <cell r="L68" t="str">
            <v>37</v>
          </cell>
          <cell r="M68" t="str">
            <v>CTLG</v>
          </cell>
          <cell r="N68" t="str">
            <v/>
          </cell>
          <cell r="O68" t="str">
            <v/>
          </cell>
        </row>
        <row r="69">
          <cell r="A69">
            <v>39801</v>
          </cell>
          <cell r="B69">
            <v>39801</v>
          </cell>
          <cell r="C69" t="str">
            <v>OnColour Matte Lipstick - Bl Rose</v>
          </cell>
          <cell r="D69">
            <v>2</v>
          </cell>
          <cell r="E69">
            <v>147</v>
          </cell>
          <cell r="F69">
            <v>384</v>
          </cell>
          <cell r="G69">
            <v>183</v>
          </cell>
          <cell r="H69">
            <v>480</v>
          </cell>
          <cell r="I69">
            <v>229</v>
          </cell>
          <cell r="J69" t="str">
            <v>SD</v>
          </cell>
          <cell r="K69">
            <v>0.52291666666666703</v>
          </cell>
          <cell r="L69" t="str">
            <v>37</v>
          </cell>
          <cell r="M69" t="str">
            <v>CTLG</v>
          </cell>
          <cell r="N69" t="str">
            <v/>
          </cell>
          <cell r="O69" t="str">
            <v/>
          </cell>
        </row>
        <row r="70">
          <cell r="A70">
            <v>39802</v>
          </cell>
          <cell r="B70">
            <v>39802</v>
          </cell>
          <cell r="C70" t="str">
            <v>OnColour Matte Lipstick - Co Blossom</v>
          </cell>
          <cell r="D70">
            <v>2</v>
          </cell>
          <cell r="E70">
            <v>147</v>
          </cell>
          <cell r="F70">
            <v>384</v>
          </cell>
          <cell r="G70">
            <v>183</v>
          </cell>
          <cell r="H70">
            <v>480</v>
          </cell>
          <cell r="I70">
            <v>229</v>
          </cell>
          <cell r="J70" t="str">
            <v>SD</v>
          </cell>
          <cell r="K70">
            <v>0.52291666666666703</v>
          </cell>
          <cell r="L70" t="str">
            <v>37</v>
          </cell>
          <cell r="M70" t="str">
            <v>CTLG</v>
          </cell>
          <cell r="N70" t="str">
            <v/>
          </cell>
          <cell r="O70" t="str">
            <v/>
          </cell>
        </row>
        <row r="71">
          <cell r="A71">
            <v>39803</v>
          </cell>
          <cell r="B71">
            <v>39803</v>
          </cell>
          <cell r="C71" t="str">
            <v>OnColour Matte Lipstick - V Pink</v>
          </cell>
          <cell r="D71">
            <v>2</v>
          </cell>
          <cell r="E71">
            <v>147</v>
          </cell>
          <cell r="F71">
            <v>384</v>
          </cell>
          <cell r="G71">
            <v>183</v>
          </cell>
          <cell r="H71">
            <v>480</v>
          </cell>
          <cell r="I71">
            <v>229</v>
          </cell>
          <cell r="J71" t="str">
            <v>SD</v>
          </cell>
          <cell r="K71">
            <v>0.52291666666666703</v>
          </cell>
          <cell r="L71" t="str">
            <v>37</v>
          </cell>
          <cell r="M71" t="str">
            <v>CTLG</v>
          </cell>
          <cell r="N71" t="str">
            <v/>
          </cell>
          <cell r="O71" t="str">
            <v/>
          </cell>
        </row>
        <row r="72">
          <cell r="A72">
            <v>39805</v>
          </cell>
          <cell r="B72">
            <v>39805</v>
          </cell>
          <cell r="C72" t="str">
            <v>OnColour Matte Lipstick - B Plum</v>
          </cell>
          <cell r="D72">
            <v>2</v>
          </cell>
          <cell r="E72">
            <v>147</v>
          </cell>
          <cell r="F72">
            <v>384</v>
          </cell>
          <cell r="G72">
            <v>183</v>
          </cell>
          <cell r="H72">
            <v>480</v>
          </cell>
          <cell r="I72">
            <v>229</v>
          </cell>
          <cell r="J72" t="str">
            <v>SD</v>
          </cell>
          <cell r="K72">
            <v>0.52291666666666703</v>
          </cell>
          <cell r="L72" t="str">
            <v>37</v>
          </cell>
          <cell r="M72" t="str">
            <v>CTLG</v>
          </cell>
          <cell r="N72" t="str">
            <v/>
          </cell>
          <cell r="O72" t="str">
            <v/>
          </cell>
        </row>
        <row r="73">
          <cell r="A73">
            <v>39806</v>
          </cell>
          <cell r="B73">
            <v>39806</v>
          </cell>
          <cell r="C73" t="str">
            <v>OnColour Matte Lipstick - B Red</v>
          </cell>
          <cell r="D73">
            <v>2</v>
          </cell>
          <cell r="E73">
            <v>147</v>
          </cell>
          <cell r="F73">
            <v>384</v>
          </cell>
          <cell r="G73">
            <v>183</v>
          </cell>
          <cell r="H73">
            <v>480</v>
          </cell>
          <cell r="I73">
            <v>229</v>
          </cell>
          <cell r="J73" t="str">
            <v>SD</v>
          </cell>
          <cell r="K73">
            <v>0.52291666666666703</v>
          </cell>
          <cell r="L73" t="str">
            <v>37</v>
          </cell>
          <cell r="M73" t="str">
            <v>CTLG</v>
          </cell>
          <cell r="N73" t="str">
            <v/>
          </cell>
          <cell r="O73" t="str">
            <v/>
          </cell>
        </row>
        <row r="74">
          <cell r="A74">
            <v>39807</v>
          </cell>
          <cell r="B74">
            <v>39807</v>
          </cell>
          <cell r="C74" t="str">
            <v>OnColour Matte Lipstick - T Red</v>
          </cell>
          <cell r="D74">
            <v>2</v>
          </cell>
          <cell r="E74">
            <v>147</v>
          </cell>
          <cell r="F74">
            <v>384</v>
          </cell>
          <cell r="G74">
            <v>183</v>
          </cell>
          <cell r="H74">
            <v>480</v>
          </cell>
          <cell r="I74">
            <v>229</v>
          </cell>
          <cell r="J74" t="str">
            <v>SD</v>
          </cell>
          <cell r="K74">
            <v>0.52291666666666703</v>
          </cell>
          <cell r="L74" t="str">
            <v>37</v>
          </cell>
          <cell r="M74" t="str">
            <v>CTLG</v>
          </cell>
          <cell r="N74" t="str">
            <v/>
          </cell>
          <cell r="O74" t="str">
            <v/>
          </cell>
        </row>
        <row r="75">
          <cell r="A75">
            <v>32139</v>
          </cell>
          <cell r="B75">
            <v>32139</v>
          </cell>
          <cell r="C75" t="str">
            <v>The ONE All-Over Make-Up Rem</v>
          </cell>
          <cell r="D75">
            <v>9</v>
          </cell>
          <cell r="E75">
            <v>577</v>
          </cell>
          <cell r="F75">
            <v>720</v>
          </cell>
          <cell r="G75">
            <v>720</v>
          </cell>
          <cell r="H75">
            <v>900</v>
          </cell>
          <cell r="I75">
            <v>900</v>
          </cell>
          <cell r="J75" t="str">
            <v>PWP</v>
          </cell>
          <cell r="K75">
            <v>0</v>
          </cell>
          <cell r="L75" t="str">
            <v>38</v>
          </cell>
          <cell r="M75" t="str">
            <v>CTLG</v>
          </cell>
          <cell r="N75" t="str">
            <v/>
          </cell>
          <cell r="O75" t="str">
            <v/>
          </cell>
        </row>
        <row r="76">
          <cell r="A76">
            <v>4</v>
          </cell>
          <cell r="B76">
            <v>4</v>
          </cell>
          <cell r="C76" t="str">
            <v>The ONE All-Over Make-Up Rem</v>
          </cell>
          <cell r="D76">
            <v>4</v>
          </cell>
          <cell r="E76">
            <v>256</v>
          </cell>
          <cell r="F76">
            <v>720</v>
          </cell>
          <cell r="G76">
            <v>319</v>
          </cell>
          <cell r="H76">
            <v>900</v>
          </cell>
          <cell r="I76">
            <v>399</v>
          </cell>
          <cell r="J76" t="str">
            <v>PWP</v>
          </cell>
          <cell r="K76">
            <v>0.55666666666666698</v>
          </cell>
          <cell r="L76" t="str">
            <v>38</v>
          </cell>
          <cell r="M76" t="str">
            <v>CTLG</v>
          </cell>
          <cell r="N76" t="str">
            <v/>
          </cell>
          <cell r="O76" t="str">
            <v/>
          </cell>
        </row>
        <row r="77">
          <cell r="A77">
            <v>34819</v>
          </cell>
          <cell r="B77">
            <v>34819</v>
          </cell>
          <cell r="C77" t="str">
            <v>Love Nature Aloe Coco Cleansing Cream</v>
          </cell>
          <cell r="D77">
            <v>3</v>
          </cell>
          <cell r="E77">
            <v>192</v>
          </cell>
          <cell r="F77">
            <v>480</v>
          </cell>
          <cell r="G77">
            <v>239</v>
          </cell>
          <cell r="H77">
            <v>600</v>
          </cell>
          <cell r="I77">
            <v>299</v>
          </cell>
          <cell r="J77" t="str">
            <v>PWP</v>
          </cell>
          <cell r="K77">
            <v>0.50166666666666704</v>
          </cell>
          <cell r="L77" t="str">
            <v>38</v>
          </cell>
          <cell r="M77" t="str">
            <v>CTLG</v>
          </cell>
          <cell r="N77" t="str">
            <v/>
          </cell>
          <cell r="O77" t="str">
            <v/>
          </cell>
        </row>
        <row r="78">
          <cell r="A78">
            <v>35910</v>
          </cell>
          <cell r="B78">
            <v>35910</v>
          </cell>
          <cell r="C78" t="str">
            <v xml:space="preserve">Love Nature Energising Cleanser </v>
          </cell>
          <cell r="D78">
            <v>3</v>
          </cell>
          <cell r="E78">
            <v>192</v>
          </cell>
          <cell r="F78">
            <v>480</v>
          </cell>
          <cell r="G78">
            <v>239</v>
          </cell>
          <cell r="H78">
            <v>600</v>
          </cell>
          <cell r="I78">
            <v>299</v>
          </cell>
          <cell r="J78" t="str">
            <v>PWP</v>
          </cell>
          <cell r="K78">
            <v>0.50166666666666704</v>
          </cell>
          <cell r="L78" t="str">
            <v>38</v>
          </cell>
          <cell r="M78" t="str">
            <v>CTLG</v>
          </cell>
          <cell r="N78" t="str">
            <v/>
          </cell>
          <cell r="O78" t="str">
            <v/>
          </cell>
        </row>
        <row r="79">
          <cell r="A79">
            <v>43295</v>
          </cell>
          <cell r="B79">
            <v>43295</v>
          </cell>
          <cell r="C79" t="str">
            <v>TO CStylist Super Pout LS - ANude</v>
          </cell>
          <cell r="D79">
            <v>5</v>
          </cell>
          <cell r="E79">
            <v>340</v>
          </cell>
          <cell r="F79">
            <v>776</v>
          </cell>
          <cell r="G79">
            <v>423</v>
          </cell>
          <cell r="H79">
            <v>970</v>
          </cell>
          <cell r="I79">
            <v>529</v>
          </cell>
          <cell r="J79" t="str">
            <v>SD</v>
          </cell>
          <cell r="K79">
            <v>0.45463917525773201</v>
          </cell>
          <cell r="L79" t="str">
            <v>39</v>
          </cell>
          <cell r="M79" t="str">
            <v>CTLG</v>
          </cell>
          <cell r="N79" t="str">
            <v/>
          </cell>
          <cell r="O79" t="str">
            <v/>
          </cell>
        </row>
        <row r="80">
          <cell r="A80">
            <v>43296</v>
          </cell>
          <cell r="B80">
            <v>43296</v>
          </cell>
          <cell r="C80" t="str">
            <v>TO CStylist Super Pout LS - SMauve</v>
          </cell>
          <cell r="D80">
            <v>5</v>
          </cell>
          <cell r="E80">
            <v>340</v>
          </cell>
          <cell r="F80">
            <v>776</v>
          </cell>
          <cell r="G80">
            <v>423</v>
          </cell>
          <cell r="H80">
            <v>970</v>
          </cell>
          <cell r="I80">
            <v>529</v>
          </cell>
          <cell r="J80" t="str">
            <v>SD</v>
          </cell>
          <cell r="K80">
            <v>0.45463917525773201</v>
          </cell>
          <cell r="L80" t="str">
            <v>39</v>
          </cell>
          <cell r="M80" t="str">
            <v>CTLG</v>
          </cell>
          <cell r="N80" t="str">
            <v/>
          </cell>
          <cell r="O80" t="str">
            <v/>
          </cell>
        </row>
        <row r="81">
          <cell r="A81">
            <v>43297</v>
          </cell>
          <cell r="B81">
            <v>43297</v>
          </cell>
          <cell r="C81" t="str">
            <v>TO CStylist Super Pout LS -  SPink</v>
          </cell>
          <cell r="D81">
            <v>5</v>
          </cell>
          <cell r="E81">
            <v>340</v>
          </cell>
          <cell r="F81">
            <v>776</v>
          </cell>
          <cell r="G81">
            <v>423</v>
          </cell>
          <cell r="H81">
            <v>970</v>
          </cell>
          <cell r="I81">
            <v>529</v>
          </cell>
          <cell r="J81" t="str">
            <v>SD</v>
          </cell>
          <cell r="K81">
            <v>0.45463917525773201</v>
          </cell>
          <cell r="L81" t="str">
            <v>39</v>
          </cell>
          <cell r="M81" t="str">
            <v>CTLG</v>
          </cell>
          <cell r="N81" t="str">
            <v/>
          </cell>
          <cell r="O81" t="str">
            <v/>
          </cell>
        </row>
        <row r="82">
          <cell r="A82">
            <v>43298</v>
          </cell>
          <cell r="B82">
            <v>43298</v>
          </cell>
          <cell r="C82" t="str">
            <v>TO CStylist Super Pout LS - RCherry</v>
          </cell>
          <cell r="D82">
            <v>5</v>
          </cell>
          <cell r="E82">
            <v>340</v>
          </cell>
          <cell r="F82">
            <v>776</v>
          </cell>
          <cell r="G82">
            <v>423</v>
          </cell>
          <cell r="H82">
            <v>970</v>
          </cell>
          <cell r="I82">
            <v>529</v>
          </cell>
          <cell r="J82" t="str">
            <v>SD</v>
          </cell>
          <cell r="K82">
            <v>0.45463917525773201</v>
          </cell>
          <cell r="L82" t="str">
            <v>39</v>
          </cell>
          <cell r="M82" t="str">
            <v>CTLG</v>
          </cell>
          <cell r="N82" t="str">
            <v/>
          </cell>
          <cell r="O82" t="str">
            <v/>
          </cell>
        </row>
        <row r="83">
          <cell r="A83">
            <v>43299</v>
          </cell>
          <cell r="B83">
            <v>43299</v>
          </cell>
          <cell r="C83" t="str">
            <v>TO CStylist Super Pout LS - TBlush</v>
          </cell>
          <cell r="D83">
            <v>5</v>
          </cell>
          <cell r="E83">
            <v>340</v>
          </cell>
          <cell r="F83">
            <v>776</v>
          </cell>
          <cell r="G83">
            <v>423</v>
          </cell>
          <cell r="H83">
            <v>970</v>
          </cell>
          <cell r="I83">
            <v>529</v>
          </cell>
          <cell r="J83" t="str">
            <v>SD</v>
          </cell>
          <cell r="K83">
            <v>0.45463917525773201</v>
          </cell>
          <cell r="L83" t="str">
            <v>39</v>
          </cell>
          <cell r="M83" t="str">
            <v>CTLG</v>
          </cell>
          <cell r="N83" t="str">
            <v/>
          </cell>
          <cell r="O83" t="str">
            <v/>
          </cell>
        </row>
        <row r="84">
          <cell r="A84">
            <v>43300</v>
          </cell>
          <cell r="B84">
            <v>43300</v>
          </cell>
          <cell r="C84" t="str">
            <v>TO CStylist Super Pout LS - SCoral</v>
          </cell>
          <cell r="D84">
            <v>5</v>
          </cell>
          <cell r="E84">
            <v>340</v>
          </cell>
          <cell r="F84">
            <v>776</v>
          </cell>
          <cell r="G84">
            <v>423</v>
          </cell>
          <cell r="H84">
            <v>970</v>
          </cell>
          <cell r="I84">
            <v>529</v>
          </cell>
          <cell r="J84" t="str">
            <v>SD</v>
          </cell>
          <cell r="K84">
            <v>0.45463917525773201</v>
          </cell>
          <cell r="L84" t="str">
            <v>39</v>
          </cell>
          <cell r="M84" t="str">
            <v>CTLG</v>
          </cell>
          <cell r="N84" t="str">
            <v/>
          </cell>
          <cell r="O84" t="str">
            <v/>
          </cell>
        </row>
        <row r="85">
          <cell r="A85">
            <v>43301</v>
          </cell>
          <cell r="B85">
            <v>43301</v>
          </cell>
          <cell r="C85" t="str">
            <v>TO CStylist Super Pout LS - BFlame</v>
          </cell>
          <cell r="D85">
            <v>5</v>
          </cell>
          <cell r="E85">
            <v>340</v>
          </cell>
          <cell r="F85">
            <v>776</v>
          </cell>
          <cell r="G85">
            <v>423</v>
          </cell>
          <cell r="H85">
            <v>970</v>
          </cell>
          <cell r="I85">
            <v>529</v>
          </cell>
          <cell r="J85" t="str">
            <v>SD</v>
          </cell>
          <cell r="K85">
            <v>0.45463917525773201</v>
          </cell>
          <cell r="L85" t="str">
            <v>39</v>
          </cell>
          <cell r="M85" t="str">
            <v>CTLG</v>
          </cell>
          <cell r="N85" t="str">
            <v/>
          </cell>
          <cell r="O85" t="str">
            <v/>
          </cell>
        </row>
        <row r="86">
          <cell r="A86">
            <v>43302</v>
          </cell>
          <cell r="B86">
            <v>43302</v>
          </cell>
          <cell r="C86" t="str">
            <v>TO CStylist Super Pout LS - RPout</v>
          </cell>
          <cell r="D86">
            <v>5</v>
          </cell>
          <cell r="E86">
            <v>340</v>
          </cell>
          <cell r="F86">
            <v>776</v>
          </cell>
          <cell r="G86">
            <v>423</v>
          </cell>
          <cell r="H86">
            <v>970</v>
          </cell>
          <cell r="I86">
            <v>529</v>
          </cell>
          <cell r="J86" t="str">
            <v>SD</v>
          </cell>
          <cell r="K86">
            <v>0.45463917525773201</v>
          </cell>
          <cell r="L86" t="str">
            <v>39</v>
          </cell>
          <cell r="M86" t="str">
            <v>CTLG</v>
          </cell>
          <cell r="N86" t="str">
            <v/>
          </cell>
          <cell r="O86" t="str">
            <v/>
          </cell>
        </row>
        <row r="87">
          <cell r="A87">
            <v>43303</v>
          </cell>
          <cell r="B87">
            <v>43303</v>
          </cell>
          <cell r="C87" t="str">
            <v>TO CStylist Super Pout LS - APlum</v>
          </cell>
          <cell r="D87">
            <v>5</v>
          </cell>
          <cell r="E87">
            <v>340</v>
          </cell>
          <cell r="F87">
            <v>776</v>
          </cell>
          <cell r="G87">
            <v>423</v>
          </cell>
          <cell r="H87">
            <v>970</v>
          </cell>
          <cell r="I87">
            <v>529</v>
          </cell>
          <cell r="J87" t="str">
            <v>SD</v>
          </cell>
          <cell r="K87">
            <v>0.45463917525773201</v>
          </cell>
          <cell r="L87" t="str">
            <v>39</v>
          </cell>
          <cell r="M87" t="str">
            <v>CTLG</v>
          </cell>
          <cell r="N87" t="str">
            <v/>
          </cell>
          <cell r="O87" t="str">
            <v/>
          </cell>
        </row>
        <row r="88">
          <cell r="A88">
            <v>43304</v>
          </cell>
          <cell r="B88">
            <v>43304</v>
          </cell>
          <cell r="C88" t="str">
            <v>TO CStylist Super Pout LS - BBurgundy</v>
          </cell>
          <cell r="D88">
            <v>5</v>
          </cell>
          <cell r="E88">
            <v>340</v>
          </cell>
          <cell r="F88">
            <v>776</v>
          </cell>
          <cell r="G88">
            <v>423</v>
          </cell>
          <cell r="H88">
            <v>970</v>
          </cell>
          <cell r="I88">
            <v>529</v>
          </cell>
          <cell r="J88" t="str">
            <v>SD</v>
          </cell>
          <cell r="K88">
            <v>0.45463917525773201</v>
          </cell>
          <cell r="L88" t="str">
            <v>39</v>
          </cell>
          <cell r="M88" t="str">
            <v>CTLG</v>
          </cell>
          <cell r="N88" t="str">
            <v/>
          </cell>
          <cell r="O88" t="str">
            <v/>
          </cell>
        </row>
        <row r="89">
          <cell r="A89">
            <v>42488</v>
          </cell>
          <cell r="B89">
            <v>42488</v>
          </cell>
          <cell r="C89" t="str">
            <v>THE ONE Lip Brush</v>
          </cell>
          <cell r="D89">
            <v>3</v>
          </cell>
          <cell r="E89">
            <v>83</v>
          </cell>
          <cell r="F89">
            <v>384</v>
          </cell>
          <cell r="G89">
            <v>207</v>
          </cell>
          <cell r="H89">
            <v>480</v>
          </cell>
          <cell r="I89">
            <v>259</v>
          </cell>
          <cell r="J89" t="str">
            <v>SD</v>
          </cell>
          <cell r="K89">
            <v>0.46041666666666697</v>
          </cell>
          <cell r="L89" t="str">
            <v>40</v>
          </cell>
          <cell r="M89" t="str">
            <v>CTLG</v>
          </cell>
          <cell r="N89" t="str">
            <v/>
          </cell>
          <cell r="O89" t="str">
            <v/>
          </cell>
        </row>
        <row r="90">
          <cell r="A90">
            <v>46435</v>
          </cell>
          <cell r="B90">
            <v>46435</v>
          </cell>
          <cell r="C90" t="str">
            <v>TO Smart Sync LS - BNude</v>
          </cell>
          <cell r="D90">
            <v>6</v>
          </cell>
          <cell r="E90">
            <v>372</v>
          </cell>
          <cell r="F90">
            <v>840</v>
          </cell>
          <cell r="G90">
            <v>463</v>
          </cell>
          <cell r="H90">
            <v>1050</v>
          </cell>
          <cell r="I90">
            <v>579</v>
          </cell>
          <cell r="J90" t="str">
            <v>SD</v>
          </cell>
          <cell r="K90">
            <v>0.44857142857142901</v>
          </cell>
          <cell r="L90" t="str">
            <v>41</v>
          </cell>
          <cell r="M90" t="str">
            <v>CTLG</v>
          </cell>
          <cell r="N90" t="str">
            <v/>
          </cell>
          <cell r="O90" t="str">
            <v/>
          </cell>
        </row>
        <row r="91">
          <cell r="A91">
            <v>46436</v>
          </cell>
          <cell r="B91">
            <v>46436</v>
          </cell>
          <cell r="C91" t="str">
            <v>TO Smart Sync LS - GCaramel</v>
          </cell>
          <cell r="D91">
            <v>6</v>
          </cell>
          <cell r="E91">
            <v>372</v>
          </cell>
          <cell r="F91">
            <v>840</v>
          </cell>
          <cell r="G91">
            <v>463</v>
          </cell>
          <cell r="H91">
            <v>1050</v>
          </cell>
          <cell r="I91">
            <v>579</v>
          </cell>
          <cell r="J91" t="str">
            <v>SD</v>
          </cell>
          <cell r="K91">
            <v>0.44857142857142901</v>
          </cell>
          <cell r="L91" t="str">
            <v>41</v>
          </cell>
          <cell r="M91" t="str">
            <v>CTLG</v>
          </cell>
          <cell r="N91" t="str">
            <v/>
          </cell>
          <cell r="O91" t="str">
            <v/>
          </cell>
        </row>
        <row r="92">
          <cell r="A92">
            <v>46437</v>
          </cell>
          <cell r="B92">
            <v>46437</v>
          </cell>
          <cell r="C92" t="str">
            <v>TO Smart Sync LS - WCocoa</v>
          </cell>
          <cell r="D92">
            <v>6</v>
          </cell>
          <cell r="E92">
            <v>372</v>
          </cell>
          <cell r="F92">
            <v>840</v>
          </cell>
          <cell r="G92">
            <v>463</v>
          </cell>
          <cell r="H92">
            <v>1050</v>
          </cell>
          <cell r="I92">
            <v>579</v>
          </cell>
          <cell r="J92" t="str">
            <v>SD</v>
          </cell>
          <cell r="K92">
            <v>0.44857142857142901</v>
          </cell>
          <cell r="L92" t="str">
            <v>41</v>
          </cell>
          <cell r="M92" t="str">
            <v>CTLG</v>
          </cell>
          <cell r="N92" t="str">
            <v/>
          </cell>
          <cell r="O92" t="str">
            <v/>
          </cell>
        </row>
        <row r="93">
          <cell r="A93">
            <v>46438</v>
          </cell>
          <cell r="B93">
            <v>46438</v>
          </cell>
          <cell r="C93" t="str">
            <v>TO Smart Sync LS - BTerracotta</v>
          </cell>
          <cell r="D93">
            <v>6</v>
          </cell>
          <cell r="E93">
            <v>372</v>
          </cell>
          <cell r="F93">
            <v>840</v>
          </cell>
          <cell r="G93">
            <v>463</v>
          </cell>
          <cell r="H93">
            <v>1050</v>
          </cell>
          <cell r="I93">
            <v>579</v>
          </cell>
          <cell r="J93" t="str">
            <v>SD</v>
          </cell>
          <cell r="K93">
            <v>0.44857142857142901</v>
          </cell>
          <cell r="L93" t="str">
            <v>41</v>
          </cell>
          <cell r="M93" t="str">
            <v>CTLG</v>
          </cell>
          <cell r="N93" t="str">
            <v/>
          </cell>
          <cell r="O93" t="str">
            <v/>
          </cell>
        </row>
        <row r="94">
          <cell r="A94">
            <v>46439</v>
          </cell>
          <cell r="B94">
            <v>46439</v>
          </cell>
          <cell r="C94" t="str">
            <v>TO Smart Sync LS - PMauve</v>
          </cell>
          <cell r="D94">
            <v>6</v>
          </cell>
          <cell r="E94">
            <v>372</v>
          </cell>
          <cell r="F94">
            <v>840</v>
          </cell>
          <cell r="G94">
            <v>463</v>
          </cell>
          <cell r="H94">
            <v>1050</v>
          </cell>
          <cell r="I94">
            <v>579</v>
          </cell>
          <cell r="J94" t="str">
            <v>SD</v>
          </cell>
          <cell r="K94">
            <v>0.44857142857142901</v>
          </cell>
          <cell r="L94" t="str">
            <v>41</v>
          </cell>
          <cell r="M94" t="str">
            <v>CTLG</v>
          </cell>
          <cell r="N94" t="str">
            <v/>
          </cell>
          <cell r="O94" t="str">
            <v/>
          </cell>
        </row>
        <row r="95">
          <cell r="A95">
            <v>46440</v>
          </cell>
          <cell r="B95">
            <v>46440</v>
          </cell>
          <cell r="C95" t="str">
            <v>TO Smart Sync LS - DRose</v>
          </cell>
          <cell r="D95">
            <v>6</v>
          </cell>
          <cell r="E95">
            <v>372</v>
          </cell>
          <cell r="F95">
            <v>840</v>
          </cell>
          <cell r="G95">
            <v>463</v>
          </cell>
          <cell r="H95">
            <v>1050</v>
          </cell>
          <cell r="I95">
            <v>579</v>
          </cell>
          <cell r="J95" t="str">
            <v>SD</v>
          </cell>
          <cell r="K95">
            <v>0.44857142857142901</v>
          </cell>
          <cell r="L95" t="str">
            <v>41</v>
          </cell>
          <cell r="M95" t="str">
            <v>CTLG</v>
          </cell>
          <cell r="N95" t="str">
            <v/>
          </cell>
          <cell r="O95" t="str">
            <v/>
          </cell>
        </row>
        <row r="96">
          <cell r="A96">
            <v>46441</v>
          </cell>
          <cell r="B96">
            <v>46441</v>
          </cell>
          <cell r="C96" t="str">
            <v>TO Smart Sync LS - CRosewood</v>
          </cell>
          <cell r="D96">
            <v>6</v>
          </cell>
          <cell r="E96">
            <v>372</v>
          </cell>
          <cell r="F96">
            <v>840</v>
          </cell>
          <cell r="G96">
            <v>463</v>
          </cell>
          <cell r="H96">
            <v>1050</v>
          </cell>
          <cell r="I96">
            <v>579</v>
          </cell>
          <cell r="J96" t="str">
            <v>SD</v>
          </cell>
          <cell r="K96">
            <v>0.44857142857142901</v>
          </cell>
          <cell r="L96" t="str">
            <v>41</v>
          </cell>
          <cell r="M96" t="str">
            <v>CTLG</v>
          </cell>
          <cell r="N96" t="str">
            <v/>
          </cell>
          <cell r="O96" t="str">
            <v/>
          </cell>
        </row>
        <row r="97">
          <cell r="A97">
            <v>46442</v>
          </cell>
          <cell r="B97">
            <v>46442</v>
          </cell>
          <cell r="C97" t="str">
            <v>TO Smart Sync LS - SMagenta</v>
          </cell>
          <cell r="D97">
            <v>6</v>
          </cell>
          <cell r="E97">
            <v>372</v>
          </cell>
          <cell r="F97">
            <v>840</v>
          </cell>
          <cell r="G97">
            <v>463</v>
          </cell>
          <cell r="H97">
            <v>1050</v>
          </cell>
          <cell r="I97">
            <v>579</v>
          </cell>
          <cell r="J97" t="str">
            <v>SD</v>
          </cell>
          <cell r="K97">
            <v>0.44857142857142901</v>
          </cell>
          <cell r="L97" t="str">
            <v>41</v>
          </cell>
          <cell r="M97" t="str">
            <v>CTLG</v>
          </cell>
          <cell r="N97" t="str">
            <v/>
          </cell>
          <cell r="O97" t="str">
            <v/>
          </cell>
        </row>
        <row r="98">
          <cell r="A98">
            <v>46443</v>
          </cell>
          <cell r="B98">
            <v>46443</v>
          </cell>
          <cell r="C98" t="str">
            <v>TO Smart Sync LS - MMocha</v>
          </cell>
          <cell r="D98">
            <v>6</v>
          </cell>
          <cell r="E98">
            <v>372</v>
          </cell>
          <cell r="F98">
            <v>840</v>
          </cell>
          <cell r="G98">
            <v>463</v>
          </cell>
          <cell r="H98">
            <v>1050</v>
          </cell>
          <cell r="I98">
            <v>579</v>
          </cell>
          <cell r="J98" t="str">
            <v>SD</v>
          </cell>
          <cell r="K98">
            <v>0.44857142857142901</v>
          </cell>
          <cell r="L98" t="str">
            <v>41</v>
          </cell>
          <cell r="M98" t="str">
            <v>CTLG</v>
          </cell>
          <cell r="N98" t="str">
            <v/>
          </cell>
          <cell r="O98" t="str">
            <v/>
          </cell>
        </row>
        <row r="99">
          <cell r="A99">
            <v>46444</v>
          </cell>
          <cell r="B99">
            <v>46444</v>
          </cell>
          <cell r="C99" t="str">
            <v>TO Smart Sync LS - BSienna</v>
          </cell>
          <cell r="D99">
            <v>6</v>
          </cell>
          <cell r="E99">
            <v>372</v>
          </cell>
          <cell r="F99">
            <v>840</v>
          </cell>
          <cell r="G99">
            <v>463</v>
          </cell>
          <cell r="H99">
            <v>1050</v>
          </cell>
          <cell r="I99">
            <v>579</v>
          </cell>
          <cell r="J99" t="str">
            <v>SD</v>
          </cell>
          <cell r="K99">
            <v>0.44857142857142901</v>
          </cell>
          <cell r="L99" t="str">
            <v>41</v>
          </cell>
          <cell r="M99" t="str">
            <v>CTLG</v>
          </cell>
          <cell r="N99" t="str">
            <v/>
          </cell>
          <cell r="O99" t="str">
            <v/>
          </cell>
        </row>
        <row r="100">
          <cell r="A100">
            <v>46445</v>
          </cell>
          <cell r="B100">
            <v>46445</v>
          </cell>
          <cell r="C100" t="str">
            <v>TO Smart Sync LS - DEspresso</v>
          </cell>
          <cell r="D100">
            <v>6</v>
          </cell>
          <cell r="E100">
            <v>372</v>
          </cell>
          <cell r="F100">
            <v>840</v>
          </cell>
          <cell r="G100">
            <v>463</v>
          </cell>
          <cell r="H100">
            <v>1050</v>
          </cell>
          <cell r="I100">
            <v>579</v>
          </cell>
          <cell r="J100" t="str">
            <v>SD</v>
          </cell>
          <cell r="K100">
            <v>0.44857142857142901</v>
          </cell>
          <cell r="L100" t="str">
            <v>41</v>
          </cell>
          <cell r="M100" t="str">
            <v>CTLG</v>
          </cell>
          <cell r="N100" t="str">
            <v/>
          </cell>
          <cell r="O100" t="str">
            <v/>
          </cell>
        </row>
        <row r="101">
          <cell r="A101">
            <v>46446</v>
          </cell>
          <cell r="B101">
            <v>46446</v>
          </cell>
          <cell r="C101" t="str">
            <v>TO Smart Sync LS - DBerry</v>
          </cell>
          <cell r="D101">
            <v>6</v>
          </cell>
          <cell r="E101">
            <v>372</v>
          </cell>
          <cell r="F101">
            <v>840</v>
          </cell>
          <cell r="G101">
            <v>463</v>
          </cell>
          <cell r="H101">
            <v>1050</v>
          </cell>
          <cell r="I101">
            <v>579</v>
          </cell>
          <cell r="J101" t="str">
            <v>SD</v>
          </cell>
          <cell r="K101">
            <v>0.44857142857142901</v>
          </cell>
          <cell r="L101" t="str">
            <v>41</v>
          </cell>
          <cell r="M101" t="str">
            <v>CTLG</v>
          </cell>
          <cell r="N101" t="str">
            <v/>
          </cell>
          <cell r="O101" t="str">
            <v/>
          </cell>
        </row>
        <row r="102">
          <cell r="A102">
            <v>46447</v>
          </cell>
          <cell r="B102">
            <v>46447</v>
          </cell>
          <cell r="C102" t="str">
            <v>TO Smart Sync LS - Smart Red</v>
          </cell>
          <cell r="D102">
            <v>6</v>
          </cell>
          <cell r="E102">
            <v>372</v>
          </cell>
          <cell r="F102">
            <v>840</v>
          </cell>
          <cell r="G102">
            <v>463</v>
          </cell>
          <cell r="H102">
            <v>1050</v>
          </cell>
          <cell r="I102">
            <v>579</v>
          </cell>
          <cell r="J102" t="str">
            <v>SD</v>
          </cell>
          <cell r="K102">
            <v>0.44857142857142901</v>
          </cell>
          <cell r="L102" t="str">
            <v>41</v>
          </cell>
          <cell r="M102" t="str">
            <v>CTLG</v>
          </cell>
          <cell r="N102" t="str">
            <v/>
          </cell>
          <cell r="O102" t="str">
            <v/>
          </cell>
        </row>
        <row r="103">
          <cell r="A103">
            <v>46448</v>
          </cell>
          <cell r="B103">
            <v>46448</v>
          </cell>
          <cell r="C103" t="str">
            <v>TO Smart Sync LS - SBrick</v>
          </cell>
          <cell r="D103">
            <v>6</v>
          </cell>
          <cell r="E103">
            <v>372</v>
          </cell>
          <cell r="F103">
            <v>840</v>
          </cell>
          <cell r="G103">
            <v>463</v>
          </cell>
          <cell r="H103">
            <v>1050</v>
          </cell>
          <cell r="I103">
            <v>579</v>
          </cell>
          <cell r="J103" t="str">
            <v>SD</v>
          </cell>
          <cell r="K103">
            <v>0.44857142857142901</v>
          </cell>
          <cell r="L103" t="str">
            <v>41</v>
          </cell>
          <cell r="M103" t="str">
            <v>CTLG</v>
          </cell>
          <cell r="N103" t="str">
            <v/>
          </cell>
          <cell r="O103" t="str">
            <v/>
          </cell>
        </row>
        <row r="104">
          <cell r="A104">
            <v>46449</v>
          </cell>
          <cell r="B104">
            <v>46449</v>
          </cell>
          <cell r="C104" t="str">
            <v>TO Smart Sync LS - CPlum</v>
          </cell>
          <cell r="D104">
            <v>6</v>
          </cell>
          <cell r="E104">
            <v>372</v>
          </cell>
          <cell r="F104">
            <v>840</v>
          </cell>
          <cell r="G104">
            <v>463</v>
          </cell>
          <cell r="H104">
            <v>1050</v>
          </cell>
          <cell r="I104">
            <v>579</v>
          </cell>
          <cell r="J104" t="str">
            <v>SD</v>
          </cell>
          <cell r="K104">
            <v>0.44857142857142901</v>
          </cell>
          <cell r="L104" t="str">
            <v>41</v>
          </cell>
          <cell r="M104" t="str">
            <v>CTLG</v>
          </cell>
          <cell r="N104" t="str">
            <v/>
          </cell>
          <cell r="O104" t="str">
            <v/>
          </cell>
        </row>
        <row r="105">
          <cell r="A105">
            <v>44715</v>
          </cell>
          <cell r="B105">
            <v>44715</v>
          </cell>
          <cell r="C105" t="str">
            <v>TO CU Ultra Fix Liquid LS - SNude</v>
          </cell>
          <cell r="D105">
            <v>6</v>
          </cell>
          <cell r="E105">
            <v>403</v>
          </cell>
          <cell r="F105">
            <v>920</v>
          </cell>
          <cell r="G105">
            <v>503</v>
          </cell>
          <cell r="H105">
            <v>1150</v>
          </cell>
          <cell r="I105">
            <v>629</v>
          </cell>
          <cell r="J105" t="str">
            <v>SD</v>
          </cell>
          <cell r="K105">
            <v>0.45304347826086999</v>
          </cell>
          <cell r="L105" t="str">
            <v>43</v>
          </cell>
          <cell r="M105" t="str">
            <v>CTLG</v>
          </cell>
          <cell r="N105" t="str">
            <v/>
          </cell>
          <cell r="O105" t="str">
            <v/>
          </cell>
        </row>
        <row r="106">
          <cell r="A106">
            <v>44716</v>
          </cell>
          <cell r="B106">
            <v>44716</v>
          </cell>
          <cell r="C106" t="str">
            <v>TO CU Ultra Fix Liquid LS - HToffee</v>
          </cell>
          <cell r="D106">
            <v>6</v>
          </cell>
          <cell r="E106">
            <v>403</v>
          </cell>
          <cell r="F106">
            <v>920</v>
          </cell>
          <cell r="G106">
            <v>503</v>
          </cell>
          <cell r="H106">
            <v>1150</v>
          </cell>
          <cell r="I106">
            <v>629</v>
          </cell>
          <cell r="J106" t="str">
            <v>SD</v>
          </cell>
          <cell r="K106">
            <v>0.45304347826086999</v>
          </cell>
          <cell r="L106" t="str">
            <v>43</v>
          </cell>
          <cell r="M106" t="str">
            <v>CTLG</v>
          </cell>
          <cell r="N106" t="str">
            <v/>
          </cell>
          <cell r="O106" t="str">
            <v/>
          </cell>
        </row>
        <row r="107">
          <cell r="A107">
            <v>44717</v>
          </cell>
          <cell r="B107">
            <v>44717</v>
          </cell>
          <cell r="C107" t="str">
            <v>TO CU Ultra Fix Liquid LS - ABlush</v>
          </cell>
          <cell r="D107">
            <v>6</v>
          </cell>
          <cell r="E107">
            <v>403</v>
          </cell>
          <cell r="F107">
            <v>920</v>
          </cell>
          <cell r="G107">
            <v>503</v>
          </cell>
          <cell r="H107">
            <v>1150</v>
          </cell>
          <cell r="I107">
            <v>629</v>
          </cell>
          <cell r="J107" t="str">
            <v>SD</v>
          </cell>
          <cell r="K107">
            <v>0.45304347826086999</v>
          </cell>
          <cell r="L107" t="str">
            <v>43</v>
          </cell>
          <cell r="M107" t="str">
            <v>CTLG</v>
          </cell>
          <cell r="N107" t="str">
            <v/>
          </cell>
          <cell r="O107" t="str">
            <v/>
          </cell>
        </row>
        <row r="108">
          <cell r="A108">
            <v>44718</v>
          </cell>
          <cell r="B108">
            <v>44718</v>
          </cell>
          <cell r="C108" t="str">
            <v>TO CU Ultra Fix Liquid LS -TPink</v>
          </cell>
          <cell r="D108">
            <v>6</v>
          </cell>
          <cell r="E108">
            <v>403</v>
          </cell>
          <cell r="F108">
            <v>920</v>
          </cell>
          <cell r="G108">
            <v>503</v>
          </cell>
          <cell r="H108">
            <v>1150</v>
          </cell>
          <cell r="I108">
            <v>629</v>
          </cell>
          <cell r="J108" t="str">
            <v>SD</v>
          </cell>
          <cell r="K108">
            <v>0.45304347826086999</v>
          </cell>
          <cell r="L108" t="str">
            <v>43</v>
          </cell>
          <cell r="M108" t="str">
            <v>CTLG</v>
          </cell>
          <cell r="N108" t="str">
            <v/>
          </cell>
          <cell r="O108" t="str">
            <v/>
          </cell>
        </row>
        <row r="109">
          <cell r="A109">
            <v>44719</v>
          </cell>
          <cell r="B109">
            <v>44719</v>
          </cell>
          <cell r="C109" t="str">
            <v>TO CU Ultra Fix Liquid LS - AMauve</v>
          </cell>
          <cell r="D109">
            <v>6</v>
          </cell>
          <cell r="E109">
            <v>403</v>
          </cell>
          <cell r="F109">
            <v>920</v>
          </cell>
          <cell r="G109">
            <v>503</v>
          </cell>
          <cell r="H109">
            <v>1150</v>
          </cell>
          <cell r="I109">
            <v>629</v>
          </cell>
          <cell r="J109" t="str">
            <v>SD</v>
          </cell>
          <cell r="K109">
            <v>0.45304347826086999</v>
          </cell>
          <cell r="L109" t="str">
            <v>43</v>
          </cell>
          <cell r="M109" t="str">
            <v>CTLG</v>
          </cell>
          <cell r="N109" t="str">
            <v/>
          </cell>
          <cell r="O109" t="str">
            <v/>
          </cell>
        </row>
        <row r="110">
          <cell r="A110">
            <v>44720</v>
          </cell>
          <cell r="B110">
            <v>44720</v>
          </cell>
          <cell r="C110" t="str">
            <v>TO CU Ultra Fix Liquid LS - TRose</v>
          </cell>
          <cell r="D110">
            <v>6</v>
          </cell>
          <cell r="E110">
            <v>403</v>
          </cell>
          <cell r="F110">
            <v>920</v>
          </cell>
          <cell r="G110">
            <v>503</v>
          </cell>
          <cell r="H110">
            <v>1150</v>
          </cell>
          <cell r="I110">
            <v>629</v>
          </cell>
          <cell r="J110" t="str">
            <v>SD</v>
          </cell>
          <cell r="K110">
            <v>0.45304347826086999</v>
          </cell>
          <cell r="L110" t="str">
            <v>43</v>
          </cell>
          <cell r="M110" t="str">
            <v>CTLG</v>
          </cell>
          <cell r="N110" t="str">
            <v/>
          </cell>
          <cell r="O110" t="str">
            <v/>
          </cell>
        </row>
        <row r="111">
          <cell r="A111">
            <v>44721</v>
          </cell>
          <cell r="B111">
            <v>44721</v>
          </cell>
          <cell r="C111" t="str">
            <v>TO CU Ultra Fix Liquid LS - CCoral</v>
          </cell>
          <cell r="D111">
            <v>6</v>
          </cell>
          <cell r="E111">
            <v>403</v>
          </cell>
          <cell r="F111">
            <v>920</v>
          </cell>
          <cell r="G111">
            <v>503</v>
          </cell>
          <cell r="H111">
            <v>1150</v>
          </cell>
          <cell r="I111">
            <v>629</v>
          </cell>
          <cell r="J111" t="str">
            <v>SD</v>
          </cell>
          <cell r="K111">
            <v>0.45304347826086999</v>
          </cell>
          <cell r="L111" t="str">
            <v>43</v>
          </cell>
          <cell r="M111" t="str">
            <v>CTLG</v>
          </cell>
          <cell r="N111" t="str">
            <v/>
          </cell>
          <cell r="O111" t="str">
            <v/>
          </cell>
        </row>
        <row r="112">
          <cell r="A112">
            <v>44722</v>
          </cell>
          <cell r="B112">
            <v>44722</v>
          </cell>
          <cell r="C112" t="str">
            <v>TO CU Ultra Fix Liquid LS - SRed</v>
          </cell>
          <cell r="D112">
            <v>6</v>
          </cell>
          <cell r="E112">
            <v>403</v>
          </cell>
          <cell r="F112">
            <v>920</v>
          </cell>
          <cell r="G112">
            <v>503</v>
          </cell>
          <cell r="H112">
            <v>1150</v>
          </cell>
          <cell r="I112">
            <v>629</v>
          </cell>
          <cell r="J112" t="str">
            <v>SD</v>
          </cell>
          <cell r="K112">
            <v>0.45304347826086999</v>
          </cell>
          <cell r="L112" t="str">
            <v>43</v>
          </cell>
          <cell r="M112" t="str">
            <v>CTLG</v>
          </cell>
          <cell r="N112" t="str">
            <v/>
          </cell>
          <cell r="O112" t="str">
            <v/>
          </cell>
        </row>
        <row r="113">
          <cell r="A113">
            <v>44723</v>
          </cell>
          <cell r="B113">
            <v>44723</v>
          </cell>
          <cell r="C113" t="str">
            <v>TO CU Ultra Fix Liquid LS - FCrimson</v>
          </cell>
          <cell r="D113">
            <v>6</v>
          </cell>
          <cell r="E113">
            <v>403</v>
          </cell>
          <cell r="F113">
            <v>920</v>
          </cell>
          <cell r="G113">
            <v>503</v>
          </cell>
          <cell r="H113">
            <v>1150</v>
          </cell>
          <cell r="I113">
            <v>629</v>
          </cell>
          <cell r="J113" t="str">
            <v>SD</v>
          </cell>
          <cell r="K113">
            <v>0.45304347826086999</v>
          </cell>
          <cell r="L113" t="str">
            <v>43</v>
          </cell>
          <cell r="M113" t="str">
            <v>CTLG</v>
          </cell>
          <cell r="N113" t="str">
            <v/>
          </cell>
          <cell r="O113" t="str">
            <v/>
          </cell>
        </row>
        <row r="114">
          <cell r="A114">
            <v>44724</v>
          </cell>
          <cell r="B114">
            <v>44724</v>
          </cell>
          <cell r="C114" t="str">
            <v>TO CU Ultra Fix Liquid LS - SCherry</v>
          </cell>
          <cell r="D114">
            <v>6</v>
          </cell>
          <cell r="E114">
            <v>403</v>
          </cell>
          <cell r="F114">
            <v>920</v>
          </cell>
          <cell r="G114">
            <v>503</v>
          </cell>
          <cell r="H114">
            <v>1150</v>
          </cell>
          <cell r="I114">
            <v>629</v>
          </cell>
          <cell r="J114" t="str">
            <v>SD</v>
          </cell>
          <cell r="K114">
            <v>0.45304347826086999</v>
          </cell>
          <cell r="L114" t="str">
            <v>43</v>
          </cell>
          <cell r="M114" t="str">
            <v>CTLG</v>
          </cell>
          <cell r="N114" t="str">
            <v/>
          </cell>
          <cell r="O114" t="str">
            <v/>
          </cell>
        </row>
        <row r="115">
          <cell r="A115">
            <v>42324</v>
          </cell>
          <cell r="B115">
            <v>42324</v>
          </cell>
          <cell r="C115" t="str">
            <v>GG Iconic Lipstick SPF 15 - BNude</v>
          </cell>
          <cell r="D115">
            <v>7</v>
          </cell>
          <cell r="E115">
            <v>480</v>
          </cell>
          <cell r="F115">
            <v>1000</v>
          </cell>
          <cell r="G115">
            <v>599</v>
          </cell>
          <cell r="H115">
            <v>1250</v>
          </cell>
          <cell r="I115">
            <v>749</v>
          </cell>
          <cell r="J115" t="str">
            <v>SD</v>
          </cell>
          <cell r="K115">
            <v>0.40079999999999999</v>
          </cell>
          <cell r="L115" t="str">
            <v>45</v>
          </cell>
          <cell r="M115" t="str">
            <v>CTLG</v>
          </cell>
          <cell r="N115" t="str">
            <v/>
          </cell>
          <cell r="O115" t="str">
            <v/>
          </cell>
        </row>
        <row r="116">
          <cell r="A116">
            <v>42325</v>
          </cell>
          <cell r="B116">
            <v>42325</v>
          </cell>
          <cell r="C116" t="str">
            <v>GG Iconic Lipstick SPF 15 - BRose</v>
          </cell>
          <cell r="D116">
            <v>7</v>
          </cell>
          <cell r="E116">
            <v>480</v>
          </cell>
          <cell r="F116">
            <v>1000</v>
          </cell>
          <cell r="G116">
            <v>599</v>
          </cell>
          <cell r="H116">
            <v>1250</v>
          </cell>
          <cell r="I116">
            <v>749</v>
          </cell>
          <cell r="J116" t="str">
            <v>SD</v>
          </cell>
          <cell r="K116">
            <v>0.40079999999999999</v>
          </cell>
          <cell r="L116" t="str">
            <v>45</v>
          </cell>
          <cell r="M116" t="str">
            <v>CTLG</v>
          </cell>
          <cell r="N116" t="str">
            <v/>
          </cell>
          <cell r="O116" t="str">
            <v/>
          </cell>
        </row>
        <row r="117">
          <cell r="A117">
            <v>42326</v>
          </cell>
          <cell r="B117">
            <v>42326</v>
          </cell>
          <cell r="C117" t="str">
            <v>GG Iconic Lipstick SPF 15 - PMauve</v>
          </cell>
          <cell r="D117">
            <v>7</v>
          </cell>
          <cell r="E117">
            <v>480</v>
          </cell>
          <cell r="F117">
            <v>1000</v>
          </cell>
          <cell r="G117">
            <v>599</v>
          </cell>
          <cell r="H117">
            <v>1250</v>
          </cell>
          <cell r="I117">
            <v>749</v>
          </cell>
          <cell r="J117" t="str">
            <v>SD</v>
          </cell>
          <cell r="K117">
            <v>0.40079999999999999</v>
          </cell>
          <cell r="L117" t="str">
            <v>45</v>
          </cell>
          <cell r="M117" t="str">
            <v>CTLG</v>
          </cell>
          <cell r="N117" t="str">
            <v/>
          </cell>
          <cell r="O117" t="str">
            <v/>
          </cell>
        </row>
        <row r="118">
          <cell r="A118">
            <v>42327</v>
          </cell>
          <cell r="B118">
            <v>42327</v>
          </cell>
          <cell r="C118" t="str">
            <v>GG Iconic Lipstick SPF 15 - BPink</v>
          </cell>
          <cell r="D118">
            <v>7</v>
          </cell>
          <cell r="E118">
            <v>480</v>
          </cell>
          <cell r="F118">
            <v>1000</v>
          </cell>
          <cell r="G118">
            <v>599</v>
          </cell>
          <cell r="H118">
            <v>1250</v>
          </cell>
          <cell r="I118">
            <v>749</v>
          </cell>
          <cell r="J118" t="str">
            <v>SD</v>
          </cell>
          <cell r="K118">
            <v>0.40079999999999999</v>
          </cell>
          <cell r="L118" t="str">
            <v>45</v>
          </cell>
          <cell r="M118" t="str">
            <v>CTLG</v>
          </cell>
          <cell r="N118" t="str">
            <v/>
          </cell>
          <cell r="O118" t="str">
            <v/>
          </cell>
        </row>
        <row r="119">
          <cell r="A119">
            <v>42328</v>
          </cell>
          <cell r="B119">
            <v>42328</v>
          </cell>
          <cell r="C119" t="str">
            <v>GG Iconic Lipstick SPF 15 - PCoral</v>
          </cell>
          <cell r="D119">
            <v>7</v>
          </cell>
          <cell r="E119">
            <v>480</v>
          </cell>
          <cell r="F119">
            <v>1000</v>
          </cell>
          <cell r="G119">
            <v>599</v>
          </cell>
          <cell r="H119">
            <v>1250</v>
          </cell>
          <cell r="I119">
            <v>749</v>
          </cell>
          <cell r="J119" t="str">
            <v>SD</v>
          </cell>
          <cell r="K119">
            <v>0.40079999999999999</v>
          </cell>
          <cell r="L119" t="str">
            <v>45</v>
          </cell>
          <cell r="M119" t="str">
            <v>CTLG</v>
          </cell>
          <cell r="N119" t="str">
            <v/>
          </cell>
          <cell r="O119" t="str">
            <v/>
          </cell>
        </row>
        <row r="120">
          <cell r="A120">
            <v>42329</v>
          </cell>
          <cell r="B120">
            <v>42329</v>
          </cell>
          <cell r="C120" t="str">
            <v>GG Iconic Lipstick SPF 15 - Redrose</v>
          </cell>
          <cell r="D120">
            <v>7</v>
          </cell>
          <cell r="E120">
            <v>480</v>
          </cell>
          <cell r="F120">
            <v>1000</v>
          </cell>
          <cell r="G120">
            <v>599</v>
          </cell>
          <cell r="H120">
            <v>1250</v>
          </cell>
          <cell r="I120">
            <v>749</v>
          </cell>
          <cell r="J120" t="str">
            <v>SD</v>
          </cell>
          <cell r="K120">
            <v>0.40079999999999999</v>
          </cell>
          <cell r="L120" t="str">
            <v>45</v>
          </cell>
          <cell r="M120" t="str">
            <v>CTLG</v>
          </cell>
          <cell r="N120" t="str">
            <v/>
          </cell>
          <cell r="O120" t="str">
            <v/>
          </cell>
        </row>
        <row r="121">
          <cell r="A121">
            <v>42330</v>
          </cell>
          <cell r="B121">
            <v>42330</v>
          </cell>
          <cell r="C121" t="str">
            <v>GG Iconic Lipstick SPF 15 - FRed</v>
          </cell>
          <cell r="D121">
            <v>7</v>
          </cell>
          <cell r="E121">
            <v>480</v>
          </cell>
          <cell r="F121">
            <v>1000</v>
          </cell>
          <cell r="G121">
            <v>599</v>
          </cell>
          <cell r="H121">
            <v>1250</v>
          </cell>
          <cell r="I121">
            <v>749</v>
          </cell>
          <cell r="J121" t="str">
            <v>SD</v>
          </cell>
          <cell r="K121">
            <v>0.40079999999999999</v>
          </cell>
          <cell r="L121" t="str">
            <v>45</v>
          </cell>
          <cell r="M121" t="str">
            <v>CTLG</v>
          </cell>
          <cell r="N121" t="str">
            <v/>
          </cell>
          <cell r="O121" t="str">
            <v/>
          </cell>
        </row>
        <row r="122">
          <cell r="A122">
            <v>42331</v>
          </cell>
          <cell r="B122">
            <v>42331</v>
          </cell>
          <cell r="C122" t="str">
            <v>GG Iconic Lipstick SPF 15 - IcoRed</v>
          </cell>
          <cell r="D122">
            <v>7</v>
          </cell>
          <cell r="E122">
            <v>480</v>
          </cell>
          <cell r="F122">
            <v>1000</v>
          </cell>
          <cell r="G122">
            <v>599</v>
          </cell>
          <cell r="H122">
            <v>1250</v>
          </cell>
          <cell r="I122">
            <v>749</v>
          </cell>
          <cell r="J122" t="str">
            <v>SD</v>
          </cell>
          <cell r="K122">
            <v>0.40079999999999999</v>
          </cell>
          <cell r="L122" t="str">
            <v>45</v>
          </cell>
          <cell r="M122" t="str">
            <v>CTLG</v>
          </cell>
          <cell r="N122" t="str">
            <v/>
          </cell>
          <cell r="O122" t="str">
            <v/>
          </cell>
        </row>
        <row r="123">
          <cell r="A123">
            <v>42332</v>
          </cell>
          <cell r="B123">
            <v>42332</v>
          </cell>
          <cell r="C123" t="str">
            <v>GG Iconic Lipstick SPF 15 - DWine</v>
          </cell>
          <cell r="D123">
            <v>7</v>
          </cell>
          <cell r="E123">
            <v>480</v>
          </cell>
          <cell r="F123">
            <v>1000</v>
          </cell>
          <cell r="G123">
            <v>599</v>
          </cell>
          <cell r="H123">
            <v>1250</v>
          </cell>
          <cell r="I123">
            <v>749</v>
          </cell>
          <cell r="J123" t="str">
            <v>SD</v>
          </cell>
          <cell r="K123">
            <v>0.40079999999999999</v>
          </cell>
          <cell r="L123" t="str">
            <v>45</v>
          </cell>
          <cell r="M123" t="str">
            <v>CTLG</v>
          </cell>
          <cell r="N123" t="str">
            <v/>
          </cell>
          <cell r="O123" t="str">
            <v/>
          </cell>
        </row>
        <row r="124">
          <cell r="A124">
            <v>42333</v>
          </cell>
          <cell r="B124">
            <v>42333</v>
          </cell>
          <cell r="C124" t="str">
            <v>GG Iconic Lipstick SPF 15 - DChocolate</v>
          </cell>
          <cell r="D124">
            <v>7</v>
          </cell>
          <cell r="E124">
            <v>480</v>
          </cell>
          <cell r="F124">
            <v>1000</v>
          </cell>
          <cell r="G124">
            <v>599</v>
          </cell>
          <cell r="H124">
            <v>1250</v>
          </cell>
          <cell r="I124">
            <v>749</v>
          </cell>
          <cell r="J124" t="str">
            <v>SD</v>
          </cell>
          <cell r="K124">
            <v>0.40079999999999999</v>
          </cell>
          <cell r="L124" t="str">
            <v>45</v>
          </cell>
          <cell r="M124" t="str">
            <v>CTLG</v>
          </cell>
          <cell r="N124" t="str">
            <v/>
          </cell>
          <cell r="O124" t="str">
            <v/>
          </cell>
        </row>
        <row r="125">
          <cell r="A125">
            <v>42661</v>
          </cell>
          <cell r="B125">
            <v>42661</v>
          </cell>
          <cell r="C125" t="str">
            <v>GG Iconic Matte LS SPF 15 - MNude</v>
          </cell>
          <cell r="D125">
            <v>7</v>
          </cell>
          <cell r="E125">
            <v>480</v>
          </cell>
          <cell r="F125">
            <v>1000</v>
          </cell>
          <cell r="G125">
            <v>599</v>
          </cell>
          <cell r="H125">
            <v>1250</v>
          </cell>
          <cell r="I125">
            <v>749</v>
          </cell>
          <cell r="J125" t="str">
            <v>SD</v>
          </cell>
          <cell r="K125">
            <v>0.40079999999999999</v>
          </cell>
          <cell r="L125" t="str">
            <v>45</v>
          </cell>
          <cell r="M125" t="str">
            <v>CTLG</v>
          </cell>
          <cell r="N125" t="str">
            <v/>
          </cell>
          <cell r="O125" t="str">
            <v/>
          </cell>
        </row>
        <row r="126">
          <cell r="A126">
            <v>42662</v>
          </cell>
          <cell r="B126">
            <v>42662</v>
          </cell>
          <cell r="C126" t="str">
            <v>GG Iconic Matte LS SPF 15 - URose</v>
          </cell>
          <cell r="D126">
            <v>7</v>
          </cell>
          <cell r="E126">
            <v>480</v>
          </cell>
          <cell r="F126">
            <v>1000</v>
          </cell>
          <cell r="G126">
            <v>599</v>
          </cell>
          <cell r="H126">
            <v>1250</v>
          </cell>
          <cell r="I126">
            <v>749</v>
          </cell>
          <cell r="J126" t="str">
            <v>SD</v>
          </cell>
          <cell r="K126">
            <v>0.40079999999999999</v>
          </cell>
          <cell r="L126" t="str">
            <v>45</v>
          </cell>
          <cell r="M126" t="str">
            <v>CTLG</v>
          </cell>
          <cell r="N126" t="str">
            <v/>
          </cell>
          <cell r="O126" t="str">
            <v/>
          </cell>
        </row>
        <row r="127">
          <cell r="A127">
            <v>42663</v>
          </cell>
          <cell r="B127">
            <v>42663</v>
          </cell>
          <cell r="C127" t="str">
            <v>GG Iconic Matte LS SPF 15 - BPink</v>
          </cell>
          <cell r="D127">
            <v>7</v>
          </cell>
          <cell r="E127">
            <v>480</v>
          </cell>
          <cell r="F127">
            <v>1000</v>
          </cell>
          <cell r="G127">
            <v>599</v>
          </cell>
          <cell r="H127">
            <v>1250</v>
          </cell>
          <cell r="I127">
            <v>749</v>
          </cell>
          <cell r="J127" t="str">
            <v>SD</v>
          </cell>
          <cell r="K127">
            <v>0.40079999999999999</v>
          </cell>
          <cell r="L127" t="str">
            <v>45</v>
          </cell>
          <cell r="M127" t="str">
            <v>CTLG</v>
          </cell>
          <cell r="N127" t="str">
            <v/>
          </cell>
          <cell r="O127" t="str">
            <v/>
          </cell>
        </row>
        <row r="128">
          <cell r="A128">
            <v>42664</v>
          </cell>
          <cell r="B128">
            <v>42664</v>
          </cell>
          <cell r="C128" t="str">
            <v>GG Iconic Matte LS SPF 15 - VPeach</v>
          </cell>
          <cell r="D128">
            <v>7</v>
          </cell>
          <cell r="E128">
            <v>480</v>
          </cell>
          <cell r="F128">
            <v>1000</v>
          </cell>
          <cell r="G128">
            <v>599</v>
          </cell>
          <cell r="H128">
            <v>1250</v>
          </cell>
          <cell r="I128">
            <v>749</v>
          </cell>
          <cell r="J128" t="str">
            <v>SD</v>
          </cell>
          <cell r="K128">
            <v>0.40079999999999999</v>
          </cell>
          <cell r="L128" t="str">
            <v>45</v>
          </cell>
          <cell r="M128" t="str">
            <v>CTLG</v>
          </cell>
          <cell r="N128" t="str">
            <v/>
          </cell>
          <cell r="O128" t="str">
            <v/>
          </cell>
        </row>
        <row r="129">
          <cell r="A129">
            <v>42665</v>
          </cell>
          <cell r="B129">
            <v>42665</v>
          </cell>
          <cell r="C129" t="str">
            <v>GG Iconic Matte LS SPF 15 - GMauve</v>
          </cell>
          <cell r="D129">
            <v>7</v>
          </cell>
          <cell r="E129">
            <v>480</v>
          </cell>
          <cell r="F129">
            <v>1000</v>
          </cell>
          <cell r="G129">
            <v>599</v>
          </cell>
          <cell r="H129">
            <v>1250</v>
          </cell>
          <cell r="I129">
            <v>749</v>
          </cell>
          <cell r="J129" t="str">
            <v>SD</v>
          </cell>
          <cell r="K129">
            <v>0.40079999999999999</v>
          </cell>
          <cell r="L129" t="str">
            <v>45</v>
          </cell>
          <cell r="M129" t="str">
            <v>CTLG</v>
          </cell>
          <cell r="N129" t="str">
            <v/>
          </cell>
          <cell r="O129" t="str">
            <v/>
          </cell>
        </row>
        <row r="130">
          <cell r="A130">
            <v>42666</v>
          </cell>
          <cell r="B130">
            <v>42666</v>
          </cell>
          <cell r="C130" t="str">
            <v>GG Iconic Matte LS SPF 15 - SLatte</v>
          </cell>
          <cell r="D130">
            <v>7</v>
          </cell>
          <cell r="E130">
            <v>480</v>
          </cell>
          <cell r="F130">
            <v>1000</v>
          </cell>
          <cell r="G130">
            <v>599</v>
          </cell>
          <cell r="H130">
            <v>1250</v>
          </cell>
          <cell r="I130">
            <v>749</v>
          </cell>
          <cell r="J130" t="str">
            <v>SD</v>
          </cell>
          <cell r="K130">
            <v>0.40079999999999999</v>
          </cell>
          <cell r="L130" t="str">
            <v>45</v>
          </cell>
          <cell r="M130" t="str">
            <v>CTLG</v>
          </cell>
          <cell r="N130" t="str">
            <v/>
          </cell>
          <cell r="O130" t="str">
            <v/>
          </cell>
        </row>
        <row r="131">
          <cell r="A131">
            <v>42667</v>
          </cell>
          <cell r="B131">
            <v>42667</v>
          </cell>
          <cell r="C131" t="str">
            <v>GG Iconic Matte LS SPF 15 - RCurrant</v>
          </cell>
          <cell r="D131">
            <v>7</v>
          </cell>
          <cell r="E131">
            <v>480</v>
          </cell>
          <cell r="F131">
            <v>1000</v>
          </cell>
          <cell r="G131">
            <v>599</v>
          </cell>
          <cell r="H131">
            <v>1250</v>
          </cell>
          <cell r="I131">
            <v>749</v>
          </cell>
          <cell r="J131" t="str">
            <v>SD</v>
          </cell>
          <cell r="K131">
            <v>0.40079999999999999</v>
          </cell>
          <cell r="L131" t="str">
            <v>45</v>
          </cell>
          <cell r="M131" t="str">
            <v>CTLG</v>
          </cell>
          <cell r="N131" t="str">
            <v/>
          </cell>
          <cell r="O131" t="str">
            <v/>
          </cell>
        </row>
        <row r="132">
          <cell r="A132">
            <v>42668</v>
          </cell>
          <cell r="B132">
            <v>42668</v>
          </cell>
          <cell r="C132" t="str">
            <v>GG Iconic Matte LS SPF 15 - FRed</v>
          </cell>
          <cell r="D132">
            <v>7</v>
          </cell>
          <cell r="E132">
            <v>480</v>
          </cell>
          <cell r="F132">
            <v>1000</v>
          </cell>
          <cell r="G132">
            <v>599</v>
          </cell>
          <cell r="H132">
            <v>1250</v>
          </cell>
          <cell r="I132">
            <v>749</v>
          </cell>
          <cell r="J132" t="str">
            <v>SD</v>
          </cell>
          <cell r="K132">
            <v>0.40079999999999999</v>
          </cell>
          <cell r="L132" t="str">
            <v>45</v>
          </cell>
          <cell r="M132" t="str">
            <v>CTLG</v>
          </cell>
          <cell r="N132" t="str">
            <v/>
          </cell>
          <cell r="O132" t="str">
            <v/>
          </cell>
        </row>
        <row r="133">
          <cell r="A133">
            <v>42669</v>
          </cell>
          <cell r="B133">
            <v>42669</v>
          </cell>
          <cell r="C133" t="str">
            <v>GG Iconic Matte LS SPF 15 - MCherry</v>
          </cell>
          <cell r="D133">
            <v>7</v>
          </cell>
          <cell r="E133">
            <v>480</v>
          </cell>
          <cell r="F133">
            <v>1000</v>
          </cell>
          <cell r="G133">
            <v>599</v>
          </cell>
          <cell r="H133">
            <v>1250</v>
          </cell>
          <cell r="I133">
            <v>749</v>
          </cell>
          <cell r="J133" t="str">
            <v>SD</v>
          </cell>
          <cell r="K133">
            <v>0.40079999999999999</v>
          </cell>
          <cell r="L133" t="str">
            <v>45</v>
          </cell>
          <cell r="M133" t="str">
            <v>CTLG</v>
          </cell>
          <cell r="N133" t="str">
            <v/>
          </cell>
          <cell r="O133" t="str">
            <v/>
          </cell>
        </row>
        <row r="134">
          <cell r="A134">
            <v>42670</v>
          </cell>
          <cell r="B134">
            <v>42670</v>
          </cell>
          <cell r="C134" t="str">
            <v>GG Iconic Matte LS SPF 15 - BBerry</v>
          </cell>
          <cell r="D134">
            <v>7</v>
          </cell>
          <cell r="E134">
            <v>480</v>
          </cell>
          <cell r="F134">
            <v>1000</v>
          </cell>
          <cell r="G134">
            <v>599</v>
          </cell>
          <cell r="H134">
            <v>1250</v>
          </cell>
          <cell r="I134">
            <v>749</v>
          </cell>
          <cell r="J134" t="str">
            <v>SD</v>
          </cell>
          <cell r="K134">
            <v>0.40079999999999999</v>
          </cell>
          <cell r="L134" t="str">
            <v>45</v>
          </cell>
          <cell r="M134" t="str">
            <v>CTLG</v>
          </cell>
          <cell r="N134" t="str">
            <v/>
          </cell>
          <cell r="O134" t="str">
            <v/>
          </cell>
        </row>
        <row r="135">
          <cell r="A135">
            <v>41408</v>
          </cell>
          <cell r="B135">
            <v>41408</v>
          </cell>
          <cell r="C135" t="str">
            <v>GG Volume Phenomenon Mascara - Black</v>
          </cell>
          <cell r="D135">
            <v>7</v>
          </cell>
          <cell r="E135">
            <v>436</v>
          </cell>
          <cell r="F135">
            <v>840</v>
          </cell>
          <cell r="G135">
            <v>543</v>
          </cell>
          <cell r="H135">
            <v>1050</v>
          </cell>
          <cell r="I135">
            <v>679</v>
          </cell>
          <cell r="J135" t="str">
            <v>SD</v>
          </cell>
          <cell r="K135">
            <v>0.353333333333333</v>
          </cell>
          <cell r="L135" t="str">
            <v>46</v>
          </cell>
          <cell r="M135" t="str">
            <v>CTLG</v>
          </cell>
          <cell r="N135" t="str">
            <v/>
          </cell>
          <cell r="O135" t="str">
            <v/>
          </cell>
        </row>
        <row r="136">
          <cell r="A136">
            <v>41437</v>
          </cell>
          <cell r="B136">
            <v>41437</v>
          </cell>
          <cell r="C136" t="str">
            <v xml:space="preserve">GG Iconic Hybrid Eyeliner - Black </v>
          </cell>
          <cell r="D136">
            <v>8</v>
          </cell>
          <cell r="E136">
            <v>500</v>
          </cell>
          <cell r="F136">
            <v>1040</v>
          </cell>
          <cell r="G136">
            <v>623</v>
          </cell>
          <cell r="H136">
            <v>1300</v>
          </cell>
          <cell r="I136">
            <v>779</v>
          </cell>
          <cell r="J136" t="str">
            <v>SD</v>
          </cell>
          <cell r="K136">
            <v>0.40076923076923099</v>
          </cell>
          <cell r="L136" t="str">
            <v>46</v>
          </cell>
          <cell r="M136" t="str">
            <v>CTLG</v>
          </cell>
          <cell r="N136" t="str">
            <v/>
          </cell>
          <cell r="O136" t="str">
            <v/>
          </cell>
        </row>
        <row r="137">
          <cell r="A137">
            <v>44846</v>
          </cell>
          <cell r="B137">
            <v>44846</v>
          </cell>
          <cell r="C137" t="str">
            <v>GG Jewel T Serum Infused Pearls</v>
          </cell>
          <cell r="D137">
            <v>14</v>
          </cell>
          <cell r="E137">
            <v>898</v>
          </cell>
          <cell r="F137">
            <v>1720</v>
          </cell>
          <cell r="G137">
            <v>1119</v>
          </cell>
          <cell r="H137">
            <v>2150</v>
          </cell>
          <cell r="I137">
            <v>1399</v>
          </cell>
          <cell r="J137" t="str">
            <v>SD</v>
          </cell>
          <cell r="K137">
            <v>0.34930232558139501</v>
          </cell>
          <cell r="L137" t="str">
            <v>47</v>
          </cell>
          <cell r="M137" t="str">
            <v>CTLG</v>
          </cell>
          <cell r="N137" t="str">
            <v/>
          </cell>
          <cell r="O137" t="str">
            <v/>
          </cell>
        </row>
        <row r="138">
          <cell r="A138">
            <v>41107</v>
          </cell>
          <cell r="B138">
            <v>41107</v>
          </cell>
          <cell r="C138" t="str">
            <v>GG Serum Boost Concealer- Light</v>
          </cell>
          <cell r="D138">
            <v>13</v>
          </cell>
          <cell r="E138">
            <v>833</v>
          </cell>
          <cell r="F138">
            <v>1280</v>
          </cell>
          <cell r="G138">
            <v>1039</v>
          </cell>
          <cell r="H138">
            <v>1600</v>
          </cell>
          <cell r="I138">
            <v>1299</v>
          </cell>
          <cell r="J138" t="str">
            <v>COB</v>
          </cell>
          <cell r="K138">
            <v>0.18812499999999999</v>
          </cell>
          <cell r="L138" t="str">
            <v>48</v>
          </cell>
          <cell r="M138" t="str">
            <v>CTLG</v>
          </cell>
          <cell r="N138" t="str">
            <v/>
          </cell>
          <cell r="O138" t="str">
            <v/>
          </cell>
        </row>
        <row r="139">
          <cell r="A139">
            <v>41108</v>
          </cell>
          <cell r="B139">
            <v>41108</v>
          </cell>
          <cell r="C139" t="str">
            <v>GG Serum Boost Concealer -Medium</v>
          </cell>
          <cell r="D139">
            <v>13</v>
          </cell>
          <cell r="E139">
            <v>833</v>
          </cell>
          <cell r="F139">
            <v>1280</v>
          </cell>
          <cell r="G139">
            <v>1039</v>
          </cell>
          <cell r="H139">
            <v>1600</v>
          </cell>
          <cell r="I139">
            <v>1299</v>
          </cell>
          <cell r="J139" t="str">
            <v>COB</v>
          </cell>
          <cell r="K139">
            <v>0.18812499999999999</v>
          </cell>
          <cell r="L139" t="str">
            <v>48</v>
          </cell>
          <cell r="M139" t="str">
            <v>CTLG</v>
          </cell>
          <cell r="N139" t="str">
            <v/>
          </cell>
          <cell r="O139" t="str">
            <v/>
          </cell>
        </row>
        <row r="140">
          <cell r="A140">
            <v>41107</v>
          </cell>
          <cell r="B140">
            <v>41107</v>
          </cell>
          <cell r="C140" t="str">
            <v>GG Serum Boost Concealer- Light</v>
          </cell>
          <cell r="D140">
            <v>8</v>
          </cell>
          <cell r="E140">
            <v>513</v>
          </cell>
          <cell r="F140">
            <v>1280</v>
          </cell>
          <cell r="G140">
            <v>639</v>
          </cell>
          <cell r="H140">
            <v>1600</v>
          </cell>
          <cell r="I140">
            <v>799</v>
          </cell>
          <cell r="J140" t="str">
            <v>COB</v>
          </cell>
          <cell r="K140">
            <v>0.50062499999999999</v>
          </cell>
          <cell r="L140" t="str">
            <v>48</v>
          </cell>
          <cell r="M140" t="str">
            <v>CTLG</v>
          </cell>
          <cell r="N140" t="str">
            <v/>
          </cell>
          <cell r="O140" t="str">
            <v/>
          </cell>
        </row>
        <row r="141">
          <cell r="A141">
            <v>41108</v>
          </cell>
          <cell r="B141">
            <v>41108</v>
          </cell>
          <cell r="C141" t="str">
            <v>GG Serum Boost Concealer -Medium</v>
          </cell>
          <cell r="D141">
            <v>8</v>
          </cell>
          <cell r="E141">
            <v>513</v>
          </cell>
          <cell r="F141">
            <v>1280</v>
          </cell>
          <cell r="G141">
            <v>639</v>
          </cell>
          <cell r="H141">
            <v>1600</v>
          </cell>
          <cell r="I141">
            <v>799</v>
          </cell>
          <cell r="J141" t="str">
            <v>COB</v>
          </cell>
          <cell r="K141">
            <v>0.50062499999999999</v>
          </cell>
          <cell r="L141" t="str">
            <v>48</v>
          </cell>
          <cell r="M141" t="str">
            <v>CTLG</v>
          </cell>
          <cell r="N141" t="str">
            <v/>
          </cell>
          <cell r="O141" t="str">
            <v/>
          </cell>
        </row>
        <row r="142">
          <cell r="A142">
            <v>42118</v>
          </cell>
          <cell r="B142">
            <v>42118</v>
          </cell>
          <cell r="C142" t="str">
            <v>GG Serum Boost Primer</v>
          </cell>
          <cell r="D142">
            <v>15</v>
          </cell>
          <cell r="E142">
            <v>962</v>
          </cell>
          <cell r="F142">
            <v>1480</v>
          </cell>
          <cell r="G142">
            <v>1199</v>
          </cell>
          <cell r="H142">
            <v>1850</v>
          </cell>
          <cell r="I142">
            <v>1499</v>
          </cell>
          <cell r="J142" t="str">
            <v>COB</v>
          </cell>
          <cell r="K142">
            <v>0.18972972972973001</v>
          </cell>
          <cell r="L142" t="str">
            <v>49</v>
          </cell>
          <cell r="M142" t="str">
            <v>CTLG</v>
          </cell>
          <cell r="N142" t="str">
            <v/>
          </cell>
          <cell r="O142" t="str">
            <v/>
          </cell>
        </row>
        <row r="143">
          <cell r="A143">
            <v>42118</v>
          </cell>
          <cell r="B143">
            <v>42118</v>
          </cell>
          <cell r="C143" t="str">
            <v>GG Serum Boost Primer</v>
          </cell>
          <cell r="D143">
            <v>9</v>
          </cell>
          <cell r="E143">
            <v>596</v>
          </cell>
          <cell r="F143">
            <v>1480</v>
          </cell>
          <cell r="G143">
            <v>743</v>
          </cell>
          <cell r="H143">
            <v>1850</v>
          </cell>
          <cell r="I143">
            <v>929</v>
          </cell>
          <cell r="J143" t="str">
            <v>COB</v>
          </cell>
          <cell r="K143">
            <v>0.49783783783783803</v>
          </cell>
          <cell r="L143" t="str">
            <v>49</v>
          </cell>
          <cell r="M143" t="str">
            <v>CTLG</v>
          </cell>
          <cell r="N143" t="str">
            <v/>
          </cell>
          <cell r="O143" t="str">
            <v/>
          </cell>
        </row>
        <row r="144">
          <cell r="A144">
            <v>42236</v>
          </cell>
          <cell r="B144">
            <v>42236</v>
          </cell>
          <cell r="C144" t="str">
            <v>GG Age Defying SB Fnd - Vanilla N</v>
          </cell>
          <cell r="D144">
            <v>16</v>
          </cell>
          <cell r="E144">
            <v>1026</v>
          </cell>
          <cell r="F144">
            <v>1560</v>
          </cell>
          <cell r="G144">
            <v>1279</v>
          </cell>
          <cell r="H144">
            <v>1950</v>
          </cell>
          <cell r="I144">
            <v>1599</v>
          </cell>
          <cell r="J144" t="str">
            <v>COB</v>
          </cell>
          <cell r="K144">
            <v>0.18</v>
          </cell>
          <cell r="L144" t="str">
            <v>50</v>
          </cell>
          <cell r="M144" t="str">
            <v>CTLG</v>
          </cell>
          <cell r="N144" t="str">
            <v/>
          </cell>
          <cell r="O144" t="str">
            <v/>
          </cell>
        </row>
        <row r="145">
          <cell r="A145">
            <v>42237</v>
          </cell>
          <cell r="B145">
            <v>42237</v>
          </cell>
          <cell r="C145" t="str">
            <v>GG Age Defying SB Fnd - Vanil Cool</v>
          </cell>
          <cell r="D145">
            <v>16</v>
          </cell>
          <cell r="E145">
            <v>1026</v>
          </cell>
          <cell r="F145">
            <v>1560</v>
          </cell>
          <cell r="G145">
            <v>1279</v>
          </cell>
          <cell r="H145">
            <v>1950</v>
          </cell>
          <cell r="I145">
            <v>1599</v>
          </cell>
          <cell r="J145" t="str">
            <v>COB</v>
          </cell>
          <cell r="K145">
            <v>0.18</v>
          </cell>
          <cell r="L145" t="str">
            <v>50</v>
          </cell>
          <cell r="M145" t="str">
            <v>CTLG</v>
          </cell>
          <cell r="N145" t="str">
            <v/>
          </cell>
          <cell r="O145" t="str">
            <v/>
          </cell>
        </row>
        <row r="146">
          <cell r="A146">
            <v>42238</v>
          </cell>
          <cell r="B146">
            <v>42238</v>
          </cell>
          <cell r="C146" t="str">
            <v>GG Age Defying SB Fnd - Porcelain W</v>
          </cell>
          <cell r="D146">
            <v>16</v>
          </cell>
          <cell r="E146">
            <v>1026</v>
          </cell>
          <cell r="F146">
            <v>1560</v>
          </cell>
          <cell r="G146">
            <v>1279</v>
          </cell>
          <cell r="H146">
            <v>1950</v>
          </cell>
          <cell r="I146">
            <v>1599</v>
          </cell>
          <cell r="J146" t="str">
            <v>COB</v>
          </cell>
          <cell r="K146">
            <v>0.18</v>
          </cell>
          <cell r="L146" t="str">
            <v>50</v>
          </cell>
          <cell r="M146" t="str">
            <v>CTLG</v>
          </cell>
          <cell r="N146" t="str">
            <v/>
          </cell>
          <cell r="O146" t="str">
            <v/>
          </cell>
        </row>
        <row r="147">
          <cell r="A147">
            <v>42239</v>
          </cell>
          <cell r="B147">
            <v>42239</v>
          </cell>
          <cell r="C147" t="str">
            <v>GG Age Defying SB Fnd - L Beige N</v>
          </cell>
          <cell r="D147">
            <v>16</v>
          </cell>
          <cell r="E147">
            <v>1026</v>
          </cell>
          <cell r="F147">
            <v>1560</v>
          </cell>
          <cell r="G147">
            <v>1279</v>
          </cell>
          <cell r="H147">
            <v>1950</v>
          </cell>
          <cell r="I147">
            <v>1599</v>
          </cell>
          <cell r="J147" t="str">
            <v>COB</v>
          </cell>
          <cell r="K147">
            <v>0.18</v>
          </cell>
          <cell r="L147" t="str">
            <v>50</v>
          </cell>
          <cell r="M147" t="str">
            <v>CTLG</v>
          </cell>
          <cell r="N147" t="str">
            <v/>
          </cell>
          <cell r="O147" t="str">
            <v/>
          </cell>
        </row>
        <row r="148">
          <cell r="A148">
            <v>42240</v>
          </cell>
          <cell r="B148">
            <v>42240</v>
          </cell>
          <cell r="C148" t="str">
            <v>GG Age Defying SB Fnd - L Ivory N</v>
          </cell>
          <cell r="D148">
            <v>16</v>
          </cell>
          <cell r="E148">
            <v>1026</v>
          </cell>
          <cell r="F148">
            <v>1560</v>
          </cell>
          <cell r="G148">
            <v>1279</v>
          </cell>
          <cell r="H148">
            <v>1950</v>
          </cell>
          <cell r="I148">
            <v>1599</v>
          </cell>
          <cell r="J148" t="str">
            <v>COB</v>
          </cell>
          <cell r="K148">
            <v>0.18</v>
          </cell>
          <cell r="L148" t="str">
            <v>50</v>
          </cell>
          <cell r="M148" t="str">
            <v>CTLG</v>
          </cell>
          <cell r="N148" t="str">
            <v/>
          </cell>
          <cell r="O148" t="str">
            <v/>
          </cell>
        </row>
        <row r="149">
          <cell r="A149">
            <v>42241</v>
          </cell>
          <cell r="B149">
            <v>42241</v>
          </cell>
          <cell r="C149" t="str">
            <v>GG Age Defying SB Fnd - Beige W</v>
          </cell>
          <cell r="D149">
            <v>16</v>
          </cell>
          <cell r="E149">
            <v>1026</v>
          </cell>
          <cell r="F149">
            <v>1560</v>
          </cell>
          <cell r="G149">
            <v>1279</v>
          </cell>
          <cell r="H149">
            <v>1950</v>
          </cell>
          <cell r="I149">
            <v>1599</v>
          </cell>
          <cell r="J149" t="str">
            <v>COB</v>
          </cell>
          <cell r="K149">
            <v>0.18</v>
          </cell>
          <cell r="L149" t="str">
            <v>50</v>
          </cell>
          <cell r="M149" t="str">
            <v>CTLG</v>
          </cell>
          <cell r="N149" t="str">
            <v/>
          </cell>
          <cell r="O149" t="str">
            <v/>
          </cell>
        </row>
        <row r="150">
          <cell r="A150">
            <v>42236</v>
          </cell>
          <cell r="B150">
            <v>42236</v>
          </cell>
          <cell r="C150" t="str">
            <v>GG Age Defying SB Fnd - Vanilla N</v>
          </cell>
          <cell r="D150">
            <v>10</v>
          </cell>
          <cell r="E150">
            <v>628</v>
          </cell>
          <cell r="F150">
            <v>1560</v>
          </cell>
          <cell r="G150">
            <v>783</v>
          </cell>
          <cell r="H150">
            <v>1950</v>
          </cell>
          <cell r="I150">
            <v>979</v>
          </cell>
          <cell r="J150" t="str">
            <v>COB</v>
          </cell>
          <cell r="K150">
            <v>0.49794871794871798</v>
          </cell>
          <cell r="L150" t="str">
            <v>50</v>
          </cell>
          <cell r="M150" t="str">
            <v>CTLG</v>
          </cell>
          <cell r="N150" t="str">
            <v/>
          </cell>
          <cell r="O150" t="str">
            <v/>
          </cell>
        </row>
        <row r="151">
          <cell r="A151">
            <v>42237</v>
          </cell>
          <cell r="B151">
            <v>42237</v>
          </cell>
          <cell r="C151" t="str">
            <v>GG Age Defying SB Fnd - Vanil Cool</v>
          </cell>
          <cell r="D151">
            <v>10</v>
          </cell>
          <cell r="E151">
            <v>628</v>
          </cell>
          <cell r="F151">
            <v>1560</v>
          </cell>
          <cell r="G151">
            <v>783</v>
          </cell>
          <cell r="H151">
            <v>1950</v>
          </cell>
          <cell r="I151">
            <v>979</v>
          </cell>
          <cell r="J151" t="str">
            <v>COB</v>
          </cell>
          <cell r="K151">
            <v>0.49794871794871798</v>
          </cell>
          <cell r="L151" t="str">
            <v>50</v>
          </cell>
          <cell r="M151" t="str">
            <v>CTLG</v>
          </cell>
          <cell r="N151" t="str">
            <v/>
          </cell>
          <cell r="O151" t="str">
            <v/>
          </cell>
        </row>
        <row r="152">
          <cell r="A152">
            <v>42238</v>
          </cell>
          <cell r="B152">
            <v>42238</v>
          </cell>
          <cell r="C152" t="str">
            <v>GG Age Defying SB Fnd - Porcelain W</v>
          </cell>
          <cell r="D152">
            <v>10</v>
          </cell>
          <cell r="E152">
            <v>628</v>
          </cell>
          <cell r="F152">
            <v>1560</v>
          </cell>
          <cell r="G152">
            <v>783</v>
          </cell>
          <cell r="H152">
            <v>1950</v>
          </cell>
          <cell r="I152">
            <v>979</v>
          </cell>
          <cell r="J152" t="str">
            <v>COB</v>
          </cell>
          <cell r="K152">
            <v>0.49794871794871798</v>
          </cell>
          <cell r="L152" t="str">
            <v>50</v>
          </cell>
          <cell r="M152" t="str">
            <v>CTLG</v>
          </cell>
          <cell r="N152" t="str">
            <v/>
          </cell>
          <cell r="O152" t="str">
            <v/>
          </cell>
        </row>
        <row r="153">
          <cell r="A153">
            <v>42239</v>
          </cell>
          <cell r="B153">
            <v>42239</v>
          </cell>
          <cell r="C153" t="str">
            <v>GG Age Defying SB Fnd - L Beige N</v>
          </cell>
          <cell r="D153">
            <v>10</v>
          </cell>
          <cell r="E153">
            <v>628</v>
          </cell>
          <cell r="F153">
            <v>1560</v>
          </cell>
          <cell r="G153">
            <v>783</v>
          </cell>
          <cell r="H153">
            <v>1950</v>
          </cell>
          <cell r="I153">
            <v>979</v>
          </cell>
          <cell r="J153" t="str">
            <v>COB</v>
          </cell>
          <cell r="K153">
            <v>0.49794871794871798</v>
          </cell>
          <cell r="L153" t="str">
            <v>50</v>
          </cell>
          <cell r="M153" t="str">
            <v>CTLG</v>
          </cell>
          <cell r="N153" t="str">
            <v/>
          </cell>
          <cell r="O153" t="str">
            <v/>
          </cell>
        </row>
        <row r="154">
          <cell r="A154">
            <v>42240</v>
          </cell>
          <cell r="B154">
            <v>42240</v>
          </cell>
          <cell r="C154" t="str">
            <v>GG Age Defying SB Fnd - L Ivory N</v>
          </cell>
          <cell r="D154">
            <v>10</v>
          </cell>
          <cell r="E154">
            <v>628</v>
          </cell>
          <cell r="F154">
            <v>1560</v>
          </cell>
          <cell r="G154">
            <v>783</v>
          </cell>
          <cell r="H154">
            <v>1950</v>
          </cell>
          <cell r="I154">
            <v>979</v>
          </cell>
          <cell r="J154" t="str">
            <v>COB</v>
          </cell>
          <cell r="K154">
            <v>0.49794871794871798</v>
          </cell>
          <cell r="L154" t="str">
            <v>50</v>
          </cell>
          <cell r="M154" t="str">
            <v>CTLG</v>
          </cell>
          <cell r="N154" t="str">
            <v/>
          </cell>
          <cell r="O154" t="str">
            <v/>
          </cell>
        </row>
        <row r="155">
          <cell r="A155">
            <v>42241</v>
          </cell>
          <cell r="B155">
            <v>42241</v>
          </cell>
          <cell r="C155" t="str">
            <v>GG Age Defying SB Fnd - Beige W</v>
          </cell>
          <cell r="D155">
            <v>10</v>
          </cell>
          <cell r="E155">
            <v>628</v>
          </cell>
          <cell r="F155">
            <v>1560</v>
          </cell>
          <cell r="G155">
            <v>783</v>
          </cell>
          <cell r="H155">
            <v>1950</v>
          </cell>
          <cell r="I155">
            <v>979</v>
          </cell>
          <cell r="J155" t="str">
            <v>COB</v>
          </cell>
          <cell r="K155">
            <v>0.49794871794871798</v>
          </cell>
          <cell r="L155" t="str">
            <v>50</v>
          </cell>
          <cell r="M155" t="str">
            <v>CTLG</v>
          </cell>
          <cell r="N155" t="str">
            <v/>
          </cell>
          <cell r="O155" t="str">
            <v/>
          </cell>
        </row>
        <row r="156">
          <cell r="A156">
            <v>32919</v>
          </cell>
          <cell r="B156">
            <v>32919</v>
          </cell>
          <cell r="C156" t="str">
            <v>GG Liquid Silk Foundation - Vanill</v>
          </cell>
          <cell r="D156">
            <v>17</v>
          </cell>
          <cell r="E156">
            <v>1090</v>
          </cell>
          <cell r="F156">
            <v>1720</v>
          </cell>
          <cell r="G156">
            <v>1359</v>
          </cell>
          <cell r="H156">
            <v>2150</v>
          </cell>
          <cell r="I156">
            <v>1699</v>
          </cell>
          <cell r="J156" t="str">
            <v>COB</v>
          </cell>
          <cell r="K156">
            <v>0.209767441860465</v>
          </cell>
          <cell r="L156" t="str">
            <v>51</v>
          </cell>
          <cell r="M156" t="str">
            <v>CTLG</v>
          </cell>
          <cell r="N156" t="str">
            <v/>
          </cell>
          <cell r="O156" t="str">
            <v/>
          </cell>
        </row>
        <row r="157">
          <cell r="A157">
            <v>32920</v>
          </cell>
          <cell r="B157">
            <v>32920</v>
          </cell>
          <cell r="C157" t="str">
            <v>GG Liquid Silk Foundation - Porc</v>
          </cell>
          <cell r="D157">
            <v>17</v>
          </cell>
          <cell r="E157">
            <v>1090</v>
          </cell>
          <cell r="F157">
            <v>1720</v>
          </cell>
          <cell r="G157">
            <v>1359</v>
          </cell>
          <cell r="H157">
            <v>2150</v>
          </cell>
          <cell r="I157">
            <v>1699</v>
          </cell>
          <cell r="J157" t="str">
            <v>COB</v>
          </cell>
          <cell r="K157">
            <v>0.209767441860465</v>
          </cell>
          <cell r="L157" t="str">
            <v>51</v>
          </cell>
          <cell r="M157" t="str">
            <v>CTLG</v>
          </cell>
          <cell r="N157" t="str">
            <v/>
          </cell>
          <cell r="O157" t="str">
            <v/>
          </cell>
        </row>
        <row r="158">
          <cell r="A158">
            <v>32921</v>
          </cell>
          <cell r="B158">
            <v>32921</v>
          </cell>
          <cell r="C158" t="str">
            <v>GG Liquid Silk Foundation - LIvory</v>
          </cell>
          <cell r="D158">
            <v>17</v>
          </cell>
          <cell r="E158">
            <v>1090</v>
          </cell>
          <cell r="F158">
            <v>1720</v>
          </cell>
          <cell r="G158">
            <v>1359</v>
          </cell>
          <cell r="H158">
            <v>2150</v>
          </cell>
          <cell r="I158">
            <v>1699</v>
          </cell>
          <cell r="J158" t="str">
            <v>COB</v>
          </cell>
          <cell r="K158">
            <v>0.209767441860465</v>
          </cell>
          <cell r="L158" t="str">
            <v>51</v>
          </cell>
          <cell r="M158" t="str">
            <v>CTLG</v>
          </cell>
          <cell r="N158" t="str">
            <v/>
          </cell>
          <cell r="O158" t="str">
            <v/>
          </cell>
        </row>
        <row r="159">
          <cell r="A159">
            <v>32922</v>
          </cell>
          <cell r="B159">
            <v>32922</v>
          </cell>
          <cell r="C159" t="str">
            <v>GG Liquid Silk Foundation - NBeige</v>
          </cell>
          <cell r="D159">
            <v>17</v>
          </cell>
          <cell r="E159">
            <v>1090</v>
          </cell>
          <cell r="F159">
            <v>1720</v>
          </cell>
          <cell r="G159">
            <v>1359</v>
          </cell>
          <cell r="H159">
            <v>2150</v>
          </cell>
          <cell r="I159">
            <v>1699</v>
          </cell>
          <cell r="J159" t="str">
            <v>COB</v>
          </cell>
          <cell r="K159">
            <v>0.209767441860465</v>
          </cell>
          <cell r="L159" t="str">
            <v>51</v>
          </cell>
          <cell r="M159" t="str">
            <v>CTLG</v>
          </cell>
          <cell r="N159" t="str">
            <v/>
          </cell>
          <cell r="O159" t="str">
            <v/>
          </cell>
        </row>
        <row r="160">
          <cell r="A160">
            <v>32923</v>
          </cell>
          <cell r="B160">
            <v>32923</v>
          </cell>
          <cell r="C160" t="str">
            <v>GG Liquid Silk Foundation - Amber</v>
          </cell>
          <cell r="D160">
            <v>17</v>
          </cell>
          <cell r="E160">
            <v>1090</v>
          </cell>
          <cell r="F160">
            <v>1720</v>
          </cell>
          <cell r="G160">
            <v>1359</v>
          </cell>
          <cell r="H160">
            <v>2150</v>
          </cell>
          <cell r="I160">
            <v>1699</v>
          </cell>
          <cell r="J160" t="str">
            <v>COB</v>
          </cell>
          <cell r="K160">
            <v>0.209767441860465</v>
          </cell>
          <cell r="L160" t="str">
            <v>51</v>
          </cell>
          <cell r="M160" t="str">
            <v>CTLG</v>
          </cell>
          <cell r="N160" t="str">
            <v/>
          </cell>
          <cell r="O160" t="str">
            <v/>
          </cell>
        </row>
        <row r="161">
          <cell r="A161">
            <v>32919</v>
          </cell>
          <cell r="B161">
            <v>32919</v>
          </cell>
          <cell r="C161" t="str">
            <v>GG Liquid Silk Foundation - Vanill</v>
          </cell>
          <cell r="D161">
            <v>11</v>
          </cell>
          <cell r="E161">
            <v>705</v>
          </cell>
          <cell r="F161">
            <v>1720</v>
          </cell>
          <cell r="G161">
            <v>879</v>
          </cell>
          <cell r="H161">
            <v>2150</v>
          </cell>
          <cell r="I161">
            <v>1099</v>
          </cell>
          <cell r="J161" t="str">
            <v>COB</v>
          </cell>
          <cell r="K161">
            <v>0.48883720930232599</v>
          </cell>
          <cell r="L161" t="str">
            <v>51</v>
          </cell>
          <cell r="M161" t="str">
            <v>CTLG</v>
          </cell>
          <cell r="N161" t="str">
            <v/>
          </cell>
          <cell r="O161" t="str">
            <v/>
          </cell>
        </row>
        <row r="162">
          <cell r="A162">
            <v>32920</v>
          </cell>
          <cell r="B162">
            <v>32920</v>
          </cell>
          <cell r="C162" t="str">
            <v>GG Liquid Silk Foundation - Porc</v>
          </cell>
          <cell r="D162">
            <v>11</v>
          </cell>
          <cell r="E162">
            <v>705</v>
          </cell>
          <cell r="F162">
            <v>1720</v>
          </cell>
          <cell r="G162">
            <v>879</v>
          </cell>
          <cell r="H162">
            <v>2150</v>
          </cell>
          <cell r="I162">
            <v>1099</v>
          </cell>
          <cell r="J162" t="str">
            <v>COB</v>
          </cell>
          <cell r="K162">
            <v>0.48883720930232599</v>
          </cell>
          <cell r="L162" t="str">
            <v>51</v>
          </cell>
          <cell r="M162" t="str">
            <v>CTLG</v>
          </cell>
          <cell r="N162" t="str">
            <v/>
          </cell>
          <cell r="O162" t="str">
            <v/>
          </cell>
        </row>
        <row r="163">
          <cell r="A163">
            <v>32921</v>
          </cell>
          <cell r="B163">
            <v>32921</v>
          </cell>
          <cell r="C163" t="str">
            <v>GG Liquid Silk Foundation - LIvory</v>
          </cell>
          <cell r="D163">
            <v>11</v>
          </cell>
          <cell r="E163">
            <v>705</v>
          </cell>
          <cell r="F163">
            <v>1720</v>
          </cell>
          <cell r="G163">
            <v>879</v>
          </cell>
          <cell r="H163">
            <v>2150</v>
          </cell>
          <cell r="I163">
            <v>1099</v>
          </cell>
          <cell r="J163" t="str">
            <v>COB</v>
          </cell>
          <cell r="K163">
            <v>0.48883720930232599</v>
          </cell>
          <cell r="L163" t="str">
            <v>51</v>
          </cell>
          <cell r="M163" t="str">
            <v>CTLG</v>
          </cell>
          <cell r="N163" t="str">
            <v/>
          </cell>
          <cell r="O163" t="str">
            <v/>
          </cell>
        </row>
        <row r="164">
          <cell r="A164">
            <v>32922</v>
          </cell>
          <cell r="B164">
            <v>32922</v>
          </cell>
          <cell r="C164" t="str">
            <v>GG Liquid Silk Foundation - NBeige</v>
          </cell>
          <cell r="D164">
            <v>11</v>
          </cell>
          <cell r="E164">
            <v>705</v>
          </cell>
          <cell r="F164">
            <v>1720</v>
          </cell>
          <cell r="G164">
            <v>879</v>
          </cell>
          <cell r="H164">
            <v>2150</v>
          </cell>
          <cell r="I164">
            <v>1099</v>
          </cell>
          <cell r="J164" t="str">
            <v>COB</v>
          </cell>
          <cell r="K164">
            <v>0.48883720930232599</v>
          </cell>
          <cell r="L164" t="str">
            <v>51</v>
          </cell>
          <cell r="M164" t="str">
            <v>CTLG</v>
          </cell>
          <cell r="N164" t="str">
            <v/>
          </cell>
          <cell r="O164" t="str">
            <v/>
          </cell>
        </row>
        <row r="165">
          <cell r="A165">
            <v>32923</v>
          </cell>
          <cell r="B165">
            <v>32923</v>
          </cell>
          <cell r="C165" t="str">
            <v>GG Liquid Silk Foundation - Amber</v>
          </cell>
          <cell r="D165">
            <v>11</v>
          </cell>
          <cell r="E165">
            <v>705</v>
          </cell>
          <cell r="F165">
            <v>1720</v>
          </cell>
          <cell r="G165">
            <v>879</v>
          </cell>
          <cell r="H165">
            <v>2150</v>
          </cell>
          <cell r="I165">
            <v>1099</v>
          </cell>
          <cell r="J165" t="str">
            <v>COB</v>
          </cell>
          <cell r="K165">
            <v>0.48883720930232599</v>
          </cell>
          <cell r="L165" t="str">
            <v>51</v>
          </cell>
          <cell r="M165" t="str">
            <v>CTLG</v>
          </cell>
          <cell r="N165" t="str">
            <v/>
          </cell>
          <cell r="O165" t="str">
            <v/>
          </cell>
        </row>
        <row r="166">
          <cell r="A166">
            <v>41560</v>
          </cell>
          <cell r="B166">
            <v>41560</v>
          </cell>
          <cell r="C166" t="str">
            <v>Foundation Wedges 4-pack</v>
          </cell>
          <cell r="D166">
            <v>2</v>
          </cell>
          <cell r="E166">
            <v>61</v>
          </cell>
          <cell r="F166">
            <v>248</v>
          </cell>
          <cell r="G166">
            <v>151</v>
          </cell>
          <cell r="H166">
            <v>310</v>
          </cell>
          <cell r="I166">
            <v>189</v>
          </cell>
          <cell r="J166" t="str">
            <v>SD</v>
          </cell>
          <cell r="K166">
            <v>0.39032258064516101</v>
          </cell>
          <cell r="L166" t="str">
            <v>52</v>
          </cell>
          <cell r="M166" t="str">
            <v>CTLG</v>
          </cell>
          <cell r="N166" t="str">
            <v/>
          </cell>
          <cell r="O166" t="str">
            <v/>
          </cell>
        </row>
        <row r="167">
          <cell r="A167">
            <v>41560</v>
          </cell>
          <cell r="B167">
            <v>41560</v>
          </cell>
          <cell r="C167" t="str">
            <v>Foundation Wedges 4-pack</v>
          </cell>
          <cell r="D167">
            <v>2</v>
          </cell>
          <cell r="E167">
            <v>61</v>
          </cell>
          <cell r="F167">
            <v>248</v>
          </cell>
          <cell r="G167">
            <v>151</v>
          </cell>
          <cell r="H167">
            <v>310</v>
          </cell>
          <cell r="I167">
            <v>189</v>
          </cell>
          <cell r="J167" t="str">
            <v>SD</v>
          </cell>
          <cell r="K167">
            <v>0.39032258064516101</v>
          </cell>
          <cell r="L167" t="str">
            <v>53</v>
          </cell>
          <cell r="M167" t="str">
            <v>CTLG</v>
          </cell>
          <cell r="N167" t="str">
            <v/>
          </cell>
          <cell r="O167" t="str">
            <v/>
          </cell>
        </row>
        <row r="168">
          <cell r="A168">
            <v>35779</v>
          </cell>
          <cell r="B168">
            <v>35779</v>
          </cell>
          <cell r="C168" t="str">
            <v>TO Everlasting Sync FND SPF 3...anilla N</v>
          </cell>
          <cell r="D168">
            <v>7</v>
          </cell>
          <cell r="E168">
            <v>461</v>
          </cell>
          <cell r="F168">
            <v>1200</v>
          </cell>
          <cell r="G168">
            <v>575</v>
          </cell>
          <cell r="H168">
            <v>1500</v>
          </cell>
          <cell r="I168">
            <v>719</v>
          </cell>
          <cell r="J168" t="str">
            <v>SD</v>
          </cell>
          <cell r="K168">
            <v>0.52066666666666706</v>
          </cell>
          <cell r="L168" t="str">
            <v>53</v>
          </cell>
          <cell r="M168" t="str">
            <v>CTLG</v>
          </cell>
          <cell r="N168" t="str">
            <v/>
          </cell>
          <cell r="O168" t="str">
            <v/>
          </cell>
        </row>
        <row r="169">
          <cell r="A169">
            <v>35780</v>
          </cell>
          <cell r="B169">
            <v>35780</v>
          </cell>
          <cell r="C169" t="str">
            <v>TO Everlasting Sync FND SPF 3...celain C</v>
          </cell>
          <cell r="D169">
            <v>7</v>
          </cell>
          <cell r="E169">
            <v>461</v>
          </cell>
          <cell r="F169">
            <v>1200</v>
          </cell>
          <cell r="G169">
            <v>575</v>
          </cell>
          <cell r="H169">
            <v>1500</v>
          </cell>
          <cell r="I169">
            <v>719</v>
          </cell>
          <cell r="J169" t="str">
            <v>SD</v>
          </cell>
          <cell r="K169">
            <v>0.52066666666666706</v>
          </cell>
          <cell r="L169" t="str">
            <v>53</v>
          </cell>
          <cell r="M169" t="str">
            <v>CTLG</v>
          </cell>
          <cell r="N169" t="str">
            <v/>
          </cell>
          <cell r="O169" t="str">
            <v/>
          </cell>
        </row>
        <row r="170">
          <cell r="A170">
            <v>35781</v>
          </cell>
          <cell r="B170">
            <v>35781</v>
          </cell>
          <cell r="C170" t="str">
            <v>TO Everlasting Sync FND SPF 3...Marble N</v>
          </cell>
          <cell r="D170">
            <v>7</v>
          </cell>
          <cell r="E170">
            <v>461</v>
          </cell>
          <cell r="F170">
            <v>1200</v>
          </cell>
          <cell r="G170">
            <v>575</v>
          </cell>
          <cell r="H170">
            <v>1500</v>
          </cell>
          <cell r="I170">
            <v>719</v>
          </cell>
          <cell r="J170" t="str">
            <v>SD</v>
          </cell>
          <cell r="K170">
            <v>0.52066666666666706</v>
          </cell>
          <cell r="L170" t="str">
            <v>53</v>
          </cell>
          <cell r="M170" t="str">
            <v>CTLG</v>
          </cell>
          <cell r="N170" t="str">
            <v/>
          </cell>
          <cell r="O170" t="str">
            <v/>
          </cell>
        </row>
        <row r="171">
          <cell r="A171">
            <v>35782</v>
          </cell>
          <cell r="B171">
            <v>35782</v>
          </cell>
          <cell r="C171" t="str">
            <v>TO Everlasting Sync FND SPF 3...t Rose C</v>
          </cell>
          <cell r="D171">
            <v>7</v>
          </cell>
          <cell r="E171">
            <v>461</v>
          </cell>
          <cell r="F171">
            <v>1200</v>
          </cell>
          <cell r="G171">
            <v>575</v>
          </cell>
          <cell r="H171">
            <v>1500</v>
          </cell>
          <cell r="I171">
            <v>719</v>
          </cell>
          <cell r="J171" t="str">
            <v>SD</v>
          </cell>
          <cell r="K171">
            <v>0.52066666666666706</v>
          </cell>
          <cell r="L171" t="str">
            <v>53</v>
          </cell>
          <cell r="M171" t="str">
            <v>CTLG</v>
          </cell>
          <cell r="N171" t="str">
            <v/>
          </cell>
          <cell r="O171" t="str">
            <v/>
          </cell>
        </row>
        <row r="172">
          <cell r="A172">
            <v>35783</v>
          </cell>
          <cell r="B172">
            <v>35783</v>
          </cell>
          <cell r="C172" t="str">
            <v>TO Everlasting Sync FND SPF 3... Beige N</v>
          </cell>
          <cell r="D172">
            <v>7</v>
          </cell>
          <cell r="E172">
            <v>461</v>
          </cell>
          <cell r="F172">
            <v>1200</v>
          </cell>
          <cell r="G172">
            <v>575</v>
          </cell>
          <cell r="H172">
            <v>1500</v>
          </cell>
          <cell r="I172">
            <v>719</v>
          </cell>
          <cell r="J172" t="str">
            <v>SD</v>
          </cell>
          <cell r="K172">
            <v>0.52066666666666706</v>
          </cell>
          <cell r="L172" t="str">
            <v>53</v>
          </cell>
          <cell r="M172" t="str">
            <v>CTLG</v>
          </cell>
          <cell r="N172" t="str">
            <v/>
          </cell>
          <cell r="O172" t="str">
            <v/>
          </cell>
        </row>
        <row r="173">
          <cell r="A173">
            <v>35784</v>
          </cell>
          <cell r="B173">
            <v>35784</v>
          </cell>
          <cell r="C173" t="str">
            <v>TO Everlasting Sync FND SPF 3...t Sand W</v>
          </cell>
          <cell r="D173">
            <v>7</v>
          </cell>
          <cell r="E173">
            <v>461</v>
          </cell>
          <cell r="F173">
            <v>1200</v>
          </cell>
          <cell r="G173">
            <v>575</v>
          </cell>
          <cell r="H173">
            <v>1500</v>
          </cell>
          <cell r="I173">
            <v>719</v>
          </cell>
          <cell r="J173" t="str">
            <v>SD</v>
          </cell>
          <cell r="K173">
            <v>0.52066666666666706</v>
          </cell>
          <cell r="L173" t="str">
            <v>53</v>
          </cell>
          <cell r="M173" t="str">
            <v>CTLG</v>
          </cell>
          <cell r="N173" t="str">
            <v/>
          </cell>
          <cell r="O173" t="str">
            <v/>
          </cell>
        </row>
        <row r="174">
          <cell r="A174">
            <v>35785</v>
          </cell>
          <cell r="B174">
            <v>35785</v>
          </cell>
          <cell r="C174" t="str">
            <v>TO Everlasting Sync FND SPF 3... Ivory N</v>
          </cell>
          <cell r="D174">
            <v>7</v>
          </cell>
          <cell r="E174">
            <v>461</v>
          </cell>
          <cell r="F174">
            <v>1200</v>
          </cell>
          <cell r="G174">
            <v>575</v>
          </cell>
          <cell r="H174">
            <v>1500</v>
          </cell>
          <cell r="I174">
            <v>719</v>
          </cell>
          <cell r="J174" t="str">
            <v>SD</v>
          </cell>
          <cell r="K174">
            <v>0.52066666666666706</v>
          </cell>
          <cell r="L174" t="str">
            <v>53</v>
          </cell>
          <cell r="M174" t="str">
            <v>CTLG</v>
          </cell>
          <cell r="N174" t="str">
            <v/>
          </cell>
          <cell r="O174" t="str">
            <v/>
          </cell>
        </row>
        <row r="175">
          <cell r="A175">
            <v>35786</v>
          </cell>
          <cell r="B175">
            <v>35786</v>
          </cell>
          <cell r="C175" t="str">
            <v>TO Everlasting Sync FND SPF 3... Beige N</v>
          </cell>
          <cell r="D175">
            <v>7</v>
          </cell>
          <cell r="E175">
            <v>461</v>
          </cell>
          <cell r="F175">
            <v>1200</v>
          </cell>
          <cell r="G175">
            <v>575</v>
          </cell>
          <cell r="H175">
            <v>1500</v>
          </cell>
          <cell r="I175">
            <v>719</v>
          </cell>
          <cell r="J175" t="str">
            <v>SD</v>
          </cell>
          <cell r="K175">
            <v>0.52066666666666706</v>
          </cell>
          <cell r="L175" t="str">
            <v>53</v>
          </cell>
          <cell r="M175" t="str">
            <v>CTLG</v>
          </cell>
          <cell r="N175" t="str">
            <v/>
          </cell>
          <cell r="O175" t="str">
            <v/>
          </cell>
        </row>
        <row r="176">
          <cell r="A176">
            <v>35787</v>
          </cell>
          <cell r="B176">
            <v>35787</v>
          </cell>
          <cell r="C176" t="str">
            <v>TO Everlasting Sync FND SPF 30 - Beige W</v>
          </cell>
          <cell r="D176">
            <v>7</v>
          </cell>
          <cell r="E176">
            <v>461</v>
          </cell>
          <cell r="F176">
            <v>1200</v>
          </cell>
          <cell r="G176">
            <v>575</v>
          </cell>
          <cell r="H176">
            <v>1500</v>
          </cell>
          <cell r="I176">
            <v>719</v>
          </cell>
          <cell r="J176" t="str">
            <v>SD</v>
          </cell>
          <cell r="K176">
            <v>0.52066666666666706</v>
          </cell>
          <cell r="L176" t="str">
            <v>53</v>
          </cell>
          <cell r="M176" t="str">
            <v>CTLG</v>
          </cell>
          <cell r="N176" t="str">
            <v/>
          </cell>
          <cell r="O176" t="str">
            <v/>
          </cell>
        </row>
        <row r="177">
          <cell r="A177">
            <v>29043</v>
          </cell>
          <cell r="B177">
            <v>29043</v>
          </cell>
          <cell r="C177" t="str">
            <v>Face Mirror</v>
          </cell>
          <cell r="D177">
            <v>8</v>
          </cell>
          <cell r="E177">
            <v>269</v>
          </cell>
          <cell r="F177">
            <v>1120</v>
          </cell>
          <cell r="G177">
            <v>671</v>
          </cell>
          <cell r="H177">
            <v>1400</v>
          </cell>
          <cell r="I177">
            <v>839</v>
          </cell>
          <cell r="J177" t="str">
            <v>SD</v>
          </cell>
          <cell r="K177">
            <v>0.40071428571428602</v>
          </cell>
          <cell r="L177" t="str">
            <v>54</v>
          </cell>
          <cell r="M177" t="str">
            <v>CTLG</v>
          </cell>
          <cell r="N177" t="str">
            <v/>
          </cell>
          <cell r="O177" t="str">
            <v/>
          </cell>
        </row>
        <row r="178">
          <cell r="A178">
            <v>41121</v>
          </cell>
          <cell r="B178">
            <v>41121</v>
          </cell>
          <cell r="C178" t="str">
            <v>Cosmetic Bag</v>
          </cell>
          <cell r="D178">
            <v>15</v>
          </cell>
          <cell r="E178">
            <v>481</v>
          </cell>
          <cell r="F178">
            <v>2000</v>
          </cell>
          <cell r="G178">
            <v>1199</v>
          </cell>
          <cell r="H178">
            <v>2500</v>
          </cell>
          <cell r="I178">
            <v>1499</v>
          </cell>
          <cell r="J178" t="str">
            <v>SD</v>
          </cell>
          <cell r="K178">
            <v>0.40039999999999998</v>
          </cell>
          <cell r="L178" t="str">
            <v>54</v>
          </cell>
          <cell r="M178" t="str">
            <v>CTLG</v>
          </cell>
          <cell r="N178" t="str">
            <v/>
          </cell>
          <cell r="O178" t="str">
            <v/>
          </cell>
        </row>
        <row r="179">
          <cell r="A179">
            <v>42474</v>
          </cell>
          <cell r="B179">
            <v>42474</v>
          </cell>
          <cell r="C179" t="str">
            <v>THE ONE Powder Brush</v>
          </cell>
          <cell r="D179">
            <v>4</v>
          </cell>
          <cell r="E179">
            <v>141</v>
          </cell>
          <cell r="F179">
            <v>640</v>
          </cell>
          <cell r="G179">
            <v>351</v>
          </cell>
          <cell r="H179">
            <v>800</v>
          </cell>
          <cell r="I179">
            <v>439</v>
          </cell>
          <cell r="J179" t="str">
            <v>SD</v>
          </cell>
          <cell r="K179">
            <v>0.45124999999999998</v>
          </cell>
          <cell r="L179" t="str">
            <v>54</v>
          </cell>
          <cell r="M179" t="str">
            <v>CTLG</v>
          </cell>
          <cell r="N179" t="str">
            <v/>
          </cell>
          <cell r="O179" t="str">
            <v/>
          </cell>
        </row>
        <row r="180">
          <cell r="A180">
            <v>34647</v>
          </cell>
          <cell r="B180">
            <v>34647</v>
          </cell>
          <cell r="C180" t="str">
            <v>TO Everlasting Pressed Powder - Light</v>
          </cell>
          <cell r="D180">
            <v>8</v>
          </cell>
          <cell r="E180">
            <v>500</v>
          </cell>
          <cell r="F180">
            <v>1240</v>
          </cell>
          <cell r="G180">
            <v>623</v>
          </cell>
          <cell r="H180">
            <v>1550</v>
          </cell>
          <cell r="I180">
            <v>779</v>
          </cell>
          <cell r="J180" t="str">
            <v>SD</v>
          </cell>
          <cell r="K180">
            <v>0.49741935483871003</v>
          </cell>
          <cell r="L180" t="str">
            <v>54</v>
          </cell>
          <cell r="M180" t="str">
            <v>CTLG</v>
          </cell>
          <cell r="N180" t="str">
            <v/>
          </cell>
          <cell r="O180" t="str">
            <v/>
          </cell>
        </row>
        <row r="181">
          <cell r="A181">
            <v>34648</v>
          </cell>
          <cell r="B181">
            <v>34648</v>
          </cell>
          <cell r="C181" t="str">
            <v>TO Everlasting Pressed Powder...ght Plus</v>
          </cell>
          <cell r="D181">
            <v>8</v>
          </cell>
          <cell r="E181">
            <v>500</v>
          </cell>
          <cell r="F181">
            <v>1240</v>
          </cell>
          <cell r="G181">
            <v>623</v>
          </cell>
          <cell r="H181">
            <v>1550</v>
          </cell>
          <cell r="I181">
            <v>779</v>
          </cell>
          <cell r="J181" t="str">
            <v>SD</v>
          </cell>
          <cell r="K181">
            <v>0.49741935483871003</v>
          </cell>
          <cell r="L181" t="str">
            <v>54</v>
          </cell>
          <cell r="M181" t="str">
            <v>CTLG</v>
          </cell>
          <cell r="N181" t="str">
            <v/>
          </cell>
          <cell r="O181" t="str">
            <v/>
          </cell>
        </row>
        <row r="182">
          <cell r="A182">
            <v>34649</v>
          </cell>
          <cell r="B182">
            <v>34649</v>
          </cell>
          <cell r="C182" t="str">
            <v>TO Everlasting Pressed Powder - Medium</v>
          </cell>
          <cell r="D182">
            <v>8</v>
          </cell>
          <cell r="E182">
            <v>500</v>
          </cell>
          <cell r="F182">
            <v>1240</v>
          </cell>
          <cell r="G182">
            <v>623</v>
          </cell>
          <cell r="H182">
            <v>1550</v>
          </cell>
          <cell r="I182">
            <v>779</v>
          </cell>
          <cell r="J182" t="str">
            <v>SD</v>
          </cell>
          <cell r="K182">
            <v>0.49741935483871003</v>
          </cell>
          <cell r="L182" t="str">
            <v>54</v>
          </cell>
          <cell r="M182" t="str">
            <v>CTLG</v>
          </cell>
          <cell r="N182" t="str">
            <v/>
          </cell>
          <cell r="O182" t="str">
            <v/>
          </cell>
        </row>
        <row r="183">
          <cell r="A183">
            <v>34650</v>
          </cell>
          <cell r="B183">
            <v>34650</v>
          </cell>
          <cell r="C183" t="str">
            <v>TO Everlasting Pressed Powder - Dark</v>
          </cell>
          <cell r="D183">
            <v>8</v>
          </cell>
          <cell r="E183">
            <v>500</v>
          </cell>
          <cell r="F183">
            <v>1240</v>
          </cell>
          <cell r="G183">
            <v>623</v>
          </cell>
          <cell r="H183">
            <v>1550</v>
          </cell>
          <cell r="I183">
            <v>779</v>
          </cell>
          <cell r="J183" t="str">
            <v>SD</v>
          </cell>
          <cell r="K183">
            <v>0.49741935483871003</v>
          </cell>
          <cell r="L183" t="str">
            <v>54</v>
          </cell>
          <cell r="M183" t="str">
            <v>CTLG</v>
          </cell>
          <cell r="N183" t="str">
            <v/>
          </cell>
          <cell r="O183" t="str">
            <v/>
          </cell>
        </row>
        <row r="184">
          <cell r="A184">
            <v>47520</v>
          </cell>
          <cell r="B184">
            <v>47520</v>
          </cell>
          <cell r="C184" t="str">
            <v>Pocket Blotting Roller</v>
          </cell>
          <cell r="D184">
            <v>5</v>
          </cell>
          <cell r="E184">
            <v>167</v>
          </cell>
          <cell r="F184">
            <v>744</v>
          </cell>
          <cell r="G184">
            <v>415</v>
          </cell>
          <cell r="H184">
            <v>930</v>
          </cell>
          <cell r="I184">
            <v>519</v>
          </cell>
          <cell r="J184" t="str">
            <v>SD</v>
          </cell>
          <cell r="K184">
            <v>0.44193548387096798</v>
          </cell>
          <cell r="L184" t="str">
            <v>55</v>
          </cell>
          <cell r="M184" t="str">
            <v>CTLG</v>
          </cell>
          <cell r="N184" t="str">
            <v/>
          </cell>
          <cell r="O184" t="str">
            <v/>
          </cell>
        </row>
        <row r="185">
          <cell r="A185">
            <v>42480</v>
          </cell>
          <cell r="B185">
            <v>42480</v>
          </cell>
          <cell r="C185" t="str">
            <v>THE ONE Contouring Brush</v>
          </cell>
          <cell r="D185">
            <v>4</v>
          </cell>
          <cell r="E185">
            <v>141</v>
          </cell>
          <cell r="F185">
            <v>640</v>
          </cell>
          <cell r="G185">
            <v>351</v>
          </cell>
          <cell r="H185">
            <v>800</v>
          </cell>
          <cell r="I185">
            <v>439</v>
          </cell>
          <cell r="J185" t="str">
            <v>SD</v>
          </cell>
          <cell r="K185">
            <v>0.45124999999999998</v>
          </cell>
          <cell r="L185" t="str">
            <v>56</v>
          </cell>
          <cell r="M185" t="str">
            <v>CTLG</v>
          </cell>
          <cell r="N185" t="str">
            <v/>
          </cell>
          <cell r="O185" t="str">
            <v/>
          </cell>
        </row>
        <row r="186">
          <cell r="A186">
            <v>42482</v>
          </cell>
          <cell r="B186">
            <v>42482</v>
          </cell>
          <cell r="C186" t="str">
            <v>THE ONE Blush Brush</v>
          </cell>
          <cell r="D186">
            <v>4</v>
          </cell>
          <cell r="E186">
            <v>128</v>
          </cell>
          <cell r="F186">
            <v>592</v>
          </cell>
          <cell r="G186">
            <v>319</v>
          </cell>
          <cell r="H186">
            <v>740</v>
          </cell>
          <cell r="I186">
            <v>399</v>
          </cell>
          <cell r="J186" t="str">
            <v>SD</v>
          </cell>
          <cell r="K186">
            <v>0.46081081081081099</v>
          </cell>
          <cell r="L186" t="str">
            <v>56</v>
          </cell>
          <cell r="M186" t="str">
            <v>CTLG</v>
          </cell>
          <cell r="N186" t="str">
            <v/>
          </cell>
          <cell r="O186" t="str">
            <v/>
          </cell>
        </row>
        <row r="187">
          <cell r="A187">
            <v>43510</v>
          </cell>
          <cell r="B187">
            <v>43510</v>
          </cell>
          <cell r="C187" t="str">
            <v>TO IN ACTION Foundation SPF 40 - LIvory</v>
          </cell>
          <cell r="D187">
            <v>7</v>
          </cell>
          <cell r="E187">
            <v>474</v>
          </cell>
          <cell r="F187">
            <v>1000</v>
          </cell>
          <cell r="G187">
            <v>591</v>
          </cell>
          <cell r="H187">
            <v>1250</v>
          </cell>
          <cell r="I187">
            <v>739</v>
          </cell>
          <cell r="J187" t="str">
            <v>SD</v>
          </cell>
          <cell r="K187">
            <v>0.4088</v>
          </cell>
          <cell r="L187" t="str">
            <v>56</v>
          </cell>
          <cell r="M187" t="str">
            <v>CTLG</v>
          </cell>
          <cell r="N187" t="str">
            <v/>
          </cell>
          <cell r="O187" t="str">
            <v/>
          </cell>
        </row>
        <row r="188">
          <cell r="A188">
            <v>43511</v>
          </cell>
          <cell r="B188">
            <v>43511</v>
          </cell>
          <cell r="C188" t="str">
            <v>TO IN ACTION Foundation SPF 40 - MBeige</v>
          </cell>
          <cell r="D188">
            <v>7</v>
          </cell>
          <cell r="E188">
            <v>474</v>
          </cell>
          <cell r="F188">
            <v>1000</v>
          </cell>
          <cell r="G188">
            <v>591</v>
          </cell>
          <cell r="H188">
            <v>1250</v>
          </cell>
          <cell r="I188">
            <v>739</v>
          </cell>
          <cell r="J188" t="str">
            <v>SD</v>
          </cell>
          <cell r="K188">
            <v>0.4088</v>
          </cell>
          <cell r="L188" t="str">
            <v>56</v>
          </cell>
          <cell r="M188" t="str">
            <v>CTLG</v>
          </cell>
          <cell r="N188" t="str">
            <v/>
          </cell>
          <cell r="O188" t="str">
            <v/>
          </cell>
        </row>
        <row r="189">
          <cell r="A189">
            <v>43512</v>
          </cell>
          <cell r="B189">
            <v>43512</v>
          </cell>
          <cell r="C189" t="str">
            <v>TO IN ACTION Foundation SPF 40 - WTan</v>
          </cell>
          <cell r="D189">
            <v>7</v>
          </cell>
          <cell r="E189">
            <v>474</v>
          </cell>
          <cell r="F189">
            <v>1000</v>
          </cell>
          <cell r="G189">
            <v>591</v>
          </cell>
          <cell r="H189">
            <v>1250</v>
          </cell>
          <cell r="I189">
            <v>739</v>
          </cell>
          <cell r="J189" t="str">
            <v>SD</v>
          </cell>
          <cell r="K189">
            <v>0.4088</v>
          </cell>
          <cell r="L189" t="str">
            <v>56</v>
          </cell>
          <cell r="M189" t="str">
            <v>CTLG</v>
          </cell>
          <cell r="N189" t="str">
            <v/>
          </cell>
          <cell r="O189" t="str">
            <v/>
          </cell>
        </row>
        <row r="190">
          <cell r="A190">
            <v>44547</v>
          </cell>
          <cell r="B190">
            <v>44547</v>
          </cell>
          <cell r="C190" t="str">
            <v>TO Make-Up Pro On Screen Finish Primer</v>
          </cell>
          <cell r="D190">
            <v>8</v>
          </cell>
          <cell r="E190">
            <v>487</v>
          </cell>
          <cell r="F190">
            <v>1000</v>
          </cell>
          <cell r="G190">
            <v>607</v>
          </cell>
          <cell r="H190">
            <v>1250</v>
          </cell>
          <cell r="I190">
            <v>759</v>
          </cell>
          <cell r="J190" t="str">
            <v>SD</v>
          </cell>
          <cell r="K190">
            <v>0.39279999999999998</v>
          </cell>
          <cell r="L190" t="str">
            <v>56</v>
          </cell>
          <cell r="M190" t="str">
            <v>CTLG</v>
          </cell>
          <cell r="N190" t="str">
            <v/>
          </cell>
          <cell r="O190" t="str">
            <v/>
          </cell>
        </row>
        <row r="191">
          <cell r="A191">
            <v>46399</v>
          </cell>
          <cell r="B191">
            <v>46399</v>
          </cell>
          <cell r="C191" t="str">
            <v>TO Face Styler Blush - S Kissed</v>
          </cell>
          <cell r="D191">
            <v>10</v>
          </cell>
          <cell r="E191">
            <v>628</v>
          </cell>
          <cell r="F191">
            <v>1240</v>
          </cell>
          <cell r="G191">
            <v>783</v>
          </cell>
          <cell r="H191">
            <v>1550</v>
          </cell>
          <cell r="I191">
            <v>979</v>
          </cell>
          <cell r="J191" t="str">
            <v>SD</v>
          </cell>
          <cell r="K191">
            <v>0.36838709677419401</v>
          </cell>
          <cell r="L191" t="str">
            <v>56</v>
          </cell>
          <cell r="M191" t="str">
            <v>CTLG</v>
          </cell>
          <cell r="N191" t="str">
            <v/>
          </cell>
          <cell r="O191" t="str">
            <v/>
          </cell>
        </row>
        <row r="192">
          <cell r="A192">
            <v>46400</v>
          </cell>
          <cell r="B192">
            <v>46400</v>
          </cell>
          <cell r="C192" t="str">
            <v>TO Face Styler Highlighter - G Hour</v>
          </cell>
          <cell r="D192">
            <v>10</v>
          </cell>
          <cell r="E192">
            <v>628</v>
          </cell>
          <cell r="F192">
            <v>1240</v>
          </cell>
          <cell r="G192">
            <v>783</v>
          </cell>
          <cell r="H192">
            <v>1550</v>
          </cell>
          <cell r="I192">
            <v>979</v>
          </cell>
          <cell r="J192" t="str">
            <v>SD</v>
          </cell>
          <cell r="K192">
            <v>0.36838709677419401</v>
          </cell>
          <cell r="L192" t="str">
            <v>56</v>
          </cell>
          <cell r="M192" t="str">
            <v>CTLG</v>
          </cell>
          <cell r="N192" t="str">
            <v/>
          </cell>
          <cell r="O192" t="str">
            <v/>
          </cell>
        </row>
        <row r="193">
          <cell r="A193">
            <v>36126</v>
          </cell>
          <cell r="B193">
            <v>36126</v>
          </cell>
          <cell r="C193" t="str">
            <v>TO Contouring Kit - Sassy</v>
          </cell>
          <cell r="D193">
            <v>11</v>
          </cell>
          <cell r="E193">
            <v>705</v>
          </cell>
          <cell r="F193">
            <v>1320</v>
          </cell>
          <cell r="G193">
            <v>879</v>
          </cell>
          <cell r="H193">
            <v>1650</v>
          </cell>
          <cell r="I193">
            <v>1099</v>
          </cell>
          <cell r="J193" t="str">
            <v>SD</v>
          </cell>
          <cell r="K193">
            <v>0.33393939393939398</v>
          </cell>
          <cell r="L193" t="str">
            <v>57</v>
          </cell>
          <cell r="M193" t="str">
            <v>CTLG</v>
          </cell>
          <cell r="N193" t="str">
            <v/>
          </cell>
          <cell r="O193" t="str">
            <v/>
          </cell>
        </row>
        <row r="194">
          <cell r="A194">
            <v>36547</v>
          </cell>
          <cell r="B194">
            <v>36547</v>
          </cell>
          <cell r="C194" t="str">
            <v>TO High Impact Eye Pencil - PBlack</v>
          </cell>
          <cell r="D194">
            <v>2</v>
          </cell>
          <cell r="E194">
            <v>141</v>
          </cell>
          <cell r="F194">
            <v>400</v>
          </cell>
          <cell r="G194">
            <v>175</v>
          </cell>
          <cell r="H194">
            <v>500</v>
          </cell>
          <cell r="I194">
            <v>219</v>
          </cell>
          <cell r="J194" t="str">
            <v>SD</v>
          </cell>
          <cell r="K194">
            <v>0.56200000000000006</v>
          </cell>
          <cell r="L194" t="str">
            <v>59</v>
          </cell>
          <cell r="M194" t="str">
            <v>CTLG</v>
          </cell>
          <cell r="N194" t="str">
            <v/>
          </cell>
          <cell r="O194" t="str">
            <v/>
          </cell>
        </row>
        <row r="195">
          <cell r="A195">
            <v>36548</v>
          </cell>
          <cell r="B195">
            <v>36548</v>
          </cell>
          <cell r="C195" t="str">
            <v>TO High Impact Eye Pencil - HBown</v>
          </cell>
          <cell r="D195">
            <v>2</v>
          </cell>
          <cell r="E195">
            <v>141</v>
          </cell>
          <cell r="F195">
            <v>400</v>
          </cell>
          <cell r="G195">
            <v>175</v>
          </cell>
          <cell r="H195">
            <v>500</v>
          </cell>
          <cell r="I195">
            <v>219</v>
          </cell>
          <cell r="J195" t="str">
            <v>SD</v>
          </cell>
          <cell r="K195">
            <v>0.56200000000000006</v>
          </cell>
          <cell r="L195" t="str">
            <v>59</v>
          </cell>
          <cell r="M195" t="str">
            <v>CTLG</v>
          </cell>
          <cell r="N195" t="str">
            <v/>
          </cell>
          <cell r="O195" t="str">
            <v/>
          </cell>
        </row>
        <row r="196">
          <cell r="A196">
            <v>36550</v>
          </cell>
          <cell r="B196">
            <v>36550</v>
          </cell>
          <cell r="C196" t="str">
            <v>TO High Impact Eye Pencil - FGreen</v>
          </cell>
          <cell r="D196">
            <v>2</v>
          </cell>
          <cell r="E196">
            <v>141</v>
          </cell>
          <cell r="F196">
            <v>400</v>
          </cell>
          <cell r="G196">
            <v>175</v>
          </cell>
          <cell r="H196">
            <v>500</v>
          </cell>
          <cell r="I196">
            <v>219</v>
          </cell>
          <cell r="J196" t="str">
            <v>SD</v>
          </cell>
          <cell r="K196">
            <v>0.56200000000000006</v>
          </cell>
          <cell r="L196" t="str">
            <v>59</v>
          </cell>
          <cell r="M196" t="str">
            <v>CTLG</v>
          </cell>
          <cell r="N196" t="str">
            <v/>
          </cell>
          <cell r="O196" t="str">
            <v/>
          </cell>
        </row>
        <row r="197">
          <cell r="A197">
            <v>36551</v>
          </cell>
          <cell r="B197">
            <v>36551</v>
          </cell>
          <cell r="C197" t="str">
            <v>TO High Impact Eye Pencil - UGrey</v>
          </cell>
          <cell r="D197">
            <v>2</v>
          </cell>
          <cell r="E197">
            <v>141</v>
          </cell>
          <cell r="F197">
            <v>400</v>
          </cell>
          <cell r="G197">
            <v>175</v>
          </cell>
          <cell r="H197">
            <v>500</v>
          </cell>
          <cell r="I197">
            <v>219</v>
          </cell>
          <cell r="J197" t="str">
            <v>SD</v>
          </cell>
          <cell r="K197">
            <v>0.56200000000000006</v>
          </cell>
          <cell r="L197" t="str">
            <v>59</v>
          </cell>
          <cell r="M197" t="str">
            <v>CTLG</v>
          </cell>
          <cell r="N197" t="str">
            <v/>
          </cell>
          <cell r="O197" t="str">
            <v/>
          </cell>
        </row>
        <row r="198">
          <cell r="A198">
            <v>36552</v>
          </cell>
          <cell r="B198">
            <v>36552</v>
          </cell>
          <cell r="C198" t="str">
            <v>TO High Impact Eye Pencil - CGrey</v>
          </cell>
          <cell r="D198">
            <v>2</v>
          </cell>
          <cell r="E198">
            <v>141</v>
          </cell>
          <cell r="F198">
            <v>400</v>
          </cell>
          <cell r="G198">
            <v>175</v>
          </cell>
          <cell r="H198">
            <v>500</v>
          </cell>
          <cell r="I198">
            <v>219</v>
          </cell>
          <cell r="J198" t="str">
            <v>SD</v>
          </cell>
          <cell r="K198">
            <v>0.56200000000000006</v>
          </cell>
          <cell r="L198" t="str">
            <v>59</v>
          </cell>
          <cell r="M198" t="str">
            <v>CTLG</v>
          </cell>
          <cell r="N198" t="str">
            <v/>
          </cell>
          <cell r="O198" t="str">
            <v/>
          </cell>
        </row>
        <row r="199">
          <cell r="A199">
            <v>36553</v>
          </cell>
          <cell r="B199">
            <v>36553</v>
          </cell>
          <cell r="C199" t="str">
            <v>TO High Impact Eye Pencil - SBlue</v>
          </cell>
          <cell r="D199">
            <v>2</v>
          </cell>
          <cell r="E199">
            <v>141</v>
          </cell>
          <cell r="F199">
            <v>400</v>
          </cell>
          <cell r="G199">
            <v>175</v>
          </cell>
          <cell r="H199">
            <v>500</v>
          </cell>
          <cell r="I199">
            <v>219</v>
          </cell>
          <cell r="J199" t="str">
            <v>SD</v>
          </cell>
          <cell r="K199">
            <v>0.56200000000000006</v>
          </cell>
          <cell r="L199" t="str">
            <v>59</v>
          </cell>
          <cell r="M199" t="str">
            <v>CTLG</v>
          </cell>
          <cell r="N199" t="str">
            <v/>
          </cell>
          <cell r="O199" t="str">
            <v/>
          </cell>
        </row>
        <row r="200">
          <cell r="A200">
            <v>35742</v>
          </cell>
          <cell r="B200">
            <v>35742</v>
          </cell>
          <cell r="C200" t="str">
            <v>TO Wonder Liner - Black</v>
          </cell>
          <cell r="D200">
            <v>6</v>
          </cell>
          <cell r="E200">
            <v>403</v>
          </cell>
          <cell r="F200">
            <v>776</v>
          </cell>
          <cell r="G200">
            <v>503</v>
          </cell>
          <cell r="H200">
            <v>970</v>
          </cell>
          <cell r="I200">
            <v>629</v>
          </cell>
          <cell r="J200" t="str">
            <v>SD</v>
          </cell>
          <cell r="K200">
            <v>0.35154639175257701</v>
          </cell>
          <cell r="L200" t="str">
            <v>60</v>
          </cell>
          <cell r="M200" t="str">
            <v>CTLG</v>
          </cell>
          <cell r="N200" t="str">
            <v/>
          </cell>
          <cell r="O200" t="str">
            <v/>
          </cell>
        </row>
        <row r="201">
          <cell r="A201">
            <v>42779</v>
          </cell>
          <cell r="B201">
            <v>42779</v>
          </cell>
          <cell r="C201" t="str">
            <v>THE ONE Eyeliner Stylo Jumbo - Black</v>
          </cell>
          <cell r="D201">
            <v>6</v>
          </cell>
          <cell r="E201">
            <v>403</v>
          </cell>
          <cell r="F201">
            <v>840</v>
          </cell>
          <cell r="G201">
            <v>503</v>
          </cell>
          <cell r="H201">
            <v>1050</v>
          </cell>
          <cell r="I201">
            <v>629</v>
          </cell>
          <cell r="J201" t="str">
            <v>SD</v>
          </cell>
          <cell r="K201">
            <v>0.400952380952381</v>
          </cell>
          <cell r="L201" t="str">
            <v>60</v>
          </cell>
          <cell r="M201" t="str">
            <v>CTLG</v>
          </cell>
          <cell r="N201" t="str">
            <v/>
          </cell>
          <cell r="O201" t="str">
            <v/>
          </cell>
        </row>
        <row r="202">
          <cell r="A202">
            <v>44002</v>
          </cell>
          <cell r="B202">
            <v>44002</v>
          </cell>
          <cell r="C202" t="str">
            <v>THE ONE Tweezer</v>
          </cell>
          <cell r="D202">
            <v>2</v>
          </cell>
          <cell r="E202">
            <v>54</v>
          </cell>
          <cell r="F202">
            <v>248</v>
          </cell>
          <cell r="G202">
            <v>135</v>
          </cell>
          <cell r="H202">
            <v>310</v>
          </cell>
          <cell r="I202">
            <v>169</v>
          </cell>
          <cell r="J202" t="str">
            <v>SD</v>
          </cell>
          <cell r="K202">
            <v>0.45483870967741902</v>
          </cell>
          <cell r="L202" t="str">
            <v>61</v>
          </cell>
          <cell r="M202" t="str">
            <v>CTLG</v>
          </cell>
          <cell r="N202" t="str">
            <v/>
          </cell>
          <cell r="O202" t="str">
            <v/>
          </cell>
        </row>
        <row r="203">
          <cell r="A203">
            <v>37738</v>
          </cell>
          <cell r="B203">
            <v>37738</v>
          </cell>
          <cell r="C203" t="str">
            <v>TO Brow Pomade Blonde</v>
          </cell>
          <cell r="D203">
            <v>6</v>
          </cell>
          <cell r="E203">
            <v>403</v>
          </cell>
          <cell r="F203">
            <v>1000</v>
          </cell>
          <cell r="G203">
            <v>503</v>
          </cell>
          <cell r="H203">
            <v>1250</v>
          </cell>
          <cell r="I203">
            <v>629</v>
          </cell>
          <cell r="J203" t="str">
            <v>SD</v>
          </cell>
          <cell r="K203">
            <v>0.49680000000000002</v>
          </cell>
          <cell r="L203" t="str">
            <v>61</v>
          </cell>
          <cell r="M203" t="str">
            <v>CTLG</v>
          </cell>
          <cell r="N203" t="str">
            <v/>
          </cell>
          <cell r="O203" t="str">
            <v/>
          </cell>
        </row>
        <row r="204">
          <cell r="A204">
            <v>37739</v>
          </cell>
          <cell r="B204">
            <v>37739</v>
          </cell>
          <cell r="C204" t="str">
            <v>TO Brow Pomade Medium Brown</v>
          </cell>
          <cell r="D204">
            <v>6</v>
          </cell>
          <cell r="E204">
            <v>403</v>
          </cell>
          <cell r="F204">
            <v>1000</v>
          </cell>
          <cell r="G204">
            <v>503</v>
          </cell>
          <cell r="H204">
            <v>1250</v>
          </cell>
          <cell r="I204">
            <v>629</v>
          </cell>
          <cell r="J204" t="str">
            <v>SD</v>
          </cell>
          <cell r="K204">
            <v>0.49680000000000002</v>
          </cell>
          <cell r="L204" t="str">
            <v>61</v>
          </cell>
          <cell r="M204" t="str">
            <v>CTLG</v>
          </cell>
          <cell r="N204" t="str">
            <v/>
          </cell>
          <cell r="O204" t="str">
            <v/>
          </cell>
        </row>
        <row r="205">
          <cell r="A205">
            <v>37740</v>
          </cell>
          <cell r="B205">
            <v>37740</v>
          </cell>
          <cell r="C205" t="str">
            <v>TO Brow Pomade Dark Brown</v>
          </cell>
          <cell r="D205">
            <v>6</v>
          </cell>
          <cell r="E205">
            <v>403</v>
          </cell>
          <cell r="F205">
            <v>1000</v>
          </cell>
          <cell r="G205">
            <v>503</v>
          </cell>
          <cell r="H205">
            <v>1250</v>
          </cell>
          <cell r="I205">
            <v>629</v>
          </cell>
          <cell r="J205" t="str">
            <v>SD</v>
          </cell>
          <cell r="K205">
            <v>0.49680000000000002</v>
          </cell>
          <cell r="L205" t="str">
            <v>61</v>
          </cell>
          <cell r="M205" t="str">
            <v>CTLG</v>
          </cell>
          <cell r="N205" t="str">
            <v/>
          </cell>
          <cell r="O205" t="str">
            <v/>
          </cell>
        </row>
        <row r="206">
          <cell r="A206">
            <v>42484</v>
          </cell>
          <cell r="B206">
            <v>42484</v>
          </cell>
          <cell r="C206" t="str">
            <v>THE ONE Blending Brush</v>
          </cell>
          <cell r="D206">
            <v>3</v>
          </cell>
          <cell r="E206">
            <v>93</v>
          </cell>
          <cell r="F206">
            <v>384</v>
          </cell>
          <cell r="G206">
            <v>231</v>
          </cell>
          <cell r="H206">
            <v>480</v>
          </cell>
          <cell r="I206">
            <v>289</v>
          </cell>
          <cell r="J206" t="str">
            <v>SD</v>
          </cell>
          <cell r="K206">
            <v>0.39791666666666697</v>
          </cell>
          <cell r="L206" t="str">
            <v>62</v>
          </cell>
          <cell r="M206" t="str">
            <v>CTLG</v>
          </cell>
          <cell r="N206" t="str">
            <v/>
          </cell>
          <cell r="O206" t="str">
            <v/>
          </cell>
        </row>
        <row r="207">
          <cell r="A207">
            <v>42485</v>
          </cell>
          <cell r="B207">
            <v>42485</v>
          </cell>
          <cell r="C207" t="str">
            <v>THE ONE Dual Eyeshadow Brush</v>
          </cell>
          <cell r="D207">
            <v>3</v>
          </cell>
          <cell r="E207">
            <v>93</v>
          </cell>
          <cell r="F207">
            <v>384</v>
          </cell>
          <cell r="G207">
            <v>231</v>
          </cell>
          <cell r="H207">
            <v>480</v>
          </cell>
          <cell r="I207">
            <v>289</v>
          </cell>
          <cell r="J207" t="str">
            <v>SD</v>
          </cell>
          <cell r="K207">
            <v>0.39791666666666697</v>
          </cell>
          <cell r="L207" t="str">
            <v>62</v>
          </cell>
          <cell r="M207" t="str">
            <v>CTLG</v>
          </cell>
          <cell r="N207" t="str">
            <v/>
          </cell>
          <cell r="O207" t="str">
            <v/>
          </cell>
        </row>
        <row r="208">
          <cell r="A208">
            <v>44810</v>
          </cell>
          <cell r="B208">
            <v>44810</v>
          </cell>
          <cell r="C208" t="str">
            <v>TO MUP Eyeshadow Quad W.Taupe</v>
          </cell>
          <cell r="D208">
            <v>11</v>
          </cell>
          <cell r="E208">
            <v>705</v>
          </cell>
          <cell r="F208">
            <v>1320</v>
          </cell>
          <cell r="G208">
            <v>879</v>
          </cell>
          <cell r="H208">
            <v>1650</v>
          </cell>
          <cell r="I208">
            <v>1099</v>
          </cell>
          <cell r="J208" t="str">
            <v>SD</v>
          </cell>
          <cell r="K208">
            <v>0.33393939393939398</v>
          </cell>
          <cell r="L208" t="str">
            <v>62</v>
          </cell>
          <cell r="M208" t="str">
            <v>CTLG</v>
          </cell>
          <cell r="N208" t="str">
            <v/>
          </cell>
          <cell r="O208" t="str">
            <v/>
          </cell>
        </row>
        <row r="209">
          <cell r="A209">
            <v>44811</v>
          </cell>
          <cell r="B209">
            <v>44811</v>
          </cell>
          <cell r="C209" t="str">
            <v>TO MUP Eyeshadow Quad S.Grey</v>
          </cell>
          <cell r="D209">
            <v>11</v>
          </cell>
          <cell r="E209">
            <v>705</v>
          </cell>
          <cell r="F209">
            <v>1320</v>
          </cell>
          <cell r="G209">
            <v>879</v>
          </cell>
          <cell r="H209">
            <v>1650</v>
          </cell>
          <cell r="I209">
            <v>1099</v>
          </cell>
          <cell r="J209" t="str">
            <v>SD</v>
          </cell>
          <cell r="K209">
            <v>0.33393939393939398</v>
          </cell>
          <cell r="L209" t="str">
            <v>62</v>
          </cell>
          <cell r="M209" t="str">
            <v>CTLG</v>
          </cell>
          <cell r="N209" t="str">
            <v/>
          </cell>
          <cell r="O209" t="str">
            <v/>
          </cell>
        </row>
        <row r="210">
          <cell r="A210">
            <v>44812</v>
          </cell>
          <cell r="B210">
            <v>44812</v>
          </cell>
          <cell r="C210" t="str">
            <v>TO MUP Eyeshadow Quad S.Gold</v>
          </cell>
          <cell r="D210">
            <v>11</v>
          </cell>
          <cell r="E210">
            <v>705</v>
          </cell>
          <cell r="F210">
            <v>1320</v>
          </cell>
          <cell r="G210">
            <v>879</v>
          </cell>
          <cell r="H210">
            <v>1650</v>
          </cell>
          <cell r="I210">
            <v>1099</v>
          </cell>
          <cell r="J210" t="str">
            <v>SD</v>
          </cell>
          <cell r="K210">
            <v>0.33393939393939398</v>
          </cell>
          <cell r="L210" t="str">
            <v>62</v>
          </cell>
          <cell r="M210" t="str">
            <v>CTLG</v>
          </cell>
          <cell r="N210" t="str">
            <v/>
          </cell>
          <cell r="O210" t="str">
            <v/>
          </cell>
        </row>
        <row r="211">
          <cell r="A211">
            <v>44813</v>
          </cell>
          <cell r="B211">
            <v>44813</v>
          </cell>
          <cell r="C211" t="str">
            <v>TO MUP Eyeshadow Quad R.Plum</v>
          </cell>
          <cell r="D211">
            <v>11</v>
          </cell>
          <cell r="E211">
            <v>705</v>
          </cell>
          <cell r="F211">
            <v>1320</v>
          </cell>
          <cell r="G211">
            <v>879</v>
          </cell>
          <cell r="H211">
            <v>1650</v>
          </cell>
          <cell r="I211">
            <v>1099</v>
          </cell>
          <cell r="J211" t="str">
            <v>SD</v>
          </cell>
          <cell r="K211">
            <v>0.33393939393939398</v>
          </cell>
          <cell r="L211" t="str">
            <v>62</v>
          </cell>
          <cell r="M211" t="str">
            <v>CTLG</v>
          </cell>
          <cell r="N211" t="str">
            <v/>
          </cell>
          <cell r="O211" t="str">
            <v/>
          </cell>
        </row>
        <row r="212">
          <cell r="A212">
            <v>46483</v>
          </cell>
          <cell r="B212">
            <v>46483</v>
          </cell>
          <cell r="C212" t="str">
            <v>THE ONE Colour Unlimited ES - E Peach</v>
          </cell>
          <cell r="D212">
            <v>7</v>
          </cell>
          <cell r="E212">
            <v>436</v>
          </cell>
          <cell r="F212">
            <v>776</v>
          </cell>
          <cell r="G212">
            <v>543</v>
          </cell>
          <cell r="H212">
            <v>970</v>
          </cell>
          <cell r="I212">
            <v>679</v>
          </cell>
          <cell r="J212" t="str">
            <v>SD</v>
          </cell>
          <cell r="K212">
            <v>0.3</v>
          </cell>
          <cell r="L212" t="str">
            <v>62</v>
          </cell>
          <cell r="M212" t="str">
            <v>CTLG</v>
          </cell>
          <cell r="N212" t="str">
            <v/>
          </cell>
          <cell r="O212" t="str">
            <v/>
          </cell>
        </row>
        <row r="213">
          <cell r="A213">
            <v>46484</v>
          </cell>
          <cell r="B213">
            <v>46484</v>
          </cell>
          <cell r="C213" t="str">
            <v>THE ONE Colour Unlimited ES - S Pink</v>
          </cell>
          <cell r="D213">
            <v>7</v>
          </cell>
          <cell r="E213">
            <v>436</v>
          </cell>
          <cell r="F213">
            <v>776</v>
          </cell>
          <cell r="G213">
            <v>543</v>
          </cell>
          <cell r="H213">
            <v>970</v>
          </cell>
          <cell r="I213">
            <v>679</v>
          </cell>
          <cell r="J213" t="str">
            <v>SD</v>
          </cell>
          <cell r="K213">
            <v>0.3</v>
          </cell>
          <cell r="L213" t="str">
            <v>62</v>
          </cell>
          <cell r="M213" t="str">
            <v>CTLG</v>
          </cell>
          <cell r="N213" t="str">
            <v/>
          </cell>
          <cell r="O213" t="str">
            <v/>
          </cell>
        </row>
        <row r="214">
          <cell r="A214">
            <v>46485</v>
          </cell>
          <cell r="B214">
            <v>46485</v>
          </cell>
          <cell r="C214" t="str">
            <v>THE ONE Colour Unlimited ES - A Mauve</v>
          </cell>
          <cell r="D214">
            <v>7</v>
          </cell>
          <cell r="E214">
            <v>436</v>
          </cell>
          <cell r="F214">
            <v>776</v>
          </cell>
          <cell r="G214">
            <v>543</v>
          </cell>
          <cell r="H214">
            <v>970</v>
          </cell>
          <cell r="I214">
            <v>679</v>
          </cell>
          <cell r="J214" t="str">
            <v>SD</v>
          </cell>
          <cell r="K214">
            <v>0.3</v>
          </cell>
          <cell r="L214" t="str">
            <v>62</v>
          </cell>
          <cell r="M214" t="str">
            <v>CTLG</v>
          </cell>
          <cell r="N214" t="str">
            <v/>
          </cell>
          <cell r="O214" t="str">
            <v/>
          </cell>
        </row>
        <row r="215">
          <cell r="A215">
            <v>42780</v>
          </cell>
          <cell r="B215">
            <v>42780</v>
          </cell>
          <cell r="C215" t="str">
            <v>TO Double Effect Mascara - Black</v>
          </cell>
          <cell r="D215">
            <v>5</v>
          </cell>
          <cell r="E215">
            <v>352</v>
          </cell>
          <cell r="F215">
            <v>800</v>
          </cell>
          <cell r="G215">
            <v>439</v>
          </cell>
          <cell r="H215">
            <v>1000</v>
          </cell>
          <cell r="I215">
            <v>549</v>
          </cell>
          <cell r="J215" t="str">
            <v>SD</v>
          </cell>
          <cell r="K215">
            <v>0.45100000000000001</v>
          </cell>
          <cell r="L215" t="str">
            <v>63</v>
          </cell>
          <cell r="M215" t="str">
            <v>CTLG</v>
          </cell>
          <cell r="N215" t="str">
            <v/>
          </cell>
          <cell r="O215" t="str">
            <v/>
          </cell>
        </row>
        <row r="216">
          <cell r="A216">
            <v>43143</v>
          </cell>
          <cell r="B216">
            <v>43143</v>
          </cell>
          <cell r="C216" t="str">
            <v>TO Tremendous Fierce Mascara WS Black</v>
          </cell>
          <cell r="D216">
            <v>4</v>
          </cell>
          <cell r="E216">
            <v>249</v>
          </cell>
          <cell r="F216">
            <v>624</v>
          </cell>
          <cell r="G216">
            <v>311</v>
          </cell>
          <cell r="H216">
            <v>780</v>
          </cell>
          <cell r="I216">
            <v>389</v>
          </cell>
          <cell r="J216" t="str">
            <v>SD</v>
          </cell>
          <cell r="K216">
            <v>0.50128205128205106</v>
          </cell>
          <cell r="L216" t="str">
            <v>63</v>
          </cell>
          <cell r="M216" t="str">
            <v>CTLG</v>
          </cell>
          <cell r="N216" t="str">
            <v/>
          </cell>
          <cell r="O216" t="str">
            <v/>
          </cell>
        </row>
        <row r="217">
          <cell r="A217">
            <v>43509</v>
          </cell>
          <cell r="B217">
            <v>43509</v>
          </cell>
          <cell r="C217" t="str">
            <v>TO IN ACTION Sweat-Proof Mascara</v>
          </cell>
          <cell r="D217">
            <v>3</v>
          </cell>
          <cell r="E217">
            <v>218</v>
          </cell>
          <cell r="F217">
            <v>544</v>
          </cell>
          <cell r="G217">
            <v>271</v>
          </cell>
          <cell r="H217">
            <v>680</v>
          </cell>
          <cell r="I217">
            <v>339</v>
          </cell>
          <cell r="J217" t="str">
            <v>SD</v>
          </cell>
          <cell r="K217">
            <v>0.501470588235294</v>
          </cell>
          <cell r="L217" t="str">
            <v>63</v>
          </cell>
          <cell r="M217" t="str">
            <v>CTLG</v>
          </cell>
          <cell r="N217" t="str">
            <v/>
          </cell>
          <cell r="O217" t="str">
            <v/>
          </cell>
        </row>
        <row r="218">
          <cell r="A218">
            <v>42289</v>
          </cell>
          <cell r="B218">
            <v>42289</v>
          </cell>
          <cell r="C218" t="str">
            <v>Nail It Nail File And Buffer</v>
          </cell>
          <cell r="D218">
            <v>2</v>
          </cell>
          <cell r="E218">
            <v>54</v>
          </cell>
          <cell r="F218">
            <v>248</v>
          </cell>
          <cell r="G218">
            <v>135</v>
          </cell>
          <cell r="H218">
            <v>310</v>
          </cell>
          <cell r="I218">
            <v>169</v>
          </cell>
          <cell r="J218" t="str">
            <v>SD</v>
          </cell>
          <cell r="K218">
            <v>0.45483870967741902</v>
          </cell>
          <cell r="L218" t="str">
            <v>64</v>
          </cell>
          <cell r="M218" t="str">
            <v>CTLG</v>
          </cell>
          <cell r="N218" t="str">
            <v/>
          </cell>
          <cell r="O218" t="str">
            <v/>
          </cell>
        </row>
        <row r="219">
          <cell r="A219">
            <v>38722</v>
          </cell>
          <cell r="B219">
            <v>38722</v>
          </cell>
          <cell r="C219" t="str">
            <v>TO Expert Care Fast &amp; Gentle ... Remover</v>
          </cell>
          <cell r="D219">
            <v>5</v>
          </cell>
          <cell r="E219">
            <v>301</v>
          </cell>
          <cell r="F219">
            <v>680</v>
          </cell>
          <cell r="G219">
            <v>375</v>
          </cell>
          <cell r="H219">
            <v>850</v>
          </cell>
          <cell r="I219">
            <v>469</v>
          </cell>
          <cell r="J219" t="str">
            <v>SD</v>
          </cell>
          <cell r="K219">
            <v>0.44823529411764701</v>
          </cell>
          <cell r="L219" t="str">
            <v>64</v>
          </cell>
          <cell r="M219" t="str">
            <v>CTLG</v>
          </cell>
          <cell r="N219" t="str">
            <v/>
          </cell>
          <cell r="O219" t="str">
            <v/>
          </cell>
        </row>
        <row r="220">
          <cell r="A220">
            <v>41758</v>
          </cell>
          <cell r="B220">
            <v>41758</v>
          </cell>
          <cell r="C220" t="str">
            <v>TO Expert Care Extreme Nail Hardener</v>
          </cell>
          <cell r="D220">
            <v>3</v>
          </cell>
          <cell r="E220">
            <v>192</v>
          </cell>
          <cell r="F220">
            <v>440</v>
          </cell>
          <cell r="G220">
            <v>239</v>
          </cell>
          <cell r="H220">
            <v>550</v>
          </cell>
          <cell r="I220">
            <v>299</v>
          </cell>
          <cell r="J220" t="str">
            <v>SD</v>
          </cell>
          <cell r="K220">
            <v>0.45636363636363603</v>
          </cell>
          <cell r="L220" t="str">
            <v>64</v>
          </cell>
          <cell r="M220" t="str">
            <v>CTLG</v>
          </cell>
          <cell r="N220" t="str">
            <v/>
          </cell>
          <cell r="O220" t="str">
            <v/>
          </cell>
        </row>
        <row r="221">
          <cell r="A221">
            <v>41759</v>
          </cell>
          <cell r="B221">
            <v>41759</v>
          </cell>
          <cell r="C221" t="str">
            <v>TO Expert Care Miraculous Nail Serum</v>
          </cell>
          <cell r="D221">
            <v>3</v>
          </cell>
          <cell r="E221">
            <v>192</v>
          </cell>
          <cell r="F221">
            <v>440</v>
          </cell>
          <cell r="G221">
            <v>239</v>
          </cell>
          <cell r="H221">
            <v>550</v>
          </cell>
          <cell r="I221">
            <v>299</v>
          </cell>
          <cell r="J221" t="str">
            <v>SD</v>
          </cell>
          <cell r="K221">
            <v>0.45636363636363603</v>
          </cell>
          <cell r="L221" t="str">
            <v>64</v>
          </cell>
          <cell r="M221" t="str">
            <v>CTLG</v>
          </cell>
          <cell r="N221" t="str">
            <v/>
          </cell>
          <cell r="O221" t="str">
            <v/>
          </cell>
        </row>
        <row r="222">
          <cell r="A222">
            <v>41187</v>
          </cell>
          <cell r="B222">
            <v>41187</v>
          </cell>
          <cell r="C222" t="str">
            <v>TO Ultimate Gel NL - NSorbet</v>
          </cell>
          <cell r="D222">
            <v>4</v>
          </cell>
          <cell r="E222">
            <v>230</v>
          </cell>
          <cell r="F222">
            <v>440</v>
          </cell>
          <cell r="G222">
            <v>287</v>
          </cell>
          <cell r="H222">
            <v>550</v>
          </cell>
          <cell r="I222">
            <v>359</v>
          </cell>
          <cell r="J222" t="str">
            <v>COB</v>
          </cell>
          <cell r="K222">
            <v>0.34727272727272701</v>
          </cell>
          <cell r="L222" t="str">
            <v>65</v>
          </cell>
          <cell r="M222" t="str">
            <v>CTLG</v>
          </cell>
          <cell r="N222" t="str">
            <v/>
          </cell>
          <cell r="O222" t="str">
            <v/>
          </cell>
        </row>
        <row r="223">
          <cell r="A223">
            <v>41188</v>
          </cell>
          <cell r="B223">
            <v>41188</v>
          </cell>
          <cell r="C223" t="str">
            <v>TO Ultimate Gel NL - CRose</v>
          </cell>
          <cell r="D223">
            <v>4</v>
          </cell>
          <cell r="E223">
            <v>230</v>
          </cell>
          <cell r="F223">
            <v>440</v>
          </cell>
          <cell r="G223">
            <v>287</v>
          </cell>
          <cell r="H223">
            <v>550</v>
          </cell>
          <cell r="I223">
            <v>359</v>
          </cell>
          <cell r="J223" t="str">
            <v>COB</v>
          </cell>
          <cell r="K223">
            <v>0.34727272727272701</v>
          </cell>
          <cell r="L223" t="str">
            <v>65</v>
          </cell>
          <cell r="M223" t="str">
            <v>CTLG</v>
          </cell>
          <cell r="N223" t="str">
            <v/>
          </cell>
          <cell r="O223" t="str">
            <v/>
          </cell>
        </row>
        <row r="224">
          <cell r="A224">
            <v>41189</v>
          </cell>
          <cell r="B224">
            <v>41189</v>
          </cell>
          <cell r="C224" t="str">
            <v>TO Ultimate Gel NL - RMocha</v>
          </cell>
          <cell r="D224">
            <v>4</v>
          </cell>
          <cell r="E224">
            <v>230</v>
          </cell>
          <cell r="F224">
            <v>440</v>
          </cell>
          <cell r="G224">
            <v>287</v>
          </cell>
          <cell r="H224">
            <v>550</v>
          </cell>
          <cell r="I224">
            <v>359</v>
          </cell>
          <cell r="J224" t="str">
            <v>COB</v>
          </cell>
          <cell r="K224">
            <v>0.34727272727272701</v>
          </cell>
          <cell r="L224" t="str">
            <v>65</v>
          </cell>
          <cell r="M224" t="str">
            <v>CTLG</v>
          </cell>
          <cell r="N224" t="str">
            <v/>
          </cell>
          <cell r="O224" t="str">
            <v/>
          </cell>
        </row>
        <row r="225">
          <cell r="A225">
            <v>41190</v>
          </cell>
          <cell r="B225">
            <v>41190</v>
          </cell>
          <cell r="C225" t="str">
            <v>TO Ultimate Gel NL - SCoral</v>
          </cell>
          <cell r="D225">
            <v>4</v>
          </cell>
          <cell r="E225">
            <v>230</v>
          </cell>
          <cell r="F225">
            <v>440</v>
          </cell>
          <cell r="G225">
            <v>287</v>
          </cell>
          <cell r="H225">
            <v>550</v>
          </cell>
          <cell r="I225">
            <v>359</v>
          </cell>
          <cell r="J225" t="str">
            <v>COB</v>
          </cell>
          <cell r="K225">
            <v>0.34727272727272701</v>
          </cell>
          <cell r="L225" t="str">
            <v>65</v>
          </cell>
          <cell r="M225" t="str">
            <v>CTLG</v>
          </cell>
          <cell r="N225" t="str">
            <v/>
          </cell>
          <cell r="O225" t="str">
            <v/>
          </cell>
        </row>
        <row r="226">
          <cell r="A226">
            <v>41191</v>
          </cell>
          <cell r="B226">
            <v>41191</v>
          </cell>
          <cell r="C226" t="str">
            <v>TO Ultimate Gel NL - BPeony</v>
          </cell>
          <cell r="D226">
            <v>4</v>
          </cell>
          <cell r="E226">
            <v>230</v>
          </cell>
          <cell r="F226">
            <v>440</v>
          </cell>
          <cell r="G226">
            <v>287</v>
          </cell>
          <cell r="H226">
            <v>550</v>
          </cell>
          <cell r="I226">
            <v>359</v>
          </cell>
          <cell r="J226" t="str">
            <v>COB</v>
          </cell>
          <cell r="K226">
            <v>0.34727272727272701</v>
          </cell>
          <cell r="L226" t="str">
            <v>65</v>
          </cell>
          <cell r="M226" t="str">
            <v>CTLG</v>
          </cell>
          <cell r="N226" t="str">
            <v/>
          </cell>
          <cell r="O226" t="str">
            <v/>
          </cell>
        </row>
        <row r="227">
          <cell r="A227">
            <v>41192</v>
          </cell>
          <cell r="B227">
            <v>41192</v>
          </cell>
          <cell r="C227" t="str">
            <v>TO Ultimate Gel NL- LSnow</v>
          </cell>
          <cell r="D227">
            <v>4</v>
          </cell>
          <cell r="E227">
            <v>230</v>
          </cell>
          <cell r="F227">
            <v>440</v>
          </cell>
          <cell r="G227">
            <v>287</v>
          </cell>
          <cell r="H227">
            <v>550</v>
          </cell>
          <cell r="I227">
            <v>359</v>
          </cell>
          <cell r="J227" t="str">
            <v>COB</v>
          </cell>
          <cell r="K227">
            <v>0.34727272727272701</v>
          </cell>
          <cell r="L227" t="str">
            <v>65</v>
          </cell>
          <cell r="M227" t="str">
            <v>CTLG</v>
          </cell>
          <cell r="N227" t="str">
            <v/>
          </cell>
          <cell r="O227" t="str">
            <v/>
          </cell>
        </row>
        <row r="228">
          <cell r="A228">
            <v>41195</v>
          </cell>
          <cell r="B228">
            <v>41195</v>
          </cell>
          <cell r="C228" t="str">
            <v>TO Ultimate Gel NL - FRed</v>
          </cell>
          <cell r="D228">
            <v>4</v>
          </cell>
          <cell r="E228">
            <v>230</v>
          </cell>
          <cell r="F228">
            <v>440</v>
          </cell>
          <cell r="G228">
            <v>287</v>
          </cell>
          <cell r="H228">
            <v>550</v>
          </cell>
          <cell r="I228">
            <v>359</v>
          </cell>
          <cell r="J228" t="str">
            <v>COB</v>
          </cell>
          <cell r="K228">
            <v>0.34727272727272701</v>
          </cell>
          <cell r="L228" t="str">
            <v>65</v>
          </cell>
          <cell r="M228" t="str">
            <v>CTLG</v>
          </cell>
          <cell r="N228" t="str">
            <v/>
          </cell>
          <cell r="O228" t="str">
            <v/>
          </cell>
        </row>
        <row r="229">
          <cell r="A229">
            <v>41196</v>
          </cell>
          <cell r="B229">
            <v>41196</v>
          </cell>
          <cell r="C229" t="str">
            <v>TO Ultimate Gel NL- DMaroon</v>
          </cell>
          <cell r="D229">
            <v>4</v>
          </cell>
          <cell r="E229">
            <v>230</v>
          </cell>
          <cell r="F229">
            <v>440</v>
          </cell>
          <cell r="G229">
            <v>287</v>
          </cell>
          <cell r="H229">
            <v>550</v>
          </cell>
          <cell r="I229">
            <v>359</v>
          </cell>
          <cell r="J229" t="str">
            <v>COB</v>
          </cell>
          <cell r="K229">
            <v>0.34727272727272701</v>
          </cell>
          <cell r="L229" t="str">
            <v>65</v>
          </cell>
          <cell r="M229" t="str">
            <v>CTLG</v>
          </cell>
          <cell r="N229" t="str">
            <v/>
          </cell>
          <cell r="O229" t="str">
            <v/>
          </cell>
        </row>
        <row r="230">
          <cell r="A230">
            <v>41187</v>
          </cell>
          <cell r="B230">
            <v>41187</v>
          </cell>
          <cell r="C230" t="str">
            <v>TO Ultimate Gel NL - NSorbet</v>
          </cell>
          <cell r="D230">
            <v>3</v>
          </cell>
          <cell r="E230">
            <v>167</v>
          </cell>
          <cell r="F230">
            <v>440</v>
          </cell>
          <cell r="G230">
            <v>207</v>
          </cell>
          <cell r="H230">
            <v>550</v>
          </cell>
          <cell r="I230">
            <v>259</v>
          </cell>
          <cell r="J230" t="str">
            <v>COB</v>
          </cell>
          <cell r="K230">
            <v>0.52909090909090895</v>
          </cell>
          <cell r="L230" t="str">
            <v>65</v>
          </cell>
          <cell r="M230" t="str">
            <v>CTLG</v>
          </cell>
          <cell r="N230" t="str">
            <v/>
          </cell>
          <cell r="O230" t="str">
            <v/>
          </cell>
        </row>
        <row r="231">
          <cell r="A231">
            <v>41188</v>
          </cell>
          <cell r="B231">
            <v>41188</v>
          </cell>
          <cell r="C231" t="str">
            <v>TO Ultimate Gel NL - CRose</v>
          </cell>
          <cell r="D231">
            <v>3</v>
          </cell>
          <cell r="E231">
            <v>167</v>
          </cell>
          <cell r="F231">
            <v>440</v>
          </cell>
          <cell r="G231">
            <v>207</v>
          </cell>
          <cell r="H231">
            <v>550</v>
          </cell>
          <cell r="I231">
            <v>259</v>
          </cell>
          <cell r="J231" t="str">
            <v>COB</v>
          </cell>
          <cell r="K231">
            <v>0.52909090909090895</v>
          </cell>
          <cell r="L231" t="str">
            <v>65</v>
          </cell>
          <cell r="M231" t="str">
            <v>CTLG</v>
          </cell>
          <cell r="N231" t="str">
            <v/>
          </cell>
          <cell r="O231" t="str">
            <v/>
          </cell>
        </row>
        <row r="232">
          <cell r="A232">
            <v>41189</v>
          </cell>
          <cell r="B232">
            <v>41189</v>
          </cell>
          <cell r="C232" t="str">
            <v>TO Ultimate Gel NL - RMocha</v>
          </cell>
          <cell r="D232">
            <v>3</v>
          </cell>
          <cell r="E232">
            <v>167</v>
          </cell>
          <cell r="F232">
            <v>440</v>
          </cell>
          <cell r="G232">
            <v>207</v>
          </cell>
          <cell r="H232">
            <v>550</v>
          </cell>
          <cell r="I232">
            <v>259</v>
          </cell>
          <cell r="J232" t="str">
            <v>COB</v>
          </cell>
          <cell r="K232">
            <v>0.52909090909090895</v>
          </cell>
          <cell r="L232" t="str">
            <v>65</v>
          </cell>
          <cell r="M232" t="str">
            <v>CTLG</v>
          </cell>
          <cell r="N232" t="str">
            <v/>
          </cell>
          <cell r="O232" t="str">
            <v/>
          </cell>
        </row>
        <row r="233">
          <cell r="A233">
            <v>41190</v>
          </cell>
          <cell r="B233">
            <v>41190</v>
          </cell>
          <cell r="C233" t="str">
            <v>TO Ultimate Gel NL - SCoral</v>
          </cell>
          <cell r="D233">
            <v>3</v>
          </cell>
          <cell r="E233">
            <v>167</v>
          </cell>
          <cell r="F233">
            <v>440</v>
          </cell>
          <cell r="G233">
            <v>207</v>
          </cell>
          <cell r="H233">
            <v>550</v>
          </cell>
          <cell r="I233">
            <v>259</v>
          </cell>
          <cell r="J233" t="str">
            <v>COB</v>
          </cell>
          <cell r="K233">
            <v>0.52909090909090895</v>
          </cell>
          <cell r="L233" t="str">
            <v>65</v>
          </cell>
          <cell r="M233" t="str">
            <v>CTLG</v>
          </cell>
          <cell r="N233" t="str">
            <v/>
          </cell>
          <cell r="O233" t="str">
            <v/>
          </cell>
        </row>
        <row r="234">
          <cell r="A234">
            <v>41191</v>
          </cell>
          <cell r="B234">
            <v>41191</v>
          </cell>
          <cell r="C234" t="str">
            <v>TO Ultimate Gel NL - BPeony</v>
          </cell>
          <cell r="D234">
            <v>3</v>
          </cell>
          <cell r="E234">
            <v>167</v>
          </cell>
          <cell r="F234">
            <v>440</v>
          </cell>
          <cell r="G234">
            <v>207</v>
          </cell>
          <cell r="H234">
            <v>550</v>
          </cell>
          <cell r="I234">
            <v>259</v>
          </cell>
          <cell r="J234" t="str">
            <v>COB</v>
          </cell>
          <cell r="K234">
            <v>0.52909090909090895</v>
          </cell>
          <cell r="L234" t="str">
            <v>65</v>
          </cell>
          <cell r="M234" t="str">
            <v>CTLG</v>
          </cell>
          <cell r="N234" t="str">
            <v/>
          </cell>
          <cell r="O234" t="str">
            <v/>
          </cell>
        </row>
        <row r="235">
          <cell r="A235">
            <v>41192</v>
          </cell>
          <cell r="B235">
            <v>41192</v>
          </cell>
          <cell r="C235" t="str">
            <v>TO Ultimate Gel NL- LSnow</v>
          </cell>
          <cell r="D235">
            <v>3</v>
          </cell>
          <cell r="E235">
            <v>167</v>
          </cell>
          <cell r="F235">
            <v>440</v>
          </cell>
          <cell r="G235">
            <v>207</v>
          </cell>
          <cell r="H235">
            <v>550</v>
          </cell>
          <cell r="I235">
            <v>259</v>
          </cell>
          <cell r="J235" t="str">
            <v>COB</v>
          </cell>
          <cell r="K235">
            <v>0.52909090909090895</v>
          </cell>
          <cell r="L235" t="str">
            <v>65</v>
          </cell>
          <cell r="M235" t="str">
            <v>CTLG</v>
          </cell>
          <cell r="N235" t="str">
            <v/>
          </cell>
          <cell r="O235" t="str">
            <v/>
          </cell>
        </row>
        <row r="236">
          <cell r="A236">
            <v>41195</v>
          </cell>
          <cell r="B236">
            <v>41195</v>
          </cell>
          <cell r="C236" t="str">
            <v>TO Ultimate Gel NL - FRed</v>
          </cell>
          <cell r="D236">
            <v>3</v>
          </cell>
          <cell r="E236">
            <v>167</v>
          </cell>
          <cell r="F236">
            <v>440</v>
          </cell>
          <cell r="G236">
            <v>207</v>
          </cell>
          <cell r="H236">
            <v>550</v>
          </cell>
          <cell r="I236">
            <v>259</v>
          </cell>
          <cell r="J236" t="str">
            <v>COB</v>
          </cell>
          <cell r="K236">
            <v>0.52909090909090895</v>
          </cell>
          <cell r="L236" t="str">
            <v>65</v>
          </cell>
          <cell r="M236" t="str">
            <v>CTLG</v>
          </cell>
          <cell r="N236" t="str">
            <v/>
          </cell>
          <cell r="O236" t="str">
            <v/>
          </cell>
        </row>
        <row r="237">
          <cell r="A237">
            <v>41196</v>
          </cell>
          <cell r="B237">
            <v>41196</v>
          </cell>
          <cell r="C237" t="str">
            <v>TO Ultimate Gel NL- DMaroon</v>
          </cell>
          <cell r="D237">
            <v>3</v>
          </cell>
          <cell r="E237">
            <v>167</v>
          </cell>
          <cell r="F237">
            <v>440</v>
          </cell>
          <cell r="G237">
            <v>207</v>
          </cell>
          <cell r="H237">
            <v>550</v>
          </cell>
          <cell r="I237">
            <v>259</v>
          </cell>
          <cell r="J237" t="str">
            <v>COB</v>
          </cell>
          <cell r="K237">
            <v>0.52909090909090895</v>
          </cell>
          <cell r="L237" t="str">
            <v>65</v>
          </cell>
          <cell r="M237" t="str">
            <v>CTLG</v>
          </cell>
          <cell r="N237" t="str">
            <v/>
          </cell>
          <cell r="O237" t="str">
            <v/>
          </cell>
        </row>
        <row r="238">
          <cell r="A238">
            <v>41471</v>
          </cell>
          <cell r="B238">
            <v>41471</v>
          </cell>
          <cell r="C238" t="str">
            <v>TO Ultimate Gel NL - S Punch</v>
          </cell>
          <cell r="D238">
            <v>4</v>
          </cell>
          <cell r="E238">
            <v>230</v>
          </cell>
          <cell r="F238">
            <v>440</v>
          </cell>
          <cell r="G238">
            <v>287</v>
          </cell>
          <cell r="H238">
            <v>550</v>
          </cell>
          <cell r="I238">
            <v>359</v>
          </cell>
          <cell r="J238" t="str">
            <v>COB</v>
          </cell>
          <cell r="K238">
            <v>0.34727272727272701</v>
          </cell>
          <cell r="L238" t="str">
            <v>65</v>
          </cell>
          <cell r="M238" t="str">
            <v>CTLG</v>
          </cell>
          <cell r="N238" t="str">
            <v/>
          </cell>
          <cell r="O238" t="str">
            <v/>
          </cell>
        </row>
        <row r="239">
          <cell r="A239">
            <v>41472</v>
          </cell>
          <cell r="B239">
            <v>41472</v>
          </cell>
          <cell r="C239" t="str">
            <v>TO Ultimate Gel NL - L Peony</v>
          </cell>
          <cell r="D239">
            <v>4</v>
          </cell>
          <cell r="E239">
            <v>230</v>
          </cell>
          <cell r="F239">
            <v>440</v>
          </cell>
          <cell r="G239">
            <v>287</v>
          </cell>
          <cell r="H239">
            <v>550</v>
          </cell>
          <cell r="I239">
            <v>359</v>
          </cell>
          <cell r="J239" t="str">
            <v>COB</v>
          </cell>
          <cell r="K239">
            <v>0.34727272727272701</v>
          </cell>
          <cell r="L239" t="str">
            <v>65</v>
          </cell>
          <cell r="M239" t="str">
            <v>CTLG</v>
          </cell>
          <cell r="N239" t="str">
            <v/>
          </cell>
          <cell r="O239" t="str">
            <v/>
          </cell>
        </row>
        <row r="240">
          <cell r="A240">
            <v>41473</v>
          </cell>
          <cell r="B240">
            <v>41473</v>
          </cell>
          <cell r="C240" t="str">
            <v>TO Ultimate Gel NL - R Berry</v>
          </cell>
          <cell r="D240">
            <v>4</v>
          </cell>
          <cell r="E240">
            <v>230</v>
          </cell>
          <cell r="F240">
            <v>440</v>
          </cell>
          <cell r="G240">
            <v>287</v>
          </cell>
          <cell r="H240">
            <v>550</v>
          </cell>
          <cell r="I240">
            <v>359</v>
          </cell>
          <cell r="J240" t="str">
            <v>COB</v>
          </cell>
          <cell r="K240">
            <v>0.34727272727272701</v>
          </cell>
          <cell r="L240" t="str">
            <v>65</v>
          </cell>
          <cell r="M240" t="str">
            <v>CTLG</v>
          </cell>
          <cell r="N240" t="str">
            <v/>
          </cell>
          <cell r="O240" t="str">
            <v/>
          </cell>
        </row>
        <row r="241">
          <cell r="A241">
            <v>41474</v>
          </cell>
          <cell r="B241">
            <v>41474</v>
          </cell>
          <cell r="C241" t="str">
            <v>TO Ultimate Gel NL - B Sand</v>
          </cell>
          <cell r="D241">
            <v>4</v>
          </cell>
          <cell r="E241">
            <v>230</v>
          </cell>
          <cell r="F241">
            <v>440</v>
          </cell>
          <cell r="G241">
            <v>287</v>
          </cell>
          <cell r="H241">
            <v>550</v>
          </cell>
          <cell r="I241">
            <v>359</v>
          </cell>
          <cell r="J241" t="str">
            <v>COB</v>
          </cell>
          <cell r="K241">
            <v>0.34727272727272701</v>
          </cell>
          <cell r="L241" t="str">
            <v>65</v>
          </cell>
          <cell r="M241" t="str">
            <v>CTLG</v>
          </cell>
          <cell r="N241" t="str">
            <v/>
          </cell>
          <cell r="O241" t="str">
            <v/>
          </cell>
        </row>
        <row r="242">
          <cell r="A242">
            <v>41471</v>
          </cell>
          <cell r="B242">
            <v>41471</v>
          </cell>
          <cell r="C242" t="str">
            <v>TO Ultimate Gel NL - S Punch</v>
          </cell>
          <cell r="D242">
            <v>3</v>
          </cell>
          <cell r="E242">
            <v>167</v>
          </cell>
          <cell r="F242">
            <v>440</v>
          </cell>
          <cell r="G242">
            <v>207</v>
          </cell>
          <cell r="H242">
            <v>550</v>
          </cell>
          <cell r="I242">
            <v>259</v>
          </cell>
          <cell r="J242" t="str">
            <v>COB</v>
          </cell>
          <cell r="K242">
            <v>0.52909090909090895</v>
          </cell>
          <cell r="L242" t="str">
            <v>65</v>
          </cell>
          <cell r="M242" t="str">
            <v>CTLG</v>
          </cell>
          <cell r="N242" t="str">
            <v/>
          </cell>
          <cell r="O242" t="str">
            <v/>
          </cell>
        </row>
        <row r="243">
          <cell r="A243">
            <v>41472</v>
          </cell>
          <cell r="B243">
            <v>41472</v>
          </cell>
          <cell r="C243" t="str">
            <v>TO Ultimate Gel NL - L Peony</v>
          </cell>
          <cell r="D243">
            <v>3</v>
          </cell>
          <cell r="E243">
            <v>167</v>
          </cell>
          <cell r="F243">
            <v>440</v>
          </cell>
          <cell r="G243">
            <v>207</v>
          </cell>
          <cell r="H243">
            <v>550</v>
          </cell>
          <cell r="I243">
            <v>259</v>
          </cell>
          <cell r="J243" t="str">
            <v>COB</v>
          </cell>
          <cell r="K243">
            <v>0.52909090909090895</v>
          </cell>
          <cell r="L243" t="str">
            <v>65</v>
          </cell>
          <cell r="M243" t="str">
            <v>CTLG</v>
          </cell>
          <cell r="N243" t="str">
            <v/>
          </cell>
          <cell r="O243" t="str">
            <v/>
          </cell>
        </row>
        <row r="244">
          <cell r="A244">
            <v>41473</v>
          </cell>
          <cell r="B244">
            <v>41473</v>
          </cell>
          <cell r="C244" t="str">
            <v>TO Ultimate Gel NL - R Berry</v>
          </cell>
          <cell r="D244">
            <v>3</v>
          </cell>
          <cell r="E244">
            <v>167</v>
          </cell>
          <cell r="F244">
            <v>440</v>
          </cell>
          <cell r="G244">
            <v>207</v>
          </cell>
          <cell r="H244">
            <v>550</v>
          </cell>
          <cell r="I244">
            <v>259</v>
          </cell>
          <cell r="J244" t="str">
            <v>COB</v>
          </cell>
          <cell r="K244">
            <v>0.52909090909090895</v>
          </cell>
          <cell r="L244" t="str">
            <v>65</v>
          </cell>
          <cell r="M244" t="str">
            <v>CTLG</v>
          </cell>
          <cell r="N244" t="str">
            <v/>
          </cell>
          <cell r="O244" t="str">
            <v/>
          </cell>
        </row>
        <row r="245">
          <cell r="A245">
            <v>41474</v>
          </cell>
          <cell r="B245">
            <v>41474</v>
          </cell>
          <cell r="C245" t="str">
            <v>TO Ultimate Gel NL - B Sand</v>
          </cell>
          <cell r="D245">
            <v>3</v>
          </cell>
          <cell r="E245">
            <v>167</v>
          </cell>
          <cell r="F245">
            <v>440</v>
          </cell>
          <cell r="G245">
            <v>207</v>
          </cell>
          <cell r="H245">
            <v>550</v>
          </cell>
          <cell r="I245">
            <v>259</v>
          </cell>
          <cell r="J245" t="str">
            <v>COB</v>
          </cell>
          <cell r="K245">
            <v>0.52909090909090895</v>
          </cell>
          <cell r="L245" t="str">
            <v>65</v>
          </cell>
          <cell r="M245" t="str">
            <v>CTLG</v>
          </cell>
          <cell r="N245" t="str">
            <v/>
          </cell>
          <cell r="O245" t="str">
            <v/>
          </cell>
        </row>
        <row r="246">
          <cell r="A246">
            <v>43185</v>
          </cell>
          <cell r="B246">
            <v>43185</v>
          </cell>
          <cell r="C246" t="str">
            <v>TO Ultimate Gel Top Coat</v>
          </cell>
          <cell r="D246">
            <v>5</v>
          </cell>
          <cell r="E246">
            <v>321</v>
          </cell>
          <cell r="F246">
            <v>616</v>
          </cell>
          <cell r="G246">
            <v>399</v>
          </cell>
          <cell r="H246">
            <v>770</v>
          </cell>
          <cell r="I246">
            <v>499</v>
          </cell>
          <cell r="J246" t="str">
            <v>COB</v>
          </cell>
          <cell r="K246">
            <v>0.35194805194805201</v>
          </cell>
          <cell r="L246" t="str">
            <v>65</v>
          </cell>
          <cell r="M246" t="str">
            <v>CTLG</v>
          </cell>
          <cell r="N246" t="str">
            <v/>
          </cell>
          <cell r="O246" t="str">
            <v/>
          </cell>
        </row>
        <row r="247">
          <cell r="A247">
            <v>43185</v>
          </cell>
          <cell r="B247">
            <v>43185</v>
          </cell>
          <cell r="C247" t="str">
            <v>TO Ultimate Gel Top Coat</v>
          </cell>
          <cell r="D247">
            <v>4</v>
          </cell>
          <cell r="E247">
            <v>249</v>
          </cell>
          <cell r="F247">
            <v>616</v>
          </cell>
          <cell r="G247">
            <v>311</v>
          </cell>
          <cell r="H247">
            <v>770</v>
          </cell>
          <cell r="I247">
            <v>389</v>
          </cell>
          <cell r="J247" t="str">
            <v>COB</v>
          </cell>
          <cell r="K247">
            <v>0.49480519480519503</v>
          </cell>
          <cell r="L247" t="str">
            <v>65</v>
          </cell>
          <cell r="M247" t="str">
            <v>CTLG</v>
          </cell>
          <cell r="N247" t="str">
            <v/>
          </cell>
          <cell r="O247" t="str">
            <v/>
          </cell>
        </row>
        <row r="248">
          <cell r="A248">
            <v>46666</v>
          </cell>
          <cell r="B248">
            <v>46666</v>
          </cell>
          <cell r="C248" t="str">
            <v>TO Ultimate Gel Nail Lacquer</v>
          </cell>
          <cell r="D248">
            <v>4</v>
          </cell>
          <cell r="E248">
            <v>230</v>
          </cell>
          <cell r="F248">
            <v>440</v>
          </cell>
          <cell r="G248">
            <v>287</v>
          </cell>
          <cell r="H248">
            <v>550</v>
          </cell>
          <cell r="I248">
            <v>359</v>
          </cell>
          <cell r="J248" t="str">
            <v>COB</v>
          </cell>
          <cell r="K248">
            <v>0.34727272727272701</v>
          </cell>
          <cell r="L248" t="str">
            <v>65</v>
          </cell>
          <cell r="M248" t="str">
            <v>CTLG</v>
          </cell>
          <cell r="N248" t="str">
            <v/>
          </cell>
          <cell r="O248" t="str">
            <v/>
          </cell>
        </row>
        <row r="249">
          <cell r="A249">
            <v>46667</v>
          </cell>
          <cell r="B249">
            <v>46667</v>
          </cell>
          <cell r="C249" t="str">
            <v>TO Ultimate Gel Nail Lacquer</v>
          </cell>
          <cell r="D249">
            <v>4</v>
          </cell>
          <cell r="E249">
            <v>230</v>
          </cell>
          <cell r="F249">
            <v>440</v>
          </cell>
          <cell r="G249">
            <v>287</v>
          </cell>
          <cell r="H249">
            <v>550</v>
          </cell>
          <cell r="I249">
            <v>359</v>
          </cell>
          <cell r="J249" t="str">
            <v>COB</v>
          </cell>
          <cell r="K249">
            <v>0.34727272727272701</v>
          </cell>
          <cell r="L249" t="str">
            <v>65</v>
          </cell>
          <cell r="M249" t="str">
            <v>CTLG</v>
          </cell>
          <cell r="N249" t="str">
            <v/>
          </cell>
          <cell r="O249" t="str">
            <v/>
          </cell>
        </row>
        <row r="250">
          <cell r="A250">
            <v>46668</v>
          </cell>
          <cell r="B250">
            <v>46668</v>
          </cell>
          <cell r="C250" t="str">
            <v>TO Ultimate Gel Nail Lacquer</v>
          </cell>
          <cell r="D250">
            <v>4</v>
          </cell>
          <cell r="E250">
            <v>230</v>
          </cell>
          <cell r="F250">
            <v>440</v>
          </cell>
          <cell r="G250">
            <v>287</v>
          </cell>
          <cell r="H250">
            <v>550</v>
          </cell>
          <cell r="I250">
            <v>359</v>
          </cell>
          <cell r="J250" t="str">
            <v>COB</v>
          </cell>
          <cell r="K250">
            <v>0.34727272727272701</v>
          </cell>
          <cell r="L250" t="str">
            <v>65</v>
          </cell>
          <cell r="M250" t="str">
            <v>CTLG</v>
          </cell>
          <cell r="N250" t="str">
            <v/>
          </cell>
          <cell r="O250" t="str">
            <v/>
          </cell>
        </row>
        <row r="251">
          <cell r="A251">
            <v>46669</v>
          </cell>
          <cell r="B251">
            <v>46669</v>
          </cell>
          <cell r="C251" t="str">
            <v>TO Ultimate Gel Nail Lacquer</v>
          </cell>
          <cell r="D251">
            <v>4</v>
          </cell>
          <cell r="E251">
            <v>230</v>
          </cell>
          <cell r="F251">
            <v>440</v>
          </cell>
          <cell r="G251">
            <v>287</v>
          </cell>
          <cell r="H251">
            <v>550</v>
          </cell>
          <cell r="I251">
            <v>359</v>
          </cell>
          <cell r="J251" t="str">
            <v>COB</v>
          </cell>
          <cell r="K251">
            <v>0.34727272727272701</v>
          </cell>
          <cell r="L251" t="str">
            <v>65</v>
          </cell>
          <cell r="M251" t="str">
            <v>CTLG</v>
          </cell>
          <cell r="N251" t="str">
            <v/>
          </cell>
          <cell r="O251" t="str">
            <v/>
          </cell>
        </row>
        <row r="252">
          <cell r="A252">
            <v>46666</v>
          </cell>
          <cell r="B252">
            <v>46666</v>
          </cell>
          <cell r="C252" t="str">
            <v>TO Ultimate Gel Nail Lacquer</v>
          </cell>
          <cell r="D252">
            <v>3</v>
          </cell>
          <cell r="E252">
            <v>167</v>
          </cell>
          <cell r="F252">
            <v>440</v>
          </cell>
          <cell r="G252">
            <v>207</v>
          </cell>
          <cell r="H252">
            <v>550</v>
          </cell>
          <cell r="I252">
            <v>259</v>
          </cell>
          <cell r="J252" t="str">
            <v>COB</v>
          </cell>
          <cell r="K252">
            <v>0.52909090909090895</v>
          </cell>
          <cell r="L252" t="str">
            <v>65</v>
          </cell>
          <cell r="M252" t="str">
            <v>CTLG</v>
          </cell>
          <cell r="N252" t="str">
            <v/>
          </cell>
          <cell r="O252" t="str">
            <v/>
          </cell>
        </row>
        <row r="253">
          <cell r="A253">
            <v>46667</v>
          </cell>
          <cell r="B253">
            <v>46667</v>
          </cell>
          <cell r="C253" t="str">
            <v>TO Ultimate Gel Nail Lacquer</v>
          </cell>
          <cell r="D253">
            <v>3</v>
          </cell>
          <cell r="E253">
            <v>167</v>
          </cell>
          <cell r="F253">
            <v>440</v>
          </cell>
          <cell r="G253">
            <v>207</v>
          </cell>
          <cell r="H253">
            <v>550</v>
          </cell>
          <cell r="I253">
            <v>259</v>
          </cell>
          <cell r="J253" t="str">
            <v>COB</v>
          </cell>
          <cell r="K253">
            <v>0.52909090909090895</v>
          </cell>
          <cell r="L253" t="str">
            <v>65</v>
          </cell>
          <cell r="M253" t="str">
            <v>CTLG</v>
          </cell>
          <cell r="N253" t="str">
            <v/>
          </cell>
          <cell r="O253" t="str">
            <v/>
          </cell>
        </row>
        <row r="254">
          <cell r="A254">
            <v>46668</v>
          </cell>
          <cell r="B254">
            <v>46668</v>
          </cell>
          <cell r="C254" t="str">
            <v>TO Ultimate Gel Nail Lacquer</v>
          </cell>
          <cell r="D254">
            <v>3</v>
          </cell>
          <cell r="E254">
            <v>167</v>
          </cell>
          <cell r="F254">
            <v>440</v>
          </cell>
          <cell r="G254">
            <v>207</v>
          </cell>
          <cell r="H254">
            <v>550</v>
          </cell>
          <cell r="I254">
            <v>259</v>
          </cell>
          <cell r="J254" t="str">
            <v>COB</v>
          </cell>
          <cell r="K254">
            <v>0.52909090909090895</v>
          </cell>
          <cell r="L254" t="str">
            <v>65</v>
          </cell>
          <cell r="M254" t="str">
            <v>CTLG</v>
          </cell>
          <cell r="N254" t="str">
            <v/>
          </cell>
          <cell r="O254" t="str">
            <v/>
          </cell>
        </row>
        <row r="255">
          <cell r="A255">
            <v>46669</v>
          </cell>
          <cell r="B255">
            <v>46669</v>
          </cell>
          <cell r="C255" t="str">
            <v>TO Ultimate Gel Nail Lacquer</v>
          </cell>
          <cell r="D255">
            <v>3</v>
          </cell>
          <cell r="E255">
            <v>167</v>
          </cell>
          <cell r="F255">
            <v>440</v>
          </cell>
          <cell r="G255">
            <v>207</v>
          </cell>
          <cell r="H255">
            <v>550</v>
          </cell>
          <cell r="I255">
            <v>259</v>
          </cell>
          <cell r="J255" t="str">
            <v>COB</v>
          </cell>
          <cell r="K255">
            <v>0.52909090909090895</v>
          </cell>
          <cell r="L255" t="str">
            <v>65</v>
          </cell>
          <cell r="M255" t="str">
            <v>CTLG</v>
          </cell>
          <cell r="N255" t="str">
            <v/>
          </cell>
          <cell r="O255" t="str">
            <v/>
          </cell>
        </row>
        <row r="256">
          <cell r="A256">
            <v>35424</v>
          </cell>
          <cell r="B256">
            <v>35424</v>
          </cell>
          <cell r="C256" t="str">
            <v>OnColour Liquid Eye Liner - Black</v>
          </cell>
          <cell r="D256">
            <v>3</v>
          </cell>
          <cell r="E256">
            <v>192</v>
          </cell>
          <cell r="F256">
            <v>472</v>
          </cell>
          <cell r="G256">
            <v>239</v>
          </cell>
          <cell r="H256">
            <v>590</v>
          </cell>
          <cell r="I256">
            <v>299</v>
          </cell>
          <cell r="J256" t="str">
            <v>SD</v>
          </cell>
          <cell r="K256">
            <v>0.49322033898305101</v>
          </cell>
          <cell r="L256" t="str">
            <v>66</v>
          </cell>
          <cell r="M256" t="str">
            <v>CTLG</v>
          </cell>
          <cell r="N256" t="str">
            <v/>
          </cell>
          <cell r="O256" t="str">
            <v/>
          </cell>
        </row>
        <row r="257">
          <cell r="A257">
            <v>45941</v>
          </cell>
          <cell r="B257">
            <v>45941</v>
          </cell>
          <cell r="C257" t="str">
            <v>OnColour Nail Polish - F Lavender</v>
          </cell>
          <cell r="D257">
            <v>2</v>
          </cell>
          <cell r="E257">
            <v>153</v>
          </cell>
          <cell r="F257">
            <v>344</v>
          </cell>
          <cell r="G257">
            <v>191</v>
          </cell>
          <cell r="H257">
            <v>430</v>
          </cell>
          <cell r="I257">
            <v>239</v>
          </cell>
          <cell r="J257" t="str">
            <v>SD</v>
          </cell>
          <cell r="K257">
            <v>0.44418604651162802</v>
          </cell>
          <cell r="L257" t="str">
            <v>66</v>
          </cell>
          <cell r="M257" t="str">
            <v>CTLG</v>
          </cell>
          <cell r="N257" t="str">
            <v/>
          </cell>
          <cell r="O257" t="str">
            <v/>
          </cell>
        </row>
        <row r="258">
          <cell r="A258">
            <v>45942</v>
          </cell>
          <cell r="B258">
            <v>45942</v>
          </cell>
          <cell r="C258" t="str">
            <v>OnColour Nail Polish - P Pink</v>
          </cell>
          <cell r="D258">
            <v>2</v>
          </cell>
          <cell r="E258">
            <v>153</v>
          </cell>
          <cell r="F258">
            <v>344</v>
          </cell>
          <cell r="G258">
            <v>191</v>
          </cell>
          <cell r="H258">
            <v>430</v>
          </cell>
          <cell r="I258">
            <v>239</v>
          </cell>
          <cell r="J258" t="str">
            <v>SD</v>
          </cell>
          <cell r="K258">
            <v>0.44418604651162802</v>
          </cell>
          <cell r="L258" t="str">
            <v>66</v>
          </cell>
          <cell r="M258" t="str">
            <v>CTLG</v>
          </cell>
          <cell r="N258" t="str">
            <v/>
          </cell>
          <cell r="O258" t="str">
            <v/>
          </cell>
        </row>
        <row r="259">
          <cell r="A259">
            <v>45943</v>
          </cell>
          <cell r="B259">
            <v>45943</v>
          </cell>
          <cell r="C259" t="str">
            <v>OnColour Nail Polish - I Blue</v>
          </cell>
          <cell r="D259">
            <v>2</v>
          </cell>
          <cell r="E259">
            <v>153</v>
          </cell>
          <cell r="F259">
            <v>344</v>
          </cell>
          <cell r="G259">
            <v>191</v>
          </cell>
          <cell r="H259">
            <v>430</v>
          </cell>
          <cell r="I259">
            <v>239</v>
          </cell>
          <cell r="J259" t="str">
            <v>SD</v>
          </cell>
          <cell r="K259">
            <v>0.44418604651162802</v>
          </cell>
          <cell r="L259" t="str">
            <v>66</v>
          </cell>
          <cell r="M259" t="str">
            <v>CTLG</v>
          </cell>
          <cell r="N259" t="str">
            <v/>
          </cell>
          <cell r="O259" t="str">
            <v/>
          </cell>
        </row>
        <row r="260">
          <cell r="A260">
            <v>45944</v>
          </cell>
          <cell r="B260">
            <v>45944</v>
          </cell>
          <cell r="C260" t="str">
            <v>OnColour Nail Polish - A Blue</v>
          </cell>
          <cell r="D260">
            <v>2</v>
          </cell>
          <cell r="E260">
            <v>153</v>
          </cell>
          <cell r="F260">
            <v>344</v>
          </cell>
          <cell r="G260">
            <v>191</v>
          </cell>
          <cell r="H260">
            <v>430</v>
          </cell>
          <cell r="I260">
            <v>239</v>
          </cell>
          <cell r="J260" t="str">
            <v>SD</v>
          </cell>
          <cell r="K260">
            <v>0.44418604651162802</v>
          </cell>
          <cell r="L260" t="str">
            <v>66</v>
          </cell>
          <cell r="M260" t="str">
            <v>CTLG</v>
          </cell>
          <cell r="N260" t="str">
            <v/>
          </cell>
          <cell r="O260" t="str">
            <v/>
          </cell>
        </row>
        <row r="261">
          <cell r="A261">
            <v>46465</v>
          </cell>
          <cell r="B261">
            <v>46465</v>
          </cell>
          <cell r="C261" t="str">
            <v>OnColour So Icy Duo Eye penci...e Icicle</v>
          </cell>
          <cell r="D261">
            <v>3</v>
          </cell>
          <cell r="E261">
            <v>224</v>
          </cell>
          <cell r="F261">
            <v>424</v>
          </cell>
          <cell r="G261">
            <v>279</v>
          </cell>
          <cell r="H261">
            <v>530</v>
          </cell>
          <cell r="I261">
            <v>349</v>
          </cell>
          <cell r="J261" t="str">
            <v>SD</v>
          </cell>
          <cell r="K261">
            <v>0.34150943396226402</v>
          </cell>
          <cell r="L261" t="str">
            <v>66</v>
          </cell>
          <cell r="M261" t="str">
            <v>CTLG</v>
          </cell>
          <cell r="N261" t="str">
            <v/>
          </cell>
          <cell r="O261" t="str">
            <v/>
          </cell>
        </row>
        <row r="262">
          <cell r="A262">
            <v>46466</v>
          </cell>
          <cell r="B262">
            <v>46466</v>
          </cell>
          <cell r="C262" t="str">
            <v>OnColour So Icy Duo Eye penci...ac Artic</v>
          </cell>
          <cell r="D262">
            <v>3</v>
          </cell>
          <cell r="E262">
            <v>224</v>
          </cell>
          <cell r="F262">
            <v>424</v>
          </cell>
          <cell r="G262">
            <v>279</v>
          </cell>
          <cell r="H262">
            <v>530</v>
          </cell>
          <cell r="I262">
            <v>349</v>
          </cell>
          <cell r="J262" t="str">
            <v>SD</v>
          </cell>
          <cell r="K262">
            <v>0.34150943396226402</v>
          </cell>
          <cell r="L262" t="str">
            <v>66</v>
          </cell>
          <cell r="M262" t="str">
            <v>CTLG</v>
          </cell>
          <cell r="N262" t="str">
            <v/>
          </cell>
          <cell r="O262" t="str">
            <v/>
          </cell>
        </row>
        <row r="263">
          <cell r="A263">
            <v>40842</v>
          </cell>
          <cell r="B263">
            <v>40842</v>
          </cell>
          <cell r="C263" t="str">
            <v>OC Multiple Lash Mascara - Blue</v>
          </cell>
          <cell r="D263">
            <v>3</v>
          </cell>
          <cell r="E263">
            <v>205</v>
          </cell>
          <cell r="F263">
            <v>456</v>
          </cell>
          <cell r="G263">
            <v>255</v>
          </cell>
          <cell r="H263">
            <v>570</v>
          </cell>
          <cell r="I263">
            <v>319</v>
          </cell>
          <cell r="J263" t="str">
            <v>SD</v>
          </cell>
          <cell r="K263">
            <v>0.44035087719298199</v>
          </cell>
          <cell r="L263" t="str">
            <v>67</v>
          </cell>
          <cell r="M263" t="str">
            <v>CTLG</v>
          </cell>
          <cell r="N263" t="str">
            <v/>
          </cell>
          <cell r="O263" t="str">
            <v/>
          </cell>
        </row>
        <row r="264">
          <cell r="A264">
            <v>41715</v>
          </cell>
          <cell r="B264">
            <v>41715</v>
          </cell>
          <cell r="C264" t="str">
            <v>OC Multiple Lash Mascara - Black</v>
          </cell>
          <cell r="D264">
            <v>3</v>
          </cell>
          <cell r="E264">
            <v>205</v>
          </cell>
          <cell r="F264">
            <v>456</v>
          </cell>
          <cell r="G264">
            <v>255</v>
          </cell>
          <cell r="H264">
            <v>570</v>
          </cell>
          <cell r="I264">
            <v>319</v>
          </cell>
          <cell r="J264" t="str">
            <v>SD</v>
          </cell>
          <cell r="K264">
            <v>0.44035087719298199</v>
          </cell>
          <cell r="L264" t="str">
            <v>67</v>
          </cell>
          <cell r="M264" t="str">
            <v>CTLG</v>
          </cell>
          <cell r="N264" t="str">
            <v/>
          </cell>
          <cell r="O264" t="str">
            <v/>
          </cell>
        </row>
        <row r="265">
          <cell r="A265">
            <v>39292</v>
          </cell>
          <cell r="B265">
            <v>39292</v>
          </cell>
          <cell r="C265" t="str">
            <v>OnColour Peach Glow Perfector - Light</v>
          </cell>
          <cell r="D265">
            <v>3</v>
          </cell>
          <cell r="E265">
            <v>192</v>
          </cell>
          <cell r="F265">
            <v>472</v>
          </cell>
          <cell r="G265">
            <v>239</v>
          </cell>
          <cell r="H265">
            <v>590</v>
          </cell>
          <cell r="I265">
            <v>299</v>
          </cell>
          <cell r="J265" t="str">
            <v>SD</v>
          </cell>
          <cell r="K265">
            <v>0.49322033898305101</v>
          </cell>
          <cell r="L265" t="str">
            <v>68</v>
          </cell>
          <cell r="M265" t="str">
            <v>CTLG</v>
          </cell>
          <cell r="N265" t="str">
            <v/>
          </cell>
          <cell r="O265" t="str">
            <v/>
          </cell>
        </row>
        <row r="266">
          <cell r="A266">
            <v>35639</v>
          </cell>
          <cell r="B266">
            <v>35639</v>
          </cell>
          <cell r="C266" t="str">
            <v>BB Cream SPF 10 OnColour - Fair</v>
          </cell>
          <cell r="D266">
            <v>3</v>
          </cell>
          <cell r="E266">
            <v>211</v>
          </cell>
          <cell r="F266">
            <v>528</v>
          </cell>
          <cell r="G266">
            <v>263</v>
          </cell>
          <cell r="H266">
            <v>660</v>
          </cell>
          <cell r="I266">
            <v>329</v>
          </cell>
          <cell r="J266" t="str">
            <v>SD</v>
          </cell>
          <cell r="K266">
            <v>0.50151515151515103</v>
          </cell>
          <cell r="L266" t="str">
            <v>69</v>
          </cell>
          <cell r="M266" t="str">
            <v>CTLG</v>
          </cell>
          <cell r="N266" t="str">
            <v/>
          </cell>
          <cell r="O266" t="str">
            <v/>
          </cell>
        </row>
        <row r="267">
          <cell r="A267">
            <v>35640</v>
          </cell>
          <cell r="B267">
            <v>35640</v>
          </cell>
          <cell r="C267" t="str">
            <v>BB Cream SPF 10 OnColour - Light</v>
          </cell>
          <cell r="D267">
            <v>3</v>
          </cell>
          <cell r="E267">
            <v>211</v>
          </cell>
          <cell r="F267">
            <v>528</v>
          </cell>
          <cell r="G267">
            <v>263</v>
          </cell>
          <cell r="H267">
            <v>660</v>
          </cell>
          <cell r="I267">
            <v>329</v>
          </cell>
          <cell r="J267" t="str">
            <v>SD</v>
          </cell>
          <cell r="K267">
            <v>0.50151515151515103</v>
          </cell>
          <cell r="L267" t="str">
            <v>69</v>
          </cell>
          <cell r="M267" t="str">
            <v>CTLG</v>
          </cell>
          <cell r="N267" t="str">
            <v/>
          </cell>
          <cell r="O267" t="str">
            <v/>
          </cell>
        </row>
        <row r="268">
          <cell r="A268">
            <v>35641</v>
          </cell>
          <cell r="B268">
            <v>35641</v>
          </cell>
          <cell r="C268" t="str">
            <v>BB Cream SPF 10 OnColour - Medium</v>
          </cell>
          <cell r="D268">
            <v>3</v>
          </cell>
          <cell r="E268">
            <v>211</v>
          </cell>
          <cell r="F268">
            <v>528</v>
          </cell>
          <cell r="G268">
            <v>263</v>
          </cell>
          <cell r="H268">
            <v>660</v>
          </cell>
          <cell r="I268">
            <v>329</v>
          </cell>
          <cell r="J268" t="str">
            <v>SD</v>
          </cell>
          <cell r="K268">
            <v>0.50151515151515103</v>
          </cell>
          <cell r="L268" t="str">
            <v>69</v>
          </cell>
          <cell r="M268" t="str">
            <v>CTLG</v>
          </cell>
          <cell r="N268" t="str">
            <v/>
          </cell>
          <cell r="O268" t="str">
            <v/>
          </cell>
        </row>
        <row r="269">
          <cell r="A269">
            <v>41748</v>
          </cell>
          <cell r="B269">
            <v>41748</v>
          </cell>
          <cell r="C269" t="str">
            <v>BB Matte Cream SPF 10 OnColour  - Fair</v>
          </cell>
          <cell r="D269">
            <v>3</v>
          </cell>
          <cell r="E269">
            <v>211</v>
          </cell>
          <cell r="F269">
            <v>528</v>
          </cell>
          <cell r="G269">
            <v>263</v>
          </cell>
          <cell r="H269">
            <v>660</v>
          </cell>
          <cell r="I269">
            <v>329</v>
          </cell>
          <cell r="J269" t="str">
            <v>SD</v>
          </cell>
          <cell r="K269">
            <v>0.50151515151515103</v>
          </cell>
          <cell r="L269" t="str">
            <v>69</v>
          </cell>
          <cell r="M269" t="str">
            <v>CTLG</v>
          </cell>
          <cell r="N269" t="str">
            <v/>
          </cell>
          <cell r="O269" t="str">
            <v/>
          </cell>
        </row>
        <row r="270">
          <cell r="A270">
            <v>41749</v>
          </cell>
          <cell r="B270">
            <v>41749</v>
          </cell>
          <cell r="C270" t="str">
            <v>BB Matte Cream SPF 10 OnColour - Light</v>
          </cell>
          <cell r="D270">
            <v>3</v>
          </cell>
          <cell r="E270">
            <v>211</v>
          </cell>
          <cell r="F270">
            <v>528</v>
          </cell>
          <cell r="G270">
            <v>263</v>
          </cell>
          <cell r="H270">
            <v>660</v>
          </cell>
          <cell r="I270">
            <v>329</v>
          </cell>
          <cell r="J270" t="str">
            <v>SD</v>
          </cell>
          <cell r="K270">
            <v>0.50151515151515103</v>
          </cell>
          <cell r="L270" t="str">
            <v>69</v>
          </cell>
          <cell r="M270" t="str">
            <v>CTLG</v>
          </cell>
          <cell r="N270" t="str">
            <v/>
          </cell>
          <cell r="O270" t="str">
            <v/>
          </cell>
        </row>
        <row r="271">
          <cell r="A271">
            <v>41750</v>
          </cell>
          <cell r="B271">
            <v>41750</v>
          </cell>
          <cell r="C271" t="str">
            <v>BB Matte Cream SPF 10 OnColour - Medium</v>
          </cell>
          <cell r="D271">
            <v>3</v>
          </cell>
          <cell r="E271">
            <v>211</v>
          </cell>
          <cell r="F271">
            <v>528</v>
          </cell>
          <cell r="G271">
            <v>263</v>
          </cell>
          <cell r="H271">
            <v>660</v>
          </cell>
          <cell r="I271">
            <v>329</v>
          </cell>
          <cell r="J271" t="str">
            <v>SD</v>
          </cell>
          <cell r="K271">
            <v>0.50151515151515103</v>
          </cell>
          <cell r="L271" t="str">
            <v>69</v>
          </cell>
          <cell r="M271" t="str">
            <v>CTLG</v>
          </cell>
          <cell r="N271" t="str">
            <v/>
          </cell>
          <cell r="O271" t="str">
            <v/>
          </cell>
        </row>
        <row r="272">
          <cell r="A272">
            <v>43850</v>
          </cell>
          <cell r="B272">
            <v>43850</v>
          </cell>
          <cell r="C272" t="str">
            <v>SkinPro Serum And Mask Cover</v>
          </cell>
          <cell r="D272">
            <v>5</v>
          </cell>
          <cell r="E272">
            <v>151</v>
          </cell>
          <cell r="F272">
            <v>744</v>
          </cell>
          <cell r="G272">
            <v>375</v>
          </cell>
          <cell r="H272">
            <v>930</v>
          </cell>
          <cell r="I272">
            <v>469</v>
          </cell>
          <cell r="J272" t="str">
            <v>SD</v>
          </cell>
          <cell r="K272">
            <v>0.49569892473118299</v>
          </cell>
          <cell r="L272" t="str">
            <v>70</v>
          </cell>
          <cell r="M272" t="str">
            <v>CTLG</v>
          </cell>
          <cell r="N272" t="str">
            <v/>
          </cell>
          <cell r="O272" t="str">
            <v/>
          </cell>
        </row>
        <row r="273">
          <cell r="A273">
            <v>45081</v>
          </cell>
          <cell r="B273">
            <v>45081</v>
          </cell>
          <cell r="C273" t="str">
            <v>Facial Cryo Roller</v>
          </cell>
          <cell r="D273">
            <v>14</v>
          </cell>
          <cell r="E273">
            <v>449</v>
          </cell>
          <cell r="F273">
            <v>1599</v>
          </cell>
          <cell r="G273">
            <v>1119</v>
          </cell>
          <cell r="H273">
            <v>1999</v>
          </cell>
          <cell r="I273">
            <v>1399</v>
          </cell>
          <cell r="J273" t="str">
            <v>SD</v>
          </cell>
          <cell r="K273">
            <v>0.300150075037519</v>
          </cell>
          <cell r="L273" t="str">
            <v>70</v>
          </cell>
          <cell r="M273" t="str">
            <v>CTLG</v>
          </cell>
          <cell r="N273" t="str">
            <v/>
          </cell>
          <cell r="O273" t="str">
            <v/>
          </cell>
        </row>
        <row r="274">
          <cell r="A274">
            <v>45275</v>
          </cell>
          <cell r="B274">
            <v>45275</v>
          </cell>
          <cell r="C274" t="str">
            <v>SkinPro Moisture Brush</v>
          </cell>
          <cell r="D274">
            <v>4</v>
          </cell>
          <cell r="E274">
            <v>128</v>
          </cell>
          <cell r="F274">
            <v>640</v>
          </cell>
          <cell r="G274">
            <v>319</v>
          </cell>
          <cell r="H274">
            <v>800</v>
          </cell>
          <cell r="I274">
            <v>399</v>
          </cell>
          <cell r="J274" t="str">
            <v>SD</v>
          </cell>
          <cell r="K274">
            <v>0.50124999999999997</v>
          </cell>
          <cell r="L274" t="str">
            <v>70</v>
          </cell>
          <cell r="M274" t="str">
            <v>CTLG</v>
          </cell>
          <cell r="N274" t="str">
            <v/>
          </cell>
          <cell r="O274" t="str">
            <v/>
          </cell>
        </row>
        <row r="275">
          <cell r="A275">
            <v>45729</v>
          </cell>
          <cell r="B275">
            <v>45729</v>
          </cell>
          <cell r="C275" t="str">
            <v>Reusable Bamboo Pads</v>
          </cell>
          <cell r="D275">
            <v>4</v>
          </cell>
          <cell r="E275">
            <v>141</v>
          </cell>
          <cell r="F275">
            <v>704</v>
          </cell>
          <cell r="G275">
            <v>351</v>
          </cell>
          <cell r="H275">
            <v>880</v>
          </cell>
          <cell r="I275">
            <v>439</v>
          </cell>
          <cell r="J275" t="str">
            <v>SD</v>
          </cell>
          <cell r="K275">
            <v>0.50113636363636405</v>
          </cell>
          <cell r="L275" t="str">
            <v>70</v>
          </cell>
          <cell r="M275" t="str">
            <v>CTLG</v>
          </cell>
          <cell r="N275" t="str">
            <v/>
          </cell>
          <cell r="O275" t="str">
            <v/>
          </cell>
        </row>
        <row r="276">
          <cell r="A276">
            <v>46411</v>
          </cell>
          <cell r="B276">
            <v>46411</v>
          </cell>
          <cell r="C276" t="str">
            <v>Summer Bliss Pedicure Kit</v>
          </cell>
          <cell r="D276">
            <v>6</v>
          </cell>
          <cell r="E276">
            <v>202</v>
          </cell>
          <cell r="F276">
            <v>719</v>
          </cell>
          <cell r="G276">
            <v>503</v>
          </cell>
          <cell r="H276">
            <v>899</v>
          </cell>
          <cell r="I276">
            <v>629</v>
          </cell>
          <cell r="J276" t="str">
            <v>SD</v>
          </cell>
          <cell r="K276">
            <v>0.300333704115684</v>
          </cell>
          <cell r="L276" t="str">
            <v>71</v>
          </cell>
          <cell r="M276" t="str">
            <v>CTLG</v>
          </cell>
          <cell r="N276" t="str">
            <v/>
          </cell>
          <cell r="O276" t="str">
            <v/>
          </cell>
        </row>
        <row r="277">
          <cell r="A277">
            <v>46475</v>
          </cell>
          <cell r="B277">
            <v>46475</v>
          </cell>
          <cell r="C277" t="str">
            <v>Two Tone Sunglasses</v>
          </cell>
          <cell r="D277">
            <v>8</v>
          </cell>
          <cell r="E277">
            <v>269</v>
          </cell>
          <cell r="F277">
            <v>959</v>
          </cell>
          <cell r="G277">
            <v>671</v>
          </cell>
          <cell r="H277">
            <v>1199</v>
          </cell>
          <cell r="I277">
            <v>839</v>
          </cell>
          <cell r="J277" t="str">
            <v>SD</v>
          </cell>
          <cell r="K277">
            <v>0.300250208507089</v>
          </cell>
          <cell r="L277" t="str">
            <v>71</v>
          </cell>
          <cell r="M277" t="str">
            <v>CTLG</v>
          </cell>
          <cell r="N277" t="str">
            <v/>
          </cell>
          <cell r="O277" t="str">
            <v/>
          </cell>
        </row>
        <row r="278">
          <cell r="A278">
            <v>46477</v>
          </cell>
          <cell r="B278">
            <v>46477</v>
          </cell>
          <cell r="C278" t="str">
            <v>Summer Bliss Beach Mat</v>
          </cell>
          <cell r="D278">
            <v>14</v>
          </cell>
          <cell r="E278">
            <v>449</v>
          </cell>
          <cell r="F278">
            <v>1599</v>
          </cell>
          <cell r="G278">
            <v>1119</v>
          </cell>
          <cell r="H278">
            <v>1999</v>
          </cell>
          <cell r="I278">
            <v>1399</v>
          </cell>
          <cell r="J278" t="str">
            <v>SD</v>
          </cell>
          <cell r="K278">
            <v>0.300150075037519</v>
          </cell>
          <cell r="L278" t="str">
            <v>71</v>
          </cell>
          <cell r="M278" t="str">
            <v>CTLG</v>
          </cell>
          <cell r="N278" t="str">
            <v/>
          </cell>
          <cell r="O278" t="str">
            <v/>
          </cell>
        </row>
        <row r="279">
          <cell r="A279">
            <v>45848</v>
          </cell>
          <cell r="B279">
            <v>45848</v>
          </cell>
          <cell r="C279" t="str">
            <v>Love Nature Space Explorer HBW</v>
          </cell>
          <cell r="D279">
            <v>3</v>
          </cell>
          <cell r="E279">
            <v>192</v>
          </cell>
          <cell r="F279">
            <v>400</v>
          </cell>
          <cell r="G279">
            <v>239</v>
          </cell>
          <cell r="H279">
            <v>500</v>
          </cell>
          <cell r="I279">
            <v>299</v>
          </cell>
          <cell r="J279" t="str">
            <v>SD</v>
          </cell>
          <cell r="K279">
            <v>0.40200000000000002</v>
          </cell>
          <cell r="L279" t="str">
            <v>72</v>
          </cell>
          <cell r="M279" t="str">
            <v>CTLG</v>
          </cell>
          <cell r="N279" t="str">
            <v/>
          </cell>
          <cell r="O279" t="str">
            <v/>
          </cell>
        </row>
        <row r="280">
          <cell r="A280">
            <v>45852</v>
          </cell>
          <cell r="B280">
            <v>45852</v>
          </cell>
          <cell r="C280" t="str">
            <v>LN Nature Kids Mist Charming Mandar</v>
          </cell>
          <cell r="D280">
            <v>4</v>
          </cell>
          <cell r="E280">
            <v>230</v>
          </cell>
          <cell r="F280">
            <v>480</v>
          </cell>
          <cell r="G280">
            <v>287</v>
          </cell>
          <cell r="H280">
            <v>600</v>
          </cell>
          <cell r="I280">
            <v>359</v>
          </cell>
          <cell r="J280" t="str">
            <v>SD</v>
          </cell>
          <cell r="K280">
            <v>0.401666666666667</v>
          </cell>
          <cell r="L280" t="str">
            <v>72</v>
          </cell>
          <cell r="M280" t="str">
            <v>CTLG</v>
          </cell>
          <cell r="N280" t="str">
            <v/>
          </cell>
          <cell r="O280" t="str">
            <v/>
          </cell>
        </row>
        <row r="281">
          <cell r="A281">
            <v>46292</v>
          </cell>
          <cell r="B281">
            <v>46292</v>
          </cell>
          <cell r="C281" t="str">
            <v>Love Nature Shooting Star HBW</v>
          </cell>
          <cell r="D281">
            <v>3</v>
          </cell>
          <cell r="E281">
            <v>192</v>
          </cell>
          <cell r="F281">
            <v>400</v>
          </cell>
          <cell r="G281">
            <v>239</v>
          </cell>
          <cell r="H281">
            <v>500</v>
          </cell>
          <cell r="I281">
            <v>299</v>
          </cell>
          <cell r="J281" t="str">
            <v>SD</v>
          </cell>
          <cell r="K281">
            <v>0.40200000000000002</v>
          </cell>
          <cell r="L281" t="str">
            <v>72</v>
          </cell>
          <cell r="M281" t="str">
            <v>CTLG</v>
          </cell>
          <cell r="N281" t="str">
            <v/>
          </cell>
          <cell r="O281" t="str">
            <v/>
          </cell>
        </row>
        <row r="282">
          <cell r="A282">
            <v>46738</v>
          </cell>
          <cell r="B282">
            <v>46738</v>
          </cell>
          <cell r="C282" t="str">
            <v>Love Nature Caring SG</v>
          </cell>
          <cell r="D282">
            <v>3</v>
          </cell>
          <cell r="E282">
            <v>172</v>
          </cell>
          <cell r="F282">
            <v>360</v>
          </cell>
          <cell r="G282">
            <v>215</v>
          </cell>
          <cell r="H282">
            <v>450</v>
          </cell>
          <cell r="I282">
            <v>269</v>
          </cell>
          <cell r="J282" t="str">
            <v>SD</v>
          </cell>
          <cell r="K282">
            <v>0.40222222222222198</v>
          </cell>
          <cell r="L282" t="str">
            <v>72</v>
          </cell>
          <cell r="M282" t="str">
            <v>CTLG</v>
          </cell>
          <cell r="N282" t="str">
            <v/>
          </cell>
          <cell r="O282" t="str">
            <v/>
          </cell>
        </row>
        <row r="283">
          <cell r="A283">
            <v>44281</v>
          </cell>
          <cell r="B283">
            <v>44281</v>
          </cell>
          <cell r="C283" t="str">
            <v>Love Nature Sheet Mask Peach</v>
          </cell>
          <cell r="D283">
            <v>2</v>
          </cell>
          <cell r="E283">
            <v>160</v>
          </cell>
          <cell r="F283">
            <v>344</v>
          </cell>
          <cell r="G283">
            <v>199</v>
          </cell>
          <cell r="H283">
            <v>430</v>
          </cell>
          <cell r="I283">
            <v>249</v>
          </cell>
          <cell r="J283" t="str">
            <v>SD</v>
          </cell>
          <cell r="K283">
            <v>0.42093023255813999</v>
          </cell>
          <cell r="L283" t="str">
            <v>72</v>
          </cell>
          <cell r="M283" t="str">
            <v>CTLG</v>
          </cell>
          <cell r="N283" t="str">
            <v/>
          </cell>
          <cell r="O283" t="str">
            <v/>
          </cell>
        </row>
        <row r="284">
          <cell r="A284">
            <v>20574</v>
          </cell>
          <cell r="B284">
            <v>20574</v>
          </cell>
          <cell r="C284" t="str">
            <v>Head Band</v>
          </cell>
          <cell r="D284">
            <v>2</v>
          </cell>
          <cell r="E284">
            <v>80</v>
          </cell>
          <cell r="F284">
            <v>400</v>
          </cell>
          <cell r="G284">
            <v>199</v>
          </cell>
          <cell r="H284">
            <v>500</v>
          </cell>
          <cell r="I284">
            <v>249</v>
          </cell>
          <cell r="J284" t="str">
            <v>SD</v>
          </cell>
          <cell r="K284">
            <v>0.502</v>
          </cell>
          <cell r="L284" t="str">
            <v>73</v>
          </cell>
          <cell r="M284" t="str">
            <v>CTLG</v>
          </cell>
          <cell r="N284" t="str">
            <v/>
          </cell>
          <cell r="O284" t="str">
            <v/>
          </cell>
        </row>
        <row r="285">
          <cell r="A285">
            <v>45855</v>
          </cell>
          <cell r="B285">
            <v>45855</v>
          </cell>
          <cell r="C285" t="str">
            <v>Love Nature Sweet Delights MPC</v>
          </cell>
          <cell r="D285">
            <v>4</v>
          </cell>
          <cell r="E285">
            <v>269</v>
          </cell>
          <cell r="F285">
            <v>600</v>
          </cell>
          <cell r="G285">
            <v>335</v>
          </cell>
          <cell r="H285">
            <v>750</v>
          </cell>
          <cell r="I285">
            <v>419</v>
          </cell>
          <cell r="J285" t="str">
            <v>SD</v>
          </cell>
          <cell r="K285">
            <v>0.44133333333333302</v>
          </cell>
          <cell r="L285" t="str">
            <v>73</v>
          </cell>
          <cell r="M285" t="str">
            <v>CTLG</v>
          </cell>
          <cell r="N285" t="str">
            <v/>
          </cell>
          <cell r="O285" t="str">
            <v/>
          </cell>
        </row>
        <row r="286">
          <cell r="A286">
            <v>46540</v>
          </cell>
          <cell r="B286">
            <v>46540</v>
          </cell>
          <cell r="C286" t="str">
            <v>Love Nature Sweet Del Face Cream</v>
          </cell>
          <cell r="D286">
            <v>3</v>
          </cell>
          <cell r="E286">
            <v>192</v>
          </cell>
          <cell r="F286">
            <v>480</v>
          </cell>
          <cell r="G286">
            <v>239</v>
          </cell>
          <cell r="H286">
            <v>600</v>
          </cell>
          <cell r="I286">
            <v>299</v>
          </cell>
          <cell r="J286" t="str">
            <v>SD</v>
          </cell>
          <cell r="K286">
            <v>0.50166666666666704</v>
          </cell>
          <cell r="L286" t="str">
            <v>73</v>
          </cell>
          <cell r="M286" t="str">
            <v>CTLG</v>
          </cell>
          <cell r="N286" t="str">
            <v/>
          </cell>
          <cell r="O286" t="str">
            <v/>
          </cell>
        </row>
        <row r="287">
          <cell r="A287">
            <v>46542</v>
          </cell>
          <cell r="B287">
            <v>46542</v>
          </cell>
          <cell r="C287" t="str">
            <v>Love Nature Sweet Del Face Mask</v>
          </cell>
          <cell r="D287">
            <v>3</v>
          </cell>
          <cell r="E287">
            <v>192</v>
          </cell>
          <cell r="F287">
            <v>480</v>
          </cell>
          <cell r="G287">
            <v>239</v>
          </cell>
          <cell r="H287">
            <v>600</v>
          </cell>
          <cell r="I287">
            <v>299</v>
          </cell>
          <cell r="J287" t="str">
            <v>SD</v>
          </cell>
          <cell r="K287">
            <v>0.50166666666666704</v>
          </cell>
          <cell r="L287" t="str">
            <v>73</v>
          </cell>
          <cell r="M287" t="str">
            <v>CTLG</v>
          </cell>
          <cell r="N287" t="str">
            <v/>
          </cell>
          <cell r="O287" t="str">
            <v/>
          </cell>
        </row>
        <row r="288">
          <cell r="A288">
            <v>33963</v>
          </cell>
          <cell r="B288">
            <v>33963</v>
          </cell>
          <cell r="C288" t="str">
            <v>On The Edge EDT</v>
          </cell>
          <cell r="D288">
            <v>10</v>
          </cell>
          <cell r="E288">
            <v>641</v>
          </cell>
          <cell r="F288">
            <v>1800</v>
          </cell>
          <cell r="G288">
            <v>799</v>
          </cell>
          <cell r="H288">
            <v>2250</v>
          </cell>
          <cell r="I288">
            <v>999</v>
          </cell>
          <cell r="J288" t="str">
            <v>SD</v>
          </cell>
          <cell r="K288">
            <v>0.55600000000000005</v>
          </cell>
          <cell r="L288" t="str">
            <v>74</v>
          </cell>
          <cell r="M288" t="str">
            <v>CTLG</v>
          </cell>
          <cell r="N288" t="str">
            <v/>
          </cell>
          <cell r="O288" t="str">
            <v/>
          </cell>
        </row>
        <row r="289">
          <cell r="A289">
            <v>38508</v>
          </cell>
          <cell r="B289">
            <v>38508</v>
          </cell>
          <cell r="C289" t="str">
            <v>Lost in You Eau De Parfum Her</v>
          </cell>
          <cell r="D289">
            <v>15</v>
          </cell>
          <cell r="E289">
            <v>962</v>
          </cell>
          <cell r="F289">
            <v>2640</v>
          </cell>
          <cell r="G289">
            <v>1199</v>
          </cell>
          <cell r="H289">
            <v>3300</v>
          </cell>
          <cell r="I289">
            <v>1499</v>
          </cell>
          <cell r="J289" t="str">
            <v>SD</v>
          </cell>
          <cell r="K289">
            <v>0.545757575757576</v>
          </cell>
          <cell r="L289" t="str">
            <v>74</v>
          </cell>
          <cell r="M289" t="str">
            <v>CTLG</v>
          </cell>
          <cell r="N289" t="str">
            <v/>
          </cell>
          <cell r="O289" t="str">
            <v/>
          </cell>
        </row>
        <row r="290">
          <cell r="A290">
            <v>38509</v>
          </cell>
          <cell r="B290">
            <v>38509</v>
          </cell>
          <cell r="C290" t="str">
            <v xml:space="preserve">Lost in You Eau de Parfum Him </v>
          </cell>
          <cell r="D290">
            <v>14</v>
          </cell>
          <cell r="E290">
            <v>898</v>
          </cell>
          <cell r="F290">
            <v>2640</v>
          </cell>
          <cell r="G290">
            <v>1119</v>
          </cell>
          <cell r="H290">
            <v>3300</v>
          </cell>
          <cell r="I290">
            <v>1399</v>
          </cell>
          <cell r="J290" t="str">
            <v>SD</v>
          </cell>
          <cell r="K290">
            <v>0.57606060606060605</v>
          </cell>
          <cell r="L290" t="str">
            <v>74</v>
          </cell>
          <cell r="M290" t="str">
            <v>CTLG</v>
          </cell>
          <cell r="N290" t="str">
            <v/>
          </cell>
          <cell r="O290" t="str">
            <v/>
          </cell>
        </row>
        <row r="291">
          <cell r="A291">
            <v>38575</v>
          </cell>
          <cell r="B291">
            <v>38575</v>
          </cell>
          <cell r="C291" t="str">
            <v>.SE Wild Hearts EDP</v>
          </cell>
          <cell r="D291">
            <v>19</v>
          </cell>
          <cell r="E291">
            <v>1218</v>
          </cell>
          <cell r="F291">
            <v>3040</v>
          </cell>
          <cell r="G291">
            <v>1519</v>
          </cell>
          <cell r="H291">
            <v>3800</v>
          </cell>
          <cell r="I291">
            <v>1899</v>
          </cell>
          <cell r="J291" t="str">
            <v>SD</v>
          </cell>
          <cell r="K291">
            <v>0.50026315789473697</v>
          </cell>
          <cell r="L291" t="str">
            <v>74</v>
          </cell>
          <cell r="M291" t="str">
            <v>CTLG</v>
          </cell>
          <cell r="N291" t="str">
            <v/>
          </cell>
          <cell r="O291" t="str">
            <v/>
          </cell>
        </row>
        <row r="292">
          <cell r="A292">
            <v>46746</v>
          </cell>
          <cell r="B292">
            <v>46746</v>
          </cell>
          <cell r="C292" t="str">
            <v>Glam 3 pack earrings</v>
          </cell>
          <cell r="D292">
            <v>6</v>
          </cell>
          <cell r="E292">
            <v>179</v>
          </cell>
          <cell r="F292">
            <v>639</v>
          </cell>
          <cell r="G292">
            <v>447</v>
          </cell>
          <cell r="H292">
            <v>799</v>
          </cell>
          <cell r="I292">
            <v>559</v>
          </cell>
          <cell r="J292" t="str">
            <v>SD</v>
          </cell>
          <cell r="K292">
            <v>0.30037546933667097</v>
          </cell>
          <cell r="L292" t="str">
            <v>75</v>
          </cell>
          <cell r="M292" t="str">
            <v>CTLG</v>
          </cell>
          <cell r="N292" t="str">
            <v/>
          </cell>
          <cell r="O292" t="str">
            <v/>
          </cell>
        </row>
        <row r="293">
          <cell r="A293">
            <v>46763</v>
          </cell>
          <cell r="B293">
            <v>46763</v>
          </cell>
          <cell r="C293" t="str">
            <v>Jewellery Case</v>
          </cell>
          <cell r="D293">
            <v>21</v>
          </cell>
          <cell r="E293">
            <v>673</v>
          </cell>
          <cell r="F293">
            <v>2399</v>
          </cell>
          <cell r="G293">
            <v>1679</v>
          </cell>
          <cell r="H293">
            <v>2999</v>
          </cell>
          <cell r="I293">
            <v>2099</v>
          </cell>
          <cell r="J293" t="str">
            <v>SD</v>
          </cell>
          <cell r="K293">
            <v>0.30010003334444801</v>
          </cell>
          <cell r="L293" t="str">
            <v>75</v>
          </cell>
          <cell r="M293" t="str">
            <v>CTLG</v>
          </cell>
          <cell r="N293" t="str">
            <v/>
          </cell>
          <cell r="O293" t="str">
            <v/>
          </cell>
        </row>
        <row r="294">
          <cell r="A294">
            <v>47124</v>
          </cell>
          <cell r="B294">
            <v>47124</v>
          </cell>
          <cell r="C294" t="str">
            <v>Scrunchie Set</v>
          </cell>
          <cell r="D294">
            <v>3</v>
          </cell>
          <cell r="E294">
            <v>96</v>
          </cell>
          <cell r="F294">
            <v>479</v>
          </cell>
          <cell r="G294">
            <v>239</v>
          </cell>
          <cell r="H294">
            <v>599</v>
          </cell>
          <cell r="I294">
            <v>299</v>
          </cell>
          <cell r="J294" t="str">
            <v>SD</v>
          </cell>
          <cell r="K294">
            <v>0.50083472454090106</v>
          </cell>
          <cell r="L294" t="str">
            <v>75</v>
          </cell>
          <cell r="M294" t="str">
            <v>CTLG</v>
          </cell>
          <cell r="N294" t="str">
            <v/>
          </cell>
          <cell r="O294" t="str">
            <v/>
          </cell>
        </row>
        <row r="295">
          <cell r="A295">
            <v>41533</v>
          </cell>
          <cell r="B295">
            <v>41533</v>
          </cell>
          <cell r="C295" t="str">
            <v>TO Wonder Liner Diamond Shimmer</v>
          </cell>
          <cell r="D295">
            <v>4</v>
          </cell>
          <cell r="E295">
            <v>282</v>
          </cell>
          <cell r="F295">
            <v>776</v>
          </cell>
          <cell r="G295">
            <v>351</v>
          </cell>
          <cell r="H295">
            <v>970</v>
          </cell>
          <cell r="I295">
            <v>439</v>
          </cell>
          <cell r="J295" t="str">
            <v>SD</v>
          </cell>
          <cell r="K295">
            <v>0.54742268041237097</v>
          </cell>
          <cell r="L295" t="str">
            <v>75</v>
          </cell>
          <cell r="M295" t="str">
            <v>CTLG</v>
          </cell>
          <cell r="N295" t="str">
            <v/>
          </cell>
          <cell r="O295" t="str">
            <v/>
          </cell>
        </row>
        <row r="296">
          <cell r="A296">
            <v>13659</v>
          </cell>
          <cell r="B296">
            <v>13659</v>
          </cell>
          <cell r="C296" t="str">
            <v>Diamond Cellular Anti-ageing Cream</v>
          </cell>
          <cell r="D296">
            <v>17</v>
          </cell>
          <cell r="E296">
            <v>1090</v>
          </cell>
          <cell r="F296">
            <v>2080</v>
          </cell>
          <cell r="G296">
            <v>1359</v>
          </cell>
          <cell r="H296">
            <v>2600</v>
          </cell>
          <cell r="I296">
            <v>1699</v>
          </cell>
          <cell r="J296" t="str">
            <v>SD</v>
          </cell>
          <cell r="K296">
            <v>0.34653846153846202</v>
          </cell>
          <cell r="L296" t="str">
            <v>77</v>
          </cell>
          <cell r="M296" t="str">
            <v>CTLG</v>
          </cell>
          <cell r="N296" t="str">
            <v/>
          </cell>
          <cell r="O296" t="str">
            <v/>
          </cell>
        </row>
        <row r="297">
          <cell r="A297">
            <v>18437</v>
          </cell>
          <cell r="B297">
            <v>18437</v>
          </cell>
          <cell r="C297" t="str">
            <v>Diamond Cellular Night Treatment</v>
          </cell>
          <cell r="D297">
            <v>17</v>
          </cell>
          <cell r="E297">
            <v>1090</v>
          </cell>
          <cell r="F297">
            <v>2080</v>
          </cell>
          <cell r="G297">
            <v>1359</v>
          </cell>
          <cell r="H297">
            <v>2600</v>
          </cell>
          <cell r="I297">
            <v>1699</v>
          </cell>
          <cell r="J297" t="str">
            <v>SD</v>
          </cell>
          <cell r="K297">
            <v>0.34653846153846202</v>
          </cell>
          <cell r="L297" t="str">
            <v>77</v>
          </cell>
          <cell r="M297" t="str">
            <v>CTLG</v>
          </cell>
          <cell r="N297" t="str">
            <v/>
          </cell>
          <cell r="O297" t="str">
            <v/>
          </cell>
        </row>
        <row r="298">
          <cell r="A298">
            <v>21339</v>
          </cell>
          <cell r="B298">
            <v>21339</v>
          </cell>
          <cell r="C298" t="str">
            <v>Diamond Cellular Micellar Cleanser</v>
          </cell>
          <cell r="D298">
            <v>15</v>
          </cell>
          <cell r="E298">
            <v>994</v>
          </cell>
          <cell r="F298">
            <v>1240</v>
          </cell>
          <cell r="G298">
            <v>1240</v>
          </cell>
          <cell r="H298">
            <v>1550</v>
          </cell>
          <cell r="I298">
            <v>1550</v>
          </cell>
          <cell r="J298" t="str">
            <v>NO</v>
          </cell>
          <cell r="K298">
            <v>0</v>
          </cell>
          <cell r="L298" t="str">
            <v>77</v>
          </cell>
          <cell r="M298" t="str">
            <v>CTLG</v>
          </cell>
          <cell r="N298" t="str">
            <v/>
          </cell>
          <cell r="O298" t="str">
            <v/>
          </cell>
        </row>
        <row r="299">
          <cell r="A299">
            <v>41355</v>
          </cell>
          <cell r="B299">
            <v>41355</v>
          </cell>
          <cell r="C299" t="str">
            <v>Waunt Glow Hydro Boost Serum</v>
          </cell>
          <cell r="D299">
            <v>14</v>
          </cell>
          <cell r="E299">
            <v>898</v>
          </cell>
          <cell r="F299">
            <v>1560</v>
          </cell>
          <cell r="G299">
            <v>1119</v>
          </cell>
          <cell r="H299">
            <v>1950</v>
          </cell>
          <cell r="I299">
            <v>1399</v>
          </cell>
          <cell r="J299" t="str">
            <v>SD</v>
          </cell>
          <cell r="K299">
            <v>0.28256410256410303</v>
          </cell>
          <cell r="L299" t="str">
            <v>78</v>
          </cell>
          <cell r="M299" t="str">
            <v>CTLG</v>
          </cell>
          <cell r="N299" t="str">
            <v/>
          </cell>
          <cell r="O299" t="str">
            <v/>
          </cell>
        </row>
        <row r="300">
          <cell r="A300">
            <v>41365</v>
          </cell>
          <cell r="B300">
            <v>41365</v>
          </cell>
          <cell r="C300" t="str">
            <v>Waunt Whipped Day Crem</v>
          </cell>
          <cell r="D300">
            <v>13</v>
          </cell>
          <cell r="E300">
            <v>833</v>
          </cell>
          <cell r="F300">
            <v>1440</v>
          </cell>
          <cell r="G300">
            <v>1039</v>
          </cell>
          <cell r="H300">
            <v>1800</v>
          </cell>
          <cell r="I300">
            <v>1299</v>
          </cell>
          <cell r="J300" t="str">
            <v>SD</v>
          </cell>
          <cell r="K300">
            <v>0.27833333333333299</v>
          </cell>
          <cell r="L300" t="str">
            <v>78</v>
          </cell>
          <cell r="M300" t="str">
            <v>CTLG</v>
          </cell>
          <cell r="N300" t="str">
            <v/>
          </cell>
          <cell r="O300" t="str">
            <v/>
          </cell>
        </row>
        <row r="301">
          <cell r="A301">
            <v>41387</v>
          </cell>
          <cell r="B301">
            <v>41387</v>
          </cell>
          <cell r="C301" t="str">
            <v>Waunt Brightening Eye stick</v>
          </cell>
          <cell r="D301">
            <v>9</v>
          </cell>
          <cell r="E301">
            <v>577</v>
          </cell>
          <cell r="F301">
            <v>1440</v>
          </cell>
          <cell r="G301">
            <v>719</v>
          </cell>
          <cell r="H301">
            <v>1800</v>
          </cell>
          <cell r="I301">
            <v>899</v>
          </cell>
          <cell r="J301" t="str">
            <v>SD</v>
          </cell>
          <cell r="K301">
            <v>0.50055555555555598</v>
          </cell>
          <cell r="L301" t="str">
            <v>78</v>
          </cell>
          <cell r="M301" t="str">
            <v>CTLG</v>
          </cell>
          <cell r="N301" t="str">
            <v/>
          </cell>
          <cell r="O301" t="str">
            <v/>
          </cell>
        </row>
        <row r="302">
          <cell r="A302">
            <v>45082</v>
          </cell>
          <cell r="B302">
            <v>45082</v>
          </cell>
          <cell r="C302" t="str">
            <v>Beam Facial Cleansing Device</v>
          </cell>
          <cell r="D302">
            <v>30</v>
          </cell>
          <cell r="E302">
            <v>962</v>
          </cell>
          <cell r="F302">
            <v>4000</v>
          </cell>
          <cell r="G302">
            <v>2399</v>
          </cell>
          <cell r="H302">
            <v>5000</v>
          </cell>
          <cell r="I302">
            <v>2999</v>
          </cell>
          <cell r="J302" t="str">
            <v>SD</v>
          </cell>
          <cell r="K302">
            <v>0.4002</v>
          </cell>
          <cell r="L302" t="str">
            <v>79</v>
          </cell>
          <cell r="M302" t="str">
            <v>CTLG</v>
          </cell>
          <cell r="N302" t="str">
            <v/>
          </cell>
          <cell r="O302" t="str">
            <v/>
          </cell>
        </row>
        <row r="303">
          <cell r="A303">
            <v>47411</v>
          </cell>
          <cell r="B303">
            <v>47411</v>
          </cell>
          <cell r="C303" t="str">
            <v>Beauty Headband</v>
          </cell>
          <cell r="D303">
            <v>6</v>
          </cell>
          <cell r="E303">
            <v>192</v>
          </cell>
          <cell r="F303">
            <v>479</v>
          </cell>
          <cell r="G303">
            <v>479</v>
          </cell>
          <cell r="H303">
            <v>599</v>
          </cell>
          <cell r="I303">
            <v>599</v>
          </cell>
          <cell r="J303" t="str">
            <v>NO</v>
          </cell>
          <cell r="K303">
            <v>0</v>
          </cell>
          <cell r="L303" t="str">
            <v>79</v>
          </cell>
          <cell r="M303" t="str">
            <v>CTLG</v>
          </cell>
          <cell r="N303" t="str">
            <v/>
          </cell>
          <cell r="O303" t="str">
            <v/>
          </cell>
        </row>
        <row r="304">
          <cell r="A304">
            <v>41363</v>
          </cell>
          <cell r="B304">
            <v>41363</v>
          </cell>
          <cell r="C304" t="str">
            <v>Waunt Soft Exfoliator</v>
          </cell>
          <cell r="D304">
            <v>13</v>
          </cell>
          <cell r="E304">
            <v>833</v>
          </cell>
          <cell r="F304">
            <v>1440</v>
          </cell>
          <cell r="G304">
            <v>1039</v>
          </cell>
          <cell r="H304">
            <v>1800</v>
          </cell>
          <cell r="I304">
            <v>1299</v>
          </cell>
          <cell r="J304" t="str">
            <v>SD</v>
          </cell>
          <cell r="K304">
            <v>0.27833333333333299</v>
          </cell>
          <cell r="L304" t="str">
            <v>79</v>
          </cell>
          <cell r="M304" t="str">
            <v>CTLG</v>
          </cell>
          <cell r="N304" t="str">
            <v/>
          </cell>
          <cell r="O304" t="str">
            <v/>
          </cell>
        </row>
        <row r="305">
          <cell r="A305">
            <v>26825</v>
          </cell>
          <cell r="B305">
            <v>26825</v>
          </cell>
          <cell r="C305" t="str">
            <v>Double-Ended Blackhead Remover</v>
          </cell>
          <cell r="D305">
            <v>2</v>
          </cell>
          <cell r="E305">
            <v>64</v>
          </cell>
          <cell r="F305">
            <v>296</v>
          </cell>
          <cell r="G305">
            <v>159</v>
          </cell>
          <cell r="H305">
            <v>370</v>
          </cell>
          <cell r="I305">
            <v>199</v>
          </cell>
          <cell r="J305" t="str">
            <v>SD</v>
          </cell>
          <cell r="K305">
            <v>0.46216216216216199</v>
          </cell>
          <cell r="L305" t="str">
            <v>80</v>
          </cell>
          <cell r="M305" t="str">
            <v>CTLG</v>
          </cell>
          <cell r="N305" t="str">
            <v/>
          </cell>
          <cell r="O305" t="str">
            <v/>
          </cell>
        </row>
        <row r="306">
          <cell r="A306">
            <v>35767</v>
          </cell>
          <cell r="B306">
            <v>35767</v>
          </cell>
          <cell r="C306" t="str">
            <v>Essentials Multi-Purpose Cream</v>
          </cell>
          <cell r="D306">
            <v>5</v>
          </cell>
          <cell r="E306">
            <v>307</v>
          </cell>
          <cell r="F306">
            <v>600</v>
          </cell>
          <cell r="G306">
            <v>383</v>
          </cell>
          <cell r="H306">
            <v>750</v>
          </cell>
          <cell r="I306">
            <v>479</v>
          </cell>
          <cell r="J306" t="str">
            <v>SD</v>
          </cell>
          <cell r="K306">
            <v>0.36133333333333301</v>
          </cell>
          <cell r="L306" t="str">
            <v>80</v>
          </cell>
          <cell r="M306" t="str">
            <v>CTLG</v>
          </cell>
          <cell r="N306" t="str">
            <v/>
          </cell>
          <cell r="O306" t="str">
            <v/>
          </cell>
        </row>
        <row r="307">
          <cell r="A307">
            <v>41672</v>
          </cell>
          <cell r="B307">
            <v>41672</v>
          </cell>
          <cell r="C307" t="str">
            <v xml:space="preserve">Pure Skin Clarifying Toner </v>
          </cell>
          <cell r="D307">
            <v>5</v>
          </cell>
          <cell r="E307">
            <v>352</v>
          </cell>
          <cell r="F307">
            <v>680</v>
          </cell>
          <cell r="G307">
            <v>439</v>
          </cell>
          <cell r="H307">
            <v>850</v>
          </cell>
          <cell r="I307">
            <v>549</v>
          </cell>
          <cell r="J307" t="str">
            <v>SD</v>
          </cell>
          <cell r="K307">
            <v>0.35411764705882398</v>
          </cell>
          <cell r="L307" t="str">
            <v>80</v>
          </cell>
          <cell r="M307" t="str">
            <v>CTLG</v>
          </cell>
          <cell r="N307" t="str">
            <v/>
          </cell>
          <cell r="O307" t="str">
            <v/>
          </cell>
        </row>
        <row r="308">
          <cell r="A308">
            <v>41673</v>
          </cell>
          <cell r="B308">
            <v>41673</v>
          </cell>
          <cell r="C308" t="str">
            <v>Pure Skin Mattifying Cooling Lotion</v>
          </cell>
          <cell r="D308">
            <v>4</v>
          </cell>
          <cell r="E308">
            <v>269</v>
          </cell>
          <cell r="F308">
            <v>520</v>
          </cell>
          <cell r="G308">
            <v>335</v>
          </cell>
          <cell r="H308">
            <v>650</v>
          </cell>
          <cell r="I308">
            <v>419</v>
          </cell>
          <cell r="J308" t="str">
            <v>SD</v>
          </cell>
          <cell r="K308">
            <v>0.35538461538461502</v>
          </cell>
          <cell r="L308" t="str">
            <v>80</v>
          </cell>
          <cell r="M308" t="str">
            <v>CTLG</v>
          </cell>
          <cell r="N308" t="str">
            <v/>
          </cell>
          <cell r="O308" t="str">
            <v/>
          </cell>
        </row>
        <row r="309">
          <cell r="A309">
            <v>42881</v>
          </cell>
          <cell r="B309">
            <v>42881</v>
          </cell>
          <cell r="C309" t="str">
            <v>Pure Skin Pore Clearing Mask</v>
          </cell>
          <cell r="D309">
            <v>4</v>
          </cell>
          <cell r="E309">
            <v>269</v>
          </cell>
          <cell r="F309">
            <v>520</v>
          </cell>
          <cell r="G309">
            <v>335</v>
          </cell>
          <cell r="H309">
            <v>650</v>
          </cell>
          <cell r="I309">
            <v>419</v>
          </cell>
          <cell r="J309" t="str">
            <v>SD</v>
          </cell>
          <cell r="K309">
            <v>0.35538461538461502</v>
          </cell>
          <cell r="L309" t="str">
            <v>80</v>
          </cell>
          <cell r="M309" t="str">
            <v>CTLG</v>
          </cell>
          <cell r="N309" t="str">
            <v/>
          </cell>
          <cell r="O309" t="str">
            <v/>
          </cell>
        </row>
        <row r="310">
          <cell r="A310">
            <v>43906</v>
          </cell>
          <cell r="B310">
            <v>43906</v>
          </cell>
          <cell r="C310" t="str">
            <v>Glow Essentials Face Cream SPF 10</v>
          </cell>
          <cell r="D310">
            <v>3</v>
          </cell>
          <cell r="E310">
            <v>224</v>
          </cell>
          <cell r="F310">
            <v>400</v>
          </cell>
          <cell r="G310">
            <v>279</v>
          </cell>
          <cell r="H310">
            <v>500</v>
          </cell>
          <cell r="I310">
            <v>349</v>
          </cell>
          <cell r="J310" t="str">
            <v>SD</v>
          </cell>
          <cell r="K310">
            <v>0.30199999999999999</v>
          </cell>
          <cell r="L310" t="str">
            <v>80</v>
          </cell>
          <cell r="M310" t="str">
            <v>CTLG</v>
          </cell>
          <cell r="N310" t="str">
            <v/>
          </cell>
          <cell r="O310" t="str">
            <v/>
          </cell>
        </row>
        <row r="311">
          <cell r="A311">
            <v>43908</v>
          </cell>
          <cell r="B311">
            <v>43908</v>
          </cell>
          <cell r="C311" t="str">
            <v>Glow Essentials Face Wash</v>
          </cell>
          <cell r="D311">
            <v>3</v>
          </cell>
          <cell r="E311">
            <v>224</v>
          </cell>
          <cell r="F311">
            <v>400</v>
          </cell>
          <cell r="G311">
            <v>279</v>
          </cell>
          <cell r="H311">
            <v>500</v>
          </cell>
          <cell r="I311">
            <v>349</v>
          </cell>
          <cell r="J311" t="str">
            <v>SD</v>
          </cell>
          <cell r="K311">
            <v>0.30199999999999999</v>
          </cell>
          <cell r="L311" t="str">
            <v>80</v>
          </cell>
          <cell r="M311" t="str">
            <v>CTLG</v>
          </cell>
          <cell r="N311" t="str">
            <v/>
          </cell>
          <cell r="O311" t="str">
            <v/>
          </cell>
        </row>
        <row r="312">
          <cell r="A312">
            <v>42590</v>
          </cell>
          <cell r="B312">
            <v>42590</v>
          </cell>
          <cell r="C312" t="str">
            <v>Optimals Comforting Facial Toner</v>
          </cell>
          <cell r="D312">
            <v>5</v>
          </cell>
          <cell r="E312">
            <v>352</v>
          </cell>
          <cell r="F312">
            <v>680</v>
          </cell>
          <cell r="G312">
            <v>439</v>
          </cell>
          <cell r="H312">
            <v>850</v>
          </cell>
          <cell r="I312">
            <v>549</v>
          </cell>
          <cell r="J312" t="str">
            <v>SD</v>
          </cell>
          <cell r="K312">
            <v>0.35411764705882398</v>
          </cell>
          <cell r="L312" t="str">
            <v>81</v>
          </cell>
          <cell r="M312" t="str">
            <v>CTLG</v>
          </cell>
          <cell r="N312" t="str">
            <v/>
          </cell>
          <cell r="O312" t="str">
            <v/>
          </cell>
        </row>
        <row r="313">
          <cell r="A313">
            <v>42609</v>
          </cell>
          <cell r="B313">
            <v>42609</v>
          </cell>
          <cell r="C313" t="str">
            <v>Optimals Clarifying Creamy Cleanser</v>
          </cell>
          <cell r="D313">
            <v>5</v>
          </cell>
          <cell r="E313">
            <v>352</v>
          </cell>
          <cell r="F313">
            <v>680</v>
          </cell>
          <cell r="G313">
            <v>439</v>
          </cell>
          <cell r="H313">
            <v>850</v>
          </cell>
          <cell r="I313">
            <v>549</v>
          </cell>
          <cell r="J313" t="str">
            <v>SD</v>
          </cell>
          <cell r="K313">
            <v>0.35411764705882398</v>
          </cell>
          <cell r="L313" t="str">
            <v>81</v>
          </cell>
          <cell r="M313" t="str">
            <v>CTLG</v>
          </cell>
          <cell r="N313" t="str">
            <v/>
          </cell>
          <cell r="O313" t="str">
            <v/>
          </cell>
        </row>
        <row r="314">
          <cell r="A314">
            <v>42610</v>
          </cell>
          <cell r="B314">
            <v>42610</v>
          </cell>
          <cell r="C314" t="str">
            <v>Optimals  Soothing Micellar Water</v>
          </cell>
          <cell r="D314">
            <v>5</v>
          </cell>
          <cell r="E314">
            <v>352</v>
          </cell>
          <cell r="F314">
            <v>680</v>
          </cell>
          <cell r="G314">
            <v>439</v>
          </cell>
          <cell r="H314">
            <v>850</v>
          </cell>
          <cell r="I314">
            <v>549</v>
          </cell>
          <cell r="J314" t="str">
            <v>SD</v>
          </cell>
          <cell r="K314">
            <v>0.35411764705882398</v>
          </cell>
          <cell r="L314" t="str">
            <v>81</v>
          </cell>
          <cell r="M314" t="str">
            <v>CTLG</v>
          </cell>
          <cell r="N314" t="str">
            <v/>
          </cell>
          <cell r="O314" t="str">
            <v/>
          </cell>
        </row>
        <row r="315">
          <cell r="A315">
            <v>42615</v>
          </cell>
          <cell r="B315">
            <v>42615</v>
          </cell>
          <cell r="C315" t="str">
            <v>Optimals Purifying Clay Face Mask</v>
          </cell>
          <cell r="D315">
            <v>5</v>
          </cell>
          <cell r="E315">
            <v>333</v>
          </cell>
          <cell r="F315">
            <v>760</v>
          </cell>
          <cell r="G315">
            <v>415</v>
          </cell>
          <cell r="H315">
            <v>950</v>
          </cell>
          <cell r="I315">
            <v>519</v>
          </cell>
          <cell r="J315" t="str">
            <v>SD</v>
          </cell>
          <cell r="K315">
            <v>0.45368421052631602</v>
          </cell>
          <cell r="L315" t="str">
            <v>81</v>
          </cell>
          <cell r="M315" t="str">
            <v>CTLG</v>
          </cell>
          <cell r="N315" t="str">
            <v/>
          </cell>
          <cell r="O315" t="str">
            <v/>
          </cell>
        </row>
        <row r="316">
          <cell r="A316">
            <v>42616</v>
          </cell>
          <cell r="B316">
            <v>42616</v>
          </cell>
          <cell r="C316" t="str">
            <v>Optimals Moisture Face Mask</v>
          </cell>
          <cell r="D316">
            <v>5</v>
          </cell>
          <cell r="E316">
            <v>333</v>
          </cell>
          <cell r="F316">
            <v>760</v>
          </cell>
          <cell r="G316">
            <v>415</v>
          </cell>
          <cell r="H316">
            <v>950</v>
          </cell>
          <cell r="I316">
            <v>519</v>
          </cell>
          <cell r="J316" t="str">
            <v>SD</v>
          </cell>
          <cell r="K316">
            <v>0.45368421052631602</v>
          </cell>
          <cell r="L316" t="str">
            <v>81</v>
          </cell>
          <cell r="M316" t="str">
            <v>CTLG</v>
          </cell>
          <cell r="N316" t="str">
            <v/>
          </cell>
          <cell r="O316" t="str">
            <v/>
          </cell>
        </row>
        <row r="317">
          <cell r="A317">
            <v>47517</v>
          </cell>
          <cell r="B317">
            <v>47517</v>
          </cell>
          <cell r="C317" t="str">
            <v>Facial detail cleanser</v>
          </cell>
          <cell r="D317">
            <v>2</v>
          </cell>
          <cell r="E317">
            <v>64</v>
          </cell>
          <cell r="F317">
            <v>296</v>
          </cell>
          <cell r="G317">
            <v>159</v>
          </cell>
          <cell r="H317">
            <v>370</v>
          </cell>
          <cell r="I317">
            <v>199</v>
          </cell>
          <cell r="J317" t="str">
            <v>SD</v>
          </cell>
          <cell r="K317">
            <v>0.46216216216216199</v>
          </cell>
          <cell r="L317" t="str">
            <v>82</v>
          </cell>
          <cell r="M317" t="str">
            <v>CTLG</v>
          </cell>
          <cell r="N317" t="str">
            <v/>
          </cell>
          <cell r="O317" t="str">
            <v/>
          </cell>
        </row>
        <row r="318">
          <cell r="A318">
            <v>47523</v>
          </cell>
          <cell r="B318">
            <v>47523</v>
          </cell>
          <cell r="C318" t="str">
            <v>Facial Cleansing Sponge</v>
          </cell>
          <cell r="D318">
            <v>1</v>
          </cell>
          <cell r="E318">
            <v>38</v>
          </cell>
          <cell r="F318">
            <v>160</v>
          </cell>
          <cell r="G318">
            <v>95</v>
          </cell>
          <cell r="H318">
            <v>200</v>
          </cell>
          <cell r="I318">
            <v>119</v>
          </cell>
          <cell r="J318" t="str">
            <v>SD</v>
          </cell>
          <cell r="K318">
            <v>0.40500000000000003</v>
          </cell>
          <cell r="L318" t="str">
            <v>82</v>
          </cell>
          <cell r="M318" t="str">
            <v>CTLG</v>
          </cell>
          <cell r="N318" t="str">
            <v/>
          </cell>
          <cell r="O318" t="str">
            <v/>
          </cell>
        </row>
        <row r="319">
          <cell r="A319">
            <v>29038</v>
          </cell>
          <cell r="B319">
            <v>29038</v>
          </cell>
          <cell r="C319" t="str">
            <v>Konjac Sponge</v>
          </cell>
          <cell r="D319">
            <v>5</v>
          </cell>
          <cell r="E319">
            <v>167</v>
          </cell>
          <cell r="F319">
            <v>760</v>
          </cell>
          <cell r="G319">
            <v>415</v>
          </cell>
          <cell r="H319">
            <v>950</v>
          </cell>
          <cell r="I319">
            <v>519</v>
          </cell>
          <cell r="J319" t="str">
            <v>SD</v>
          </cell>
          <cell r="K319">
            <v>0.45368421052631602</v>
          </cell>
          <cell r="L319" t="str">
            <v>83</v>
          </cell>
          <cell r="M319" t="str">
            <v>CTLG</v>
          </cell>
          <cell r="N319" t="str">
            <v/>
          </cell>
          <cell r="O319" t="str">
            <v/>
          </cell>
        </row>
        <row r="320">
          <cell r="A320">
            <v>47522</v>
          </cell>
          <cell r="B320">
            <v>47522</v>
          </cell>
          <cell r="C320" t="str">
            <v>Drop Charcoal Konjac Sponge</v>
          </cell>
          <cell r="D320">
            <v>5</v>
          </cell>
          <cell r="E320">
            <v>167</v>
          </cell>
          <cell r="F320">
            <v>744</v>
          </cell>
          <cell r="G320">
            <v>415</v>
          </cell>
          <cell r="H320">
            <v>930</v>
          </cell>
          <cell r="I320">
            <v>519</v>
          </cell>
          <cell r="J320" t="str">
            <v>SD</v>
          </cell>
          <cell r="K320">
            <v>0.44193548387096798</v>
          </cell>
          <cell r="L320" t="str">
            <v>83</v>
          </cell>
          <cell r="M320" t="str">
            <v>CTLG</v>
          </cell>
          <cell r="N320" t="str">
            <v/>
          </cell>
          <cell r="O320" t="str">
            <v/>
          </cell>
        </row>
        <row r="321">
          <cell r="A321">
            <v>41102</v>
          </cell>
          <cell r="B321">
            <v>41102</v>
          </cell>
          <cell r="C321" t="str">
            <v>Love Nature Hydrating Mask upcycled</v>
          </cell>
          <cell r="D321">
            <v>3</v>
          </cell>
          <cell r="E321">
            <v>186</v>
          </cell>
          <cell r="F321">
            <v>328</v>
          </cell>
          <cell r="G321">
            <v>231</v>
          </cell>
          <cell r="H321">
            <v>410</v>
          </cell>
          <cell r="I321">
            <v>289</v>
          </cell>
          <cell r="J321" t="str">
            <v>SD</v>
          </cell>
          <cell r="K321">
            <v>0.29512195121951201</v>
          </cell>
          <cell r="L321" t="str">
            <v>84</v>
          </cell>
          <cell r="M321" t="str">
            <v>CTLG</v>
          </cell>
          <cell r="N321" t="str">
            <v/>
          </cell>
          <cell r="O321" t="str">
            <v/>
          </cell>
        </row>
        <row r="322">
          <cell r="A322">
            <v>41283</v>
          </cell>
          <cell r="B322">
            <v>41283</v>
          </cell>
          <cell r="C322" t="str">
            <v>LN Avocado Multipurpose Oil</v>
          </cell>
          <cell r="D322">
            <v>8</v>
          </cell>
          <cell r="E322">
            <v>538</v>
          </cell>
          <cell r="F322">
            <v>960</v>
          </cell>
          <cell r="G322">
            <v>671</v>
          </cell>
          <cell r="H322">
            <v>1200</v>
          </cell>
          <cell r="I322">
            <v>839</v>
          </cell>
          <cell r="J322" t="str">
            <v>SD</v>
          </cell>
          <cell r="K322">
            <v>0.30083333333333301</v>
          </cell>
          <cell r="L322" t="str">
            <v>84</v>
          </cell>
          <cell r="M322" t="str">
            <v>CTLG</v>
          </cell>
          <cell r="N322" t="str">
            <v/>
          </cell>
          <cell r="O322" t="str">
            <v/>
          </cell>
        </row>
        <row r="323">
          <cell r="A323">
            <v>44158</v>
          </cell>
          <cell r="B323">
            <v>44158</v>
          </cell>
          <cell r="C323" t="str">
            <v xml:space="preserve">Love Nature Face Scrub Upcycled </v>
          </cell>
          <cell r="D323">
            <v>3</v>
          </cell>
          <cell r="E323">
            <v>186</v>
          </cell>
          <cell r="F323">
            <v>328</v>
          </cell>
          <cell r="G323">
            <v>231</v>
          </cell>
          <cell r="H323">
            <v>410</v>
          </cell>
          <cell r="I323">
            <v>289</v>
          </cell>
          <cell r="J323" t="str">
            <v>SD</v>
          </cell>
          <cell r="K323">
            <v>0.29512195121951201</v>
          </cell>
          <cell r="L323" t="str">
            <v>84</v>
          </cell>
          <cell r="M323" t="str">
            <v>CTLG</v>
          </cell>
          <cell r="N323" t="str">
            <v/>
          </cell>
          <cell r="O323" t="str">
            <v/>
          </cell>
        </row>
        <row r="324">
          <cell r="A324">
            <v>44159</v>
          </cell>
          <cell r="B324">
            <v>44159</v>
          </cell>
          <cell r="C324" t="str">
            <v>Love Nature Clarifying MaskUpcycled</v>
          </cell>
          <cell r="D324">
            <v>3</v>
          </cell>
          <cell r="E324">
            <v>186</v>
          </cell>
          <cell r="F324">
            <v>328</v>
          </cell>
          <cell r="G324">
            <v>231</v>
          </cell>
          <cell r="H324">
            <v>410</v>
          </cell>
          <cell r="I324">
            <v>289</v>
          </cell>
          <cell r="J324" t="str">
            <v>SD</v>
          </cell>
          <cell r="K324">
            <v>0.29512195121951201</v>
          </cell>
          <cell r="L324" t="str">
            <v>84</v>
          </cell>
          <cell r="M324" t="str">
            <v>CTLG</v>
          </cell>
          <cell r="N324" t="str">
            <v/>
          </cell>
          <cell r="O324" t="str">
            <v/>
          </cell>
        </row>
        <row r="325">
          <cell r="A325">
            <v>34841</v>
          </cell>
          <cell r="B325">
            <v>34841</v>
          </cell>
          <cell r="C325" t="str">
            <v>Love Nature Tea Tree Lime Gel Wash</v>
          </cell>
          <cell r="D325">
            <v>4</v>
          </cell>
          <cell r="E325">
            <v>230</v>
          </cell>
          <cell r="F325">
            <v>480</v>
          </cell>
          <cell r="G325">
            <v>287</v>
          </cell>
          <cell r="H325">
            <v>600</v>
          </cell>
          <cell r="I325">
            <v>359</v>
          </cell>
          <cell r="J325" t="str">
            <v>SD</v>
          </cell>
          <cell r="K325">
            <v>0.401666666666667</v>
          </cell>
          <cell r="L325" t="str">
            <v>85</v>
          </cell>
          <cell r="M325" t="str">
            <v>CTLG</v>
          </cell>
          <cell r="N325" t="str">
            <v/>
          </cell>
          <cell r="O325" t="str">
            <v/>
          </cell>
        </row>
        <row r="326">
          <cell r="A326">
            <v>34843</v>
          </cell>
          <cell r="B326">
            <v>34843</v>
          </cell>
          <cell r="C326" t="str">
            <v>Love Nature Tea Tree Lime Toner</v>
          </cell>
          <cell r="D326">
            <v>4</v>
          </cell>
          <cell r="E326">
            <v>230</v>
          </cell>
          <cell r="F326">
            <v>480</v>
          </cell>
          <cell r="G326">
            <v>287</v>
          </cell>
          <cell r="H326">
            <v>600</v>
          </cell>
          <cell r="I326">
            <v>359</v>
          </cell>
          <cell r="J326" t="str">
            <v>SD</v>
          </cell>
          <cell r="K326">
            <v>0.401666666666667</v>
          </cell>
          <cell r="L326" t="str">
            <v>85</v>
          </cell>
          <cell r="M326" t="str">
            <v>CTLG</v>
          </cell>
          <cell r="N326" t="str">
            <v/>
          </cell>
          <cell r="O326" t="str">
            <v/>
          </cell>
        </row>
        <row r="327">
          <cell r="A327">
            <v>34849</v>
          </cell>
          <cell r="B327">
            <v>34849</v>
          </cell>
          <cell r="C327" t="str">
            <v>Love Nature Tea Tree Lime Oil</v>
          </cell>
          <cell r="D327">
            <v>4</v>
          </cell>
          <cell r="E327">
            <v>237</v>
          </cell>
          <cell r="F327">
            <v>520</v>
          </cell>
          <cell r="G327">
            <v>295</v>
          </cell>
          <cell r="H327">
            <v>650</v>
          </cell>
          <cell r="I327">
            <v>369</v>
          </cell>
          <cell r="J327" t="str">
            <v>SD</v>
          </cell>
          <cell r="K327">
            <v>0.432307692307692</v>
          </cell>
          <cell r="L327" t="str">
            <v>85</v>
          </cell>
          <cell r="M327" t="str">
            <v>CTLG</v>
          </cell>
          <cell r="N327" t="str">
            <v/>
          </cell>
          <cell r="O327" t="str">
            <v/>
          </cell>
        </row>
        <row r="328">
          <cell r="A328">
            <v>34855</v>
          </cell>
          <cell r="B328">
            <v>34855</v>
          </cell>
          <cell r="C328" t="str">
            <v>Love Nature Tea Tree Lime Stick</v>
          </cell>
          <cell r="D328">
            <v>4</v>
          </cell>
          <cell r="E328">
            <v>237</v>
          </cell>
          <cell r="F328">
            <v>520</v>
          </cell>
          <cell r="G328">
            <v>295</v>
          </cell>
          <cell r="H328">
            <v>650</v>
          </cell>
          <cell r="I328">
            <v>369</v>
          </cell>
          <cell r="J328" t="str">
            <v>SD</v>
          </cell>
          <cell r="K328">
            <v>0.432307692307692</v>
          </cell>
          <cell r="L328" t="str">
            <v>85</v>
          </cell>
          <cell r="M328" t="str">
            <v>CTLG</v>
          </cell>
          <cell r="N328" t="str">
            <v/>
          </cell>
          <cell r="O328" t="str">
            <v/>
          </cell>
        </row>
        <row r="329">
          <cell r="A329">
            <v>43691</v>
          </cell>
          <cell r="B329">
            <v>43691</v>
          </cell>
          <cell r="C329" t="str">
            <v>Novage+ Lift + Firm Routine Rich</v>
          </cell>
          <cell r="D329">
            <v>120</v>
          </cell>
          <cell r="E329">
            <v>6416</v>
          </cell>
          <cell r="F329">
            <v>11440</v>
          </cell>
          <cell r="G329">
            <v>7999</v>
          </cell>
          <cell r="H329">
            <v>14300</v>
          </cell>
          <cell r="I329">
            <v>9999</v>
          </cell>
          <cell r="J329" t="str">
            <v>SD</v>
          </cell>
          <cell r="K329">
            <v>0.30076923076923101</v>
          </cell>
          <cell r="L329" t="str">
            <v>86</v>
          </cell>
          <cell r="M329" t="str">
            <v>CTLG</v>
          </cell>
          <cell r="N329" t="str">
            <v/>
          </cell>
          <cell r="O329" t="str">
            <v/>
          </cell>
        </row>
        <row r="330">
          <cell r="A330">
            <v>45595</v>
          </cell>
          <cell r="B330">
            <v>45595</v>
          </cell>
          <cell r="C330" t="str">
            <v>Novage+ Bright Intense RoutineMixed</v>
          </cell>
          <cell r="D330">
            <v>120</v>
          </cell>
          <cell r="E330">
            <v>6416</v>
          </cell>
          <cell r="F330">
            <v>11440</v>
          </cell>
          <cell r="G330">
            <v>7999</v>
          </cell>
          <cell r="H330">
            <v>14300</v>
          </cell>
          <cell r="I330">
            <v>9999</v>
          </cell>
          <cell r="J330" t="str">
            <v>SD</v>
          </cell>
          <cell r="K330">
            <v>0.30076923076923101</v>
          </cell>
          <cell r="L330" t="str">
            <v>86</v>
          </cell>
          <cell r="M330" t="str">
            <v>CTLG</v>
          </cell>
          <cell r="N330" t="str">
            <v/>
          </cell>
          <cell r="O330" t="str">
            <v/>
          </cell>
        </row>
        <row r="331">
          <cell r="A331">
            <v>45590</v>
          </cell>
          <cell r="B331">
            <v>45590</v>
          </cell>
          <cell r="C331" t="str">
            <v>Novage+ Wrinkle Smooth RoutineMixed</v>
          </cell>
          <cell r="D331">
            <v>120</v>
          </cell>
          <cell r="E331">
            <v>6416</v>
          </cell>
          <cell r="F331">
            <v>11440</v>
          </cell>
          <cell r="G331">
            <v>7999</v>
          </cell>
          <cell r="H331">
            <v>14300</v>
          </cell>
          <cell r="I331">
            <v>9999</v>
          </cell>
          <cell r="J331" t="str">
            <v>SD</v>
          </cell>
          <cell r="K331">
            <v>0.30076923076923101</v>
          </cell>
          <cell r="L331" t="str">
            <v>87</v>
          </cell>
          <cell r="M331" t="str">
            <v>CTLG</v>
          </cell>
          <cell r="N331" t="str">
            <v/>
          </cell>
          <cell r="O331" t="str">
            <v/>
          </cell>
        </row>
        <row r="332">
          <cell r="A332">
            <v>45608</v>
          </cell>
          <cell r="B332">
            <v>45608</v>
          </cell>
          <cell r="C332" t="str">
            <v>Novage+ Blemish + Age Routine Light</v>
          </cell>
          <cell r="D332">
            <v>120</v>
          </cell>
          <cell r="E332">
            <v>6416</v>
          </cell>
          <cell r="F332">
            <v>11440</v>
          </cell>
          <cell r="G332">
            <v>7999</v>
          </cell>
          <cell r="H332">
            <v>14300</v>
          </cell>
          <cell r="I332">
            <v>9999</v>
          </cell>
          <cell r="J332" t="str">
            <v>SD</v>
          </cell>
          <cell r="K332">
            <v>0.30076923076923101</v>
          </cell>
          <cell r="L332" t="str">
            <v>87</v>
          </cell>
          <cell r="M332" t="str">
            <v>CTLG</v>
          </cell>
          <cell r="N332" t="str">
            <v/>
          </cell>
          <cell r="O332" t="str">
            <v/>
          </cell>
        </row>
        <row r="333">
          <cell r="A333">
            <v>548054</v>
          </cell>
          <cell r="B333">
            <v>548054</v>
          </cell>
          <cell r="C333" t="str">
            <v>Novage+ Blemish + Age Routine...ples set</v>
          </cell>
          <cell r="D333">
            <v>0</v>
          </cell>
          <cell r="E333">
            <v>0</v>
          </cell>
          <cell r="F333">
            <v>175</v>
          </cell>
          <cell r="G333">
            <v>119</v>
          </cell>
          <cell r="H333">
            <v>175</v>
          </cell>
          <cell r="I333">
            <v>119</v>
          </cell>
          <cell r="J333" t="str">
            <v>SD</v>
          </cell>
          <cell r="K333">
            <v>0.32</v>
          </cell>
          <cell r="L333" t="str">
            <v>87</v>
          </cell>
          <cell r="M333" t="str">
            <v>CTLG</v>
          </cell>
          <cell r="N333" t="str">
            <v/>
          </cell>
          <cell r="O333" t="str">
            <v/>
          </cell>
        </row>
        <row r="334">
          <cell r="A334">
            <v>41029</v>
          </cell>
          <cell r="B334">
            <v>41029</v>
          </cell>
          <cell r="C334" t="str">
            <v xml:space="preserve">Novage+ Refresh Gel Cleanser </v>
          </cell>
          <cell r="D334">
            <v>16</v>
          </cell>
          <cell r="E334">
            <v>1027</v>
          </cell>
          <cell r="F334">
            <v>1280</v>
          </cell>
          <cell r="G334">
            <v>1280</v>
          </cell>
          <cell r="H334">
            <v>1600</v>
          </cell>
          <cell r="I334">
            <v>1600</v>
          </cell>
          <cell r="J334" t="str">
            <v>PWP</v>
          </cell>
          <cell r="K334">
            <v>0</v>
          </cell>
          <cell r="L334" t="str">
            <v>88</v>
          </cell>
          <cell r="M334" t="str">
            <v>CTLG</v>
          </cell>
          <cell r="N334" t="str">
            <v/>
          </cell>
          <cell r="O334" t="str">
            <v/>
          </cell>
        </row>
        <row r="335">
          <cell r="A335">
            <v>41029</v>
          </cell>
          <cell r="B335">
            <v>41029</v>
          </cell>
          <cell r="C335" t="str">
            <v xml:space="preserve">Novage+ Refresh Gel Cleanser </v>
          </cell>
          <cell r="D335">
            <v>11</v>
          </cell>
          <cell r="E335">
            <v>705</v>
          </cell>
          <cell r="F335">
            <v>1280</v>
          </cell>
          <cell r="G335">
            <v>879</v>
          </cell>
          <cell r="H335">
            <v>1600</v>
          </cell>
          <cell r="I335">
            <v>1099</v>
          </cell>
          <cell r="J335" t="str">
            <v>PWP</v>
          </cell>
          <cell r="K335">
            <v>0.31312499999999999</v>
          </cell>
          <cell r="L335" t="str">
            <v>88</v>
          </cell>
          <cell r="M335" t="str">
            <v>CTLG</v>
          </cell>
          <cell r="N335" t="str">
            <v/>
          </cell>
          <cell r="O335" t="str">
            <v/>
          </cell>
        </row>
        <row r="336">
          <cell r="A336">
            <v>41033</v>
          </cell>
          <cell r="B336">
            <v>41033</v>
          </cell>
          <cell r="C336" t="str">
            <v>Novage+ Bright Intense Eye Cream</v>
          </cell>
          <cell r="D336">
            <v>25</v>
          </cell>
          <cell r="E336">
            <v>1604</v>
          </cell>
          <cell r="F336">
            <v>2000</v>
          </cell>
          <cell r="G336">
            <v>2000</v>
          </cell>
          <cell r="H336">
            <v>2500</v>
          </cell>
          <cell r="I336">
            <v>2500</v>
          </cell>
          <cell r="J336" t="str">
            <v>PWP</v>
          </cell>
          <cell r="K336">
            <v>0</v>
          </cell>
          <cell r="L336" t="str">
            <v>89</v>
          </cell>
          <cell r="M336" t="str">
            <v>CTLG</v>
          </cell>
          <cell r="N336" t="str">
            <v/>
          </cell>
          <cell r="O336" t="str">
            <v/>
          </cell>
        </row>
        <row r="337">
          <cell r="A337">
            <v>41033</v>
          </cell>
          <cell r="B337">
            <v>41033</v>
          </cell>
          <cell r="C337" t="str">
            <v>Novage+ Bright Intense Eye Cream</v>
          </cell>
          <cell r="D337">
            <v>18</v>
          </cell>
          <cell r="E337">
            <v>1154</v>
          </cell>
          <cell r="F337">
            <v>2000</v>
          </cell>
          <cell r="G337">
            <v>1439</v>
          </cell>
          <cell r="H337">
            <v>2500</v>
          </cell>
          <cell r="I337">
            <v>1799</v>
          </cell>
          <cell r="J337" t="str">
            <v>PWP</v>
          </cell>
          <cell r="K337">
            <v>0.28039999999999998</v>
          </cell>
          <cell r="L337" t="str">
            <v>89</v>
          </cell>
          <cell r="M337" t="str">
            <v>CTLG</v>
          </cell>
          <cell r="N337" t="str">
            <v/>
          </cell>
          <cell r="O337" t="str">
            <v/>
          </cell>
        </row>
        <row r="338">
          <cell r="A338">
            <v>41034</v>
          </cell>
          <cell r="B338">
            <v>41034</v>
          </cell>
          <cell r="C338" t="str">
            <v>Novage+ Wrinkle Smooth Eye Cream</v>
          </cell>
          <cell r="D338">
            <v>25</v>
          </cell>
          <cell r="E338">
            <v>1604</v>
          </cell>
          <cell r="F338">
            <v>2000</v>
          </cell>
          <cell r="G338">
            <v>2000</v>
          </cell>
          <cell r="H338">
            <v>2500</v>
          </cell>
          <cell r="I338">
            <v>2500</v>
          </cell>
          <cell r="J338" t="str">
            <v>PWP</v>
          </cell>
          <cell r="K338">
            <v>0</v>
          </cell>
          <cell r="L338" t="str">
            <v>89</v>
          </cell>
          <cell r="M338" t="str">
            <v>CTLG</v>
          </cell>
          <cell r="N338" t="str">
            <v/>
          </cell>
          <cell r="O338" t="str">
            <v/>
          </cell>
        </row>
        <row r="339">
          <cell r="A339">
            <v>41034</v>
          </cell>
          <cell r="B339">
            <v>41034</v>
          </cell>
          <cell r="C339" t="str">
            <v>Novage+ Wrinkle Smooth Eye Cream</v>
          </cell>
          <cell r="D339">
            <v>18</v>
          </cell>
          <cell r="E339">
            <v>1154</v>
          </cell>
          <cell r="F339">
            <v>2000</v>
          </cell>
          <cell r="G339">
            <v>1439</v>
          </cell>
          <cell r="H339">
            <v>2500</v>
          </cell>
          <cell r="I339">
            <v>1799</v>
          </cell>
          <cell r="J339" t="str">
            <v>PWP</v>
          </cell>
          <cell r="K339">
            <v>0.28039999999999998</v>
          </cell>
          <cell r="L339" t="str">
            <v>89</v>
          </cell>
          <cell r="M339" t="str">
            <v>CTLG</v>
          </cell>
          <cell r="N339" t="str">
            <v/>
          </cell>
          <cell r="O339" t="str">
            <v/>
          </cell>
        </row>
        <row r="340">
          <cell r="A340">
            <v>42425</v>
          </cell>
          <cell r="B340">
            <v>42425</v>
          </cell>
          <cell r="C340" t="str">
            <v>Novage+ Lift + Firm Eye Cream</v>
          </cell>
          <cell r="D340">
            <v>25</v>
          </cell>
          <cell r="E340">
            <v>1604</v>
          </cell>
          <cell r="F340">
            <v>2000</v>
          </cell>
          <cell r="G340">
            <v>2000</v>
          </cell>
          <cell r="H340">
            <v>2500</v>
          </cell>
          <cell r="I340">
            <v>2500</v>
          </cell>
          <cell r="J340" t="str">
            <v>PWP</v>
          </cell>
          <cell r="K340">
            <v>0</v>
          </cell>
          <cell r="L340" t="str">
            <v>89</v>
          </cell>
          <cell r="M340" t="str">
            <v>CTLG</v>
          </cell>
          <cell r="N340" t="str">
            <v/>
          </cell>
          <cell r="O340" t="str">
            <v/>
          </cell>
        </row>
        <row r="341">
          <cell r="A341">
            <v>42425</v>
          </cell>
          <cell r="B341">
            <v>42425</v>
          </cell>
          <cell r="C341" t="str">
            <v>Novage+ Lift + Firm Eye Cream</v>
          </cell>
          <cell r="D341">
            <v>18</v>
          </cell>
          <cell r="E341">
            <v>1154</v>
          </cell>
          <cell r="F341">
            <v>2000</v>
          </cell>
          <cell r="G341">
            <v>1439</v>
          </cell>
          <cell r="H341">
            <v>2500</v>
          </cell>
          <cell r="I341">
            <v>1799</v>
          </cell>
          <cell r="J341" t="str">
            <v>PWP</v>
          </cell>
          <cell r="K341">
            <v>0.28039999999999998</v>
          </cell>
          <cell r="L341" t="str">
            <v>89</v>
          </cell>
          <cell r="M341" t="str">
            <v>CTLG</v>
          </cell>
          <cell r="N341" t="str">
            <v/>
          </cell>
          <cell r="O341" t="str">
            <v/>
          </cell>
        </row>
        <row r="342">
          <cell r="A342">
            <v>41035</v>
          </cell>
          <cell r="B342">
            <v>41035</v>
          </cell>
          <cell r="C342" t="str">
            <v>Novage+ Wrinkle Smooth Serum</v>
          </cell>
          <cell r="D342">
            <v>40</v>
          </cell>
          <cell r="E342">
            <v>2567</v>
          </cell>
          <cell r="F342">
            <v>3200</v>
          </cell>
          <cell r="G342">
            <v>3200</v>
          </cell>
          <cell r="H342">
            <v>4000</v>
          </cell>
          <cell r="I342">
            <v>4000</v>
          </cell>
          <cell r="J342" t="str">
            <v>PWP</v>
          </cell>
          <cell r="K342">
            <v>0</v>
          </cell>
          <cell r="L342" t="str">
            <v>91</v>
          </cell>
          <cell r="M342" t="str">
            <v>CTLG</v>
          </cell>
          <cell r="N342" t="str">
            <v/>
          </cell>
          <cell r="O342" t="str">
            <v/>
          </cell>
        </row>
        <row r="343">
          <cell r="A343">
            <v>41035</v>
          </cell>
          <cell r="B343">
            <v>41035</v>
          </cell>
          <cell r="C343" t="str">
            <v>Novage+ Wrinkle Smooth Serum</v>
          </cell>
          <cell r="D343">
            <v>28</v>
          </cell>
          <cell r="E343">
            <v>1796</v>
          </cell>
          <cell r="F343">
            <v>3200</v>
          </cell>
          <cell r="G343">
            <v>2239</v>
          </cell>
          <cell r="H343">
            <v>4000</v>
          </cell>
          <cell r="I343">
            <v>2799</v>
          </cell>
          <cell r="J343" t="str">
            <v>PWP</v>
          </cell>
          <cell r="K343">
            <v>0.30025000000000002</v>
          </cell>
          <cell r="L343" t="str">
            <v>91</v>
          </cell>
          <cell r="M343" t="str">
            <v>CTLG</v>
          </cell>
          <cell r="N343" t="str">
            <v/>
          </cell>
          <cell r="O343" t="str">
            <v/>
          </cell>
        </row>
        <row r="344">
          <cell r="A344">
            <v>41037</v>
          </cell>
          <cell r="B344">
            <v>41037</v>
          </cell>
          <cell r="C344" t="str">
            <v>Novage+ Lift + Firm Serum</v>
          </cell>
          <cell r="D344">
            <v>40</v>
          </cell>
          <cell r="E344">
            <v>2567</v>
          </cell>
          <cell r="F344">
            <v>3200</v>
          </cell>
          <cell r="G344">
            <v>3200</v>
          </cell>
          <cell r="H344">
            <v>4000</v>
          </cell>
          <cell r="I344">
            <v>4000</v>
          </cell>
          <cell r="J344" t="str">
            <v>PWP</v>
          </cell>
          <cell r="K344">
            <v>0</v>
          </cell>
          <cell r="L344" t="str">
            <v>91</v>
          </cell>
          <cell r="M344" t="str">
            <v>CTLG</v>
          </cell>
          <cell r="N344" t="str">
            <v/>
          </cell>
          <cell r="O344" t="str">
            <v/>
          </cell>
        </row>
        <row r="345">
          <cell r="A345">
            <v>41037</v>
          </cell>
          <cell r="B345">
            <v>41037</v>
          </cell>
          <cell r="C345" t="str">
            <v>Novage+ Lift + Firm Serum</v>
          </cell>
          <cell r="D345">
            <v>28</v>
          </cell>
          <cell r="E345">
            <v>1796</v>
          </cell>
          <cell r="F345">
            <v>3200</v>
          </cell>
          <cell r="G345">
            <v>2239</v>
          </cell>
          <cell r="H345">
            <v>4000</v>
          </cell>
          <cell r="I345">
            <v>2799</v>
          </cell>
          <cell r="J345" t="str">
            <v>PWP</v>
          </cell>
          <cell r="K345">
            <v>0.30025000000000002</v>
          </cell>
          <cell r="L345" t="str">
            <v>91</v>
          </cell>
          <cell r="M345" t="str">
            <v>CTLG</v>
          </cell>
          <cell r="N345" t="str">
            <v/>
          </cell>
          <cell r="O345" t="str">
            <v/>
          </cell>
        </row>
        <row r="346">
          <cell r="A346">
            <v>41039</v>
          </cell>
          <cell r="B346">
            <v>41039</v>
          </cell>
          <cell r="C346" t="str">
            <v>Novage+ Blemish + Age Defy Serum</v>
          </cell>
          <cell r="D346">
            <v>40</v>
          </cell>
          <cell r="E346">
            <v>2567</v>
          </cell>
          <cell r="F346">
            <v>3200</v>
          </cell>
          <cell r="G346">
            <v>3200</v>
          </cell>
          <cell r="H346">
            <v>4000</v>
          </cell>
          <cell r="I346">
            <v>4000</v>
          </cell>
          <cell r="J346" t="str">
            <v>PWP</v>
          </cell>
          <cell r="K346">
            <v>0</v>
          </cell>
          <cell r="L346" t="str">
            <v>91</v>
          </cell>
          <cell r="M346" t="str">
            <v>CTLG</v>
          </cell>
          <cell r="N346" t="str">
            <v/>
          </cell>
          <cell r="O346" t="str">
            <v/>
          </cell>
        </row>
        <row r="347">
          <cell r="A347">
            <v>41039</v>
          </cell>
          <cell r="B347">
            <v>41039</v>
          </cell>
          <cell r="C347" t="str">
            <v>Novage+ Blemish + Age Defy Serum</v>
          </cell>
          <cell r="D347">
            <v>28</v>
          </cell>
          <cell r="E347">
            <v>1796</v>
          </cell>
          <cell r="F347">
            <v>3200</v>
          </cell>
          <cell r="G347">
            <v>2239</v>
          </cell>
          <cell r="H347">
            <v>4000</v>
          </cell>
          <cell r="I347">
            <v>2799</v>
          </cell>
          <cell r="J347" t="str">
            <v>PWP</v>
          </cell>
          <cell r="K347">
            <v>0.30025000000000002</v>
          </cell>
          <cell r="L347" t="str">
            <v>91</v>
          </cell>
          <cell r="M347" t="str">
            <v>CTLG</v>
          </cell>
          <cell r="N347" t="str">
            <v/>
          </cell>
          <cell r="O347" t="str">
            <v/>
          </cell>
        </row>
        <row r="348">
          <cell r="A348">
            <v>41040</v>
          </cell>
          <cell r="B348">
            <v>41040</v>
          </cell>
          <cell r="C348" t="str">
            <v>Novage+ Bright Intense Serum</v>
          </cell>
          <cell r="D348">
            <v>40</v>
          </cell>
          <cell r="E348">
            <v>2567</v>
          </cell>
          <cell r="F348">
            <v>3200</v>
          </cell>
          <cell r="G348">
            <v>3200</v>
          </cell>
          <cell r="H348">
            <v>4000</v>
          </cell>
          <cell r="I348">
            <v>4000</v>
          </cell>
          <cell r="J348" t="str">
            <v>PWP</v>
          </cell>
          <cell r="K348">
            <v>0</v>
          </cell>
          <cell r="L348" t="str">
            <v>91</v>
          </cell>
          <cell r="M348" t="str">
            <v>CTLG</v>
          </cell>
          <cell r="N348" t="str">
            <v/>
          </cell>
          <cell r="O348" t="str">
            <v/>
          </cell>
        </row>
        <row r="349">
          <cell r="A349">
            <v>41040</v>
          </cell>
          <cell r="B349">
            <v>41040</v>
          </cell>
          <cell r="C349" t="str">
            <v>Novage+ Bright Intense Serum</v>
          </cell>
          <cell r="D349">
            <v>28</v>
          </cell>
          <cell r="E349">
            <v>1796</v>
          </cell>
          <cell r="F349">
            <v>3200</v>
          </cell>
          <cell r="G349">
            <v>2239</v>
          </cell>
          <cell r="H349">
            <v>4000</v>
          </cell>
          <cell r="I349">
            <v>2799</v>
          </cell>
          <cell r="J349" t="str">
            <v>PWP</v>
          </cell>
          <cell r="K349">
            <v>0.30025000000000002</v>
          </cell>
          <cell r="L349" t="str">
            <v>91</v>
          </cell>
          <cell r="M349" t="str">
            <v>CTLG</v>
          </cell>
          <cell r="N349" t="str">
            <v/>
          </cell>
          <cell r="O349" t="str">
            <v/>
          </cell>
        </row>
        <row r="350">
          <cell r="A350">
            <v>41043</v>
          </cell>
          <cell r="B350">
            <v>41043</v>
          </cell>
          <cell r="C350" t="str">
            <v>Novage+ Day Cream Light</v>
          </cell>
          <cell r="D350">
            <v>23</v>
          </cell>
          <cell r="E350">
            <v>1475</v>
          </cell>
          <cell r="F350">
            <v>2480</v>
          </cell>
          <cell r="G350">
            <v>1839</v>
          </cell>
          <cell r="H350">
            <v>3100</v>
          </cell>
          <cell r="I350">
            <v>2299</v>
          </cell>
          <cell r="J350" t="str">
            <v>PWP</v>
          </cell>
          <cell r="K350">
            <v>0.25838709677419402</v>
          </cell>
          <cell r="L350" t="str">
            <v>92</v>
          </cell>
          <cell r="M350" t="str">
            <v>CTLG</v>
          </cell>
          <cell r="N350" t="str">
            <v/>
          </cell>
          <cell r="O350" t="str">
            <v/>
          </cell>
        </row>
        <row r="351">
          <cell r="A351">
            <v>41043</v>
          </cell>
          <cell r="B351">
            <v>41043</v>
          </cell>
          <cell r="C351" t="str">
            <v>Novage+ Day Cream Light</v>
          </cell>
          <cell r="D351">
            <v>22</v>
          </cell>
          <cell r="E351">
            <v>1411</v>
          </cell>
          <cell r="F351">
            <v>2480</v>
          </cell>
          <cell r="G351">
            <v>1759</v>
          </cell>
          <cell r="H351">
            <v>3100</v>
          </cell>
          <cell r="I351">
            <v>2199</v>
          </cell>
          <cell r="J351" t="str">
            <v>PWP</v>
          </cell>
          <cell r="K351">
            <v>0.29064516129032297</v>
          </cell>
          <cell r="L351" t="str">
            <v>92</v>
          </cell>
          <cell r="M351" t="str">
            <v>CTLG</v>
          </cell>
          <cell r="N351" t="str">
            <v/>
          </cell>
          <cell r="O351" t="str">
            <v/>
          </cell>
        </row>
        <row r="352">
          <cell r="A352">
            <v>41044</v>
          </cell>
          <cell r="B352">
            <v>41044</v>
          </cell>
          <cell r="C352" t="str">
            <v>Novage+ Day Cream SPF 30 Light</v>
          </cell>
          <cell r="D352">
            <v>23</v>
          </cell>
          <cell r="E352">
            <v>1475</v>
          </cell>
          <cell r="F352">
            <v>2480</v>
          </cell>
          <cell r="G352">
            <v>1839</v>
          </cell>
          <cell r="H352">
            <v>3100</v>
          </cell>
          <cell r="I352">
            <v>2299</v>
          </cell>
          <cell r="J352" t="str">
            <v>PWP</v>
          </cell>
          <cell r="K352">
            <v>0.25838709677419402</v>
          </cell>
          <cell r="L352" t="str">
            <v>92</v>
          </cell>
          <cell r="M352" t="str">
            <v>CTLG</v>
          </cell>
          <cell r="N352" t="str">
            <v/>
          </cell>
          <cell r="O352" t="str">
            <v/>
          </cell>
        </row>
        <row r="353">
          <cell r="A353">
            <v>41044</v>
          </cell>
          <cell r="B353">
            <v>41044</v>
          </cell>
          <cell r="C353" t="str">
            <v>Novage+ Day Cream SPF 30 Light</v>
          </cell>
          <cell r="D353">
            <v>22</v>
          </cell>
          <cell r="E353">
            <v>1411</v>
          </cell>
          <cell r="F353">
            <v>2480</v>
          </cell>
          <cell r="G353">
            <v>1759</v>
          </cell>
          <cell r="H353">
            <v>3100</v>
          </cell>
          <cell r="I353">
            <v>2199</v>
          </cell>
          <cell r="J353" t="str">
            <v>PWP</v>
          </cell>
          <cell r="K353">
            <v>0.29064516129032297</v>
          </cell>
          <cell r="L353" t="str">
            <v>92</v>
          </cell>
          <cell r="M353" t="str">
            <v>CTLG</v>
          </cell>
          <cell r="N353" t="str">
            <v/>
          </cell>
          <cell r="O353" t="str">
            <v/>
          </cell>
        </row>
        <row r="354">
          <cell r="A354">
            <v>41047</v>
          </cell>
          <cell r="B354">
            <v>41047</v>
          </cell>
          <cell r="C354" t="str">
            <v>Novage+ Day Cream Rich</v>
          </cell>
          <cell r="D354">
            <v>23</v>
          </cell>
          <cell r="E354">
            <v>1475</v>
          </cell>
          <cell r="F354">
            <v>2480</v>
          </cell>
          <cell r="G354">
            <v>1839</v>
          </cell>
          <cell r="H354">
            <v>3100</v>
          </cell>
          <cell r="I354">
            <v>2299</v>
          </cell>
          <cell r="J354" t="str">
            <v>PWP</v>
          </cell>
          <cell r="K354">
            <v>0.25838709677419402</v>
          </cell>
          <cell r="L354" t="str">
            <v>92</v>
          </cell>
          <cell r="M354" t="str">
            <v>CTLG</v>
          </cell>
          <cell r="N354" t="str">
            <v/>
          </cell>
          <cell r="O354" t="str">
            <v/>
          </cell>
        </row>
        <row r="355">
          <cell r="A355">
            <v>41047</v>
          </cell>
          <cell r="B355">
            <v>41047</v>
          </cell>
          <cell r="C355" t="str">
            <v>Novage+ Day Cream Rich</v>
          </cell>
          <cell r="D355">
            <v>22</v>
          </cell>
          <cell r="E355">
            <v>1411</v>
          </cell>
          <cell r="F355">
            <v>2480</v>
          </cell>
          <cell r="G355">
            <v>1759</v>
          </cell>
          <cell r="H355">
            <v>3100</v>
          </cell>
          <cell r="I355">
            <v>2199</v>
          </cell>
          <cell r="J355" t="str">
            <v>PWP</v>
          </cell>
          <cell r="K355">
            <v>0.29064516129032297</v>
          </cell>
          <cell r="L355" t="str">
            <v>92</v>
          </cell>
          <cell r="M355" t="str">
            <v>CTLG</v>
          </cell>
          <cell r="N355" t="str">
            <v/>
          </cell>
          <cell r="O355" t="str">
            <v/>
          </cell>
        </row>
        <row r="356">
          <cell r="A356">
            <v>41048</v>
          </cell>
          <cell r="B356">
            <v>41048</v>
          </cell>
          <cell r="C356" t="str">
            <v xml:space="preserve">Novage+ Day Cream Rich SPF 30 </v>
          </cell>
          <cell r="D356">
            <v>23</v>
          </cell>
          <cell r="E356">
            <v>1475</v>
          </cell>
          <cell r="F356">
            <v>2480</v>
          </cell>
          <cell r="G356">
            <v>1839</v>
          </cell>
          <cell r="H356">
            <v>3100</v>
          </cell>
          <cell r="I356">
            <v>2299</v>
          </cell>
          <cell r="J356" t="str">
            <v>PWP</v>
          </cell>
          <cell r="K356">
            <v>0.25838709677419402</v>
          </cell>
          <cell r="L356" t="str">
            <v>92</v>
          </cell>
          <cell r="M356" t="str">
            <v>CTLG</v>
          </cell>
          <cell r="N356" t="str">
            <v/>
          </cell>
          <cell r="O356" t="str">
            <v/>
          </cell>
        </row>
        <row r="357">
          <cell r="A357">
            <v>41048</v>
          </cell>
          <cell r="B357">
            <v>41048</v>
          </cell>
          <cell r="C357" t="str">
            <v xml:space="preserve">Novage+ Day Cream Rich SPF 30 </v>
          </cell>
          <cell r="D357">
            <v>22</v>
          </cell>
          <cell r="E357">
            <v>1411</v>
          </cell>
          <cell r="F357">
            <v>2480</v>
          </cell>
          <cell r="G357">
            <v>1759</v>
          </cell>
          <cell r="H357">
            <v>3100</v>
          </cell>
          <cell r="I357">
            <v>2199</v>
          </cell>
          <cell r="J357" t="str">
            <v>PWP</v>
          </cell>
          <cell r="K357">
            <v>0.29064516129032297</v>
          </cell>
          <cell r="L357" t="str">
            <v>92</v>
          </cell>
          <cell r="M357" t="str">
            <v>CTLG</v>
          </cell>
          <cell r="N357" t="str">
            <v/>
          </cell>
          <cell r="O357" t="str">
            <v/>
          </cell>
        </row>
        <row r="358">
          <cell r="A358">
            <v>41048</v>
          </cell>
          <cell r="B358">
            <v>41048</v>
          </cell>
          <cell r="C358" t="str">
            <v xml:space="preserve">Novage+ Day Cream Rich SPF 30 </v>
          </cell>
          <cell r="D358">
            <v>22</v>
          </cell>
          <cell r="E358">
            <v>1411</v>
          </cell>
          <cell r="F358">
            <v>2480</v>
          </cell>
          <cell r="G358">
            <v>1759</v>
          </cell>
          <cell r="H358">
            <v>3100</v>
          </cell>
          <cell r="I358">
            <v>2199</v>
          </cell>
          <cell r="J358" t="str">
            <v>PWP</v>
          </cell>
          <cell r="K358">
            <v>0.29064516129032297</v>
          </cell>
          <cell r="L358" t="str">
            <v>92</v>
          </cell>
          <cell r="M358" t="str">
            <v>CTLG</v>
          </cell>
          <cell r="N358" t="str">
            <v/>
          </cell>
          <cell r="O358" t="str">
            <v/>
          </cell>
        </row>
        <row r="359">
          <cell r="A359">
            <v>41057</v>
          </cell>
          <cell r="B359">
            <v>41057</v>
          </cell>
          <cell r="C359" t="str">
            <v>Novage+ Night Cream Light</v>
          </cell>
          <cell r="D359">
            <v>31</v>
          </cell>
          <cell r="E359">
            <v>1989</v>
          </cell>
          <cell r="F359">
            <v>2480</v>
          </cell>
          <cell r="G359">
            <v>2480</v>
          </cell>
          <cell r="H359">
            <v>3100</v>
          </cell>
          <cell r="I359">
            <v>3100</v>
          </cell>
          <cell r="J359" t="str">
            <v>PWP</v>
          </cell>
          <cell r="K359">
            <v>0</v>
          </cell>
          <cell r="L359" t="str">
            <v>93</v>
          </cell>
          <cell r="M359" t="str">
            <v>CTLG</v>
          </cell>
          <cell r="N359" t="str">
            <v/>
          </cell>
          <cell r="O359" t="str">
            <v/>
          </cell>
        </row>
        <row r="360">
          <cell r="A360">
            <v>41057</v>
          </cell>
          <cell r="B360">
            <v>41057</v>
          </cell>
          <cell r="C360" t="str">
            <v>Novage+ Night Cream Light</v>
          </cell>
          <cell r="D360">
            <v>22</v>
          </cell>
          <cell r="E360">
            <v>1411</v>
          </cell>
          <cell r="F360">
            <v>2480</v>
          </cell>
          <cell r="G360">
            <v>1759</v>
          </cell>
          <cell r="H360">
            <v>3100</v>
          </cell>
          <cell r="I360">
            <v>2199</v>
          </cell>
          <cell r="J360" t="str">
            <v>PWP</v>
          </cell>
          <cell r="K360">
            <v>0.29064516129032297</v>
          </cell>
          <cell r="L360" t="str">
            <v>93</v>
          </cell>
          <cell r="M360" t="str">
            <v>CTLG</v>
          </cell>
          <cell r="N360" t="str">
            <v/>
          </cell>
          <cell r="O360" t="str">
            <v/>
          </cell>
        </row>
        <row r="361">
          <cell r="A361">
            <v>41058</v>
          </cell>
          <cell r="B361">
            <v>41058</v>
          </cell>
          <cell r="C361" t="str">
            <v>Novage+ Night Cream Rich</v>
          </cell>
          <cell r="D361">
            <v>31</v>
          </cell>
          <cell r="E361">
            <v>1989</v>
          </cell>
          <cell r="F361">
            <v>2480</v>
          </cell>
          <cell r="G361">
            <v>2480</v>
          </cell>
          <cell r="H361">
            <v>3100</v>
          </cell>
          <cell r="I361">
            <v>3100</v>
          </cell>
          <cell r="J361" t="str">
            <v>PWP</v>
          </cell>
          <cell r="K361">
            <v>0</v>
          </cell>
          <cell r="L361" t="str">
            <v>93</v>
          </cell>
          <cell r="M361" t="str">
            <v>CTLG</v>
          </cell>
          <cell r="N361" t="str">
            <v/>
          </cell>
          <cell r="O361" t="str">
            <v/>
          </cell>
        </row>
        <row r="362">
          <cell r="A362">
            <v>41058</v>
          </cell>
          <cell r="B362">
            <v>41058</v>
          </cell>
          <cell r="C362" t="str">
            <v>Novage+ Night Cream Rich</v>
          </cell>
          <cell r="D362">
            <v>22</v>
          </cell>
          <cell r="E362">
            <v>1411</v>
          </cell>
          <cell r="F362">
            <v>2480</v>
          </cell>
          <cell r="G362">
            <v>1759</v>
          </cell>
          <cell r="H362">
            <v>3100</v>
          </cell>
          <cell r="I362">
            <v>2199</v>
          </cell>
          <cell r="J362" t="str">
            <v>PWP</v>
          </cell>
          <cell r="K362">
            <v>0.29064516129032297</v>
          </cell>
          <cell r="L362" t="str">
            <v>93</v>
          </cell>
          <cell r="M362" t="str">
            <v>CTLG</v>
          </cell>
          <cell r="N362" t="str">
            <v/>
          </cell>
          <cell r="O362" t="str">
            <v/>
          </cell>
        </row>
        <row r="363">
          <cell r="A363">
            <v>37607</v>
          </cell>
          <cell r="B363">
            <v>37607</v>
          </cell>
          <cell r="C363" t="str">
            <v>Moisturizing Gloves With Touch</v>
          </cell>
          <cell r="D363">
            <v>5</v>
          </cell>
          <cell r="E363">
            <v>167</v>
          </cell>
          <cell r="F363">
            <v>744</v>
          </cell>
          <cell r="G363">
            <v>415</v>
          </cell>
          <cell r="H363">
            <v>930</v>
          </cell>
          <cell r="I363">
            <v>519</v>
          </cell>
          <cell r="J363" t="str">
            <v>SD</v>
          </cell>
          <cell r="K363">
            <v>0.44193548387096798</v>
          </cell>
          <cell r="L363" t="str">
            <v>94</v>
          </cell>
          <cell r="M363" t="str">
            <v>CTLG</v>
          </cell>
          <cell r="N363" t="str">
            <v/>
          </cell>
          <cell r="O363" t="str">
            <v/>
          </cell>
        </row>
        <row r="364">
          <cell r="A364">
            <v>33988</v>
          </cell>
          <cell r="B364">
            <v>33988</v>
          </cell>
          <cell r="C364" t="str">
            <v>NovAge Skin Renewing Peel</v>
          </cell>
          <cell r="D364">
            <v>16</v>
          </cell>
          <cell r="E364">
            <v>1059</v>
          </cell>
          <cell r="F364">
            <v>1320</v>
          </cell>
          <cell r="G364">
            <v>1320</v>
          </cell>
          <cell r="H364">
            <v>1650</v>
          </cell>
          <cell r="I364">
            <v>1650</v>
          </cell>
          <cell r="J364" t="str">
            <v>NO</v>
          </cell>
          <cell r="K364">
            <v>0</v>
          </cell>
          <cell r="L364" t="str">
            <v>94</v>
          </cell>
          <cell r="M364" t="str">
            <v>CTLG</v>
          </cell>
          <cell r="N364" t="str">
            <v/>
          </cell>
          <cell r="O364" t="str">
            <v/>
          </cell>
        </row>
        <row r="365">
          <cell r="A365">
            <v>35073</v>
          </cell>
          <cell r="B365">
            <v>35073</v>
          </cell>
          <cell r="C365" t="str">
            <v>NovAge Intensive Age Defence ...m SPF 25</v>
          </cell>
          <cell r="D365">
            <v>9</v>
          </cell>
          <cell r="E365">
            <v>564</v>
          </cell>
          <cell r="F365">
            <v>1000</v>
          </cell>
          <cell r="G365">
            <v>703</v>
          </cell>
          <cell r="H365">
            <v>1250</v>
          </cell>
          <cell r="I365">
            <v>879</v>
          </cell>
          <cell r="J365" t="str">
            <v>SD</v>
          </cell>
          <cell r="K365">
            <v>0.29680000000000001</v>
          </cell>
          <cell r="L365" t="str">
            <v>94</v>
          </cell>
          <cell r="M365" t="str">
            <v>CTLG</v>
          </cell>
          <cell r="N365" t="str">
            <v/>
          </cell>
          <cell r="O365" t="str">
            <v/>
          </cell>
        </row>
        <row r="366">
          <cell r="A366">
            <v>35076</v>
          </cell>
          <cell r="B366">
            <v>35076</v>
          </cell>
          <cell r="C366" t="str">
            <v>NovAge Neck &amp; Décolleté Serum</v>
          </cell>
          <cell r="D366">
            <v>20</v>
          </cell>
          <cell r="E366">
            <v>1283</v>
          </cell>
          <cell r="F366">
            <v>2240</v>
          </cell>
          <cell r="G366">
            <v>1599</v>
          </cell>
          <cell r="H366">
            <v>2800</v>
          </cell>
          <cell r="I366">
            <v>1999</v>
          </cell>
          <cell r="J366" t="str">
            <v>SD</v>
          </cell>
          <cell r="K366">
            <v>0.28607142857142898</v>
          </cell>
          <cell r="L366" t="str">
            <v>94</v>
          </cell>
          <cell r="M366" t="str">
            <v>CTLG</v>
          </cell>
          <cell r="N366" t="str">
            <v/>
          </cell>
          <cell r="O366" t="str">
            <v/>
          </cell>
        </row>
        <row r="367">
          <cell r="A367">
            <v>40872</v>
          </cell>
          <cell r="B367">
            <v>40872</v>
          </cell>
          <cell r="C367" t="str">
            <v xml:space="preserve">NovAge ProCeuticals Retinol </v>
          </cell>
          <cell r="D367">
            <v>28</v>
          </cell>
          <cell r="E367">
            <v>1797</v>
          </cell>
          <cell r="F367">
            <v>2240</v>
          </cell>
          <cell r="G367">
            <v>2240</v>
          </cell>
          <cell r="H367">
            <v>2800</v>
          </cell>
          <cell r="I367">
            <v>2800</v>
          </cell>
          <cell r="J367" t="str">
            <v>NO</v>
          </cell>
          <cell r="K367">
            <v>0</v>
          </cell>
          <cell r="L367" t="str">
            <v>94</v>
          </cell>
          <cell r="M367" t="str">
            <v>CTLG</v>
          </cell>
          <cell r="N367" t="str">
            <v/>
          </cell>
          <cell r="O367" t="str">
            <v/>
          </cell>
        </row>
        <row r="368">
          <cell r="A368">
            <v>41563</v>
          </cell>
          <cell r="B368">
            <v>41563</v>
          </cell>
          <cell r="C368" t="str">
            <v>NovAge ProCeuticals Mask Bio-C</v>
          </cell>
          <cell r="D368">
            <v>9</v>
          </cell>
          <cell r="E368">
            <v>609</v>
          </cell>
          <cell r="F368">
            <v>1080</v>
          </cell>
          <cell r="G368">
            <v>759</v>
          </cell>
          <cell r="H368">
            <v>1350</v>
          </cell>
          <cell r="I368">
            <v>949</v>
          </cell>
          <cell r="J368" t="str">
            <v>SD</v>
          </cell>
          <cell r="K368">
            <v>0.29703703703703699</v>
          </cell>
          <cell r="L368" t="str">
            <v>94</v>
          </cell>
          <cell r="M368" t="str">
            <v>CTLG</v>
          </cell>
          <cell r="N368" t="str">
            <v/>
          </cell>
          <cell r="O368" t="str">
            <v/>
          </cell>
        </row>
        <row r="369">
          <cell r="A369">
            <v>42255</v>
          </cell>
          <cell r="B369">
            <v>42255</v>
          </cell>
          <cell r="C369" t="str">
            <v>Novage+ Intense Skin Recharge Mask</v>
          </cell>
          <cell r="D369">
            <v>29</v>
          </cell>
          <cell r="E369">
            <v>1860</v>
          </cell>
          <cell r="F369">
            <v>2320</v>
          </cell>
          <cell r="G369">
            <v>2320</v>
          </cell>
          <cell r="H369">
            <v>2900</v>
          </cell>
          <cell r="I369">
            <v>2900</v>
          </cell>
          <cell r="J369" t="str">
            <v>NO</v>
          </cell>
          <cell r="K369">
            <v>0</v>
          </cell>
          <cell r="L369" t="str">
            <v>94</v>
          </cell>
          <cell r="M369" t="str">
            <v>CTLG</v>
          </cell>
          <cell r="N369" t="str">
            <v/>
          </cell>
          <cell r="O369" t="str">
            <v/>
          </cell>
        </row>
        <row r="370">
          <cell r="A370">
            <v>42256</v>
          </cell>
          <cell r="B370">
            <v>42256</v>
          </cell>
          <cell r="C370" t="str">
            <v>Novage+ Facial Oil Capsules</v>
          </cell>
          <cell r="D370">
            <v>50</v>
          </cell>
          <cell r="E370">
            <v>3208</v>
          </cell>
          <cell r="F370">
            <v>4000</v>
          </cell>
          <cell r="G370">
            <v>4000</v>
          </cell>
          <cell r="H370">
            <v>5000</v>
          </cell>
          <cell r="I370">
            <v>5000</v>
          </cell>
          <cell r="J370" t="str">
            <v>NO</v>
          </cell>
          <cell r="K370">
            <v>0</v>
          </cell>
          <cell r="L370" t="str">
            <v>94</v>
          </cell>
          <cell r="M370" t="str">
            <v>CTLG</v>
          </cell>
          <cell r="N370" t="str">
            <v/>
          </cell>
          <cell r="O370" t="str">
            <v/>
          </cell>
        </row>
        <row r="371">
          <cell r="A371">
            <v>42444</v>
          </cell>
          <cell r="B371">
            <v>42444</v>
          </cell>
          <cell r="C371" t="str">
            <v xml:space="preserve">Novage+ Proceuticals 24H Hydration </v>
          </cell>
          <cell r="D371">
            <v>28</v>
          </cell>
          <cell r="E371">
            <v>1797</v>
          </cell>
          <cell r="F371">
            <v>2240</v>
          </cell>
          <cell r="G371">
            <v>2240</v>
          </cell>
          <cell r="H371">
            <v>2800</v>
          </cell>
          <cell r="I371">
            <v>2800</v>
          </cell>
          <cell r="J371" t="str">
            <v>NO</v>
          </cell>
          <cell r="K371">
            <v>0</v>
          </cell>
          <cell r="L371" t="str">
            <v>94</v>
          </cell>
          <cell r="M371" t="str">
            <v>CTLG</v>
          </cell>
          <cell r="N371" t="str">
            <v/>
          </cell>
          <cell r="O371" t="str">
            <v/>
          </cell>
        </row>
        <row r="372">
          <cell r="A372">
            <v>47527</v>
          </cell>
          <cell r="B372">
            <v>47527</v>
          </cell>
          <cell r="C372" t="str">
            <v xml:space="preserve">Novage+ Overnight Mask Sachet </v>
          </cell>
          <cell r="D372">
            <v>0</v>
          </cell>
          <cell r="E372">
            <v>0</v>
          </cell>
          <cell r="F372">
            <v>35</v>
          </cell>
          <cell r="G372">
            <v>35</v>
          </cell>
          <cell r="H372">
            <v>35</v>
          </cell>
          <cell r="I372">
            <v>35</v>
          </cell>
          <cell r="J372" t="str">
            <v>NO</v>
          </cell>
          <cell r="K372">
            <v>0</v>
          </cell>
          <cell r="L372" t="str">
            <v>94</v>
          </cell>
          <cell r="M372" t="str">
            <v>CTLG</v>
          </cell>
          <cell r="N372" t="str">
            <v>SAM</v>
          </cell>
          <cell r="O372" t="str">
            <v>42255</v>
          </cell>
        </row>
        <row r="373">
          <cell r="A373">
            <v>40880</v>
          </cell>
          <cell r="B373">
            <v>40880</v>
          </cell>
          <cell r="C373" t="str">
            <v>NovAge ProCeuticals Peptide Ampoule</v>
          </cell>
          <cell r="D373">
            <v>40</v>
          </cell>
          <cell r="E373">
            <v>2567</v>
          </cell>
          <cell r="F373">
            <v>3200</v>
          </cell>
          <cell r="G373">
            <v>3200</v>
          </cell>
          <cell r="H373">
            <v>4000</v>
          </cell>
          <cell r="I373">
            <v>4000</v>
          </cell>
          <cell r="J373" t="str">
            <v>PWP</v>
          </cell>
          <cell r="K373">
            <v>0</v>
          </cell>
          <cell r="L373" t="str">
            <v>95</v>
          </cell>
          <cell r="M373" t="str">
            <v>CTLG</v>
          </cell>
          <cell r="N373" t="str">
            <v/>
          </cell>
          <cell r="O373" t="str">
            <v/>
          </cell>
        </row>
        <row r="374">
          <cell r="A374">
            <v>40880</v>
          </cell>
          <cell r="B374">
            <v>40880</v>
          </cell>
          <cell r="C374" t="str">
            <v>NovAge ProCeuticals Peptide Ampoule</v>
          </cell>
          <cell r="D374">
            <v>20</v>
          </cell>
          <cell r="E374">
            <v>1283</v>
          </cell>
          <cell r="F374">
            <v>3200</v>
          </cell>
          <cell r="G374">
            <v>1599</v>
          </cell>
          <cell r="H374">
            <v>4000</v>
          </cell>
          <cell r="I374">
            <v>1999</v>
          </cell>
          <cell r="J374" t="str">
            <v>PWP</v>
          </cell>
          <cell r="K374">
            <v>0.50024999999999997</v>
          </cell>
          <cell r="L374" t="str">
            <v>95</v>
          </cell>
          <cell r="M374" t="str">
            <v>CTLG</v>
          </cell>
          <cell r="N374" t="str">
            <v/>
          </cell>
          <cell r="O374" t="str">
            <v/>
          </cell>
        </row>
        <row r="375">
          <cell r="A375">
            <v>31774</v>
          </cell>
          <cell r="B375">
            <v>31774</v>
          </cell>
          <cell r="C375" t="str">
            <v>NovAge Time Restore SET</v>
          </cell>
          <cell r="D375">
            <v>120</v>
          </cell>
          <cell r="E375">
            <v>6416</v>
          </cell>
          <cell r="F375">
            <v>11440</v>
          </cell>
          <cell r="G375">
            <v>7999</v>
          </cell>
          <cell r="H375">
            <v>14300</v>
          </cell>
          <cell r="I375">
            <v>9999</v>
          </cell>
          <cell r="J375" t="str">
            <v>SD</v>
          </cell>
          <cell r="K375">
            <v>0.30076923076923101</v>
          </cell>
          <cell r="L375" t="str">
            <v>96</v>
          </cell>
          <cell r="M375" t="str">
            <v>CTLG</v>
          </cell>
          <cell r="N375" t="str">
            <v/>
          </cell>
          <cell r="O375" t="str">
            <v/>
          </cell>
        </row>
        <row r="376">
          <cell r="A376">
            <v>32627</v>
          </cell>
          <cell r="B376">
            <v>32627</v>
          </cell>
          <cell r="C376" t="str">
            <v>NovAge Time Restore Day Cream</v>
          </cell>
          <cell r="D376">
            <v>23</v>
          </cell>
          <cell r="E376">
            <v>1475</v>
          </cell>
          <cell r="F376">
            <v>2480</v>
          </cell>
          <cell r="G376">
            <v>1839</v>
          </cell>
          <cell r="H376">
            <v>3100</v>
          </cell>
          <cell r="I376">
            <v>2299</v>
          </cell>
          <cell r="J376" t="str">
            <v>SD</v>
          </cell>
          <cell r="K376">
            <v>0.25838709677419402</v>
          </cell>
          <cell r="L376" t="str">
            <v>96</v>
          </cell>
          <cell r="M376" t="str">
            <v>CTLG</v>
          </cell>
          <cell r="N376" t="str">
            <v/>
          </cell>
          <cell r="O376" t="str">
            <v/>
          </cell>
        </row>
        <row r="377">
          <cell r="A377">
            <v>32628</v>
          </cell>
          <cell r="B377">
            <v>32628</v>
          </cell>
          <cell r="C377" t="str">
            <v>NovAge Time Restore Night Cream</v>
          </cell>
          <cell r="D377">
            <v>31</v>
          </cell>
          <cell r="E377">
            <v>1989</v>
          </cell>
          <cell r="F377">
            <v>2480</v>
          </cell>
          <cell r="G377">
            <v>2480</v>
          </cell>
          <cell r="H377">
            <v>3100</v>
          </cell>
          <cell r="I377">
            <v>3100</v>
          </cell>
          <cell r="J377" t="str">
            <v>NO</v>
          </cell>
          <cell r="K377">
            <v>0</v>
          </cell>
          <cell r="L377" t="str">
            <v>96</v>
          </cell>
          <cell r="M377" t="str">
            <v>CTLG</v>
          </cell>
          <cell r="N377" t="str">
            <v/>
          </cell>
          <cell r="O377" t="str">
            <v/>
          </cell>
        </row>
        <row r="378">
          <cell r="A378">
            <v>32629</v>
          </cell>
          <cell r="B378">
            <v>32629</v>
          </cell>
          <cell r="C378" t="str">
            <v>NovAge Time Restore Eye &amp; Lip Cream</v>
          </cell>
          <cell r="D378">
            <v>25</v>
          </cell>
          <cell r="E378">
            <v>1604</v>
          </cell>
          <cell r="F378">
            <v>2000</v>
          </cell>
          <cell r="G378">
            <v>2000</v>
          </cell>
          <cell r="H378">
            <v>2500</v>
          </cell>
          <cell r="I378">
            <v>2500</v>
          </cell>
          <cell r="J378" t="str">
            <v>NO</v>
          </cell>
          <cell r="K378">
            <v>0</v>
          </cell>
          <cell r="L378" t="str">
            <v>96</v>
          </cell>
          <cell r="M378" t="str">
            <v>CTLG</v>
          </cell>
          <cell r="N378" t="str">
            <v/>
          </cell>
          <cell r="O378" t="str">
            <v/>
          </cell>
        </row>
        <row r="379">
          <cell r="A379">
            <v>32630</v>
          </cell>
          <cell r="B379">
            <v>32630</v>
          </cell>
          <cell r="C379" t="str">
            <v>NovAge Time Restore Serum</v>
          </cell>
          <cell r="D379">
            <v>40</v>
          </cell>
          <cell r="E379">
            <v>2567</v>
          </cell>
          <cell r="F379">
            <v>3200</v>
          </cell>
          <cell r="G379">
            <v>3200</v>
          </cell>
          <cell r="H379">
            <v>4000</v>
          </cell>
          <cell r="I379">
            <v>4000</v>
          </cell>
          <cell r="J379" t="str">
            <v>NO</v>
          </cell>
          <cell r="K379">
            <v>0</v>
          </cell>
          <cell r="L379" t="str">
            <v>96</v>
          </cell>
          <cell r="M379" t="str">
            <v>CTLG</v>
          </cell>
          <cell r="N379" t="str">
            <v/>
          </cell>
          <cell r="O379" t="str">
            <v/>
          </cell>
        </row>
        <row r="380">
          <cell r="A380">
            <v>33984</v>
          </cell>
          <cell r="B380">
            <v>33984</v>
          </cell>
          <cell r="C380" t="str">
            <v>NovAge Supreme Cleansing Gel</v>
          </cell>
          <cell r="D380">
            <v>16</v>
          </cell>
          <cell r="E380">
            <v>1027</v>
          </cell>
          <cell r="F380">
            <v>1280</v>
          </cell>
          <cell r="G380">
            <v>1280</v>
          </cell>
          <cell r="H380">
            <v>1600</v>
          </cell>
          <cell r="I380">
            <v>1600</v>
          </cell>
          <cell r="J380" t="str">
            <v>NO</v>
          </cell>
          <cell r="K380">
            <v>0</v>
          </cell>
          <cell r="L380" t="str">
            <v>96</v>
          </cell>
          <cell r="M380" t="str">
            <v>CTLG</v>
          </cell>
          <cell r="N380" t="str">
            <v/>
          </cell>
          <cell r="O380" t="str">
            <v/>
          </cell>
        </row>
        <row r="381">
          <cell r="A381">
            <v>38382</v>
          </cell>
          <cell r="B381">
            <v>38382</v>
          </cell>
          <cell r="C381" t="str">
            <v>NovAge Skinrelief Foam Cleanser</v>
          </cell>
          <cell r="D381">
            <v>16</v>
          </cell>
          <cell r="E381">
            <v>1027</v>
          </cell>
          <cell r="F381">
            <v>1280</v>
          </cell>
          <cell r="G381">
            <v>1280</v>
          </cell>
          <cell r="H381">
            <v>1600</v>
          </cell>
          <cell r="I381">
            <v>1600</v>
          </cell>
          <cell r="J381" t="str">
            <v>NO</v>
          </cell>
          <cell r="K381">
            <v>0</v>
          </cell>
          <cell r="L381" t="str">
            <v>97</v>
          </cell>
          <cell r="M381" t="str">
            <v>CTLG</v>
          </cell>
          <cell r="N381" t="str">
            <v/>
          </cell>
          <cell r="O381" t="str">
            <v/>
          </cell>
        </row>
        <row r="382">
          <cell r="A382">
            <v>38385</v>
          </cell>
          <cell r="B382">
            <v>38385</v>
          </cell>
          <cell r="C382" t="str">
            <v>NovAge Skinrelief Night Cream</v>
          </cell>
          <cell r="D382">
            <v>27</v>
          </cell>
          <cell r="E382">
            <v>1732</v>
          </cell>
          <cell r="F382">
            <v>2160</v>
          </cell>
          <cell r="G382">
            <v>2160</v>
          </cell>
          <cell r="H382">
            <v>2700</v>
          </cell>
          <cell r="I382">
            <v>2700</v>
          </cell>
          <cell r="J382" t="str">
            <v>NO</v>
          </cell>
          <cell r="K382">
            <v>0</v>
          </cell>
          <cell r="L382" t="str">
            <v>97</v>
          </cell>
          <cell r="M382" t="str">
            <v>CTLG</v>
          </cell>
          <cell r="N382" t="str">
            <v/>
          </cell>
          <cell r="O382" t="str">
            <v/>
          </cell>
        </row>
        <row r="383">
          <cell r="A383">
            <v>38390</v>
          </cell>
          <cell r="B383">
            <v>38390</v>
          </cell>
          <cell r="C383" t="str">
            <v>NovAge Skinrelief Eye Cream</v>
          </cell>
          <cell r="D383">
            <v>23</v>
          </cell>
          <cell r="E383">
            <v>1475</v>
          </cell>
          <cell r="F383">
            <v>1840</v>
          </cell>
          <cell r="G383">
            <v>1840</v>
          </cell>
          <cell r="H383">
            <v>2300</v>
          </cell>
          <cell r="I383">
            <v>2300</v>
          </cell>
          <cell r="J383" t="str">
            <v>NO</v>
          </cell>
          <cell r="K383">
            <v>0</v>
          </cell>
          <cell r="L383" t="str">
            <v>97</v>
          </cell>
          <cell r="M383" t="str">
            <v>CTLG</v>
          </cell>
          <cell r="N383" t="str">
            <v/>
          </cell>
          <cell r="O383" t="str">
            <v/>
          </cell>
        </row>
        <row r="384">
          <cell r="A384">
            <v>38391</v>
          </cell>
          <cell r="B384">
            <v>38391</v>
          </cell>
          <cell r="C384" t="str">
            <v>NovAge Skinrelief Serum</v>
          </cell>
          <cell r="D384">
            <v>37</v>
          </cell>
          <cell r="E384">
            <v>2374</v>
          </cell>
          <cell r="F384">
            <v>2960</v>
          </cell>
          <cell r="G384">
            <v>2960</v>
          </cell>
          <cell r="H384">
            <v>3700</v>
          </cell>
          <cell r="I384">
            <v>3700</v>
          </cell>
          <cell r="J384" t="str">
            <v>NO</v>
          </cell>
          <cell r="K384">
            <v>0</v>
          </cell>
          <cell r="L384" t="str">
            <v>97</v>
          </cell>
          <cell r="M384" t="str">
            <v>CTLG</v>
          </cell>
          <cell r="N384" t="str">
            <v/>
          </cell>
          <cell r="O384" t="str">
            <v/>
          </cell>
        </row>
        <row r="385">
          <cell r="A385">
            <v>40794</v>
          </cell>
          <cell r="B385">
            <v>40794</v>
          </cell>
          <cell r="C385" t="str">
            <v>NovAge Skinrelief Day Cream SPF 30</v>
          </cell>
          <cell r="D385">
            <v>20</v>
          </cell>
          <cell r="E385">
            <v>1283</v>
          </cell>
          <cell r="F385">
            <v>2160</v>
          </cell>
          <cell r="G385">
            <v>1599</v>
          </cell>
          <cell r="H385">
            <v>2700</v>
          </cell>
          <cell r="I385">
            <v>1999</v>
          </cell>
          <cell r="J385" t="str">
            <v>SD</v>
          </cell>
          <cell r="K385">
            <v>0.25962962962962999</v>
          </cell>
          <cell r="L385" t="str">
            <v>97</v>
          </cell>
          <cell r="M385" t="str">
            <v>CTLG</v>
          </cell>
          <cell r="N385" t="str">
            <v/>
          </cell>
          <cell r="O385" t="str">
            <v/>
          </cell>
        </row>
        <row r="386">
          <cell r="A386">
            <v>44480</v>
          </cell>
          <cell r="B386">
            <v>44480</v>
          </cell>
          <cell r="C386" t="str">
            <v>NovAge Skinrelief SET</v>
          </cell>
          <cell r="D386">
            <v>109</v>
          </cell>
          <cell r="E386">
            <v>5838</v>
          </cell>
          <cell r="F386">
            <v>10400</v>
          </cell>
          <cell r="G386">
            <v>7279</v>
          </cell>
          <cell r="H386">
            <v>13000</v>
          </cell>
          <cell r="I386">
            <v>9099</v>
          </cell>
          <cell r="J386" t="str">
            <v>SD</v>
          </cell>
          <cell r="K386">
            <v>0.30007692307692302</v>
          </cell>
          <cell r="L386" t="str">
            <v>97</v>
          </cell>
          <cell r="M386" t="str">
            <v>CTLG</v>
          </cell>
          <cell r="N386" t="str">
            <v/>
          </cell>
          <cell r="O386" t="str">
            <v/>
          </cell>
        </row>
        <row r="387">
          <cell r="A387">
            <v>38557</v>
          </cell>
          <cell r="B387">
            <v>38557</v>
          </cell>
          <cell r="C387" t="str">
            <v>Wellosophy Astaxanthin</v>
          </cell>
          <cell r="D387">
            <v>25</v>
          </cell>
          <cell r="E387">
            <v>1539</v>
          </cell>
          <cell r="F387">
            <v>2240</v>
          </cell>
          <cell r="G387">
            <v>1919</v>
          </cell>
          <cell r="H387">
            <v>2800</v>
          </cell>
          <cell r="I387">
            <v>2399</v>
          </cell>
          <cell r="J387" t="str">
            <v>COB</v>
          </cell>
          <cell r="K387">
            <v>0.14321428571428599</v>
          </cell>
          <cell r="L387" t="str">
            <v>99</v>
          </cell>
          <cell r="M387" t="str">
            <v>CTLG</v>
          </cell>
          <cell r="N387" t="str">
            <v/>
          </cell>
          <cell r="O387" t="str">
            <v/>
          </cell>
        </row>
        <row r="388">
          <cell r="A388">
            <v>38557</v>
          </cell>
          <cell r="B388">
            <v>38557</v>
          </cell>
          <cell r="C388" t="str">
            <v>Wellosophy Astaxanthin</v>
          </cell>
          <cell r="D388">
            <v>18</v>
          </cell>
          <cell r="E388">
            <v>1090</v>
          </cell>
          <cell r="F388">
            <v>2240</v>
          </cell>
          <cell r="G388">
            <v>1359</v>
          </cell>
          <cell r="H388">
            <v>2800</v>
          </cell>
          <cell r="I388">
            <v>1699</v>
          </cell>
          <cell r="J388" t="str">
            <v>COB</v>
          </cell>
          <cell r="K388">
            <v>0.39321428571428602</v>
          </cell>
          <cell r="L388" t="str">
            <v>99</v>
          </cell>
          <cell r="M388" t="str">
            <v>CTLG</v>
          </cell>
          <cell r="N388" t="str">
            <v/>
          </cell>
          <cell r="O388" t="str">
            <v/>
          </cell>
        </row>
        <row r="389">
          <cell r="A389">
            <v>38836</v>
          </cell>
          <cell r="B389">
            <v>38836</v>
          </cell>
          <cell r="C389" t="str">
            <v>Wellosophy Wellness Pack Man</v>
          </cell>
          <cell r="D389">
            <v>50</v>
          </cell>
          <cell r="E389">
            <v>2887</v>
          </cell>
          <cell r="F389">
            <v>3600</v>
          </cell>
          <cell r="G389">
            <v>3600</v>
          </cell>
          <cell r="H389">
            <v>4500</v>
          </cell>
          <cell r="I389">
            <v>4500</v>
          </cell>
          <cell r="J389" t="str">
            <v>NO</v>
          </cell>
          <cell r="K389">
            <v>0</v>
          </cell>
          <cell r="L389" t="str">
            <v>101</v>
          </cell>
          <cell r="M389" t="str">
            <v>CTLG</v>
          </cell>
          <cell r="N389" t="str">
            <v/>
          </cell>
          <cell r="O389" t="str">
            <v/>
          </cell>
        </row>
        <row r="390">
          <cell r="A390">
            <v>38838</v>
          </cell>
          <cell r="B390">
            <v>38838</v>
          </cell>
          <cell r="C390" t="str">
            <v>Wellosophy Wellness Pack Woman</v>
          </cell>
          <cell r="D390">
            <v>50</v>
          </cell>
          <cell r="E390">
            <v>2887</v>
          </cell>
          <cell r="F390">
            <v>3600</v>
          </cell>
          <cell r="G390">
            <v>3600</v>
          </cell>
          <cell r="H390">
            <v>4500</v>
          </cell>
          <cell r="I390">
            <v>4500</v>
          </cell>
          <cell r="J390" t="str">
            <v>NO</v>
          </cell>
          <cell r="K390">
            <v>0</v>
          </cell>
          <cell r="L390" t="str">
            <v>101</v>
          </cell>
          <cell r="M390" t="str">
            <v>CTLG</v>
          </cell>
          <cell r="N390" t="str">
            <v/>
          </cell>
          <cell r="O390" t="str">
            <v/>
          </cell>
        </row>
        <row r="391">
          <cell r="A391">
            <v>45306</v>
          </cell>
          <cell r="B391">
            <v>45306</v>
          </cell>
          <cell r="C391" t="str">
            <v>Wellosophy MRP Shake Vanilla</v>
          </cell>
          <cell r="D391">
            <v>70</v>
          </cell>
          <cell r="E391">
            <v>3850</v>
          </cell>
          <cell r="F391">
            <v>4800</v>
          </cell>
          <cell r="G391">
            <v>4800</v>
          </cell>
          <cell r="H391">
            <v>6000</v>
          </cell>
          <cell r="I391">
            <v>6000</v>
          </cell>
          <cell r="J391" t="str">
            <v>NO</v>
          </cell>
          <cell r="K391">
            <v>0</v>
          </cell>
          <cell r="L391" t="str">
            <v>102</v>
          </cell>
          <cell r="M391" t="str">
            <v>CTLG</v>
          </cell>
          <cell r="N391" t="str">
            <v/>
          </cell>
          <cell r="O391" t="str">
            <v/>
          </cell>
        </row>
        <row r="392">
          <cell r="A392">
            <v>45307</v>
          </cell>
          <cell r="B392">
            <v>45307</v>
          </cell>
          <cell r="C392" t="str">
            <v>Wellosophy MRP Shake Chocolate</v>
          </cell>
          <cell r="D392">
            <v>70</v>
          </cell>
          <cell r="E392">
            <v>3850</v>
          </cell>
          <cell r="F392">
            <v>4800</v>
          </cell>
          <cell r="G392">
            <v>4800</v>
          </cell>
          <cell r="H392">
            <v>6000</v>
          </cell>
          <cell r="I392">
            <v>6000</v>
          </cell>
          <cell r="J392" t="str">
            <v>NO</v>
          </cell>
          <cell r="K392">
            <v>0</v>
          </cell>
          <cell r="L392" t="str">
            <v>102</v>
          </cell>
          <cell r="M392" t="str">
            <v>CTLG</v>
          </cell>
          <cell r="N392" t="str">
            <v/>
          </cell>
          <cell r="O392" t="str">
            <v/>
          </cell>
        </row>
        <row r="393">
          <cell r="A393">
            <v>40745</v>
          </cell>
          <cell r="B393">
            <v>40745</v>
          </cell>
          <cell r="C393" t="str">
            <v>Wellosophy MRP Mushroom Soup</v>
          </cell>
          <cell r="D393">
            <v>70</v>
          </cell>
          <cell r="E393">
            <v>3850</v>
          </cell>
          <cell r="F393">
            <v>4800</v>
          </cell>
          <cell r="G393">
            <v>4800</v>
          </cell>
          <cell r="H393">
            <v>6000</v>
          </cell>
          <cell r="I393">
            <v>6000</v>
          </cell>
          <cell r="J393" t="str">
            <v>NO</v>
          </cell>
          <cell r="K393">
            <v>0</v>
          </cell>
          <cell r="L393" t="str">
            <v>103</v>
          </cell>
          <cell r="M393" t="str">
            <v>CTLG</v>
          </cell>
          <cell r="N393" t="str">
            <v/>
          </cell>
          <cell r="O393" t="str">
            <v/>
          </cell>
        </row>
        <row r="394">
          <cell r="A394">
            <v>46685</v>
          </cell>
          <cell r="B394">
            <v>46685</v>
          </cell>
          <cell r="C394" t="str">
            <v>Wellosophy Quick Cooling Towel</v>
          </cell>
          <cell r="D394">
            <v>7</v>
          </cell>
          <cell r="E394">
            <v>224</v>
          </cell>
          <cell r="F394">
            <v>559</v>
          </cell>
          <cell r="G394">
            <v>559</v>
          </cell>
          <cell r="H394">
            <v>699</v>
          </cell>
          <cell r="I394">
            <v>699</v>
          </cell>
          <cell r="J394" t="str">
            <v>NO</v>
          </cell>
          <cell r="K394">
            <v>0</v>
          </cell>
          <cell r="L394" t="str">
            <v>104</v>
          </cell>
          <cell r="M394" t="str">
            <v>CTLG</v>
          </cell>
          <cell r="N394" t="str">
            <v/>
          </cell>
          <cell r="O394" t="str">
            <v/>
          </cell>
        </row>
        <row r="395">
          <cell r="A395">
            <v>37285</v>
          </cell>
          <cell r="B395">
            <v>37285</v>
          </cell>
          <cell r="C395" t="str">
            <v>Wellosophy NBS Strawberry</v>
          </cell>
          <cell r="D395">
            <v>52</v>
          </cell>
          <cell r="E395">
            <v>3208</v>
          </cell>
          <cell r="F395">
            <v>4000</v>
          </cell>
          <cell r="G395">
            <v>4000</v>
          </cell>
          <cell r="H395">
            <v>5000</v>
          </cell>
          <cell r="I395">
            <v>5000</v>
          </cell>
          <cell r="J395" t="str">
            <v>PWP</v>
          </cell>
          <cell r="K395">
            <v>0</v>
          </cell>
          <cell r="L395" t="str">
            <v>105</v>
          </cell>
          <cell r="M395" t="str">
            <v>CTLG</v>
          </cell>
          <cell r="N395" t="str">
            <v/>
          </cell>
          <cell r="O395" t="str">
            <v/>
          </cell>
        </row>
        <row r="396">
          <cell r="A396">
            <v>37285</v>
          </cell>
          <cell r="B396">
            <v>37285</v>
          </cell>
          <cell r="C396" t="str">
            <v>Wellosophy NBS Strawberry</v>
          </cell>
          <cell r="D396">
            <v>26</v>
          </cell>
          <cell r="E396">
            <v>1603</v>
          </cell>
          <cell r="F396">
            <v>4000</v>
          </cell>
          <cell r="G396">
            <v>1999</v>
          </cell>
          <cell r="H396">
            <v>5000</v>
          </cell>
          <cell r="I396">
            <v>2499</v>
          </cell>
          <cell r="J396" t="str">
            <v>PWP</v>
          </cell>
          <cell r="K396">
            <v>0.50019999999999998</v>
          </cell>
          <cell r="L396" t="str">
            <v>105</v>
          </cell>
          <cell r="M396" t="str">
            <v>CTLG</v>
          </cell>
          <cell r="N396" t="str">
            <v/>
          </cell>
          <cell r="O396" t="str">
            <v/>
          </cell>
        </row>
        <row r="397">
          <cell r="A397">
            <v>37289</v>
          </cell>
          <cell r="B397">
            <v>37289</v>
          </cell>
          <cell r="C397" t="str">
            <v>Wellosophy NBS Chocolate</v>
          </cell>
          <cell r="D397">
            <v>52</v>
          </cell>
          <cell r="E397">
            <v>3208</v>
          </cell>
          <cell r="F397">
            <v>4000</v>
          </cell>
          <cell r="G397">
            <v>4000</v>
          </cell>
          <cell r="H397">
            <v>5000</v>
          </cell>
          <cell r="I397">
            <v>5000</v>
          </cell>
          <cell r="J397" t="str">
            <v>PWP</v>
          </cell>
          <cell r="K397">
            <v>0</v>
          </cell>
          <cell r="L397" t="str">
            <v>105</v>
          </cell>
          <cell r="M397" t="str">
            <v>CTLG</v>
          </cell>
          <cell r="N397" t="str">
            <v/>
          </cell>
          <cell r="O397" t="str">
            <v/>
          </cell>
        </row>
        <row r="398">
          <cell r="A398">
            <v>37289</v>
          </cell>
          <cell r="B398">
            <v>37289</v>
          </cell>
          <cell r="C398" t="str">
            <v>Wellosophy NBS Chocolate</v>
          </cell>
          <cell r="D398">
            <v>26</v>
          </cell>
          <cell r="E398">
            <v>1603</v>
          </cell>
          <cell r="F398">
            <v>4000</v>
          </cell>
          <cell r="G398">
            <v>1999</v>
          </cell>
          <cell r="H398">
            <v>5000</v>
          </cell>
          <cell r="I398">
            <v>2499</v>
          </cell>
          <cell r="J398" t="str">
            <v>PWP</v>
          </cell>
          <cell r="K398">
            <v>0.50019999999999998</v>
          </cell>
          <cell r="L398" t="str">
            <v>105</v>
          </cell>
          <cell r="M398" t="str">
            <v>CTLG</v>
          </cell>
          <cell r="N398" t="str">
            <v/>
          </cell>
          <cell r="O398" t="str">
            <v/>
          </cell>
        </row>
        <row r="399">
          <cell r="A399">
            <v>37290</v>
          </cell>
          <cell r="B399">
            <v>37290</v>
          </cell>
          <cell r="C399" t="str">
            <v>Wellosophy NBS Vanilla</v>
          </cell>
          <cell r="D399">
            <v>52</v>
          </cell>
          <cell r="E399">
            <v>3208</v>
          </cell>
          <cell r="F399">
            <v>4000</v>
          </cell>
          <cell r="G399">
            <v>4000</v>
          </cell>
          <cell r="H399">
            <v>5000</v>
          </cell>
          <cell r="I399">
            <v>5000</v>
          </cell>
          <cell r="J399" t="str">
            <v>PWP</v>
          </cell>
          <cell r="K399">
            <v>0</v>
          </cell>
          <cell r="L399" t="str">
            <v>105</v>
          </cell>
          <cell r="M399" t="str">
            <v>CTLG</v>
          </cell>
          <cell r="N399" t="str">
            <v/>
          </cell>
          <cell r="O399" t="str">
            <v/>
          </cell>
        </row>
        <row r="400">
          <cell r="A400">
            <v>37290</v>
          </cell>
          <cell r="B400">
            <v>37290</v>
          </cell>
          <cell r="C400" t="str">
            <v>Wellosophy NBS Vanilla</v>
          </cell>
          <cell r="D400">
            <v>26</v>
          </cell>
          <cell r="E400">
            <v>1603</v>
          </cell>
          <cell r="F400">
            <v>4000</v>
          </cell>
          <cell r="G400">
            <v>1999</v>
          </cell>
          <cell r="H400">
            <v>5000</v>
          </cell>
          <cell r="I400">
            <v>2499</v>
          </cell>
          <cell r="J400" t="str">
            <v>PWP</v>
          </cell>
          <cell r="K400">
            <v>0.50019999999999998</v>
          </cell>
          <cell r="L400" t="str">
            <v>105</v>
          </cell>
          <cell r="M400" t="str">
            <v>CTLG</v>
          </cell>
          <cell r="N400" t="str">
            <v/>
          </cell>
          <cell r="O400" t="str">
            <v/>
          </cell>
        </row>
        <row r="401">
          <cell r="A401">
            <v>37293</v>
          </cell>
          <cell r="B401">
            <v>37293</v>
          </cell>
          <cell r="C401" t="str">
            <v>Wellosophy Protein Blend</v>
          </cell>
          <cell r="D401">
            <v>52</v>
          </cell>
          <cell r="E401">
            <v>3208</v>
          </cell>
          <cell r="F401">
            <v>4000</v>
          </cell>
          <cell r="G401">
            <v>4000</v>
          </cell>
          <cell r="H401">
            <v>5000</v>
          </cell>
          <cell r="I401">
            <v>5000</v>
          </cell>
          <cell r="J401" t="str">
            <v>NO</v>
          </cell>
          <cell r="K401">
            <v>0</v>
          </cell>
          <cell r="L401" t="str">
            <v>105</v>
          </cell>
          <cell r="M401" t="str">
            <v>CTLG</v>
          </cell>
          <cell r="N401" t="str">
            <v/>
          </cell>
          <cell r="O401" t="str">
            <v/>
          </cell>
        </row>
        <row r="402">
          <cell r="A402">
            <v>47417</v>
          </cell>
          <cell r="B402">
            <v>47417</v>
          </cell>
          <cell r="C402" t="str">
            <v>Wellosophy Small Smartshake Bottle</v>
          </cell>
          <cell r="D402">
            <v>10</v>
          </cell>
          <cell r="E402">
            <v>321</v>
          </cell>
          <cell r="F402">
            <v>799</v>
          </cell>
          <cell r="G402">
            <v>799</v>
          </cell>
          <cell r="H402">
            <v>999</v>
          </cell>
          <cell r="I402">
            <v>999</v>
          </cell>
          <cell r="J402" t="str">
            <v>NO</v>
          </cell>
          <cell r="K402">
            <v>0</v>
          </cell>
          <cell r="L402" t="str">
            <v>106</v>
          </cell>
          <cell r="M402" t="str">
            <v>CTLG</v>
          </cell>
          <cell r="N402" t="str">
            <v/>
          </cell>
          <cell r="O402" t="str">
            <v/>
          </cell>
        </row>
        <row r="403">
          <cell r="A403">
            <v>46068</v>
          </cell>
          <cell r="B403">
            <v>46068</v>
          </cell>
          <cell r="C403" t="str">
            <v xml:space="preserve">Wellosophy Scoop </v>
          </cell>
          <cell r="D403">
            <v>1</v>
          </cell>
          <cell r="E403">
            <v>38</v>
          </cell>
          <cell r="F403">
            <v>95</v>
          </cell>
          <cell r="G403">
            <v>95</v>
          </cell>
          <cell r="H403">
            <v>119</v>
          </cell>
          <cell r="I403">
            <v>119</v>
          </cell>
          <cell r="J403" t="str">
            <v>NO</v>
          </cell>
          <cell r="K403">
            <v>0</v>
          </cell>
          <cell r="L403" t="str">
            <v>107</v>
          </cell>
          <cell r="M403" t="str">
            <v>CTLG</v>
          </cell>
          <cell r="N403" t="str">
            <v/>
          </cell>
          <cell r="O403" t="str">
            <v/>
          </cell>
        </row>
        <row r="404">
          <cell r="A404">
            <v>46664</v>
          </cell>
          <cell r="B404">
            <v>46664</v>
          </cell>
          <cell r="C404" t="str">
            <v>Wellosophy Smartshake Bottle</v>
          </cell>
          <cell r="D404">
            <v>14</v>
          </cell>
          <cell r="E404">
            <v>449</v>
          </cell>
          <cell r="F404">
            <v>1119</v>
          </cell>
          <cell r="G404">
            <v>1119</v>
          </cell>
          <cell r="H404">
            <v>1399</v>
          </cell>
          <cell r="I404">
            <v>1399</v>
          </cell>
          <cell r="J404" t="str">
            <v>NO</v>
          </cell>
          <cell r="K404">
            <v>0</v>
          </cell>
          <cell r="L404" t="str">
            <v>107</v>
          </cell>
          <cell r="M404" t="str">
            <v>CTLG</v>
          </cell>
          <cell r="N404" t="str">
            <v/>
          </cell>
          <cell r="O404" t="str">
            <v/>
          </cell>
        </row>
        <row r="405">
          <cell r="A405">
            <v>29695</v>
          </cell>
          <cell r="B405">
            <v>29695</v>
          </cell>
          <cell r="C405" t="str">
            <v>Natural Balance Soup asparagus</v>
          </cell>
          <cell r="D405">
            <v>52</v>
          </cell>
          <cell r="E405">
            <v>3208</v>
          </cell>
          <cell r="F405">
            <v>4000</v>
          </cell>
          <cell r="G405">
            <v>4000</v>
          </cell>
          <cell r="H405">
            <v>5000</v>
          </cell>
          <cell r="I405">
            <v>5000</v>
          </cell>
          <cell r="J405" t="str">
            <v>NO</v>
          </cell>
          <cell r="K405">
            <v>0</v>
          </cell>
          <cell r="L405" t="str">
            <v>107</v>
          </cell>
          <cell r="M405" t="str">
            <v>CTLG</v>
          </cell>
          <cell r="N405" t="str">
            <v/>
          </cell>
          <cell r="O405" t="str">
            <v/>
          </cell>
        </row>
        <row r="406">
          <cell r="A406">
            <v>29706</v>
          </cell>
          <cell r="B406">
            <v>29706</v>
          </cell>
          <cell r="C406" t="str">
            <v>Hair and Nail NutriComplex</v>
          </cell>
          <cell r="D406">
            <v>29</v>
          </cell>
          <cell r="E406">
            <v>1797</v>
          </cell>
          <cell r="F406">
            <v>2240</v>
          </cell>
          <cell r="G406">
            <v>2240</v>
          </cell>
          <cell r="H406">
            <v>2800</v>
          </cell>
          <cell r="I406">
            <v>2800</v>
          </cell>
          <cell r="J406" t="str">
            <v>NO</v>
          </cell>
          <cell r="K406">
            <v>0</v>
          </cell>
          <cell r="L406" t="str">
            <v>107</v>
          </cell>
          <cell r="M406" t="str">
            <v>CTLG</v>
          </cell>
          <cell r="N406" t="str">
            <v/>
          </cell>
          <cell r="O406" t="str">
            <v/>
          </cell>
        </row>
        <row r="407">
          <cell r="A407">
            <v>31750</v>
          </cell>
          <cell r="B407">
            <v>31750</v>
          </cell>
          <cell r="C407" t="str">
            <v>Prebiotic Fibre Drink</v>
          </cell>
          <cell r="D407">
            <v>19</v>
          </cell>
          <cell r="E407">
            <v>1154</v>
          </cell>
          <cell r="F407">
            <v>1840</v>
          </cell>
          <cell r="G407">
            <v>1439</v>
          </cell>
          <cell r="H407">
            <v>2300</v>
          </cell>
          <cell r="I407">
            <v>1799</v>
          </cell>
          <cell r="J407" t="str">
            <v>NO</v>
          </cell>
          <cell r="K407">
            <v>0.217826086956522</v>
          </cell>
          <cell r="L407" t="str">
            <v>107</v>
          </cell>
          <cell r="M407" t="str">
            <v>CTLG</v>
          </cell>
          <cell r="N407" t="str">
            <v/>
          </cell>
          <cell r="O407" t="str">
            <v/>
          </cell>
        </row>
        <row r="408">
          <cell r="A408">
            <v>38556</v>
          </cell>
          <cell r="B408">
            <v>38556</v>
          </cell>
          <cell r="C408" t="str">
            <v>Wellosophy Omega 3</v>
          </cell>
          <cell r="D408">
            <v>24</v>
          </cell>
          <cell r="E408">
            <v>1475</v>
          </cell>
          <cell r="F408">
            <v>1840</v>
          </cell>
          <cell r="G408">
            <v>1840</v>
          </cell>
          <cell r="H408">
            <v>2300</v>
          </cell>
          <cell r="I408">
            <v>2300</v>
          </cell>
          <cell r="J408" t="str">
            <v>NO</v>
          </cell>
          <cell r="K408">
            <v>0</v>
          </cell>
          <cell r="L408" t="str">
            <v>107</v>
          </cell>
          <cell r="M408" t="str">
            <v>CTLG</v>
          </cell>
          <cell r="N408" t="str">
            <v/>
          </cell>
          <cell r="O408" t="str">
            <v/>
          </cell>
        </row>
        <row r="409">
          <cell r="A409">
            <v>38558</v>
          </cell>
          <cell r="B409">
            <v>38558</v>
          </cell>
          <cell r="C409" t="str">
            <v xml:space="preserve">Wellosophy MVM Man </v>
          </cell>
          <cell r="D409">
            <v>29</v>
          </cell>
          <cell r="E409">
            <v>1797</v>
          </cell>
          <cell r="F409">
            <v>2240</v>
          </cell>
          <cell r="G409">
            <v>2240</v>
          </cell>
          <cell r="H409">
            <v>2800</v>
          </cell>
          <cell r="I409">
            <v>2800</v>
          </cell>
          <cell r="J409" t="str">
            <v>NO</v>
          </cell>
          <cell r="K409">
            <v>0</v>
          </cell>
          <cell r="L409" t="str">
            <v>107</v>
          </cell>
          <cell r="M409" t="str">
            <v>CTLG</v>
          </cell>
          <cell r="N409" t="str">
            <v/>
          </cell>
          <cell r="O409" t="str">
            <v/>
          </cell>
        </row>
        <row r="410">
          <cell r="A410">
            <v>38559</v>
          </cell>
          <cell r="B410">
            <v>38559</v>
          </cell>
          <cell r="C410" t="str">
            <v>Wellosophy MVM Woman</v>
          </cell>
          <cell r="D410">
            <v>29</v>
          </cell>
          <cell r="E410">
            <v>1797</v>
          </cell>
          <cell r="F410">
            <v>2240</v>
          </cell>
          <cell r="G410">
            <v>2240</v>
          </cell>
          <cell r="H410">
            <v>2800</v>
          </cell>
          <cell r="I410">
            <v>2800</v>
          </cell>
          <cell r="J410" t="str">
            <v>NO</v>
          </cell>
          <cell r="K410">
            <v>0</v>
          </cell>
          <cell r="L410" t="str">
            <v>107</v>
          </cell>
          <cell r="M410" t="str">
            <v>CTLG</v>
          </cell>
          <cell r="N410" t="str">
            <v/>
          </cell>
          <cell r="O410" t="str">
            <v/>
          </cell>
        </row>
        <row r="411">
          <cell r="A411">
            <v>45309</v>
          </cell>
          <cell r="B411">
            <v>45309</v>
          </cell>
          <cell r="C411" t="str">
            <v>Wellosophy Marine Calcium &amp; Vit D</v>
          </cell>
          <cell r="D411">
            <v>24</v>
          </cell>
          <cell r="E411">
            <v>1475</v>
          </cell>
          <cell r="F411">
            <v>1840</v>
          </cell>
          <cell r="G411">
            <v>1840</v>
          </cell>
          <cell r="H411">
            <v>2300</v>
          </cell>
          <cell r="I411">
            <v>2300</v>
          </cell>
          <cell r="J411" t="str">
            <v>NO</v>
          </cell>
          <cell r="K411">
            <v>0</v>
          </cell>
          <cell r="L411" t="str">
            <v>107</v>
          </cell>
          <cell r="M411" t="str">
            <v>CTLG</v>
          </cell>
          <cell r="N411" t="str">
            <v/>
          </cell>
          <cell r="O411" t="str">
            <v/>
          </cell>
        </row>
        <row r="412">
          <cell r="A412">
            <v>22467</v>
          </cell>
          <cell r="B412">
            <v>22467</v>
          </cell>
          <cell r="C412" t="str">
            <v>Wellness Kids Omega 3</v>
          </cell>
          <cell r="D412">
            <v>24</v>
          </cell>
          <cell r="E412">
            <v>1475</v>
          </cell>
          <cell r="F412">
            <v>1840</v>
          </cell>
          <cell r="G412">
            <v>1840</v>
          </cell>
          <cell r="H412">
            <v>2300</v>
          </cell>
          <cell r="I412">
            <v>2300</v>
          </cell>
          <cell r="J412" t="str">
            <v>NO</v>
          </cell>
          <cell r="K412">
            <v>0</v>
          </cell>
          <cell r="L412" t="str">
            <v>109</v>
          </cell>
          <cell r="M412" t="str">
            <v>CTLG</v>
          </cell>
          <cell r="N412" t="str">
            <v/>
          </cell>
          <cell r="O412" t="str">
            <v/>
          </cell>
        </row>
        <row r="413">
          <cell r="A413">
            <v>27996</v>
          </cell>
          <cell r="B413">
            <v>27996</v>
          </cell>
          <cell r="C413" t="str">
            <v>WellnessKids Multivitamins&amp;Minerals</v>
          </cell>
          <cell r="D413">
            <v>17</v>
          </cell>
          <cell r="E413">
            <v>1090</v>
          </cell>
          <cell r="F413">
            <v>1360</v>
          </cell>
          <cell r="G413">
            <v>1360</v>
          </cell>
          <cell r="H413">
            <v>1700</v>
          </cell>
          <cell r="I413">
            <v>1700</v>
          </cell>
          <cell r="J413" t="str">
            <v>NO</v>
          </cell>
          <cell r="K413">
            <v>0</v>
          </cell>
          <cell r="L413" t="str">
            <v>109</v>
          </cell>
          <cell r="M413" t="str">
            <v>CTLG</v>
          </cell>
          <cell r="N413" t="str">
            <v/>
          </cell>
          <cell r="O413" t="str">
            <v/>
          </cell>
        </row>
        <row r="414">
          <cell r="A414">
            <v>38874</v>
          </cell>
          <cell r="B414">
            <v>38874</v>
          </cell>
          <cell r="C414" t="str">
            <v>Optifresh Pro White Toothpaste</v>
          </cell>
          <cell r="D414">
            <v>4</v>
          </cell>
          <cell r="E414">
            <v>249</v>
          </cell>
          <cell r="F414">
            <v>480</v>
          </cell>
          <cell r="G414">
            <v>311</v>
          </cell>
          <cell r="H414">
            <v>600</v>
          </cell>
          <cell r="I414">
            <v>389</v>
          </cell>
          <cell r="J414" t="str">
            <v>SD</v>
          </cell>
          <cell r="K414">
            <v>0.35166666666666702</v>
          </cell>
          <cell r="L414" t="str">
            <v>111</v>
          </cell>
          <cell r="M414" t="str">
            <v>CTLG</v>
          </cell>
          <cell r="N414" t="str">
            <v/>
          </cell>
          <cell r="O414" t="str">
            <v/>
          </cell>
        </row>
        <row r="415">
          <cell r="A415">
            <v>42445</v>
          </cell>
          <cell r="B415">
            <v>42445</v>
          </cell>
          <cell r="C415" t="str">
            <v>Optifresh All In One Medium Toothbr</v>
          </cell>
          <cell r="D415">
            <v>2</v>
          </cell>
          <cell r="E415">
            <v>51</v>
          </cell>
          <cell r="F415">
            <v>256</v>
          </cell>
          <cell r="G415">
            <v>127</v>
          </cell>
          <cell r="H415">
            <v>320</v>
          </cell>
          <cell r="I415">
            <v>159</v>
          </cell>
          <cell r="J415" t="str">
            <v>SD</v>
          </cell>
          <cell r="K415">
            <v>0.50312500000000004</v>
          </cell>
          <cell r="L415" t="str">
            <v>111</v>
          </cell>
          <cell r="M415" t="str">
            <v>CTLG</v>
          </cell>
          <cell r="N415" t="str">
            <v/>
          </cell>
          <cell r="O415" t="str">
            <v/>
          </cell>
        </row>
        <row r="416">
          <cell r="A416">
            <v>42450</v>
          </cell>
          <cell r="B416">
            <v>42450</v>
          </cell>
          <cell r="C416" t="str">
            <v>Optifresh All In One Sensitive Soft</v>
          </cell>
          <cell r="D416">
            <v>2</v>
          </cell>
          <cell r="E416">
            <v>51</v>
          </cell>
          <cell r="F416">
            <v>256</v>
          </cell>
          <cell r="G416">
            <v>127</v>
          </cell>
          <cell r="H416">
            <v>320</v>
          </cell>
          <cell r="I416">
            <v>159</v>
          </cell>
          <cell r="J416" t="str">
            <v>SD</v>
          </cell>
          <cell r="K416">
            <v>0.50312500000000004</v>
          </cell>
          <cell r="L416" t="str">
            <v>111</v>
          </cell>
          <cell r="M416" t="str">
            <v>CTLG</v>
          </cell>
          <cell r="N416" t="str">
            <v/>
          </cell>
          <cell r="O416" t="str">
            <v/>
          </cell>
        </row>
        <row r="417">
          <cell r="A417">
            <v>44953</v>
          </cell>
          <cell r="B417">
            <v>44953</v>
          </cell>
          <cell r="C417" t="str">
            <v>Optifresh Natural Oils Toothpaste</v>
          </cell>
          <cell r="D417">
            <v>4</v>
          </cell>
          <cell r="E417">
            <v>249</v>
          </cell>
          <cell r="F417">
            <v>480</v>
          </cell>
          <cell r="G417">
            <v>311</v>
          </cell>
          <cell r="H417">
            <v>600</v>
          </cell>
          <cell r="I417">
            <v>389</v>
          </cell>
          <cell r="J417" t="str">
            <v>SD</v>
          </cell>
          <cell r="K417">
            <v>0.35166666666666702</v>
          </cell>
          <cell r="L417" t="str">
            <v>111</v>
          </cell>
          <cell r="M417" t="str">
            <v>CTLG</v>
          </cell>
          <cell r="N417" t="str">
            <v/>
          </cell>
          <cell r="O417" t="str">
            <v/>
          </cell>
        </row>
        <row r="418">
          <cell r="A418">
            <v>34498</v>
          </cell>
          <cell r="B418">
            <v>34498</v>
          </cell>
          <cell r="C418" t="str">
            <v>Feminelle Protecting Intimate Wash</v>
          </cell>
          <cell r="D418">
            <v>3</v>
          </cell>
          <cell r="E418">
            <v>224</v>
          </cell>
          <cell r="F418">
            <v>520</v>
          </cell>
          <cell r="G418">
            <v>279</v>
          </cell>
          <cell r="H418">
            <v>650</v>
          </cell>
          <cell r="I418">
            <v>349</v>
          </cell>
          <cell r="J418" t="str">
            <v>SD</v>
          </cell>
          <cell r="K418">
            <v>0.463076923076923</v>
          </cell>
          <cell r="L418" t="str">
            <v>112</v>
          </cell>
          <cell r="M418" t="str">
            <v>CTLG</v>
          </cell>
          <cell r="N418" t="str">
            <v/>
          </cell>
          <cell r="O418" t="str">
            <v/>
          </cell>
        </row>
        <row r="419">
          <cell r="A419">
            <v>43053</v>
          </cell>
          <cell r="B419">
            <v>43053</v>
          </cell>
          <cell r="C419" t="str">
            <v>Feminelle Protecting Wash Refill</v>
          </cell>
          <cell r="D419">
            <v>2</v>
          </cell>
          <cell r="E419">
            <v>160</v>
          </cell>
          <cell r="F419">
            <v>360</v>
          </cell>
          <cell r="G419">
            <v>199</v>
          </cell>
          <cell r="H419">
            <v>450</v>
          </cell>
          <cell r="I419">
            <v>249</v>
          </cell>
          <cell r="J419" t="str">
            <v>SD</v>
          </cell>
          <cell r="K419">
            <v>0.44666666666666699</v>
          </cell>
          <cell r="L419" t="str">
            <v>112</v>
          </cell>
          <cell r="M419" t="str">
            <v>CTLG</v>
          </cell>
          <cell r="N419" t="str">
            <v/>
          </cell>
          <cell r="O419" t="str">
            <v/>
          </cell>
        </row>
        <row r="420">
          <cell r="A420">
            <v>46366</v>
          </cell>
          <cell r="B420">
            <v>46366</v>
          </cell>
          <cell r="C420" t="str">
            <v xml:space="preserve">Feminelle Refreshing Intimate Wash </v>
          </cell>
          <cell r="D420">
            <v>3</v>
          </cell>
          <cell r="E420">
            <v>224</v>
          </cell>
          <cell r="F420">
            <v>520</v>
          </cell>
          <cell r="G420">
            <v>279</v>
          </cell>
          <cell r="H420">
            <v>650</v>
          </cell>
          <cell r="I420">
            <v>349</v>
          </cell>
          <cell r="J420" t="str">
            <v>SD</v>
          </cell>
          <cell r="K420">
            <v>0.463076923076923</v>
          </cell>
          <cell r="L420" t="str">
            <v>113</v>
          </cell>
          <cell r="M420" t="str">
            <v>CTLG</v>
          </cell>
          <cell r="N420" t="str">
            <v/>
          </cell>
          <cell r="O420" t="str">
            <v/>
          </cell>
        </row>
        <row r="421">
          <cell r="A421">
            <v>38336</v>
          </cell>
          <cell r="B421">
            <v>38336</v>
          </cell>
          <cell r="C421" t="str">
            <v>Festive Feet Mini Gel Spots</v>
          </cell>
          <cell r="D421">
            <v>2</v>
          </cell>
          <cell r="E421">
            <v>74</v>
          </cell>
          <cell r="F421">
            <v>328</v>
          </cell>
          <cell r="G421">
            <v>183</v>
          </cell>
          <cell r="H421">
            <v>410</v>
          </cell>
          <cell r="I421">
            <v>229</v>
          </cell>
          <cell r="J421" t="str">
            <v>SD</v>
          </cell>
          <cell r="K421">
            <v>0.44146341463414601</v>
          </cell>
          <cell r="L421" t="str">
            <v>114</v>
          </cell>
          <cell r="M421" t="str">
            <v>CTLG</v>
          </cell>
          <cell r="N421" t="str">
            <v/>
          </cell>
          <cell r="O421" t="str">
            <v/>
          </cell>
        </row>
        <row r="422">
          <cell r="A422">
            <v>41244</v>
          </cell>
          <cell r="B422">
            <v>41244</v>
          </cell>
          <cell r="C422" t="str">
            <v>Festive Feet Heel Cushions</v>
          </cell>
          <cell r="D422">
            <v>3</v>
          </cell>
          <cell r="E422">
            <v>90</v>
          </cell>
          <cell r="F422">
            <v>400</v>
          </cell>
          <cell r="G422">
            <v>223</v>
          </cell>
          <cell r="H422">
            <v>500</v>
          </cell>
          <cell r="I422">
            <v>279</v>
          </cell>
          <cell r="J422" t="str">
            <v>SD</v>
          </cell>
          <cell r="K422">
            <v>0.442</v>
          </cell>
          <cell r="L422" t="str">
            <v>114</v>
          </cell>
          <cell r="M422" t="str">
            <v>CTLG</v>
          </cell>
          <cell r="N422" t="str">
            <v/>
          </cell>
          <cell r="O422" t="str">
            <v/>
          </cell>
        </row>
        <row r="423">
          <cell r="A423">
            <v>41247</v>
          </cell>
          <cell r="B423">
            <v>41247</v>
          </cell>
          <cell r="C423" t="str">
            <v>Festive Feet Heel Shields</v>
          </cell>
          <cell r="D423">
            <v>3</v>
          </cell>
          <cell r="E423">
            <v>90</v>
          </cell>
          <cell r="F423">
            <v>400</v>
          </cell>
          <cell r="G423">
            <v>223</v>
          </cell>
          <cell r="H423">
            <v>500</v>
          </cell>
          <cell r="I423">
            <v>279</v>
          </cell>
          <cell r="J423" t="str">
            <v>SD</v>
          </cell>
          <cell r="K423">
            <v>0.442</v>
          </cell>
          <cell r="L423" t="str">
            <v>114</v>
          </cell>
          <cell r="M423" t="str">
            <v>CTLG</v>
          </cell>
          <cell r="N423" t="str">
            <v/>
          </cell>
          <cell r="O423" t="str">
            <v/>
          </cell>
        </row>
        <row r="424">
          <cell r="A424">
            <v>41249</v>
          </cell>
          <cell r="B424">
            <v>41249</v>
          </cell>
          <cell r="C424" t="str">
            <v>Festive Feet Foot Cushions</v>
          </cell>
          <cell r="D424">
            <v>3</v>
          </cell>
          <cell r="E424">
            <v>90</v>
          </cell>
          <cell r="F424">
            <v>400</v>
          </cell>
          <cell r="G424">
            <v>223</v>
          </cell>
          <cell r="H424">
            <v>500</v>
          </cell>
          <cell r="I424">
            <v>279</v>
          </cell>
          <cell r="J424" t="str">
            <v>SD</v>
          </cell>
          <cell r="K424">
            <v>0.442</v>
          </cell>
          <cell r="L424" t="str">
            <v>114</v>
          </cell>
          <cell r="M424" t="str">
            <v>CTLG</v>
          </cell>
          <cell r="N424" t="str">
            <v/>
          </cell>
          <cell r="O424" t="str">
            <v/>
          </cell>
        </row>
        <row r="425">
          <cell r="A425">
            <v>46412</v>
          </cell>
          <cell r="B425">
            <v>46412</v>
          </cell>
          <cell r="C425" t="str">
            <v>Reusable Razor</v>
          </cell>
          <cell r="D425">
            <v>5</v>
          </cell>
          <cell r="E425">
            <v>154</v>
          </cell>
          <cell r="F425">
            <v>704</v>
          </cell>
          <cell r="G425">
            <v>383</v>
          </cell>
          <cell r="H425">
            <v>880</v>
          </cell>
          <cell r="I425">
            <v>479</v>
          </cell>
          <cell r="J425" t="str">
            <v>SD</v>
          </cell>
          <cell r="K425">
            <v>0.45568181818181802</v>
          </cell>
          <cell r="L425" t="str">
            <v>114</v>
          </cell>
          <cell r="M425" t="str">
            <v>CTLG</v>
          </cell>
          <cell r="N425" t="str">
            <v/>
          </cell>
          <cell r="O425" t="str">
            <v/>
          </cell>
        </row>
        <row r="426">
          <cell r="A426">
            <v>46413</v>
          </cell>
          <cell r="B426">
            <v>46413</v>
          </cell>
          <cell r="C426" t="str">
            <v>Replacement Razor Heads 2-pack</v>
          </cell>
          <cell r="D426">
            <v>4</v>
          </cell>
          <cell r="E426">
            <v>141</v>
          </cell>
          <cell r="F426">
            <v>640</v>
          </cell>
          <cell r="G426">
            <v>351</v>
          </cell>
          <cell r="H426">
            <v>800</v>
          </cell>
          <cell r="I426">
            <v>439</v>
          </cell>
          <cell r="J426" t="str">
            <v>SD</v>
          </cell>
          <cell r="K426">
            <v>0.45124999999999998</v>
          </cell>
          <cell r="L426" t="str">
            <v>114</v>
          </cell>
          <cell r="M426" t="str">
            <v>CTLG</v>
          </cell>
          <cell r="N426" t="str">
            <v/>
          </cell>
          <cell r="O426" t="str">
            <v/>
          </cell>
        </row>
        <row r="427">
          <cell r="A427">
            <v>47093</v>
          </cell>
          <cell r="B427">
            <v>47093</v>
          </cell>
          <cell r="C427" t="str">
            <v>Feet Up Moisturising Socks</v>
          </cell>
          <cell r="D427">
            <v>6</v>
          </cell>
          <cell r="E427">
            <v>192</v>
          </cell>
          <cell r="F427">
            <v>479</v>
          </cell>
          <cell r="G427">
            <v>479</v>
          </cell>
          <cell r="H427">
            <v>599</v>
          </cell>
          <cell r="I427">
            <v>599</v>
          </cell>
          <cell r="J427" t="str">
            <v>NO</v>
          </cell>
          <cell r="K427">
            <v>0</v>
          </cell>
          <cell r="L427" t="str">
            <v>114</v>
          </cell>
          <cell r="M427" t="str">
            <v>CTLG</v>
          </cell>
          <cell r="N427" t="str">
            <v/>
          </cell>
          <cell r="O427" t="str">
            <v/>
          </cell>
        </row>
        <row r="428">
          <cell r="A428">
            <v>46377</v>
          </cell>
          <cell r="B428">
            <v>46377</v>
          </cell>
          <cell r="C428" t="str">
            <v>Feet Up Foot mask</v>
          </cell>
          <cell r="D428">
            <v>1</v>
          </cell>
          <cell r="E428">
            <v>95</v>
          </cell>
          <cell r="F428">
            <v>240</v>
          </cell>
          <cell r="G428">
            <v>119</v>
          </cell>
          <cell r="H428">
            <v>300</v>
          </cell>
          <cell r="I428">
            <v>149</v>
          </cell>
          <cell r="J428" t="str">
            <v>SD</v>
          </cell>
          <cell r="K428">
            <v>0.50333333333333297</v>
          </cell>
          <cell r="L428" t="str">
            <v>114</v>
          </cell>
          <cell r="M428" t="str">
            <v>CTLG</v>
          </cell>
          <cell r="N428" t="str">
            <v/>
          </cell>
          <cell r="O428" t="str">
            <v/>
          </cell>
        </row>
        <row r="429">
          <cell r="A429">
            <v>46374</v>
          </cell>
          <cell r="B429">
            <v>46374</v>
          </cell>
          <cell r="C429" t="str">
            <v>Feet Up APD Refreshing foot cream</v>
          </cell>
          <cell r="D429">
            <v>3</v>
          </cell>
          <cell r="E429">
            <v>211</v>
          </cell>
          <cell r="F429">
            <v>440</v>
          </cell>
          <cell r="G429">
            <v>263</v>
          </cell>
          <cell r="H429">
            <v>550</v>
          </cell>
          <cell r="I429">
            <v>329</v>
          </cell>
          <cell r="J429" t="str">
            <v>SD</v>
          </cell>
          <cell r="K429">
            <v>0.40181818181818202</v>
          </cell>
          <cell r="L429" t="str">
            <v>115</v>
          </cell>
          <cell r="M429" t="str">
            <v>CTLG</v>
          </cell>
          <cell r="N429" t="str">
            <v/>
          </cell>
          <cell r="O429" t="str">
            <v/>
          </cell>
        </row>
        <row r="430">
          <cell r="A430">
            <v>46375</v>
          </cell>
          <cell r="B430">
            <v>46375</v>
          </cell>
          <cell r="C430" t="str">
            <v>Feet Up Softening foot cream Jumbo</v>
          </cell>
          <cell r="D430">
            <v>5</v>
          </cell>
          <cell r="E430">
            <v>307</v>
          </cell>
          <cell r="F430">
            <v>704</v>
          </cell>
          <cell r="G430">
            <v>383</v>
          </cell>
          <cell r="H430">
            <v>880</v>
          </cell>
          <cell r="I430">
            <v>479</v>
          </cell>
          <cell r="J430" t="str">
            <v>SD</v>
          </cell>
          <cell r="K430">
            <v>0.45568181818181802</v>
          </cell>
          <cell r="L430" t="str">
            <v>115</v>
          </cell>
          <cell r="M430" t="str">
            <v>CTLG</v>
          </cell>
          <cell r="N430" t="str">
            <v/>
          </cell>
          <cell r="O430" t="str">
            <v/>
          </cell>
        </row>
        <row r="431">
          <cell r="A431">
            <v>46376</v>
          </cell>
          <cell r="B431">
            <v>46376</v>
          </cell>
          <cell r="C431" t="str">
            <v>Feet Up Foot spray jumbo</v>
          </cell>
          <cell r="D431">
            <v>8</v>
          </cell>
          <cell r="E431">
            <v>545</v>
          </cell>
          <cell r="F431">
            <v>1240</v>
          </cell>
          <cell r="G431">
            <v>679</v>
          </cell>
          <cell r="H431">
            <v>1550</v>
          </cell>
          <cell r="I431">
            <v>849</v>
          </cell>
          <cell r="J431" t="str">
            <v>SD</v>
          </cell>
          <cell r="K431">
            <v>0.45225806451612899</v>
          </cell>
          <cell r="L431" t="str">
            <v>115</v>
          </cell>
          <cell r="M431" t="str">
            <v>CTLG</v>
          </cell>
          <cell r="N431" t="str">
            <v/>
          </cell>
          <cell r="O431" t="str">
            <v/>
          </cell>
        </row>
        <row r="432">
          <cell r="A432">
            <v>31850</v>
          </cell>
          <cell r="B432">
            <v>31850</v>
          </cell>
          <cell r="C432" t="str">
            <v>Essense&amp;Co. Lem&amp;Verb Liq Hand Soap</v>
          </cell>
          <cell r="D432">
            <v>7</v>
          </cell>
          <cell r="E432">
            <v>480</v>
          </cell>
          <cell r="F432">
            <v>1000</v>
          </cell>
          <cell r="G432">
            <v>599</v>
          </cell>
          <cell r="H432">
            <v>1250</v>
          </cell>
          <cell r="I432">
            <v>749</v>
          </cell>
          <cell r="J432" t="str">
            <v>SD</v>
          </cell>
          <cell r="K432">
            <v>0.40079999999999999</v>
          </cell>
          <cell r="L432" t="str">
            <v>116</v>
          </cell>
          <cell r="M432" t="str">
            <v>CTLG</v>
          </cell>
          <cell r="N432" t="str">
            <v/>
          </cell>
          <cell r="O432" t="str">
            <v/>
          </cell>
        </row>
        <row r="433">
          <cell r="A433">
            <v>45798</v>
          </cell>
          <cell r="B433">
            <v>45798</v>
          </cell>
          <cell r="C433" t="str">
            <v xml:space="preserve">Essense&amp;Co. Lem&amp;Verb LHS Refill </v>
          </cell>
          <cell r="D433">
            <v>4</v>
          </cell>
          <cell r="E433">
            <v>249</v>
          </cell>
          <cell r="F433">
            <v>560</v>
          </cell>
          <cell r="G433">
            <v>311</v>
          </cell>
          <cell r="H433">
            <v>700</v>
          </cell>
          <cell r="I433">
            <v>389</v>
          </cell>
          <cell r="J433" t="str">
            <v>SD</v>
          </cell>
          <cell r="K433">
            <v>0.44428571428571401</v>
          </cell>
          <cell r="L433" t="str">
            <v>116</v>
          </cell>
          <cell r="M433" t="str">
            <v>CTLG</v>
          </cell>
          <cell r="N433" t="str">
            <v/>
          </cell>
          <cell r="O433" t="str">
            <v/>
          </cell>
        </row>
        <row r="434">
          <cell r="A434">
            <v>31851</v>
          </cell>
          <cell r="B434">
            <v>31851</v>
          </cell>
          <cell r="C434" t="str">
            <v>Essense&amp;Co. Lem&amp; Verb Hnd&amp;Bod Lot</v>
          </cell>
          <cell r="D434">
            <v>10</v>
          </cell>
          <cell r="E434">
            <v>615</v>
          </cell>
          <cell r="F434">
            <v>1280</v>
          </cell>
          <cell r="G434">
            <v>767</v>
          </cell>
          <cell r="H434">
            <v>1600</v>
          </cell>
          <cell r="I434">
            <v>959</v>
          </cell>
          <cell r="J434" t="str">
            <v>SD</v>
          </cell>
          <cell r="K434">
            <v>0.40062500000000001</v>
          </cell>
          <cell r="L434" t="str">
            <v>116</v>
          </cell>
          <cell r="M434" t="str">
            <v>CTLG</v>
          </cell>
          <cell r="N434" t="str">
            <v/>
          </cell>
          <cell r="O434" t="str">
            <v/>
          </cell>
        </row>
        <row r="435">
          <cell r="A435">
            <v>47532</v>
          </cell>
          <cell r="B435">
            <v>47532</v>
          </cell>
          <cell r="C435" t="str">
            <v>Body Gua Sha</v>
          </cell>
          <cell r="D435">
            <v>7</v>
          </cell>
          <cell r="E435">
            <v>211</v>
          </cell>
          <cell r="F435">
            <v>880</v>
          </cell>
          <cell r="G435">
            <v>527</v>
          </cell>
          <cell r="H435">
            <v>1100</v>
          </cell>
          <cell r="I435">
            <v>659</v>
          </cell>
          <cell r="J435" t="str">
            <v>SD</v>
          </cell>
          <cell r="K435">
            <v>0.40090909090909099</v>
          </cell>
          <cell r="L435" t="str">
            <v>117</v>
          </cell>
          <cell r="M435" t="str">
            <v>CTLG</v>
          </cell>
          <cell r="N435" t="str">
            <v/>
          </cell>
          <cell r="O435" t="str">
            <v/>
          </cell>
        </row>
        <row r="436">
          <cell r="A436">
            <v>35889</v>
          </cell>
          <cell r="B436">
            <v>35889</v>
          </cell>
          <cell r="C436" t="str">
            <v>Beautanicals Soap Bar</v>
          </cell>
          <cell r="D436">
            <v>2</v>
          </cell>
          <cell r="E436">
            <v>147</v>
          </cell>
          <cell r="F436">
            <v>288</v>
          </cell>
          <cell r="G436">
            <v>183</v>
          </cell>
          <cell r="H436">
            <v>360</v>
          </cell>
          <cell r="I436">
            <v>229</v>
          </cell>
          <cell r="J436" t="str">
            <v>SD</v>
          </cell>
          <cell r="K436">
            <v>0.36388888888888898</v>
          </cell>
          <cell r="L436" t="str">
            <v>117</v>
          </cell>
          <cell r="M436" t="str">
            <v>CTLG</v>
          </cell>
          <cell r="N436" t="str">
            <v/>
          </cell>
          <cell r="O436" t="str">
            <v/>
          </cell>
        </row>
        <row r="437">
          <cell r="A437">
            <v>35892</v>
          </cell>
          <cell r="B437">
            <v>35892</v>
          </cell>
          <cell r="C437" t="str">
            <v>Beautanicals Revital. Body Cleanser</v>
          </cell>
          <cell r="D437">
            <v>5</v>
          </cell>
          <cell r="E437">
            <v>340</v>
          </cell>
          <cell r="F437">
            <v>600</v>
          </cell>
          <cell r="G437">
            <v>423</v>
          </cell>
          <cell r="H437">
            <v>750</v>
          </cell>
          <cell r="I437">
            <v>529</v>
          </cell>
          <cell r="J437" t="str">
            <v>SD</v>
          </cell>
          <cell r="K437">
            <v>0.29466666666666702</v>
          </cell>
          <cell r="L437" t="str">
            <v>117</v>
          </cell>
          <cell r="M437" t="str">
            <v>CTLG</v>
          </cell>
          <cell r="N437" t="str">
            <v/>
          </cell>
          <cell r="O437" t="str">
            <v/>
          </cell>
        </row>
        <row r="438">
          <cell r="A438">
            <v>42673</v>
          </cell>
          <cell r="B438">
            <v>42673</v>
          </cell>
          <cell r="C438" t="str">
            <v>Beautanicals Restoring Body Lotion</v>
          </cell>
          <cell r="D438">
            <v>9</v>
          </cell>
          <cell r="E438">
            <v>564</v>
          </cell>
          <cell r="F438">
            <v>1000</v>
          </cell>
          <cell r="G438">
            <v>703</v>
          </cell>
          <cell r="H438">
            <v>1250</v>
          </cell>
          <cell r="I438">
            <v>879</v>
          </cell>
          <cell r="J438" t="str">
            <v>SD</v>
          </cell>
          <cell r="K438">
            <v>0.29680000000000001</v>
          </cell>
          <cell r="L438" t="str">
            <v>117</v>
          </cell>
          <cell r="M438" t="str">
            <v>CTLG</v>
          </cell>
          <cell r="N438" t="str">
            <v/>
          </cell>
          <cell r="O438" t="str">
            <v/>
          </cell>
        </row>
        <row r="439">
          <cell r="A439">
            <v>47431</v>
          </cell>
          <cell r="B439">
            <v>47431</v>
          </cell>
          <cell r="C439" t="str">
            <v>Body Brush &amp; Massager</v>
          </cell>
          <cell r="D439">
            <v>8</v>
          </cell>
          <cell r="E439">
            <v>256</v>
          </cell>
          <cell r="F439">
            <v>639</v>
          </cell>
          <cell r="G439">
            <v>639</v>
          </cell>
          <cell r="H439">
            <v>799</v>
          </cell>
          <cell r="I439">
            <v>799</v>
          </cell>
          <cell r="J439" t="str">
            <v>PWP</v>
          </cell>
          <cell r="K439">
            <v>0</v>
          </cell>
          <cell r="L439" t="str">
            <v>118</v>
          </cell>
          <cell r="M439" t="str">
            <v>CTLG</v>
          </cell>
          <cell r="N439" t="str">
            <v/>
          </cell>
          <cell r="O439" t="str">
            <v/>
          </cell>
        </row>
        <row r="440">
          <cell r="A440">
            <v>47431</v>
          </cell>
          <cell r="B440">
            <v>47431</v>
          </cell>
          <cell r="C440" t="str">
            <v>Body Brush &amp; Massager</v>
          </cell>
          <cell r="D440">
            <v>4</v>
          </cell>
          <cell r="E440">
            <v>128</v>
          </cell>
          <cell r="F440">
            <v>639</v>
          </cell>
          <cell r="G440">
            <v>319</v>
          </cell>
          <cell r="H440">
            <v>799</v>
          </cell>
          <cell r="I440">
            <v>399</v>
          </cell>
          <cell r="J440" t="str">
            <v>PWP</v>
          </cell>
          <cell r="K440">
            <v>0.50062578222778498</v>
          </cell>
          <cell r="L440" t="str">
            <v>118</v>
          </cell>
          <cell r="M440" t="str">
            <v>CTLG</v>
          </cell>
          <cell r="N440" t="str">
            <v/>
          </cell>
          <cell r="O440" t="str">
            <v/>
          </cell>
        </row>
        <row r="441">
          <cell r="A441">
            <v>46619</v>
          </cell>
          <cell r="B441">
            <v>46619</v>
          </cell>
          <cell r="C441" t="str">
            <v>Neon Vibes Soap Bar</v>
          </cell>
          <cell r="D441">
            <v>2</v>
          </cell>
          <cell r="E441">
            <v>115</v>
          </cell>
          <cell r="F441">
            <v>224</v>
          </cell>
          <cell r="G441">
            <v>143</v>
          </cell>
          <cell r="H441">
            <v>280</v>
          </cell>
          <cell r="I441">
            <v>179</v>
          </cell>
          <cell r="J441" t="str">
            <v>SD</v>
          </cell>
          <cell r="K441">
            <v>0.36071428571428599</v>
          </cell>
          <cell r="L441" t="str">
            <v>119</v>
          </cell>
          <cell r="M441" t="str">
            <v>CTLG</v>
          </cell>
          <cell r="N441" t="str">
            <v/>
          </cell>
          <cell r="O441" t="str">
            <v/>
          </cell>
        </row>
        <row r="442">
          <cell r="A442">
            <v>46620</v>
          </cell>
          <cell r="B442">
            <v>46620</v>
          </cell>
          <cell r="C442" t="str">
            <v>Neon Vibes Body Wash</v>
          </cell>
          <cell r="D442">
            <v>4</v>
          </cell>
          <cell r="E442">
            <v>249</v>
          </cell>
          <cell r="F442">
            <v>480</v>
          </cell>
          <cell r="G442">
            <v>311</v>
          </cell>
          <cell r="H442">
            <v>600</v>
          </cell>
          <cell r="I442">
            <v>389</v>
          </cell>
          <cell r="J442" t="str">
            <v>SD</v>
          </cell>
          <cell r="K442">
            <v>0.35166666666666702</v>
          </cell>
          <cell r="L442" t="str">
            <v>119</v>
          </cell>
          <cell r="M442" t="str">
            <v>CTLG</v>
          </cell>
          <cell r="N442" t="str">
            <v/>
          </cell>
          <cell r="O442" t="str">
            <v/>
          </cell>
        </row>
        <row r="443">
          <cell r="A443">
            <v>46621</v>
          </cell>
          <cell r="B443">
            <v>46621</v>
          </cell>
          <cell r="C443" t="str">
            <v>Neon Vibes Hand &amp; Body Lotion</v>
          </cell>
          <cell r="D443">
            <v>5</v>
          </cell>
          <cell r="E443">
            <v>346</v>
          </cell>
          <cell r="F443">
            <v>720</v>
          </cell>
          <cell r="G443">
            <v>431</v>
          </cell>
          <cell r="H443">
            <v>900</v>
          </cell>
          <cell r="I443">
            <v>539</v>
          </cell>
          <cell r="J443" t="str">
            <v>SD</v>
          </cell>
          <cell r="K443">
            <v>0.40111111111111097</v>
          </cell>
          <cell r="L443" t="str">
            <v>119</v>
          </cell>
          <cell r="M443" t="str">
            <v>CTLG</v>
          </cell>
          <cell r="N443" t="str">
            <v/>
          </cell>
          <cell r="O443" t="str">
            <v/>
          </cell>
        </row>
        <row r="444">
          <cell r="A444">
            <v>41264</v>
          </cell>
          <cell r="B444">
            <v>41264</v>
          </cell>
          <cell r="C444" t="str">
            <v>LN Refreshing Shower Gel</v>
          </cell>
          <cell r="D444">
            <v>3</v>
          </cell>
          <cell r="E444">
            <v>205</v>
          </cell>
          <cell r="F444">
            <v>360</v>
          </cell>
          <cell r="G444">
            <v>255</v>
          </cell>
          <cell r="H444">
            <v>450</v>
          </cell>
          <cell r="I444">
            <v>319</v>
          </cell>
          <cell r="J444" t="str">
            <v>SD</v>
          </cell>
          <cell r="K444">
            <v>0.29111111111111099</v>
          </cell>
          <cell r="L444" t="str">
            <v>120</v>
          </cell>
          <cell r="M444" t="str">
            <v>CTLG</v>
          </cell>
          <cell r="N444" t="str">
            <v/>
          </cell>
          <cell r="O444" t="str">
            <v/>
          </cell>
        </row>
        <row r="445">
          <cell r="A445">
            <v>41265</v>
          </cell>
          <cell r="B445">
            <v>41265</v>
          </cell>
          <cell r="C445" t="str">
            <v>LN Refreshing Shower Gel J</v>
          </cell>
          <cell r="D445">
            <v>5</v>
          </cell>
          <cell r="E445">
            <v>307</v>
          </cell>
          <cell r="F445">
            <v>600</v>
          </cell>
          <cell r="G445">
            <v>383</v>
          </cell>
          <cell r="H445">
            <v>750</v>
          </cell>
          <cell r="I445">
            <v>479</v>
          </cell>
          <cell r="J445" t="str">
            <v>SD</v>
          </cell>
          <cell r="K445">
            <v>0.36133333333333301</v>
          </cell>
          <cell r="L445" t="str">
            <v>120</v>
          </cell>
          <cell r="M445" t="str">
            <v>CTLG</v>
          </cell>
          <cell r="N445" t="str">
            <v/>
          </cell>
          <cell r="O445" t="str">
            <v/>
          </cell>
        </row>
        <row r="446">
          <cell r="A446">
            <v>41489</v>
          </cell>
          <cell r="B446">
            <v>41489</v>
          </cell>
          <cell r="C446" t="str">
            <v>LN Refreshing Soap Bar</v>
          </cell>
          <cell r="D446">
            <v>1</v>
          </cell>
          <cell r="E446">
            <v>83</v>
          </cell>
          <cell r="F446">
            <v>160</v>
          </cell>
          <cell r="G446">
            <v>103</v>
          </cell>
          <cell r="H446">
            <v>200</v>
          </cell>
          <cell r="I446">
            <v>129</v>
          </cell>
          <cell r="J446" t="str">
            <v>SD</v>
          </cell>
          <cell r="K446">
            <v>0.35499999999999998</v>
          </cell>
          <cell r="L446" t="str">
            <v>120</v>
          </cell>
          <cell r="M446" t="str">
            <v>CTLG</v>
          </cell>
          <cell r="N446" t="str">
            <v/>
          </cell>
          <cell r="O446" t="str">
            <v/>
          </cell>
        </row>
        <row r="447">
          <cell r="A447">
            <v>41277</v>
          </cell>
          <cell r="B447">
            <v>41277</v>
          </cell>
          <cell r="C447" t="str">
            <v>LN Energising Exf. Soap Bar</v>
          </cell>
          <cell r="D447">
            <v>1</v>
          </cell>
          <cell r="E447">
            <v>83</v>
          </cell>
          <cell r="F447">
            <v>160</v>
          </cell>
          <cell r="G447">
            <v>103</v>
          </cell>
          <cell r="H447">
            <v>200</v>
          </cell>
          <cell r="I447">
            <v>129</v>
          </cell>
          <cell r="J447" t="str">
            <v>SD</v>
          </cell>
          <cell r="K447">
            <v>0.35499999999999998</v>
          </cell>
          <cell r="L447" t="str">
            <v>121</v>
          </cell>
          <cell r="M447" t="str">
            <v>CTLG</v>
          </cell>
          <cell r="N447" t="str">
            <v/>
          </cell>
          <cell r="O447" t="str">
            <v/>
          </cell>
        </row>
        <row r="448">
          <cell r="A448">
            <v>41493</v>
          </cell>
          <cell r="B448">
            <v>41493</v>
          </cell>
          <cell r="C448" t="str">
            <v>LN Energising Exf Shower Gel</v>
          </cell>
          <cell r="D448">
            <v>3</v>
          </cell>
          <cell r="E448">
            <v>224</v>
          </cell>
          <cell r="F448">
            <v>400</v>
          </cell>
          <cell r="G448">
            <v>279</v>
          </cell>
          <cell r="H448">
            <v>500</v>
          </cell>
          <cell r="I448">
            <v>349</v>
          </cell>
          <cell r="J448" t="str">
            <v>SD</v>
          </cell>
          <cell r="K448">
            <v>0.30199999999999999</v>
          </cell>
          <cell r="L448" t="str">
            <v>121</v>
          </cell>
          <cell r="M448" t="str">
            <v>CTLG</v>
          </cell>
          <cell r="N448" t="str">
            <v/>
          </cell>
          <cell r="O448" t="str">
            <v/>
          </cell>
        </row>
        <row r="449">
          <cell r="A449">
            <v>41496</v>
          </cell>
          <cell r="B449">
            <v>41496</v>
          </cell>
          <cell r="C449" t="str">
            <v>LN Energising Exf Shower Gel J</v>
          </cell>
          <cell r="D449">
            <v>6</v>
          </cell>
          <cell r="E449">
            <v>365</v>
          </cell>
          <cell r="F449">
            <v>704</v>
          </cell>
          <cell r="G449">
            <v>455</v>
          </cell>
          <cell r="H449">
            <v>880</v>
          </cell>
          <cell r="I449">
            <v>569</v>
          </cell>
          <cell r="J449" t="str">
            <v>SD</v>
          </cell>
          <cell r="K449">
            <v>0.35340909090909101</v>
          </cell>
          <cell r="L449" t="str">
            <v>121</v>
          </cell>
          <cell r="M449" t="str">
            <v>CTLG</v>
          </cell>
          <cell r="N449" t="str">
            <v/>
          </cell>
          <cell r="O449" t="str">
            <v/>
          </cell>
        </row>
        <row r="450">
          <cell r="A450">
            <v>41505</v>
          </cell>
          <cell r="B450">
            <v>41505</v>
          </cell>
          <cell r="C450" t="str">
            <v>LN Energising Body Lotion J</v>
          </cell>
          <cell r="D450">
            <v>7</v>
          </cell>
          <cell r="E450">
            <v>436</v>
          </cell>
          <cell r="F450">
            <v>1000</v>
          </cell>
          <cell r="G450">
            <v>543</v>
          </cell>
          <cell r="H450">
            <v>1250</v>
          </cell>
          <cell r="I450">
            <v>679</v>
          </cell>
          <cell r="J450" t="str">
            <v>SD</v>
          </cell>
          <cell r="K450">
            <v>0.45679999999999998</v>
          </cell>
          <cell r="L450" t="str">
            <v>121</v>
          </cell>
          <cell r="M450" t="str">
            <v>CTLG</v>
          </cell>
          <cell r="N450" t="str">
            <v/>
          </cell>
          <cell r="O450" t="str">
            <v/>
          </cell>
        </row>
        <row r="451">
          <cell r="A451">
            <v>45816</v>
          </cell>
          <cell r="B451">
            <v>45816</v>
          </cell>
          <cell r="C451" t="str">
            <v xml:space="preserve">Afternoon Tea Hand Cream Trio </v>
          </cell>
          <cell r="D451">
            <v>6</v>
          </cell>
          <cell r="E451">
            <v>397</v>
          </cell>
          <cell r="F451">
            <v>720</v>
          </cell>
          <cell r="G451">
            <v>495</v>
          </cell>
          <cell r="H451">
            <v>900</v>
          </cell>
          <cell r="I451">
            <v>619</v>
          </cell>
          <cell r="J451" t="str">
            <v>SD</v>
          </cell>
          <cell r="K451">
            <v>0.31222222222222201</v>
          </cell>
          <cell r="L451" t="str">
            <v>122</v>
          </cell>
          <cell r="M451" t="str">
            <v>CTLG</v>
          </cell>
          <cell r="N451" t="str">
            <v/>
          </cell>
          <cell r="O451" t="str">
            <v/>
          </cell>
        </row>
        <row r="452">
          <cell r="A452">
            <v>46219</v>
          </cell>
          <cell r="B452">
            <v>46219</v>
          </cell>
          <cell r="C452" t="str">
            <v>Dream Cream</v>
          </cell>
          <cell r="D452">
            <v>1</v>
          </cell>
          <cell r="E452">
            <v>90</v>
          </cell>
          <cell r="F452">
            <v>168</v>
          </cell>
          <cell r="G452">
            <v>111</v>
          </cell>
          <cell r="H452">
            <v>210</v>
          </cell>
          <cell r="I452">
            <v>139</v>
          </cell>
          <cell r="J452" t="str">
            <v>SD</v>
          </cell>
          <cell r="K452">
            <v>0.338095238095238</v>
          </cell>
          <cell r="L452" t="str">
            <v>122</v>
          </cell>
          <cell r="M452" t="str">
            <v>CTLG</v>
          </cell>
          <cell r="N452" t="str">
            <v/>
          </cell>
          <cell r="O452" t="str">
            <v/>
          </cell>
        </row>
        <row r="453">
          <cell r="A453">
            <v>41341</v>
          </cell>
          <cell r="B453">
            <v>41341</v>
          </cell>
          <cell r="C453" t="str">
            <v>LN Refreshing HC</v>
          </cell>
          <cell r="D453">
            <v>2</v>
          </cell>
          <cell r="E453">
            <v>147</v>
          </cell>
          <cell r="F453">
            <v>328</v>
          </cell>
          <cell r="G453">
            <v>183</v>
          </cell>
          <cell r="H453">
            <v>410</v>
          </cell>
          <cell r="I453">
            <v>229</v>
          </cell>
          <cell r="J453" t="str">
            <v>SD</v>
          </cell>
          <cell r="K453">
            <v>0.44146341463414601</v>
          </cell>
          <cell r="L453" t="str">
            <v>123</v>
          </cell>
          <cell r="M453" t="str">
            <v>CTLG</v>
          </cell>
          <cell r="N453" t="str">
            <v/>
          </cell>
          <cell r="O453" t="str">
            <v/>
          </cell>
        </row>
        <row r="454">
          <cell r="A454">
            <v>45425</v>
          </cell>
          <cell r="B454">
            <v>45425</v>
          </cell>
          <cell r="C454" t="str">
            <v>Love Nature Protecting H&amp;NC</v>
          </cell>
          <cell r="D454">
            <v>4</v>
          </cell>
          <cell r="E454">
            <v>249</v>
          </cell>
          <cell r="F454">
            <v>560</v>
          </cell>
          <cell r="G454">
            <v>311</v>
          </cell>
          <cell r="H454">
            <v>700</v>
          </cell>
          <cell r="I454">
            <v>389</v>
          </cell>
          <cell r="J454" t="str">
            <v>SD</v>
          </cell>
          <cell r="K454">
            <v>0.44428571428571401</v>
          </cell>
          <cell r="L454" t="str">
            <v>123</v>
          </cell>
          <cell r="M454" t="str">
            <v>CTLG</v>
          </cell>
          <cell r="N454" t="str">
            <v/>
          </cell>
          <cell r="O454" t="str">
            <v/>
          </cell>
        </row>
        <row r="455">
          <cell r="A455">
            <v>45426</v>
          </cell>
          <cell r="B455">
            <v>45426</v>
          </cell>
          <cell r="C455" t="str">
            <v xml:space="preserve">Love Nature Nourishing HC </v>
          </cell>
          <cell r="D455">
            <v>4</v>
          </cell>
          <cell r="E455">
            <v>249</v>
          </cell>
          <cell r="F455">
            <v>560</v>
          </cell>
          <cell r="G455">
            <v>311</v>
          </cell>
          <cell r="H455">
            <v>700</v>
          </cell>
          <cell r="I455">
            <v>389</v>
          </cell>
          <cell r="J455" t="str">
            <v>SD</v>
          </cell>
          <cell r="K455">
            <v>0.44428571428571401</v>
          </cell>
          <cell r="L455" t="str">
            <v>123</v>
          </cell>
          <cell r="M455" t="str">
            <v>CTLG</v>
          </cell>
          <cell r="N455" t="str">
            <v/>
          </cell>
          <cell r="O455" t="str">
            <v/>
          </cell>
        </row>
        <row r="456">
          <cell r="A456">
            <v>41292</v>
          </cell>
          <cell r="B456">
            <v>41292</v>
          </cell>
          <cell r="C456" t="str">
            <v>LN Wheat &amp; Coconut Oil Shampoo</v>
          </cell>
          <cell r="D456">
            <v>4</v>
          </cell>
          <cell r="E456">
            <v>288</v>
          </cell>
          <cell r="F456">
            <v>656</v>
          </cell>
          <cell r="G456">
            <v>359</v>
          </cell>
          <cell r="H456">
            <v>820</v>
          </cell>
          <cell r="I456">
            <v>449</v>
          </cell>
          <cell r="J456" t="str">
            <v>SD</v>
          </cell>
          <cell r="K456">
            <v>0.45243902439024403</v>
          </cell>
          <cell r="L456" t="str">
            <v>124</v>
          </cell>
          <cell r="M456" t="str">
            <v>CTLG</v>
          </cell>
          <cell r="N456" t="str">
            <v/>
          </cell>
          <cell r="O456" t="str">
            <v/>
          </cell>
        </row>
        <row r="457">
          <cell r="A457">
            <v>41298</v>
          </cell>
          <cell r="B457">
            <v>41298</v>
          </cell>
          <cell r="C457" t="str">
            <v>LN Wheat &amp; Coconut Oil SH Jumbo</v>
          </cell>
          <cell r="D457">
            <v>6</v>
          </cell>
          <cell r="E457">
            <v>403</v>
          </cell>
          <cell r="F457">
            <v>920</v>
          </cell>
          <cell r="G457">
            <v>503</v>
          </cell>
          <cell r="H457">
            <v>1150</v>
          </cell>
          <cell r="I457">
            <v>629</v>
          </cell>
          <cell r="J457" t="str">
            <v>SD</v>
          </cell>
          <cell r="K457">
            <v>0.45304347826086999</v>
          </cell>
          <cell r="L457" t="str">
            <v>124</v>
          </cell>
          <cell r="M457" t="str">
            <v>CTLG</v>
          </cell>
          <cell r="N457" t="str">
            <v/>
          </cell>
          <cell r="O457" t="str">
            <v/>
          </cell>
        </row>
        <row r="458">
          <cell r="A458">
            <v>41295</v>
          </cell>
          <cell r="B458">
            <v>41295</v>
          </cell>
          <cell r="C458" t="str">
            <v>LN Wheat &amp; Coconut Oil Conditioner</v>
          </cell>
          <cell r="D458">
            <v>4</v>
          </cell>
          <cell r="E458">
            <v>288</v>
          </cell>
          <cell r="F458">
            <v>656</v>
          </cell>
          <cell r="G458">
            <v>359</v>
          </cell>
          <cell r="H458">
            <v>820</v>
          </cell>
          <cell r="I458">
            <v>449</v>
          </cell>
          <cell r="J458" t="str">
            <v>SD</v>
          </cell>
          <cell r="K458">
            <v>0.45243902439024403</v>
          </cell>
          <cell r="L458" t="str">
            <v>125</v>
          </cell>
          <cell r="M458" t="str">
            <v>CTLG</v>
          </cell>
          <cell r="N458" t="str">
            <v/>
          </cell>
          <cell r="O458" t="str">
            <v/>
          </cell>
        </row>
        <row r="459">
          <cell r="A459">
            <v>41308</v>
          </cell>
          <cell r="B459">
            <v>41308</v>
          </cell>
          <cell r="C459" t="str">
            <v>LN Wheat &amp; Coconut Hot Oil 2022</v>
          </cell>
          <cell r="D459">
            <v>2</v>
          </cell>
          <cell r="E459">
            <v>115</v>
          </cell>
          <cell r="F459">
            <v>288</v>
          </cell>
          <cell r="G459">
            <v>143</v>
          </cell>
          <cell r="H459">
            <v>360</v>
          </cell>
          <cell r="I459">
            <v>179</v>
          </cell>
          <cell r="J459" t="str">
            <v>SD</v>
          </cell>
          <cell r="K459">
            <v>0.50277777777777799</v>
          </cell>
          <cell r="L459" t="str">
            <v>125</v>
          </cell>
          <cell r="M459" t="str">
            <v>CTLG</v>
          </cell>
          <cell r="N459" t="str">
            <v/>
          </cell>
          <cell r="O459" t="str">
            <v/>
          </cell>
        </row>
        <row r="460">
          <cell r="A460">
            <v>41568</v>
          </cell>
          <cell r="B460">
            <v>41568</v>
          </cell>
          <cell r="C460" t="str">
            <v>LN Hair Oil Coconut</v>
          </cell>
          <cell r="D460">
            <v>4</v>
          </cell>
          <cell r="E460">
            <v>256</v>
          </cell>
          <cell r="F460">
            <v>592</v>
          </cell>
          <cell r="G460">
            <v>319</v>
          </cell>
          <cell r="H460">
            <v>740</v>
          </cell>
          <cell r="I460">
            <v>399</v>
          </cell>
          <cell r="J460" t="str">
            <v>SD</v>
          </cell>
          <cell r="K460">
            <v>0.46081081081081099</v>
          </cell>
          <cell r="L460" t="str">
            <v>125</v>
          </cell>
          <cell r="M460" t="str">
            <v>CTLG</v>
          </cell>
          <cell r="N460" t="str">
            <v/>
          </cell>
          <cell r="O460" t="str">
            <v/>
          </cell>
        </row>
        <row r="461">
          <cell r="A461">
            <v>38585</v>
          </cell>
          <cell r="B461">
            <v>38585</v>
          </cell>
          <cell r="C461" t="str">
            <v>Eleo Oil Infused Shampoo</v>
          </cell>
          <cell r="D461">
            <v>8</v>
          </cell>
          <cell r="E461">
            <v>494</v>
          </cell>
          <cell r="F461">
            <v>1120</v>
          </cell>
          <cell r="G461">
            <v>615</v>
          </cell>
          <cell r="H461">
            <v>1400</v>
          </cell>
          <cell r="I461">
            <v>769</v>
          </cell>
          <cell r="J461" t="str">
            <v>SD</v>
          </cell>
          <cell r="K461">
            <v>0.45071428571428601</v>
          </cell>
          <cell r="L461" t="str">
            <v>127</v>
          </cell>
          <cell r="M461" t="str">
            <v>CTLG</v>
          </cell>
          <cell r="N461" t="str">
            <v/>
          </cell>
          <cell r="O461" t="str">
            <v/>
          </cell>
        </row>
        <row r="462">
          <cell r="A462">
            <v>38597</v>
          </cell>
          <cell r="B462">
            <v>38597</v>
          </cell>
          <cell r="C462" t="str">
            <v>Eleo Oil Infused Conditioner</v>
          </cell>
          <cell r="D462">
            <v>8</v>
          </cell>
          <cell r="E462">
            <v>494</v>
          </cell>
          <cell r="F462">
            <v>1120</v>
          </cell>
          <cell r="G462">
            <v>615</v>
          </cell>
          <cell r="H462">
            <v>1400</v>
          </cell>
          <cell r="I462">
            <v>769</v>
          </cell>
          <cell r="J462" t="str">
            <v>SD</v>
          </cell>
          <cell r="K462">
            <v>0.45071428571428601</v>
          </cell>
          <cell r="L462" t="str">
            <v>127</v>
          </cell>
          <cell r="M462" t="str">
            <v>CTLG</v>
          </cell>
          <cell r="N462" t="str">
            <v/>
          </cell>
          <cell r="O462" t="str">
            <v/>
          </cell>
        </row>
        <row r="463">
          <cell r="A463">
            <v>38601</v>
          </cell>
          <cell r="B463">
            <v>38601</v>
          </cell>
          <cell r="C463" t="str">
            <v>Eleo Protecting Hair Oil</v>
          </cell>
          <cell r="D463">
            <v>11</v>
          </cell>
          <cell r="E463">
            <v>705</v>
          </cell>
          <cell r="F463">
            <v>1560</v>
          </cell>
          <cell r="G463">
            <v>879</v>
          </cell>
          <cell r="H463">
            <v>1950</v>
          </cell>
          <cell r="I463">
            <v>1099</v>
          </cell>
          <cell r="J463" t="str">
            <v>SD</v>
          </cell>
          <cell r="K463">
            <v>0.43641025641025599</v>
          </cell>
          <cell r="L463" t="str">
            <v>127</v>
          </cell>
          <cell r="M463" t="str">
            <v>CTLG</v>
          </cell>
          <cell r="N463" t="str">
            <v/>
          </cell>
          <cell r="O463" t="str">
            <v/>
          </cell>
        </row>
        <row r="464">
          <cell r="A464">
            <v>45817</v>
          </cell>
          <cell r="B464">
            <v>45817</v>
          </cell>
          <cell r="C464" t="str">
            <v>M&amp;H Gold Classic Grace HBW</v>
          </cell>
          <cell r="D464">
            <v>5</v>
          </cell>
          <cell r="E464">
            <v>307</v>
          </cell>
          <cell r="F464">
            <v>600</v>
          </cell>
          <cell r="G464">
            <v>383</v>
          </cell>
          <cell r="H464">
            <v>750</v>
          </cell>
          <cell r="I464">
            <v>479</v>
          </cell>
          <cell r="J464" t="str">
            <v>SD</v>
          </cell>
          <cell r="K464">
            <v>0.36133333333333301</v>
          </cell>
          <cell r="L464" t="str">
            <v>128</v>
          </cell>
          <cell r="M464" t="str">
            <v>CTLG</v>
          </cell>
          <cell r="N464" t="str">
            <v/>
          </cell>
          <cell r="O464" t="str">
            <v/>
          </cell>
        </row>
        <row r="465">
          <cell r="A465">
            <v>31606</v>
          </cell>
          <cell r="B465">
            <v>31606</v>
          </cell>
          <cell r="C465" t="str">
            <v>M&amp;H Gold Moisturising Hand Cream</v>
          </cell>
          <cell r="D465">
            <v>4</v>
          </cell>
          <cell r="E465">
            <v>256</v>
          </cell>
          <cell r="F465">
            <v>496</v>
          </cell>
          <cell r="G465">
            <v>319</v>
          </cell>
          <cell r="H465">
            <v>620</v>
          </cell>
          <cell r="I465">
            <v>399</v>
          </cell>
          <cell r="J465" t="str">
            <v>SD</v>
          </cell>
          <cell r="K465">
            <v>0.35645161290322602</v>
          </cell>
          <cell r="L465" t="str">
            <v>128</v>
          </cell>
          <cell r="M465" t="str">
            <v>CTLG</v>
          </cell>
          <cell r="N465" t="str">
            <v/>
          </cell>
          <cell r="O465" t="str">
            <v/>
          </cell>
        </row>
        <row r="466">
          <cell r="A466">
            <v>33447</v>
          </cell>
          <cell r="B466">
            <v>33447</v>
          </cell>
          <cell r="C466" t="str">
            <v>M&amp;H Gold Hand Scrub</v>
          </cell>
          <cell r="D466">
            <v>4</v>
          </cell>
          <cell r="E466">
            <v>256</v>
          </cell>
          <cell r="F466">
            <v>496</v>
          </cell>
          <cell r="G466">
            <v>319</v>
          </cell>
          <cell r="H466">
            <v>620</v>
          </cell>
          <cell r="I466">
            <v>399</v>
          </cell>
          <cell r="J466" t="str">
            <v>SD</v>
          </cell>
          <cell r="K466">
            <v>0.35645161290322602</v>
          </cell>
          <cell r="L466" t="str">
            <v>128</v>
          </cell>
          <cell r="M466" t="str">
            <v>CTLG</v>
          </cell>
          <cell r="N466" t="str">
            <v/>
          </cell>
          <cell r="O466" t="str">
            <v/>
          </cell>
        </row>
        <row r="467">
          <cell r="A467">
            <v>45819</v>
          </cell>
          <cell r="B467">
            <v>45819</v>
          </cell>
          <cell r="C467" t="str">
            <v>M&amp;H Gold Classic Grace HBC</v>
          </cell>
          <cell r="D467">
            <v>6</v>
          </cell>
          <cell r="E467">
            <v>372</v>
          </cell>
          <cell r="F467">
            <v>720</v>
          </cell>
          <cell r="G467">
            <v>463</v>
          </cell>
          <cell r="H467">
            <v>900</v>
          </cell>
          <cell r="I467">
            <v>579</v>
          </cell>
          <cell r="J467" t="str">
            <v>SD</v>
          </cell>
          <cell r="K467">
            <v>0.35666666666666702</v>
          </cell>
          <cell r="L467" t="str">
            <v>128</v>
          </cell>
          <cell r="M467" t="str">
            <v>CTLG</v>
          </cell>
          <cell r="N467" t="str">
            <v/>
          </cell>
          <cell r="O467" t="str">
            <v/>
          </cell>
        </row>
        <row r="468">
          <cell r="A468">
            <v>35957</v>
          </cell>
          <cell r="B468">
            <v>35957</v>
          </cell>
          <cell r="C468" t="str">
            <v xml:space="preserve">M&amp;H Gold Shampoo </v>
          </cell>
          <cell r="D468">
            <v>6</v>
          </cell>
          <cell r="E468">
            <v>417</v>
          </cell>
          <cell r="F468">
            <v>800</v>
          </cell>
          <cell r="G468">
            <v>519</v>
          </cell>
          <cell r="H468">
            <v>1000</v>
          </cell>
          <cell r="I468">
            <v>649</v>
          </cell>
          <cell r="J468" t="str">
            <v>SD</v>
          </cell>
          <cell r="K468">
            <v>0.35099999999999998</v>
          </cell>
          <cell r="L468" t="str">
            <v>129</v>
          </cell>
          <cell r="M468" t="str">
            <v>CTLG</v>
          </cell>
          <cell r="N468" t="str">
            <v/>
          </cell>
          <cell r="O468" t="str">
            <v/>
          </cell>
        </row>
        <row r="469">
          <cell r="A469">
            <v>35958</v>
          </cell>
          <cell r="B469">
            <v>35958</v>
          </cell>
          <cell r="C469" t="str">
            <v xml:space="preserve">M&amp;H Gold Conditioner </v>
          </cell>
          <cell r="D469">
            <v>6</v>
          </cell>
          <cell r="E469">
            <v>417</v>
          </cell>
          <cell r="F469">
            <v>800</v>
          </cell>
          <cell r="G469">
            <v>519</v>
          </cell>
          <cell r="H469">
            <v>1000</v>
          </cell>
          <cell r="I469">
            <v>649</v>
          </cell>
          <cell r="J469" t="str">
            <v>SD</v>
          </cell>
          <cell r="K469">
            <v>0.35099999999999998</v>
          </cell>
          <cell r="L469" t="str">
            <v>129</v>
          </cell>
          <cell r="M469" t="str">
            <v>CTLG</v>
          </cell>
          <cell r="N469" t="str">
            <v/>
          </cell>
          <cell r="O469" t="str">
            <v/>
          </cell>
        </row>
        <row r="470">
          <cell r="A470">
            <v>35959</v>
          </cell>
          <cell r="B470">
            <v>35959</v>
          </cell>
          <cell r="C470" t="str">
            <v>M&amp;H Gold Hair Mask</v>
          </cell>
          <cell r="D470">
            <v>8</v>
          </cell>
          <cell r="E470">
            <v>526</v>
          </cell>
          <cell r="F470">
            <v>1080</v>
          </cell>
          <cell r="G470">
            <v>655</v>
          </cell>
          <cell r="H470">
            <v>1350</v>
          </cell>
          <cell r="I470">
            <v>819</v>
          </cell>
          <cell r="J470" t="str">
            <v>SD</v>
          </cell>
          <cell r="K470">
            <v>0.39333333333333298</v>
          </cell>
          <cell r="L470" t="str">
            <v>129</v>
          </cell>
          <cell r="M470" t="str">
            <v>CTLG</v>
          </cell>
          <cell r="N470" t="str">
            <v/>
          </cell>
          <cell r="O470" t="str">
            <v/>
          </cell>
        </row>
        <row r="471">
          <cell r="A471">
            <v>46492</v>
          </cell>
          <cell r="B471">
            <v>46492</v>
          </cell>
          <cell r="C471" t="str">
            <v>Duologi Scalp Massager</v>
          </cell>
          <cell r="D471">
            <v>6</v>
          </cell>
          <cell r="E471">
            <v>192</v>
          </cell>
          <cell r="F471">
            <v>479</v>
          </cell>
          <cell r="G471">
            <v>479</v>
          </cell>
          <cell r="H471">
            <v>599</v>
          </cell>
          <cell r="I471">
            <v>599</v>
          </cell>
          <cell r="J471" t="str">
            <v>NO</v>
          </cell>
          <cell r="K471">
            <v>0</v>
          </cell>
          <cell r="L471" t="str">
            <v>130</v>
          </cell>
          <cell r="M471" t="str">
            <v>CTLG</v>
          </cell>
          <cell r="N471" t="str">
            <v/>
          </cell>
          <cell r="O471" t="str">
            <v/>
          </cell>
        </row>
        <row r="472">
          <cell r="A472">
            <v>44950</v>
          </cell>
          <cell r="B472">
            <v>44950</v>
          </cell>
          <cell r="C472" t="str">
            <v xml:space="preserve">DUOLOGI Intense Repair Shampoo </v>
          </cell>
          <cell r="D472">
            <v>10</v>
          </cell>
          <cell r="E472">
            <v>642</v>
          </cell>
          <cell r="F472">
            <v>800</v>
          </cell>
          <cell r="G472">
            <v>800</v>
          </cell>
          <cell r="H472">
            <v>1000</v>
          </cell>
          <cell r="I472">
            <v>1000</v>
          </cell>
          <cell r="J472" t="str">
            <v>NO</v>
          </cell>
          <cell r="K472">
            <v>0</v>
          </cell>
          <cell r="L472" t="str">
            <v>130</v>
          </cell>
          <cell r="M472" t="str">
            <v>CTLG</v>
          </cell>
          <cell r="N472" t="str">
            <v/>
          </cell>
          <cell r="O472" t="str">
            <v/>
          </cell>
        </row>
        <row r="473">
          <cell r="A473">
            <v>44951</v>
          </cell>
          <cell r="B473">
            <v>44951</v>
          </cell>
          <cell r="C473" t="str">
            <v>DUOLOGI Anti flake Purifyin Sh</v>
          </cell>
          <cell r="D473">
            <v>6</v>
          </cell>
          <cell r="E473">
            <v>384</v>
          </cell>
          <cell r="F473">
            <v>800</v>
          </cell>
          <cell r="G473">
            <v>479</v>
          </cell>
          <cell r="H473">
            <v>1000</v>
          </cell>
          <cell r="I473">
            <v>599</v>
          </cell>
          <cell r="J473" t="str">
            <v>SD</v>
          </cell>
          <cell r="K473">
            <v>0.40100000000000002</v>
          </cell>
          <cell r="L473" t="str">
            <v>130</v>
          </cell>
          <cell r="M473" t="str">
            <v>CTLG</v>
          </cell>
          <cell r="N473" t="str">
            <v/>
          </cell>
          <cell r="O473" t="str">
            <v/>
          </cell>
        </row>
        <row r="474">
          <cell r="A474">
            <v>44955</v>
          </cell>
          <cell r="B474">
            <v>44955</v>
          </cell>
          <cell r="C474" t="str">
            <v xml:space="preserve">DUOLOGI Fall Resist Shampoo </v>
          </cell>
          <cell r="D474">
            <v>6</v>
          </cell>
          <cell r="E474">
            <v>384</v>
          </cell>
          <cell r="F474">
            <v>800</v>
          </cell>
          <cell r="G474">
            <v>479</v>
          </cell>
          <cell r="H474">
            <v>1000</v>
          </cell>
          <cell r="I474">
            <v>599</v>
          </cell>
          <cell r="J474" t="str">
            <v>SD</v>
          </cell>
          <cell r="K474">
            <v>0.40100000000000002</v>
          </cell>
          <cell r="L474" t="str">
            <v>130</v>
          </cell>
          <cell r="M474" t="str">
            <v>CTLG</v>
          </cell>
          <cell r="N474" t="str">
            <v/>
          </cell>
          <cell r="O474" t="str">
            <v/>
          </cell>
        </row>
        <row r="475">
          <cell r="A475">
            <v>44958</v>
          </cell>
          <cell r="B475">
            <v>44958</v>
          </cell>
          <cell r="C475" t="str">
            <v>DUOLOGI Fall Resist SH Refill</v>
          </cell>
          <cell r="D475">
            <v>14</v>
          </cell>
          <cell r="E475">
            <v>931</v>
          </cell>
          <cell r="F475">
            <v>1160</v>
          </cell>
          <cell r="G475">
            <v>1160</v>
          </cell>
          <cell r="H475">
            <v>1450</v>
          </cell>
          <cell r="I475">
            <v>1450</v>
          </cell>
          <cell r="J475" t="str">
            <v>NO</v>
          </cell>
          <cell r="K475">
            <v>0</v>
          </cell>
          <cell r="L475" t="str">
            <v>130</v>
          </cell>
          <cell r="M475" t="str">
            <v>CTLG</v>
          </cell>
          <cell r="N475" t="str">
            <v/>
          </cell>
          <cell r="O475" t="str">
            <v/>
          </cell>
        </row>
        <row r="476">
          <cell r="A476">
            <v>44966</v>
          </cell>
          <cell r="B476">
            <v>44966</v>
          </cell>
          <cell r="C476" t="str">
            <v>DUOLOGI Anti Flake Purifying HS</v>
          </cell>
          <cell r="D476">
            <v>4</v>
          </cell>
          <cell r="E476">
            <v>237</v>
          </cell>
          <cell r="F476">
            <v>496</v>
          </cell>
          <cell r="G476">
            <v>295</v>
          </cell>
          <cell r="H476">
            <v>620</v>
          </cell>
          <cell r="I476">
            <v>369</v>
          </cell>
          <cell r="J476" t="str">
            <v>SD</v>
          </cell>
          <cell r="K476">
            <v>0.40483870967741897</v>
          </cell>
          <cell r="L476" t="str">
            <v>130</v>
          </cell>
          <cell r="M476" t="str">
            <v>CTLG</v>
          </cell>
          <cell r="N476" t="str">
            <v/>
          </cell>
          <cell r="O476" t="str">
            <v/>
          </cell>
        </row>
        <row r="477">
          <cell r="A477">
            <v>44957</v>
          </cell>
          <cell r="B477">
            <v>44957</v>
          </cell>
          <cell r="C477" t="str">
            <v>DUOLOGI Intense Repair SH Refill</v>
          </cell>
          <cell r="D477">
            <v>14</v>
          </cell>
          <cell r="E477">
            <v>931</v>
          </cell>
          <cell r="F477">
            <v>1160</v>
          </cell>
          <cell r="G477">
            <v>1160</v>
          </cell>
          <cell r="H477">
            <v>1450</v>
          </cell>
          <cell r="I477">
            <v>1450</v>
          </cell>
          <cell r="J477" t="str">
            <v>NO</v>
          </cell>
          <cell r="K477">
            <v>0</v>
          </cell>
          <cell r="L477" t="str">
            <v>131</v>
          </cell>
          <cell r="M477" t="str">
            <v>CTLG</v>
          </cell>
          <cell r="N477" t="str">
            <v/>
          </cell>
          <cell r="O477" t="str">
            <v/>
          </cell>
        </row>
        <row r="478">
          <cell r="A478">
            <v>44960</v>
          </cell>
          <cell r="B478">
            <v>44960</v>
          </cell>
          <cell r="C478" t="str">
            <v>DUOLOGI Rich creme conditioner</v>
          </cell>
          <cell r="D478">
            <v>10</v>
          </cell>
          <cell r="E478">
            <v>642</v>
          </cell>
          <cell r="F478">
            <v>800</v>
          </cell>
          <cell r="G478">
            <v>800</v>
          </cell>
          <cell r="H478">
            <v>1000</v>
          </cell>
          <cell r="I478">
            <v>1000</v>
          </cell>
          <cell r="J478" t="str">
            <v>NO</v>
          </cell>
          <cell r="K478">
            <v>0</v>
          </cell>
          <cell r="L478" t="str">
            <v>131</v>
          </cell>
          <cell r="M478" t="str">
            <v>CTLG</v>
          </cell>
          <cell r="N478" t="str">
            <v/>
          </cell>
          <cell r="O478" t="str">
            <v/>
          </cell>
        </row>
        <row r="479">
          <cell r="A479">
            <v>44961</v>
          </cell>
          <cell r="B479">
            <v>44961</v>
          </cell>
          <cell r="C479" t="str">
            <v>DUOLOGI Light creme conditioner</v>
          </cell>
          <cell r="D479">
            <v>6</v>
          </cell>
          <cell r="E479">
            <v>384</v>
          </cell>
          <cell r="F479">
            <v>800</v>
          </cell>
          <cell r="G479">
            <v>479</v>
          </cell>
          <cell r="H479">
            <v>1000</v>
          </cell>
          <cell r="I479">
            <v>599</v>
          </cell>
          <cell r="J479" t="str">
            <v>SD</v>
          </cell>
          <cell r="K479">
            <v>0.40100000000000002</v>
          </cell>
          <cell r="L479" t="str">
            <v>131</v>
          </cell>
          <cell r="M479" t="str">
            <v>CTLG</v>
          </cell>
          <cell r="N479" t="str">
            <v/>
          </cell>
          <cell r="O479" t="str">
            <v/>
          </cell>
        </row>
        <row r="480">
          <cell r="A480">
            <v>46576</v>
          </cell>
          <cell r="B480">
            <v>46576</v>
          </cell>
          <cell r="C480" t="str">
            <v>DUOLOGI Rich conditioner sachet</v>
          </cell>
          <cell r="D480">
            <v>0</v>
          </cell>
          <cell r="E480">
            <v>0</v>
          </cell>
          <cell r="F480">
            <v>35</v>
          </cell>
          <cell r="G480">
            <v>1</v>
          </cell>
          <cell r="H480">
            <v>35</v>
          </cell>
          <cell r="I480">
            <v>1</v>
          </cell>
          <cell r="J480" t="str">
            <v>GWP</v>
          </cell>
          <cell r="K480">
            <v>0.97142857142857197</v>
          </cell>
          <cell r="L480" t="str">
            <v>131</v>
          </cell>
          <cell r="M480" t="str">
            <v>CTLG</v>
          </cell>
          <cell r="N480" t="str">
            <v>SAM</v>
          </cell>
          <cell r="O480" t="str">
            <v>44960</v>
          </cell>
        </row>
        <row r="481">
          <cell r="A481">
            <v>46402</v>
          </cell>
          <cell r="B481">
            <v>46402</v>
          </cell>
          <cell r="C481" t="str">
            <v>StylerPRO Dual Ended Comb</v>
          </cell>
          <cell r="D481">
            <v>1</v>
          </cell>
          <cell r="E481">
            <v>48</v>
          </cell>
          <cell r="F481">
            <v>216</v>
          </cell>
          <cell r="G481">
            <v>119</v>
          </cell>
          <cell r="H481">
            <v>270</v>
          </cell>
          <cell r="I481">
            <v>149</v>
          </cell>
          <cell r="J481" t="str">
            <v>SD</v>
          </cell>
          <cell r="K481">
            <v>0.44814814814814802</v>
          </cell>
          <cell r="L481" t="str">
            <v>132</v>
          </cell>
          <cell r="M481" t="str">
            <v>CTLG</v>
          </cell>
          <cell r="N481" t="str">
            <v/>
          </cell>
          <cell r="O481" t="str">
            <v/>
          </cell>
        </row>
        <row r="482">
          <cell r="A482">
            <v>44964</v>
          </cell>
          <cell r="B482">
            <v>44964</v>
          </cell>
          <cell r="C482" t="str">
            <v>DUOLOGI Split Ends Hair Serum</v>
          </cell>
          <cell r="D482">
            <v>7</v>
          </cell>
          <cell r="E482">
            <v>480</v>
          </cell>
          <cell r="F482">
            <v>1000</v>
          </cell>
          <cell r="G482">
            <v>599</v>
          </cell>
          <cell r="H482">
            <v>1250</v>
          </cell>
          <cell r="I482">
            <v>749</v>
          </cell>
          <cell r="J482" t="str">
            <v>SD</v>
          </cell>
          <cell r="K482">
            <v>0.40079999999999999</v>
          </cell>
          <cell r="L482" t="str">
            <v>132</v>
          </cell>
          <cell r="M482" t="str">
            <v>CTLG</v>
          </cell>
          <cell r="N482" t="str">
            <v/>
          </cell>
          <cell r="O482" t="str">
            <v/>
          </cell>
        </row>
        <row r="483">
          <cell r="A483">
            <v>45438</v>
          </cell>
          <cell r="B483">
            <v>45438</v>
          </cell>
          <cell r="C483" t="str">
            <v>DUOLOGI heat protect spray</v>
          </cell>
          <cell r="D483">
            <v>12</v>
          </cell>
          <cell r="E483">
            <v>802</v>
          </cell>
          <cell r="F483">
            <v>1000</v>
          </cell>
          <cell r="G483">
            <v>1000</v>
          </cell>
          <cell r="H483">
            <v>1250</v>
          </cell>
          <cell r="I483">
            <v>1250</v>
          </cell>
          <cell r="J483" t="str">
            <v>NO</v>
          </cell>
          <cell r="K483">
            <v>0</v>
          </cell>
          <cell r="L483" t="str">
            <v>132</v>
          </cell>
          <cell r="M483" t="str">
            <v>CTLG</v>
          </cell>
          <cell r="N483" t="str">
            <v/>
          </cell>
          <cell r="O483" t="str">
            <v/>
          </cell>
        </row>
        <row r="484">
          <cell r="A484">
            <v>44963</v>
          </cell>
          <cell r="B484">
            <v>44963</v>
          </cell>
          <cell r="C484" t="str">
            <v>DUOLOGI Intense Repair Hair Mask</v>
          </cell>
          <cell r="D484">
            <v>13</v>
          </cell>
          <cell r="E484">
            <v>866</v>
          </cell>
          <cell r="F484">
            <v>1080</v>
          </cell>
          <cell r="G484">
            <v>1080</v>
          </cell>
          <cell r="H484">
            <v>1350</v>
          </cell>
          <cell r="I484">
            <v>1350</v>
          </cell>
          <cell r="J484" t="str">
            <v>NO</v>
          </cell>
          <cell r="K484">
            <v>0</v>
          </cell>
          <cell r="L484" t="str">
            <v>133</v>
          </cell>
          <cell r="M484" t="str">
            <v>CTLG</v>
          </cell>
          <cell r="N484" t="str">
            <v/>
          </cell>
          <cell r="O484" t="str">
            <v/>
          </cell>
        </row>
        <row r="485">
          <cell r="A485">
            <v>44965</v>
          </cell>
          <cell r="B485">
            <v>44965</v>
          </cell>
          <cell r="C485" t="str">
            <v>DUOLOGI Balancing Scalp tonic</v>
          </cell>
          <cell r="D485">
            <v>7</v>
          </cell>
          <cell r="E485">
            <v>480</v>
          </cell>
          <cell r="F485">
            <v>1000</v>
          </cell>
          <cell r="G485">
            <v>599</v>
          </cell>
          <cell r="H485">
            <v>1250</v>
          </cell>
          <cell r="I485">
            <v>749</v>
          </cell>
          <cell r="J485" t="str">
            <v>SD</v>
          </cell>
          <cell r="K485">
            <v>0.40079999999999999</v>
          </cell>
          <cell r="L485" t="str">
            <v>133</v>
          </cell>
          <cell r="M485" t="str">
            <v>CTLG</v>
          </cell>
          <cell r="N485" t="str">
            <v/>
          </cell>
          <cell r="O485" t="str">
            <v/>
          </cell>
        </row>
        <row r="486">
          <cell r="A486">
            <v>44967</v>
          </cell>
          <cell r="B486">
            <v>44967</v>
          </cell>
          <cell r="C486" t="str">
            <v>DUOLOGI Fall Resist Scalp Tonic</v>
          </cell>
          <cell r="D486">
            <v>12</v>
          </cell>
          <cell r="E486">
            <v>802</v>
          </cell>
          <cell r="F486">
            <v>1000</v>
          </cell>
          <cell r="G486">
            <v>1000</v>
          </cell>
          <cell r="H486">
            <v>1250</v>
          </cell>
          <cell r="I486">
            <v>1250</v>
          </cell>
          <cell r="J486" t="str">
            <v>NO</v>
          </cell>
          <cell r="K486">
            <v>0</v>
          </cell>
          <cell r="L486" t="str">
            <v>133</v>
          </cell>
          <cell r="M486" t="str">
            <v>CTLG</v>
          </cell>
          <cell r="N486" t="str">
            <v/>
          </cell>
          <cell r="O486" t="str">
            <v/>
          </cell>
        </row>
        <row r="487">
          <cell r="A487">
            <v>44990</v>
          </cell>
          <cell r="B487">
            <v>44990</v>
          </cell>
          <cell r="C487" t="str">
            <v>DUOLOGI Dual Leave-In Hair Cream</v>
          </cell>
          <cell r="D487">
            <v>4</v>
          </cell>
          <cell r="E487">
            <v>250</v>
          </cell>
          <cell r="F487">
            <v>312</v>
          </cell>
          <cell r="G487">
            <v>312</v>
          </cell>
          <cell r="H487">
            <v>390</v>
          </cell>
          <cell r="I487">
            <v>390</v>
          </cell>
          <cell r="J487" t="str">
            <v>NO</v>
          </cell>
          <cell r="K487">
            <v>0</v>
          </cell>
          <cell r="L487" t="str">
            <v>133</v>
          </cell>
          <cell r="M487" t="str">
            <v>CTLG</v>
          </cell>
          <cell r="N487" t="str">
            <v/>
          </cell>
          <cell r="O487" t="str">
            <v/>
          </cell>
        </row>
        <row r="488">
          <cell r="A488">
            <v>42495</v>
          </cell>
          <cell r="B488">
            <v>42495</v>
          </cell>
          <cell r="C488" t="str">
            <v>Amber Elixir Eau de Parfum</v>
          </cell>
          <cell r="D488">
            <v>23</v>
          </cell>
          <cell r="E488">
            <v>1475</v>
          </cell>
          <cell r="F488">
            <v>3040</v>
          </cell>
          <cell r="G488">
            <v>1839</v>
          </cell>
          <cell r="H488">
            <v>3800</v>
          </cell>
          <cell r="I488">
            <v>2299</v>
          </cell>
          <cell r="J488" t="str">
            <v>SET</v>
          </cell>
          <cell r="K488">
            <v>0.39500000000000002</v>
          </cell>
          <cell r="L488" t="str">
            <v>135</v>
          </cell>
          <cell r="M488" t="str">
            <v>CTLG</v>
          </cell>
          <cell r="N488" t="str">
            <v/>
          </cell>
          <cell r="O488" t="str">
            <v/>
          </cell>
        </row>
        <row r="489">
          <cell r="A489">
            <v>42504</v>
          </cell>
          <cell r="B489">
            <v>42504</v>
          </cell>
          <cell r="C489" t="str">
            <v>Amber Elixir Perfumed Body Cream</v>
          </cell>
          <cell r="D489">
            <v>7</v>
          </cell>
          <cell r="E489">
            <v>480</v>
          </cell>
          <cell r="F489">
            <v>920</v>
          </cell>
          <cell r="G489">
            <v>599</v>
          </cell>
          <cell r="H489">
            <v>1150</v>
          </cell>
          <cell r="I489">
            <v>749</v>
          </cell>
          <cell r="J489" t="str">
            <v>SET</v>
          </cell>
          <cell r="K489">
            <v>0.34869565217391302</v>
          </cell>
          <cell r="L489" t="str">
            <v>135</v>
          </cell>
          <cell r="M489" t="str">
            <v>CTLG</v>
          </cell>
          <cell r="N489" t="str">
            <v/>
          </cell>
          <cell r="O489" t="str">
            <v/>
          </cell>
        </row>
        <row r="490">
          <cell r="A490">
            <v>150549</v>
          </cell>
          <cell r="B490">
            <v>150549</v>
          </cell>
          <cell r="C490" t="str">
            <v>Buy (42495, 42504) at</v>
          </cell>
          <cell r="D490">
            <v>25</v>
          </cell>
          <cell r="E490">
            <v>1603</v>
          </cell>
          <cell r="F490">
            <v>3960</v>
          </cell>
          <cell r="G490">
            <v>1999</v>
          </cell>
          <cell r="H490">
            <v>4950</v>
          </cell>
          <cell r="I490">
            <v>2499</v>
          </cell>
          <cell r="K490">
            <v>0.49515151515151501</v>
          </cell>
          <cell r="L490" t="str">
            <v>135</v>
          </cell>
          <cell r="M490" t="str">
            <v>CTLG</v>
          </cell>
          <cell r="N490" t="str">
            <v/>
          </cell>
          <cell r="O490" t="str">
            <v/>
          </cell>
        </row>
        <row r="491">
          <cell r="A491">
            <v>44316</v>
          </cell>
          <cell r="B491">
            <v>44316</v>
          </cell>
          <cell r="C491" t="str">
            <v>Infinita My Sunshine EDP Vial</v>
          </cell>
          <cell r="D491">
            <v>0</v>
          </cell>
          <cell r="E491">
            <v>0</v>
          </cell>
          <cell r="F491">
            <v>35</v>
          </cell>
          <cell r="G491">
            <v>35</v>
          </cell>
          <cell r="H491">
            <v>35</v>
          </cell>
          <cell r="I491">
            <v>35</v>
          </cell>
          <cell r="J491" t="str">
            <v>NO</v>
          </cell>
          <cell r="K491">
            <v>0</v>
          </cell>
          <cell r="L491" t="str">
            <v>136</v>
          </cell>
          <cell r="M491" t="str">
            <v>CTLG</v>
          </cell>
          <cell r="N491" t="str">
            <v>SAM</v>
          </cell>
          <cell r="O491" t="str">
            <v>44315</v>
          </cell>
        </row>
        <row r="492">
          <cell r="A492">
            <v>44317</v>
          </cell>
          <cell r="B492">
            <v>44317</v>
          </cell>
          <cell r="C492" t="str">
            <v xml:space="preserve">So Fever Ecstatic Her EDP </v>
          </cell>
          <cell r="D492">
            <v>17</v>
          </cell>
          <cell r="E492">
            <v>1090</v>
          </cell>
          <cell r="F492">
            <v>2240</v>
          </cell>
          <cell r="G492">
            <v>1359</v>
          </cell>
          <cell r="H492">
            <v>2800</v>
          </cell>
          <cell r="I492">
            <v>1699</v>
          </cell>
          <cell r="J492" t="str">
            <v>SD</v>
          </cell>
          <cell r="K492">
            <v>0.39321428571428602</v>
          </cell>
          <cell r="L492" t="str">
            <v>136</v>
          </cell>
          <cell r="M492" t="str">
            <v>CTLG</v>
          </cell>
          <cell r="N492" t="str">
            <v/>
          </cell>
          <cell r="O492" t="str">
            <v/>
          </cell>
        </row>
        <row r="493">
          <cell r="A493">
            <v>37766</v>
          </cell>
          <cell r="B493">
            <v>37766</v>
          </cell>
          <cell r="C493" t="str">
            <v>Joyce Rose EDT</v>
          </cell>
          <cell r="D493">
            <v>14</v>
          </cell>
          <cell r="E493">
            <v>931</v>
          </cell>
          <cell r="F493">
            <v>1160</v>
          </cell>
          <cell r="G493">
            <v>1160</v>
          </cell>
          <cell r="H493">
            <v>1450</v>
          </cell>
          <cell r="I493">
            <v>1450</v>
          </cell>
          <cell r="J493" t="str">
            <v>NO</v>
          </cell>
          <cell r="K493">
            <v>0</v>
          </cell>
          <cell r="L493" t="str">
            <v>137</v>
          </cell>
          <cell r="M493" t="str">
            <v>CTLG</v>
          </cell>
          <cell r="N493" t="str">
            <v/>
          </cell>
          <cell r="O493" t="str">
            <v/>
          </cell>
        </row>
        <row r="494">
          <cell r="A494">
            <v>37772</v>
          </cell>
          <cell r="B494">
            <v>37772</v>
          </cell>
          <cell r="C494" t="str">
            <v>Joyce Jade EDT</v>
          </cell>
          <cell r="D494">
            <v>9</v>
          </cell>
          <cell r="E494">
            <v>557</v>
          </cell>
          <cell r="F494">
            <v>1160</v>
          </cell>
          <cell r="G494">
            <v>695</v>
          </cell>
          <cell r="H494">
            <v>1450</v>
          </cell>
          <cell r="I494">
            <v>869</v>
          </cell>
          <cell r="J494" t="str">
            <v>COB</v>
          </cell>
          <cell r="K494">
            <v>0.40068965517241401</v>
          </cell>
          <cell r="L494" t="str">
            <v>137</v>
          </cell>
          <cell r="M494" t="str">
            <v>CTLG</v>
          </cell>
          <cell r="N494" t="str">
            <v/>
          </cell>
          <cell r="O494" t="str">
            <v/>
          </cell>
        </row>
        <row r="495">
          <cell r="A495">
            <v>37772</v>
          </cell>
          <cell r="B495">
            <v>37772</v>
          </cell>
          <cell r="C495" t="str">
            <v>Joyce Jade EDT</v>
          </cell>
          <cell r="D495">
            <v>7</v>
          </cell>
          <cell r="E495">
            <v>468</v>
          </cell>
          <cell r="F495">
            <v>1160</v>
          </cell>
          <cell r="G495">
            <v>583</v>
          </cell>
          <cell r="H495">
            <v>1450</v>
          </cell>
          <cell r="I495">
            <v>729</v>
          </cell>
          <cell r="J495" t="str">
            <v>COB</v>
          </cell>
          <cell r="K495">
            <v>0.49724137931034501</v>
          </cell>
          <cell r="L495" t="str">
            <v>137</v>
          </cell>
          <cell r="M495" t="str">
            <v>CTLG</v>
          </cell>
          <cell r="N495" t="str">
            <v/>
          </cell>
          <cell r="O495" t="str">
            <v/>
          </cell>
        </row>
        <row r="496">
          <cell r="A496">
            <v>42508</v>
          </cell>
          <cell r="B496">
            <v>42508</v>
          </cell>
          <cell r="C496" t="str">
            <v>Joyce Turquoise EDT</v>
          </cell>
          <cell r="D496">
            <v>9</v>
          </cell>
          <cell r="E496">
            <v>557</v>
          </cell>
          <cell r="F496">
            <v>1160</v>
          </cell>
          <cell r="G496">
            <v>695</v>
          </cell>
          <cell r="H496">
            <v>1450</v>
          </cell>
          <cell r="I496">
            <v>869</v>
          </cell>
          <cell r="J496" t="str">
            <v>COB</v>
          </cell>
          <cell r="K496">
            <v>0.40068965517241401</v>
          </cell>
          <cell r="L496" t="str">
            <v>137</v>
          </cell>
          <cell r="M496" t="str">
            <v>CTLG</v>
          </cell>
          <cell r="N496" t="str">
            <v/>
          </cell>
          <cell r="O496" t="str">
            <v/>
          </cell>
        </row>
        <row r="497">
          <cell r="A497">
            <v>42508</v>
          </cell>
          <cell r="B497">
            <v>42508</v>
          </cell>
          <cell r="C497" t="str">
            <v>Joyce Turquoise EDT</v>
          </cell>
          <cell r="D497">
            <v>7</v>
          </cell>
          <cell r="E497">
            <v>468</v>
          </cell>
          <cell r="F497">
            <v>1160</v>
          </cell>
          <cell r="G497">
            <v>583</v>
          </cell>
          <cell r="H497">
            <v>1450</v>
          </cell>
          <cell r="I497">
            <v>729</v>
          </cell>
          <cell r="J497" t="str">
            <v>COB</v>
          </cell>
          <cell r="K497">
            <v>0.49724137931034501</v>
          </cell>
          <cell r="L497" t="str">
            <v>137</v>
          </cell>
          <cell r="M497" t="str">
            <v>CTLG</v>
          </cell>
          <cell r="N497" t="str">
            <v/>
          </cell>
          <cell r="O497" t="str">
            <v/>
          </cell>
        </row>
        <row r="498">
          <cell r="A498">
            <v>42514</v>
          </cell>
          <cell r="B498">
            <v>42514</v>
          </cell>
          <cell r="C498" t="str">
            <v>Volare EDP</v>
          </cell>
          <cell r="D498">
            <v>22</v>
          </cell>
          <cell r="E498">
            <v>1444</v>
          </cell>
          <cell r="F498">
            <v>1800</v>
          </cell>
          <cell r="G498">
            <v>1800</v>
          </cell>
          <cell r="H498">
            <v>2250</v>
          </cell>
          <cell r="I498">
            <v>2250</v>
          </cell>
          <cell r="J498" t="str">
            <v>NO</v>
          </cell>
          <cell r="K498">
            <v>0</v>
          </cell>
          <cell r="L498" t="str">
            <v>138</v>
          </cell>
          <cell r="M498" t="str">
            <v>CTLG</v>
          </cell>
          <cell r="N498" t="str">
            <v/>
          </cell>
          <cell r="O498" t="str">
            <v/>
          </cell>
        </row>
        <row r="499">
          <cell r="A499">
            <v>42785</v>
          </cell>
          <cell r="B499">
            <v>42785</v>
          </cell>
          <cell r="C499" t="str">
            <v>Lucia Eau de Toilette</v>
          </cell>
          <cell r="D499">
            <v>11</v>
          </cell>
          <cell r="E499">
            <v>705</v>
          </cell>
          <cell r="F499">
            <v>1800</v>
          </cell>
          <cell r="G499">
            <v>879</v>
          </cell>
          <cell r="H499">
            <v>2250</v>
          </cell>
          <cell r="I499">
            <v>1099</v>
          </cell>
          <cell r="J499" t="str">
            <v>SD</v>
          </cell>
          <cell r="K499">
            <v>0.51155555555555599</v>
          </cell>
          <cell r="L499" t="str">
            <v>138</v>
          </cell>
          <cell r="M499" t="str">
            <v>CTLG</v>
          </cell>
          <cell r="N499" t="str">
            <v/>
          </cell>
          <cell r="O499" t="str">
            <v/>
          </cell>
        </row>
        <row r="500">
          <cell r="A500">
            <v>46052</v>
          </cell>
          <cell r="B500">
            <v>46052</v>
          </cell>
          <cell r="C500" t="str">
            <v>Volare Tender EDP</v>
          </cell>
          <cell r="D500">
            <v>14</v>
          </cell>
          <cell r="E500">
            <v>898</v>
          </cell>
          <cell r="F500">
            <v>1800</v>
          </cell>
          <cell r="G500">
            <v>1119</v>
          </cell>
          <cell r="H500">
            <v>2250</v>
          </cell>
          <cell r="I500">
            <v>1399</v>
          </cell>
          <cell r="J500" t="str">
            <v>SD</v>
          </cell>
          <cell r="K500">
            <v>0.37822222222222202</v>
          </cell>
          <cell r="L500" t="str">
            <v>138</v>
          </cell>
          <cell r="M500" t="str">
            <v>CTLG</v>
          </cell>
          <cell r="N500" t="str">
            <v/>
          </cell>
          <cell r="O500" t="str">
            <v/>
          </cell>
        </row>
        <row r="501">
          <cell r="A501">
            <v>46648</v>
          </cell>
          <cell r="B501">
            <v>46648</v>
          </cell>
          <cell r="C501" t="str">
            <v>Nordic Waters Infinite Blue for Her</v>
          </cell>
          <cell r="D501">
            <v>17</v>
          </cell>
          <cell r="E501">
            <v>1090</v>
          </cell>
          <cell r="F501">
            <v>2640</v>
          </cell>
          <cell r="G501">
            <v>1359</v>
          </cell>
          <cell r="H501">
            <v>3300</v>
          </cell>
          <cell r="I501">
            <v>1699</v>
          </cell>
          <cell r="J501" t="str">
            <v>SD</v>
          </cell>
          <cell r="K501">
            <v>0.485151515151515</v>
          </cell>
          <cell r="L501" t="str">
            <v>139</v>
          </cell>
          <cell r="M501" t="str">
            <v>CTLG</v>
          </cell>
          <cell r="N501" t="str">
            <v/>
          </cell>
          <cell r="O501" t="str">
            <v/>
          </cell>
        </row>
        <row r="502">
          <cell r="A502">
            <v>38883</v>
          </cell>
          <cell r="B502">
            <v>38883</v>
          </cell>
          <cell r="C502" t="str">
            <v>TO Lip Spa Lip Balm - Pink</v>
          </cell>
          <cell r="D502">
            <v>6</v>
          </cell>
          <cell r="E502">
            <v>384</v>
          </cell>
          <cell r="F502">
            <v>680</v>
          </cell>
          <cell r="G502">
            <v>479</v>
          </cell>
          <cell r="H502">
            <v>850</v>
          </cell>
          <cell r="I502">
            <v>599</v>
          </cell>
          <cell r="J502" t="str">
            <v>GWP</v>
          </cell>
          <cell r="K502">
            <v>0.29529411764705898</v>
          </cell>
          <cell r="L502" t="str">
            <v>140</v>
          </cell>
          <cell r="M502" t="str">
            <v>CTLG</v>
          </cell>
          <cell r="N502" t="str">
            <v/>
          </cell>
          <cell r="O502" t="str">
            <v/>
          </cell>
        </row>
        <row r="503">
          <cell r="A503">
            <v>38884</v>
          </cell>
          <cell r="B503">
            <v>38884</v>
          </cell>
          <cell r="C503" t="str">
            <v>TO Lip Spa Lip Balm - Coral</v>
          </cell>
          <cell r="D503">
            <v>6</v>
          </cell>
          <cell r="E503">
            <v>384</v>
          </cell>
          <cell r="F503">
            <v>680</v>
          </cell>
          <cell r="G503">
            <v>479</v>
          </cell>
          <cell r="H503">
            <v>850</v>
          </cell>
          <cell r="I503">
            <v>599</v>
          </cell>
          <cell r="J503" t="str">
            <v>GWP</v>
          </cell>
          <cell r="K503">
            <v>0.29529411764705898</v>
          </cell>
          <cell r="L503" t="str">
            <v>140</v>
          </cell>
          <cell r="M503" t="str">
            <v>CTLG</v>
          </cell>
          <cell r="N503" t="str">
            <v/>
          </cell>
          <cell r="O503" t="str">
            <v/>
          </cell>
        </row>
        <row r="504">
          <cell r="A504">
            <v>38885</v>
          </cell>
          <cell r="B504">
            <v>38885</v>
          </cell>
          <cell r="C504" t="str">
            <v>TO Lip Spa Lip Balm - Raspberry</v>
          </cell>
          <cell r="D504">
            <v>6</v>
          </cell>
          <cell r="E504">
            <v>384</v>
          </cell>
          <cell r="F504">
            <v>680</v>
          </cell>
          <cell r="G504">
            <v>479</v>
          </cell>
          <cell r="H504">
            <v>850</v>
          </cell>
          <cell r="I504">
            <v>599</v>
          </cell>
          <cell r="J504" t="str">
            <v>GWP</v>
          </cell>
          <cell r="K504">
            <v>0.29529411764705898</v>
          </cell>
          <cell r="L504" t="str">
            <v>140</v>
          </cell>
          <cell r="M504" t="str">
            <v>CTLG</v>
          </cell>
          <cell r="N504" t="str">
            <v/>
          </cell>
          <cell r="O504" t="str">
            <v/>
          </cell>
        </row>
        <row r="505">
          <cell r="A505">
            <v>38883</v>
          </cell>
          <cell r="B505">
            <v>38883</v>
          </cell>
          <cell r="C505" t="str">
            <v>TO Lip Spa Lip Balm - Pink</v>
          </cell>
          <cell r="D505">
            <v>0</v>
          </cell>
          <cell r="E505">
            <v>0</v>
          </cell>
          <cell r="F505">
            <v>680</v>
          </cell>
          <cell r="G505">
            <v>1</v>
          </cell>
          <cell r="H505">
            <v>850</v>
          </cell>
          <cell r="I505">
            <v>1</v>
          </cell>
          <cell r="J505" t="str">
            <v>GWP</v>
          </cell>
          <cell r="K505">
            <v>0.998823529411765</v>
          </cell>
          <cell r="L505" t="str">
            <v>140</v>
          </cell>
          <cell r="M505" t="str">
            <v>CTLG</v>
          </cell>
          <cell r="N505" t="str">
            <v/>
          </cell>
          <cell r="O505" t="str">
            <v/>
          </cell>
        </row>
        <row r="506">
          <cell r="A506">
            <v>38884</v>
          </cell>
          <cell r="B506">
            <v>38884</v>
          </cell>
          <cell r="C506" t="str">
            <v>TO Lip Spa Lip Balm - Coral</v>
          </cell>
          <cell r="D506">
            <v>0</v>
          </cell>
          <cell r="E506">
            <v>0</v>
          </cell>
          <cell r="F506">
            <v>680</v>
          </cell>
          <cell r="G506">
            <v>1</v>
          </cell>
          <cell r="H506">
            <v>850</v>
          </cell>
          <cell r="I506">
            <v>1</v>
          </cell>
          <cell r="J506" t="str">
            <v>GWP</v>
          </cell>
          <cell r="K506">
            <v>0.998823529411765</v>
          </cell>
          <cell r="L506" t="str">
            <v>140</v>
          </cell>
          <cell r="M506" t="str">
            <v>CTLG</v>
          </cell>
          <cell r="N506" t="str">
            <v/>
          </cell>
          <cell r="O506" t="str">
            <v/>
          </cell>
        </row>
        <row r="507">
          <cell r="A507">
            <v>38885</v>
          </cell>
          <cell r="B507">
            <v>38885</v>
          </cell>
          <cell r="C507" t="str">
            <v>TO Lip Spa Lip Balm - Raspberry</v>
          </cell>
          <cell r="D507">
            <v>0</v>
          </cell>
          <cell r="E507">
            <v>0</v>
          </cell>
          <cell r="F507">
            <v>680</v>
          </cell>
          <cell r="G507">
            <v>1</v>
          </cell>
          <cell r="H507">
            <v>850</v>
          </cell>
          <cell r="I507">
            <v>1</v>
          </cell>
          <cell r="J507" t="str">
            <v>GWP</v>
          </cell>
          <cell r="K507">
            <v>0.998823529411765</v>
          </cell>
          <cell r="L507" t="str">
            <v>140</v>
          </cell>
          <cell r="M507" t="str">
            <v>CTLG</v>
          </cell>
          <cell r="N507" t="str">
            <v/>
          </cell>
          <cell r="O507" t="str">
            <v/>
          </cell>
        </row>
        <row r="508">
          <cell r="A508">
            <v>40809</v>
          </cell>
          <cell r="B508">
            <v>40809</v>
          </cell>
          <cell r="C508" t="str">
            <v>Whispers Of Me  EDP</v>
          </cell>
          <cell r="D508">
            <v>17</v>
          </cell>
          <cell r="E508">
            <v>1090</v>
          </cell>
          <cell r="F508">
            <v>2640</v>
          </cell>
          <cell r="G508">
            <v>1359</v>
          </cell>
          <cell r="H508">
            <v>3300</v>
          </cell>
          <cell r="I508">
            <v>1699</v>
          </cell>
          <cell r="J508" t="str">
            <v>SD</v>
          </cell>
          <cell r="K508">
            <v>0.485151515151515</v>
          </cell>
          <cell r="L508" t="str">
            <v>141</v>
          </cell>
          <cell r="M508" t="str">
            <v>CTLG</v>
          </cell>
          <cell r="N508" t="str">
            <v/>
          </cell>
          <cell r="O508" t="str">
            <v/>
          </cell>
        </row>
        <row r="509">
          <cell r="A509">
            <v>42751</v>
          </cell>
          <cell r="B509">
            <v>42751</v>
          </cell>
          <cell r="C509" t="str">
            <v>Love Potion EdP</v>
          </cell>
          <cell r="D509">
            <v>33</v>
          </cell>
          <cell r="E509">
            <v>2117</v>
          </cell>
          <cell r="F509">
            <v>2640</v>
          </cell>
          <cell r="G509">
            <v>2640</v>
          </cell>
          <cell r="H509">
            <v>3300</v>
          </cell>
          <cell r="I509">
            <v>3300</v>
          </cell>
          <cell r="J509" t="str">
            <v>NO</v>
          </cell>
          <cell r="K509">
            <v>0</v>
          </cell>
          <cell r="L509" t="str">
            <v>142</v>
          </cell>
          <cell r="M509" t="str">
            <v>CTLG</v>
          </cell>
          <cell r="N509" t="str">
            <v/>
          </cell>
          <cell r="O509" t="str">
            <v/>
          </cell>
        </row>
        <row r="510">
          <cell r="A510">
            <v>42815</v>
          </cell>
          <cell r="B510">
            <v>42815</v>
          </cell>
          <cell r="C510" t="str">
            <v>Love Potion Secrets EDP</v>
          </cell>
          <cell r="D510">
            <v>33</v>
          </cell>
          <cell r="E510">
            <v>2117</v>
          </cell>
          <cell r="F510">
            <v>2640</v>
          </cell>
          <cell r="G510">
            <v>2640</v>
          </cell>
          <cell r="H510">
            <v>3300</v>
          </cell>
          <cell r="I510">
            <v>3300</v>
          </cell>
          <cell r="J510" t="str">
            <v>NO</v>
          </cell>
          <cell r="K510">
            <v>0</v>
          </cell>
          <cell r="L510" t="str">
            <v>142</v>
          </cell>
          <cell r="M510" t="str">
            <v>CTLG</v>
          </cell>
          <cell r="N510" t="str">
            <v/>
          </cell>
          <cell r="O510" t="str">
            <v/>
          </cell>
        </row>
        <row r="511">
          <cell r="A511">
            <v>44300</v>
          </cell>
          <cell r="B511">
            <v>44300</v>
          </cell>
          <cell r="C511" t="str">
            <v>Love Potion Sensual Ruby EDP</v>
          </cell>
          <cell r="D511">
            <v>17</v>
          </cell>
          <cell r="E511">
            <v>1090</v>
          </cell>
          <cell r="F511">
            <v>2640</v>
          </cell>
          <cell r="G511">
            <v>1359</v>
          </cell>
          <cell r="H511">
            <v>3300</v>
          </cell>
          <cell r="I511">
            <v>1699</v>
          </cell>
          <cell r="J511" t="str">
            <v>SD</v>
          </cell>
          <cell r="K511">
            <v>0.485151515151515</v>
          </cell>
          <cell r="L511" t="str">
            <v>142</v>
          </cell>
          <cell r="M511" t="str">
            <v>CTLG</v>
          </cell>
          <cell r="N511" t="str">
            <v/>
          </cell>
          <cell r="O511" t="str">
            <v/>
          </cell>
        </row>
        <row r="512">
          <cell r="A512">
            <v>42741</v>
          </cell>
          <cell r="B512">
            <v>42741</v>
          </cell>
          <cell r="C512" t="str">
            <v>Magnetista Eau de Parfum</v>
          </cell>
          <cell r="D512">
            <v>28</v>
          </cell>
          <cell r="E512">
            <v>1797</v>
          </cell>
          <cell r="F512">
            <v>3440</v>
          </cell>
          <cell r="G512">
            <v>2240</v>
          </cell>
          <cell r="H512">
            <v>4300</v>
          </cell>
          <cell r="I512">
            <v>2800</v>
          </cell>
          <cell r="J512" t="str">
            <v>SD</v>
          </cell>
          <cell r="K512">
            <v>0.34883720930232598</v>
          </cell>
          <cell r="L512" t="str">
            <v>143</v>
          </cell>
          <cell r="M512" t="str">
            <v>CTLG</v>
          </cell>
          <cell r="N512" t="str">
            <v/>
          </cell>
          <cell r="O512" t="str">
            <v/>
          </cell>
        </row>
        <row r="513">
          <cell r="A513">
            <v>33654</v>
          </cell>
          <cell r="B513">
            <v>33654</v>
          </cell>
          <cell r="C513" t="str">
            <v>Mister Giordani Edt</v>
          </cell>
          <cell r="D513">
            <v>17</v>
          </cell>
          <cell r="E513">
            <v>1090</v>
          </cell>
          <cell r="F513">
            <v>2640</v>
          </cell>
          <cell r="G513">
            <v>1359</v>
          </cell>
          <cell r="H513">
            <v>3300</v>
          </cell>
          <cell r="I513">
            <v>1699</v>
          </cell>
          <cell r="J513" t="str">
            <v>SD</v>
          </cell>
          <cell r="K513">
            <v>0.485151515151515</v>
          </cell>
          <cell r="L513" t="str">
            <v>145</v>
          </cell>
          <cell r="M513" t="str">
            <v>CTLG</v>
          </cell>
          <cell r="N513" t="str">
            <v/>
          </cell>
          <cell r="O513" t="str">
            <v/>
          </cell>
        </row>
        <row r="514">
          <cell r="A514">
            <v>31825</v>
          </cell>
          <cell r="B514">
            <v>31825</v>
          </cell>
          <cell r="C514" t="str">
            <v>Possess Man Eau de Toilette</v>
          </cell>
          <cell r="D514">
            <v>28</v>
          </cell>
          <cell r="E514">
            <v>1797</v>
          </cell>
          <cell r="F514">
            <v>3440</v>
          </cell>
          <cell r="G514">
            <v>2240</v>
          </cell>
          <cell r="H514">
            <v>4300</v>
          </cell>
          <cell r="I514">
            <v>2800</v>
          </cell>
          <cell r="J514" t="str">
            <v>SD</v>
          </cell>
          <cell r="K514">
            <v>0.34883720930232598</v>
          </cell>
          <cell r="L514" t="str">
            <v>146</v>
          </cell>
          <cell r="M514" t="str">
            <v>CTLG</v>
          </cell>
          <cell r="N514" t="str">
            <v/>
          </cell>
          <cell r="O514" t="str">
            <v/>
          </cell>
        </row>
        <row r="515">
          <cell r="A515">
            <v>42462</v>
          </cell>
          <cell r="B515">
            <v>42462</v>
          </cell>
          <cell r="C515" t="str">
            <v>Debonair Gentlewoods EDT</v>
          </cell>
          <cell r="D515">
            <v>17</v>
          </cell>
          <cell r="E515">
            <v>1090</v>
          </cell>
          <cell r="F515">
            <v>2640</v>
          </cell>
          <cell r="G515">
            <v>1359</v>
          </cell>
          <cell r="H515">
            <v>3300</v>
          </cell>
          <cell r="I515">
            <v>1699</v>
          </cell>
          <cell r="J515" t="str">
            <v>SD</v>
          </cell>
          <cell r="K515">
            <v>0.485151515151515</v>
          </cell>
          <cell r="L515" t="str">
            <v>146</v>
          </cell>
          <cell r="M515" t="str">
            <v>CTLG</v>
          </cell>
          <cell r="N515" t="str">
            <v/>
          </cell>
          <cell r="O515" t="str">
            <v/>
          </cell>
        </row>
        <row r="516">
          <cell r="A516">
            <v>42739</v>
          </cell>
          <cell r="B516">
            <v>42739</v>
          </cell>
          <cell r="C516" t="str">
            <v>Glacier Fire Eau de Toilette</v>
          </cell>
          <cell r="D516">
            <v>10</v>
          </cell>
          <cell r="E516">
            <v>615</v>
          </cell>
          <cell r="F516">
            <v>1400</v>
          </cell>
          <cell r="G516">
            <v>767</v>
          </cell>
          <cell r="H516">
            <v>1750</v>
          </cell>
          <cell r="I516">
            <v>959</v>
          </cell>
          <cell r="J516" t="str">
            <v>SD</v>
          </cell>
          <cell r="K516">
            <v>0.45200000000000001</v>
          </cell>
          <cell r="L516" t="str">
            <v>146</v>
          </cell>
          <cell r="M516" t="str">
            <v>CTLG</v>
          </cell>
          <cell r="N516" t="str">
            <v/>
          </cell>
          <cell r="O516" t="str">
            <v/>
          </cell>
        </row>
        <row r="517">
          <cell r="A517">
            <v>29446</v>
          </cell>
          <cell r="B517">
            <v>29446</v>
          </cell>
          <cell r="C517" t="str">
            <v>NovAge Men SET</v>
          </cell>
          <cell r="D517">
            <v>85</v>
          </cell>
          <cell r="E517">
            <v>4555</v>
          </cell>
          <cell r="F517">
            <v>8160</v>
          </cell>
          <cell r="G517">
            <v>5679</v>
          </cell>
          <cell r="H517">
            <v>10200</v>
          </cell>
          <cell r="I517">
            <v>7099</v>
          </cell>
          <cell r="J517" t="str">
            <v>SD</v>
          </cell>
          <cell r="K517">
            <v>0.30401960784313697</v>
          </cell>
          <cell r="L517" t="str">
            <v>147</v>
          </cell>
          <cell r="M517" t="str">
            <v>CTLG</v>
          </cell>
          <cell r="N517" t="str">
            <v/>
          </cell>
          <cell r="O517" t="str">
            <v/>
          </cell>
        </row>
        <row r="518">
          <cell r="A518">
            <v>33198</v>
          </cell>
          <cell r="B518">
            <v>33198</v>
          </cell>
          <cell r="C518" t="str">
            <v>NovAge Men Exfoliating Cleanser</v>
          </cell>
          <cell r="D518">
            <v>15</v>
          </cell>
          <cell r="E518">
            <v>962</v>
          </cell>
          <cell r="F518">
            <v>1200</v>
          </cell>
          <cell r="G518">
            <v>1200</v>
          </cell>
          <cell r="H518">
            <v>1500</v>
          </cell>
          <cell r="I518">
            <v>1500</v>
          </cell>
          <cell r="J518" t="str">
            <v>NO</v>
          </cell>
          <cell r="K518">
            <v>0</v>
          </cell>
          <cell r="L518" t="str">
            <v>147</v>
          </cell>
          <cell r="M518" t="str">
            <v>CTLG</v>
          </cell>
          <cell r="N518" t="str">
            <v/>
          </cell>
          <cell r="O518" t="str">
            <v/>
          </cell>
        </row>
        <row r="519">
          <cell r="A519">
            <v>33199</v>
          </cell>
          <cell r="B519">
            <v>33199</v>
          </cell>
          <cell r="C519" t="str">
            <v>NovAge Men Eye Rescue Gel</v>
          </cell>
          <cell r="D519">
            <v>23</v>
          </cell>
          <cell r="E519">
            <v>1475</v>
          </cell>
          <cell r="F519">
            <v>1840</v>
          </cell>
          <cell r="G519">
            <v>1840</v>
          </cell>
          <cell r="H519">
            <v>2300</v>
          </cell>
          <cell r="I519">
            <v>2300</v>
          </cell>
          <cell r="J519" t="str">
            <v>NO</v>
          </cell>
          <cell r="K519">
            <v>0</v>
          </cell>
          <cell r="L519" t="str">
            <v>147</v>
          </cell>
          <cell r="M519" t="str">
            <v>CTLG</v>
          </cell>
          <cell r="N519" t="str">
            <v/>
          </cell>
          <cell r="O519" t="str">
            <v/>
          </cell>
        </row>
        <row r="520">
          <cell r="A520">
            <v>33200</v>
          </cell>
          <cell r="B520">
            <v>33200</v>
          </cell>
          <cell r="C520" t="str">
            <v>NovAge Men Energising &amp; Hydrating B</v>
          </cell>
          <cell r="D520">
            <v>37</v>
          </cell>
          <cell r="E520">
            <v>2374</v>
          </cell>
          <cell r="F520">
            <v>2960</v>
          </cell>
          <cell r="G520">
            <v>2960</v>
          </cell>
          <cell r="H520">
            <v>3700</v>
          </cell>
          <cell r="I520">
            <v>3700</v>
          </cell>
          <cell r="J520" t="str">
            <v>NO</v>
          </cell>
          <cell r="K520">
            <v>0</v>
          </cell>
          <cell r="L520" t="str">
            <v>147</v>
          </cell>
          <cell r="M520" t="str">
            <v>CTLG</v>
          </cell>
          <cell r="N520" t="str">
            <v/>
          </cell>
          <cell r="O520" t="str">
            <v/>
          </cell>
        </row>
        <row r="521">
          <cell r="A521">
            <v>33201</v>
          </cell>
          <cell r="B521">
            <v>33201</v>
          </cell>
          <cell r="C521" t="str">
            <v>NovAge Men Anti-Age Face Gel Lotion</v>
          </cell>
          <cell r="D521">
            <v>20</v>
          </cell>
          <cell r="E521">
            <v>1283</v>
          </cell>
          <cell r="F521">
            <v>2160</v>
          </cell>
          <cell r="G521">
            <v>1599</v>
          </cell>
          <cell r="H521">
            <v>2700</v>
          </cell>
          <cell r="I521">
            <v>1999</v>
          </cell>
          <cell r="J521" t="str">
            <v>SD</v>
          </cell>
          <cell r="K521">
            <v>0.25962962962962999</v>
          </cell>
          <cell r="L521" t="str">
            <v>147</v>
          </cell>
          <cell r="M521" t="str">
            <v>CTLG</v>
          </cell>
          <cell r="N521" t="str">
            <v/>
          </cell>
          <cell r="O521" t="str">
            <v/>
          </cell>
        </row>
        <row r="522">
          <cell r="A522">
            <v>46727</v>
          </cell>
          <cell r="B522">
            <v>46727</v>
          </cell>
          <cell r="C522" t="str">
            <v>NFM Sensitive Protect Toiletry Bag</v>
          </cell>
          <cell r="D522">
            <v>15</v>
          </cell>
          <cell r="E522">
            <v>481</v>
          </cell>
          <cell r="F522">
            <v>1199</v>
          </cell>
          <cell r="G522">
            <v>1199</v>
          </cell>
          <cell r="H522">
            <v>1499</v>
          </cell>
          <cell r="I522">
            <v>1499</v>
          </cell>
          <cell r="J522" t="str">
            <v>NO</v>
          </cell>
          <cell r="K522">
            <v>0</v>
          </cell>
          <cell r="L522" t="str">
            <v>148</v>
          </cell>
          <cell r="M522" t="str">
            <v>CTLG</v>
          </cell>
          <cell r="N522" t="str">
            <v/>
          </cell>
          <cell r="O522" t="str">
            <v/>
          </cell>
        </row>
        <row r="523">
          <cell r="A523">
            <v>34920</v>
          </cell>
          <cell r="B523">
            <v>34920</v>
          </cell>
          <cell r="C523" t="str">
            <v>NFM Power Hold &amp; Sleek Invisi Gel</v>
          </cell>
          <cell r="D523">
            <v>3</v>
          </cell>
          <cell r="E523">
            <v>224</v>
          </cell>
          <cell r="F523">
            <v>560</v>
          </cell>
          <cell r="G523">
            <v>279</v>
          </cell>
          <cell r="H523">
            <v>700</v>
          </cell>
          <cell r="I523">
            <v>349</v>
          </cell>
          <cell r="J523" t="str">
            <v>SD</v>
          </cell>
          <cell r="K523">
            <v>0.501428571428571</v>
          </cell>
          <cell r="L523" t="str">
            <v>148</v>
          </cell>
          <cell r="M523" t="str">
            <v>CTLG</v>
          </cell>
          <cell r="N523" t="str">
            <v/>
          </cell>
          <cell r="O523" t="str">
            <v/>
          </cell>
        </row>
        <row r="524">
          <cell r="A524">
            <v>44376</v>
          </cell>
          <cell r="B524">
            <v>44376</v>
          </cell>
          <cell r="C524" t="str">
            <v>North For Men Protect HBW</v>
          </cell>
          <cell r="D524">
            <v>4</v>
          </cell>
          <cell r="E524">
            <v>256</v>
          </cell>
          <cell r="F524">
            <v>640</v>
          </cell>
          <cell r="G524">
            <v>319</v>
          </cell>
          <cell r="H524">
            <v>800</v>
          </cell>
          <cell r="I524">
            <v>399</v>
          </cell>
          <cell r="J524" t="str">
            <v>SD</v>
          </cell>
          <cell r="K524">
            <v>0.50124999999999997</v>
          </cell>
          <cell r="L524" t="str">
            <v>148</v>
          </cell>
          <cell r="M524" t="str">
            <v>CTLG</v>
          </cell>
          <cell r="N524" t="str">
            <v/>
          </cell>
          <cell r="O524" t="str">
            <v/>
          </cell>
        </row>
        <row r="525">
          <cell r="A525">
            <v>44377</v>
          </cell>
          <cell r="B525">
            <v>44377</v>
          </cell>
          <cell r="C525" t="str">
            <v>North For Men Protect AP ROD</v>
          </cell>
          <cell r="D525">
            <v>2</v>
          </cell>
          <cell r="E525">
            <v>147</v>
          </cell>
          <cell r="F525">
            <v>400</v>
          </cell>
          <cell r="G525">
            <v>183</v>
          </cell>
          <cell r="H525">
            <v>500</v>
          </cell>
          <cell r="I525">
            <v>229</v>
          </cell>
          <cell r="J525" t="str">
            <v>SD</v>
          </cell>
          <cell r="K525">
            <v>0.54200000000000004</v>
          </cell>
          <cell r="L525" t="str">
            <v>148</v>
          </cell>
          <cell r="M525" t="str">
            <v>CTLG</v>
          </cell>
          <cell r="N525" t="str">
            <v/>
          </cell>
          <cell r="O525" t="str">
            <v/>
          </cell>
        </row>
        <row r="526">
          <cell r="A526">
            <v>44378</v>
          </cell>
          <cell r="B526">
            <v>44378</v>
          </cell>
          <cell r="C526" t="str">
            <v xml:space="preserve">North For Men Protect Shaving Gel </v>
          </cell>
          <cell r="D526">
            <v>4</v>
          </cell>
          <cell r="E526">
            <v>256</v>
          </cell>
          <cell r="F526">
            <v>640</v>
          </cell>
          <cell r="G526">
            <v>319</v>
          </cell>
          <cell r="H526">
            <v>800</v>
          </cell>
          <cell r="I526">
            <v>399</v>
          </cell>
          <cell r="J526" t="str">
            <v>SD</v>
          </cell>
          <cell r="K526">
            <v>0.50124999999999997</v>
          </cell>
          <cell r="L526" t="str">
            <v>148</v>
          </cell>
          <cell r="M526" t="str">
            <v>CTLG</v>
          </cell>
          <cell r="N526" t="str">
            <v/>
          </cell>
          <cell r="O526" t="str">
            <v/>
          </cell>
        </row>
        <row r="527">
          <cell r="A527">
            <v>44569</v>
          </cell>
          <cell r="B527">
            <v>44569</v>
          </cell>
          <cell r="C527" t="str">
            <v>NFM Active Carbon SB</v>
          </cell>
          <cell r="D527">
            <v>2</v>
          </cell>
          <cell r="E527">
            <v>109</v>
          </cell>
          <cell r="F527">
            <v>232</v>
          </cell>
          <cell r="G527">
            <v>135</v>
          </cell>
          <cell r="H527">
            <v>290</v>
          </cell>
          <cell r="I527">
            <v>169</v>
          </cell>
          <cell r="J527" t="str">
            <v>SET</v>
          </cell>
          <cell r="K527">
            <v>0.417241379310345</v>
          </cell>
          <cell r="L527" t="str">
            <v>149</v>
          </cell>
          <cell r="M527" t="str">
            <v>CTLG</v>
          </cell>
          <cell r="N527" t="str">
            <v/>
          </cell>
          <cell r="O527" t="str">
            <v/>
          </cell>
        </row>
        <row r="528">
          <cell r="A528">
            <v>44574</v>
          </cell>
          <cell r="B528">
            <v>44574</v>
          </cell>
          <cell r="C528" t="str">
            <v>NFM Active Carbon Shaving Foam</v>
          </cell>
          <cell r="D528">
            <v>4</v>
          </cell>
          <cell r="E528">
            <v>256</v>
          </cell>
          <cell r="F528">
            <v>640</v>
          </cell>
          <cell r="G528">
            <v>319</v>
          </cell>
          <cell r="H528">
            <v>800</v>
          </cell>
          <cell r="I528">
            <v>399</v>
          </cell>
          <cell r="J528" t="str">
            <v>SET</v>
          </cell>
          <cell r="K528">
            <v>0.50124999999999997</v>
          </cell>
          <cell r="L528" t="str">
            <v>149</v>
          </cell>
          <cell r="M528" t="str">
            <v>CTLG</v>
          </cell>
          <cell r="N528" t="str">
            <v/>
          </cell>
          <cell r="O528" t="str">
            <v/>
          </cell>
        </row>
        <row r="529">
          <cell r="A529">
            <v>44575</v>
          </cell>
          <cell r="B529">
            <v>44575</v>
          </cell>
          <cell r="C529" t="str">
            <v>NFM Active Carbon HBF Wash</v>
          </cell>
          <cell r="D529">
            <v>4</v>
          </cell>
          <cell r="E529">
            <v>256</v>
          </cell>
          <cell r="F529">
            <v>640</v>
          </cell>
          <cell r="G529">
            <v>319</v>
          </cell>
          <cell r="H529">
            <v>800</v>
          </cell>
          <cell r="I529">
            <v>399</v>
          </cell>
          <cell r="J529" t="str">
            <v>SET</v>
          </cell>
          <cell r="K529">
            <v>0.50124999999999997</v>
          </cell>
          <cell r="L529" t="str">
            <v>149</v>
          </cell>
          <cell r="M529" t="str">
            <v>CTLG</v>
          </cell>
          <cell r="N529" t="str">
            <v/>
          </cell>
          <cell r="O529" t="str">
            <v/>
          </cell>
        </row>
        <row r="530">
          <cell r="A530">
            <v>150550</v>
          </cell>
          <cell r="B530">
            <v>150550</v>
          </cell>
          <cell r="C530" t="str">
            <v>Buy (44569, 44574-44575) at</v>
          </cell>
          <cell r="D530">
            <v>8</v>
          </cell>
          <cell r="E530">
            <v>513</v>
          </cell>
          <cell r="F530">
            <v>1512</v>
          </cell>
          <cell r="G530">
            <v>639</v>
          </cell>
          <cell r="H530">
            <v>1890</v>
          </cell>
          <cell r="I530">
            <v>799</v>
          </cell>
          <cell r="K530">
            <v>0.57724867724867701</v>
          </cell>
          <cell r="L530" t="str">
            <v>149</v>
          </cell>
          <cell r="M530" t="str">
            <v>CTLG</v>
          </cell>
          <cell r="N530" t="str">
            <v/>
          </cell>
          <cell r="O530" t="str">
            <v/>
          </cell>
        </row>
        <row r="531">
          <cell r="A531">
            <v>34076</v>
          </cell>
          <cell r="B531">
            <v>34076</v>
          </cell>
          <cell r="C531" t="str">
            <v>Be The Legend AP ROD</v>
          </cell>
          <cell r="D531">
            <v>3</v>
          </cell>
          <cell r="E531">
            <v>205</v>
          </cell>
          <cell r="F531">
            <v>504</v>
          </cell>
          <cell r="G531">
            <v>255</v>
          </cell>
          <cell r="H531">
            <v>630</v>
          </cell>
          <cell r="I531">
            <v>319</v>
          </cell>
          <cell r="J531" t="str">
            <v>SD</v>
          </cell>
          <cell r="K531">
            <v>0.49365079365079401</v>
          </cell>
          <cell r="L531" t="str">
            <v>150</v>
          </cell>
          <cell r="M531" t="str">
            <v>CTLG</v>
          </cell>
          <cell r="N531" t="str">
            <v/>
          </cell>
          <cell r="O531" t="str">
            <v/>
          </cell>
        </row>
        <row r="532">
          <cell r="A532">
            <v>42204</v>
          </cell>
          <cell r="B532">
            <v>42204</v>
          </cell>
          <cell r="C532" t="str">
            <v>Giordani Gold Man APD ROD</v>
          </cell>
          <cell r="D532">
            <v>3</v>
          </cell>
          <cell r="E532">
            <v>205</v>
          </cell>
          <cell r="F532">
            <v>504</v>
          </cell>
          <cell r="G532">
            <v>255</v>
          </cell>
          <cell r="H532">
            <v>630</v>
          </cell>
          <cell r="I532">
            <v>319</v>
          </cell>
          <cell r="J532" t="str">
            <v>SD</v>
          </cell>
          <cell r="K532">
            <v>0.49365079365079401</v>
          </cell>
          <cell r="L532" t="str">
            <v>150</v>
          </cell>
          <cell r="M532" t="str">
            <v>CTLG</v>
          </cell>
          <cell r="N532" t="str">
            <v/>
          </cell>
          <cell r="O532" t="str">
            <v/>
          </cell>
        </row>
        <row r="533">
          <cell r="A533">
            <v>42524</v>
          </cell>
          <cell r="B533">
            <v>42524</v>
          </cell>
          <cell r="C533" t="str">
            <v>Mister Giordani Anti-perspirant ROD</v>
          </cell>
          <cell r="D533">
            <v>3</v>
          </cell>
          <cell r="E533">
            <v>205</v>
          </cell>
          <cell r="F533">
            <v>504</v>
          </cell>
          <cell r="G533">
            <v>255</v>
          </cell>
          <cell r="H533">
            <v>630</v>
          </cell>
          <cell r="I533">
            <v>319</v>
          </cell>
          <cell r="J533" t="str">
            <v>SD</v>
          </cell>
          <cell r="K533">
            <v>0.49365079365079401</v>
          </cell>
          <cell r="L533" t="str">
            <v>150</v>
          </cell>
          <cell r="M533" t="str">
            <v>CTLG</v>
          </cell>
          <cell r="N533" t="str">
            <v/>
          </cell>
          <cell r="O533" t="str">
            <v/>
          </cell>
        </row>
        <row r="534">
          <cell r="A534">
            <v>42542</v>
          </cell>
          <cell r="B534">
            <v>42542</v>
          </cell>
          <cell r="C534" t="str">
            <v>Glacier APD ROD</v>
          </cell>
          <cell r="D534">
            <v>3</v>
          </cell>
          <cell r="E534">
            <v>205</v>
          </cell>
          <cell r="F534">
            <v>504</v>
          </cell>
          <cell r="G534">
            <v>255</v>
          </cell>
          <cell r="H534">
            <v>630</v>
          </cell>
          <cell r="I534">
            <v>319</v>
          </cell>
          <cell r="J534" t="str">
            <v>SD</v>
          </cell>
          <cell r="K534">
            <v>0.49365079365079401</v>
          </cell>
          <cell r="L534" t="str">
            <v>150</v>
          </cell>
          <cell r="M534" t="str">
            <v>CTLG</v>
          </cell>
          <cell r="N534" t="str">
            <v/>
          </cell>
          <cell r="O534" t="str">
            <v/>
          </cell>
        </row>
        <row r="535">
          <cell r="A535">
            <v>34079</v>
          </cell>
          <cell r="B535">
            <v>34079</v>
          </cell>
          <cell r="C535" t="str">
            <v>Miss Giordani Perfumed ROD</v>
          </cell>
          <cell r="D535">
            <v>3</v>
          </cell>
          <cell r="E535">
            <v>205</v>
          </cell>
          <cell r="F535">
            <v>504</v>
          </cell>
          <cell r="G535">
            <v>255</v>
          </cell>
          <cell r="H535">
            <v>630</v>
          </cell>
          <cell r="I535">
            <v>319</v>
          </cell>
          <cell r="J535" t="str">
            <v>SD</v>
          </cell>
          <cell r="K535">
            <v>0.49365079365079401</v>
          </cell>
          <cell r="L535" t="str">
            <v>151</v>
          </cell>
          <cell r="M535" t="str">
            <v>CTLG</v>
          </cell>
          <cell r="N535" t="str">
            <v/>
          </cell>
          <cell r="O535" t="str">
            <v/>
          </cell>
        </row>
        <row r="536">
          <cell r="A536">
            <v>41542</v>
          </cell>
          <cell r="B536">
            <v>41542</v>
          </cell>
          <cell r="C536" t="str">
            <v xml:space="preserve">Divine Perfumed ROD </v>
          </cell>
          <cell r="D536">
            <v>3</v>
          </cell>
          <cell r="E536">
            <v>205</v>
          </cell>
          <cell r="F536">
            <v>504</v>
          </cell>
          <cell r="G536">
            <v>255</v>
          </cell>
          <cell r="H536">
            <v>630</v>
          </cell>
          <cell r="I536">
            <v>319</v>
          </cell>
          <cell r="J536" t="str">
            <v>SD</v>
          </cell>
          <cell r="K536">
            <v>0.49365079365079401</v>
          </cell>
          <cell r="L536" t="str">
            <v>151</v>
          </cell>
          <cell r="M536" t="str">
            <v>CTLG</v>
          </cell>
          <cell r="N536" t="str">
            <v/>
          </cell>
          <cell r="O536" t="str">
            <v/>
          </cell>
        </row>
        <row r="537">
          <cell r="A537">
            <v>43665</v>
          </cell>
          <cell r="B537">
            <v>43665</v>
          </cell>
          <cell r="C537" t="str">
            <v xml:space="preserve">GG Woman ROD </v>
          </cell>
          <cell r="D537">
            <v>3</v>
          </cell>
          <cell r="E537">
            <v>205</v>
          </cell>
          <cell r="F537">
            <v>504</v>
          </cell>
          <cell r="G537">
            <v>255</v>
          </cell>
          <cell r="H537">
            <v>630</v>
          </cell>
          <cell r="I537">
            <v>319</v>
          </cell>
          <cell r="J537" t="str">
            <v>SD</v>
          </cell>
          <cell r="K537">
            <v>0.49365079365079401</v>
          </cell>
          <cell r="L537" t="str">
            <v>151</v>
          </cell>
          <cell r="M537" t="str">
            <v>CTLG</v>
          </cell>
          <cell r="N537" t="str">
            <v/>
          </cell>
          <cell r="O537" t="str">
            <v/>
          </cell>
        </row>
        <row r="538">
          <cell r="A538">
            <v>44991</v>
          </cell>
          <cell r="B538">
            <v>44991</v>
          </cell>
          <cell r="C538" t="str">
            <v>Eclat Femme Weekend APD</v>
          </cell>
          <cell r="D538">
            <v>3</v>
          </cell>
          <cell r="E538">
            <v>205</v>
          </cell>
          <cell r="F538">
            <v>504</v>
          </cell>
          <cell r="G538">
            <v>255</v>
          </cell>
          <cell r="H538">
            <v>630</v>
          </cell>
          <cell r="I538">
            <v>319</v>
          </cell>
          <cell r="J538" t="str">
            <v>SD</v>
          </cell>
          <cell r="K538">
            <v>0.49365079365079401</v>
          </cell>
          <cell r="L538" t="str">
            <v>151</v>
          </cell>
          <cell r="M538" t="str">
            <v>CTLG</v>
          </cell>
          <cell r="N538" t="str">
            <v/>
          </cell>
          <cell r="O538" t="str">
            <v/>
          </cell>
        </row>
        <row r="539">
          <cell r="A539">
            <v>42835</v>
          </cell>
          <cell r="B539">
            <v>42835</v>
          </cell>
          <cell r="C539" t="str">
            <v>So Fever Together Her EDP</v>
          </cell>
          <cell r="D539">
            <v>15</v>
          </cell>
          <cell r="E539">
            <v>962</v>
          </cell>
          <cell r="F539">
            <v>2240</v>
          </cell>
          <cell r="G539">
            <v>1199</v>
          </cell>
          <cell r="H539">
            <v>2800</v>
          </cell>
          <cell r="I539">
            <v>1499</v>
          </cell>
          <cell r="J539" t="str">
            <v>SD</v>
          </cell>
          <cell r="K539">
            <v>0.46464285714285702</v>
          </cell>
          <cell r="L539" t="str">
            <v>152</v>
          </cell>
          <cell r="M539" t="str">
            <v>CTLG</v>
          </cell>
          <cell r="N539" t="str">
            <v/>
          </cell>
          <cell r="O539" t="str">
            <v/>
          </cell>
        </row>
        <row r="540">
          <cell r="A540">
            <v>44319</v>
          </cell>
          <cell r="B540">
            <v>44319</v>
          </cell>
          <cell r="C540" t="str">
            <v xml:space="preserve">So Fever Ecstatic Him EDT </v>
          </cell>
          <cell r="D540">
            <v>15</v>
          </cell>
          <cell r="E540">
            <v>962</v>
          </cell>
          <cell r="F540">
            <v>2240</v>
          </cell>
          <cell r="G540">
            <v>1199</v>
          </cell>
          <cell r="H540">
            <v>2800</v>
          </cell>
          <cell r="I540">
            <v>1499</v>
          </cell>
          <cell r="J540" t="str">
            <v>SD</v>
          </cell>
          <cell r="K540">
            <v>0.46464285714285702</v>
          </cell>
          <cell r="L540" t="str">
            <v>153</v>
          </cell>
          <cell r="M540" t="str">
            <v>CTLG</v>
          </cell>
          <cell r="N540" t="str">
            <v/>
          </cell>
          <cell r="O540" t="str">
            <v/>
          </cell>
        </row>
        <row r="541">
          <cell r="A541">
            <v>35651</v>
          </cell>
          <cell r="B541">
            <v>35651</v>
          </cell>
          <cell r="C541" t="str">
            <v>Eclat Toujours Eau de Toilette</v>
          </cell>
          <cell r="D541">
            <v>11</v>
          </cell>
          <cell r="E541">
            <v>705</v>
          </cell>
          <cell r="F541">
            <v>1800</v>
          </cell>
          <cell r="G541">
            <v>879</v>
          </cell>
          <cell r="H541">
            <v>2250</v>
          </cell>
          <cell r="I541">
            <v>1099</v>
          </cell>
          <cell r="J541" t="str">
            <v>SD</v>
          </cell>
          <cell r="K541">
            <v>0.51155555555555599</v>
          </cell>
          <cell r="L541" t="str">
            <v>154</v>
          </cell>
          <cell r="M541" t="str">
            <v>CTLG</v>
          </cell>
          <cell r="N541" t="str">
            <v/>
          </cell>
          <cell r="O541" t="str">
            <v/>
          </cell>
        </row>
        <row r="542">
          <cell r="A542">
            <v>42499</v>
          </cell>
          <cell r="B542">
            <v>42499</v>
          </cell>
          <cell r="C542" t="str">
            <v>Eclat Femme Weekend EDT</v>
          </cell>
          <cell r="D542">
            <v>20</v>
          </cell>
          <cell r="E542">
            <v>1283</v>
          </cell>
          <cell r="F542">
            <v>2640</v>
          </cell>
          <cell r="G542">
            <v>1599</v>
          </cell>
          <cell r="H542">
            <v>3300</v>
          </cell>
          <cell r="I542">
            <v>1999</v>
          </cell>
          <cell r="J542" t="str">
            <v>SET</v>
          </cell>
          <cell r="K542">
            <v>0.39424242424242401</v>
          </cell>
          <cell r="L542" t="str">
            <v>155</v>
          </cell>
          <cell r="M542" t="str">
            <v>CTLG</v>
          </cell>
          <cell r="N542" t="str">
            <v/>
          </cell>
          <cell r="O542" t="str">
            <v/>
          </cell>
        </row>
        <row r="543">
          <cell r="A543">
            <v>42885</v>
          </cell>
          <cell r="B543">
            <v>42885</v>
          </cell>
          <cell r="C543" t="str">
            <v>Eclat Femme Weekend Perfumed BC</v>
          </cell>
          <cell r="D543">
            <v>7</v>
          </cell>
          <cell r="E543">
            <v>480</v>
          </cell>
          <cell r="F543">
            <v>920</v>
          </cell>
          <cell r="G543">
            <v>599</v>
          </cell>
          <cell r="H543">
            <v>1150</v>
          </cell>
          <cell r="I543">
            <v>749</v>
          </cell>
          <cell r="J543" t="str">
            <v>SET</v>
          </cell>
          <cell r="K543">
            <v>0.34869565217391302</v>
          </cell>
          <cell r="L543" t="str">
            <v>155</v>
          </cell>
          <cell r="M543" t="str">
            <v>CTLG</v>
          </cell>
          <cell r="N543" t="str">
            <v/>
          </cell>
          <cell r="O543" t="str">
            <v/>
          </cell>
        </row>
        <row r="544">
          <cell r="A544">
            <v>150551</v>
          </cell>
          <cell r="B544">
            <v>150551</v>
          </cell>
          <cell r="C544" t="str">
            <v>Buy (42499, 42885) at</v>
          </cell>
          <cell r="D544">
            <v>22</v>
          </cell>
          <cell r="E544">
            <v>1411</v>
          </cell>
          <cell r="F544">
            <v>3560</v>
          </cell>
          <cell r="G544">
            <v>1759</v>
          </cell>
          <cell r="H544">
            <v>4450</v>
          </cell>
          <cell r="I544">
            <v>2199</v>
          </cell>
          <cell r="K544">
            <v>0.505842696629213</v>
          </cell>
          <cell r="L544" t="str">
            <v>155</v>
          </cell>
          <cell r="M544" t="str">
            <v>CTLG</v>
          </cell>
          <cell r="N544" t="str">
            <v/>
          </cell>
          <cell r="O544" t="str">
            <v/>
          </cell>
        </row>
        <row r="545">
          <cell r="A545">
            <v>43122</v>
          </cell>
          <cell r="B545">
            <v>43122</v>
          </cell>
          <cell r="C545" t="str">
            <v>Nordic Waters for her Eau de Parfum</v>
          </cell>
          <cell r="D545">
            <v>15</v>
          </cell>
          <cell r="E545">
            <v>962</v>
          </cell>
          <cell r="F545">
            <v>2640</v>
          </cell>
          <cell r="G545">
            <v>1199</v>
          </cell>
          <cell r="H545">
            <v>3300</v>
          </cell>
          <cell r="I545">
            <v>1499</v>
          </cell>
          <cell r="J545" t="str">
            <v>SD</v>
          </cell>
          <cell r="K545">
            <v>0.545757575757576</v>
          </cell>
          <cell r="L545" t="str">
            <v>156</v>
          </cell>
          <cell r="M545" t="str">
            <v>CTLG</v>
          </cell>
          <cell r="N545" t="str">
            <v/>
          </cell>
          <cell r="O545" t="str">
            <v/>
          </cell>
        </row>
        <row r="546">
          <cell r="A546">
            <v>38550</v>
          </cell>
          <cell r="B546">
            <v>38550</v>
          </cell>
          <cell r="C546" t="str">
            <v>Nordic Waters for him Eau de Parfum</v>
          </cell>
          <cell r="D546">
            <v>15</v>
          </cell>
          <cell r="E546">
            <v>962</v>
          </cell>
          <cell r="F546">
            <v>2640</v>
          </cell>
          <cell r="G546">
            <v>1199</v>
          </cell>
          <cell r="H546">
            <v>3300</v>
          </cell>
          <cell r="I546">
            <v>1499</v>
          </cell>
          <cell r="J546" t="str">
            <v>SD</v>
          </cell>
          <cell r="K546">
            <v>0.545757575757576</v>
          </cell>
          <cell r="L546" t="str">
            <v>157</v>
          </cell>
          <cell r="M546" t="str">
            <v>CTLG</v>
          </cell>
          <cell r="N546" t="str">
            <v/>
          </cell>
          <cell r="O546" t="str">
            <v/>
          </cell>
        </row>
        <row r="547">
          <cell r="A547">
            <v>42828</v>
          </cell>
          <cell r="B547">
            <v>42828</v>
          </cell>
          <cell r="C547" t="str">
            <v>Women's Collection DCBlossom Edt</v>
          </cell>
          <cell r="D547">
            <v>11</v>
          </cell>
          <cell r="E547">
            <v>705</v>
          </cell>
          <cell r="F547">
            <v>1400</v>
          </cell>
          <cell r="G547">
            <v>879</v>
          </cell>
          <cell r="H547">
            <v>1750</v>
          </cell>
          <cell r="I547">
            <v>1099</v>
          </cell>
          <cell r="J547" t="str">
            <v>COB</v>
          </cell>
          <cell r="K547">
            <v>0.372</v>
          </cell>
          <cell r="L547" t="str">
            <v>158</v>
          </cell>
          <cell r="M547" t="str">
            <v>CTLG</v>
          </cell>
          <cell r="N547" t="str">
            <v/>
          </cell>
          <cell r="O547" t="str">
            <v/>
          </cell>
        </row>
        <row r="548">
          <cell r="A548">
            <v>42828</v>
          </cell>
          <cell r="B548">
            <v>42828</v>
          </cell>
          <cell r="C548" t="str">
            <v>Women's Collection DCBlossom Edt</v>
          </cell>
          <cell r="D548">
            <v>10</v>
          </cell>
          <cell r="E548">
            <v>615</v>
          </cell>
          <cell r="F548">
            <v>1400</v>
          </cell>
          <cell r="G548">
            <v>767</v>
          </cell>
          <cell r="H548">
            <v>1750</v>
          </cell>
          <cell r="I548">
            <v>959</v>
          </cell>
          <cell r="J548" t="str">
            <v>COB</v>
          </cell>
          <cell r="K548">
            <v>0.45200000000000001</v>
          </cell>
          <cell r="L548" t="str">
            <v>158</v>
          </cell>
          <cell r="M548" t="str">
            <v>CTLG</v>
          </cell>
          <cell r="N548" t="str">
            <v/>
          </cell>
          <cell r="O548" t="str">
            <v/>
          </cell>
        </row>
        <row r="549">
          <cell r="A549">
            <v>30058</v>
          </cell>
          <cell r="B549">
            <v>30058</v>
          </cell>
          <cell r="C549" t="str">
            <v>Men's Collection Citrus Tonic EdT</v>
          </cell>
          <cell r="D549">
            <v>11</v>
          </cell>
          <cell r="E549">
            <v>705</v>
          </cell>
          <cell r="F549">
            <v>1400</v>
          </cell>
          <cell r="G549">
            <v>879</v>
          </cell>
          <cell r="H549">
            <v>1750</v>
          </cell>
          <cell r="I549">
            <v>1099</v>
          </cell>
          <cell r="J549" t="str">
            <v>COB</v>
          </cell>
          <cell r="K549">
            <v>0.372</v>
          </cell>
          <cell r="L549" t="str">
            <v>160</v>
          </cell>
          <cell r="M549" t="str">
            <v>CTLG</v>
          </cell>
          <cell r="N549" t="str">
            <v/>
          </cell>
          <cell r="O549" t="str">
            <v/>
          </cell>
        </row>
        <row r="550">
          <cell r="A550">
            <v>30058</v>
          </cell>
          <cell r="B550">
            <v>30058</v>
          </cell>
          <cell r="C550" t="str">
            <v>Men's Collection Citrus Tonic EdT</v>
          </cell>
          <cell r="D550">
            <v>10</v>
          </cell>
          <cell r="E550">
            <v>615</v>
          </cell>
          <cell r="F550">
            <v>1400</v>
          </cell>
          <cell r="G550">
            <v>767</v>
          </cell>
          <cell r="H550">
            <v>1750</v>
          </cell>
          <cell r="I550">
            <v>959</v>
          </cell>
          <cell r="J550" t="str">
            <v>COB</v>
          </cell>
          <cell r="K550">
            <v>0.45200000000000001</v>
          </cell>
          <cell r="L550" t="str">
            <v>160</v>
          </cell>
          <cell r="M550" t="str">
            <v>CTLG</v>
          </cell>
          <cell r="N550" t="str">
            <v/>
          </cell>
          <cell r="O550" t="str">
            <v/>
          </cell>
        </row>
        <row r="551">
          <cell r="A551">
            <v>42518</v>
          </cell>
          <cell r="B551">
            <v>42518</v>
          </cell>
          <cell r="C551" t="str">
            <v>Men's Collection Dark Wood EdT</v>
          </cell>
          <cell r="D551">
            <v>11</v>
          </cell>
          <cell r="E551">
            <v>705</v>
          </cell>
          <cell r="F551">
            <v>1400</v>
          </cell>
          <cell r="G551">
            <v>879</v>
          </cell>
          <cell r="H551">
            <v>1750</v>
          </cell>
          <cell r="I551">
            <v>1099</v>
          </cell>
          <cell r="J551" t="str">
            <v>COB</v>
          </cell>
          <cell r="K551">
            <v>0.372</v>
          </cell>
          <cell r="L551" t="str">
            <v>161</v>
          </cell>
          <cell r="M551" t="str">
            <v>CTLG</v>
          </cell>
          <cell r="N551" t="str">
            <v/>
          </cell>
          <cell r="O551" t="str">
            <v/>
          </cell>
        </row>
        <row r="552">
          <cell r="A552">
            <v>42518</v>
          </cell>
          <cell r="B552">
            <v>42518</v>
          </cell>
          <cell r="C552" t="str">
            <v>Men's Collection Dark Wood EdT</v>
          </cell>
          <cell r="D552">
            <v>10</v>
          </cell>
          <cell r="E552">
            <v>615</v>
          </cell>
          <cell r="F552">
            <v>1400</v>
          </cell>
          <cell r="G552">
            <v>767</v>
          </cell>
          <cell r="H552">
            <v>1750</v>
          </cell>
          <cell r="I552">
            <v>959</v>
          </cell>
          <cell r="J552" t="str">
            <v>COB</v>
          </cell>
          <cell r="K552">
            <v>0.45200000000000001</v>
          </cell>
          <cell r="L552" t="str">
            <v>161</v>
          </cell>
          <cell r="M552" t="str">
            <v>CTLG</v>
          </cell>
          <cell r="N552" t="str">
            <v/>
          </cell>
          <cell r="O552" t="str">
            <v/>
          </cell>
        </row>
        <row r="553">
          <cell r="A553">
            <v>46044</v>
          </cell>
          <cell r="B553">
            <v>46044</v>
          </cell>
          <cell r="C553" t="str">
            <v>Men's Collection Agave Power Edt</v>
          </cell>
          <cell r="D553">
            <v>15</v>
          </cell>
          <cell r="E553">
            <v>962</v>
          </cell>
          <cell r="F553">
            <v>1800</v>
          </cell>
          <cell r="G553">
            <v>1199</v>
          </cell>
          <cell r="H553">
            <v>2250</v>
          </cell>
          <cell r="I553">
            <v>1499</v>
          </cell>
          <cell r="J553" t="str">
            <v>COB</v>
          </cell>
          <cell r="K553">
            <v>0.33377777777777801</v>
          </cell>
          <cell r="L553" t="str">
            <v>163</v>
          </cell>
          <cell r="M553" t="str">
            <v>CTLG</v>
          </cell>
          <cell r="N553" t="str">
            <v/>
          </cell>
          <cell r="O553" t="str">
            <v/>
          </cell>
        </row>
        <row r="554">
          <cell r="A554">
            <v>46044</v>
          </cell>
          <cell r="B554">
            <v>46044</v>
          </cell>
          <cell r="C554" t="str">
            <v>Men's Collection Agave Power Edt</v>
          </cell>
          <cell r="D554">
            <v>11</v>
          </cell>
          <cell r="E554">
            <v>705</v>
          </cell>
          <cell r="F554">
            <v>1800</v>
          </cell>
          <cell r="G554">
            <v>879</v>
          </cell>
          <cell r="H554">
            <v>2250</v>
          </cell>
          <cell r="I554">
            <v>1099</v>
          </cell>
          <cell r="J554" t="str">
            <v>COB</v>
          </cell>
          <cell r="K554">
            <v>0.51155555555555599</v>
          </cell>
          <cell r="L554" t="str">
            <v>163</v>
          </cell>
          <cell r="M554" t="str">
            <v>CTLG</v>
          </cell>
          <cell r="N554" t="str">
            <v/>
          </cell>
          <cell r="O554" t="str">
            <v/>
          </cell>
        </row>
        <row r="555">
          <cell r="A555">
            <v>46043</v>
          </cell>
          <cell r="B555">
            <v>46043</v>
          </cell>
          <cell r="C555" t="str">
            <v>Women's Collection C. Violet Edt</v>
          </cell>
          <cell r="D555">
            <v>15</v>
          </cell>
          <cell r="E555">
            <v>962</v>
          </cell>
          <cell r="F555">
            <v>1800</v>
          </cell>
          <cell r="G555">
            <v>1199</v>
          </cell>
          <cell r="H555">
            <v>2250</v>
          </cell>
          <cell r="I555">
            <v>1499</v>
          </cell>
          <cell r="J555" t="str">
            <v>COB</v>
          </cell>
          <cell r="K555">
            <v>0.33377777777777801</v>
          </cell>
          <cell r="L555" t="str">
            <v>165</v>
          </cell>
          <cell r="M555" t="str">
            <v>CTLG</v>
          </cell>
          <cell r="N555" t="str">
            <v/>
          </cell>
          <cell r="O555" t="str">
            <v/>
          </cell>
        </row>
        <row r="556">
          <cell r="A556">
            <v>46043</v>
          </cell>
          <cell r="B556">
            <v>46043</v>
          </cell>
          <cell r="C556" t="str">
            <v>Women's Collection C. Violet Edt</v>
          </cell>
          <cell r="D556">
            <v>11</v>
          </cell>
          <cell r="E556">
            <v>705</v>
          </cell>
          <cell r="F556">
            <v>1800</v>
          </cell>
          <cell r="G556">
            <v>879</v>
          </cell>
          <cell r="H556">
            <v>2250</v>
          </cell>
          <cell r="I556">
            <v>1099</v>
          </cell>
          <cell r="J556" t="str">
            <v>COB</v>
          </cell>
          <cell r="K556">
            <v>0.51155555555555599</v>
          </cell>
          <cell r="L556" t="str">
            <v>165</v>
          </cell>
          <cell r="M556" t="str">
            <v>CTLG</v>
          </cell>
          <cell r="N556" t="str">
            <v/>
          </cell>
          <cell r="O556" t="str">
            <v/>
          </cell>
        </row>
        <row r="557">
          <cell r="A557">
            <v>33142</v>
          </cell>
          <cell r="B557">
            <v>33142</v>
          </cell>
          <cell r="C557" t="str">
            <v>Activelle Extreme APD Roll-On</v>
          </cell>
          <cell r="D557">
            <v>2</v>
          </cell>
          <cell r="E557">
            <v>141</v>
          </cell>
          <cell r="F557">
            <v>400</v>
          </cell>
          <cell r="G557">
            <v>175</v>
          </cell>
          <cell r="H557">
            <v>500</v>
          </cell>
          <cell r="I557">
            <v>219</v>
          </cell>
          <cell r="J557" t="str">
            <v>SD</v>
          </cell>
          <cell r="K557">
            <v>0.56200000000000006</v>
          </cell>
          <cell r="L557" t="str">
            <v>166</v>
          </cell>
          <cell r="M557" t="str">
            <v>CTLG</v>
          </cell>
          <cell r="N557" t="str">
            <v/>
          </cell>
          <cell r="O557" t="str">
            <v/>
          </cell>
        </row>
        <row r="558">
          <cell r="A558">
            <v>33144</v>
          </cell>
          <cell r="B558">
            <v>33144</v>
          </cell>
          <cell r="C558" t="str">
            <v>Activelle Comfort APD Spray</v>
          </cell>
          <cell r="D558">
            <v>3</v>
          </cell>
          <cell r="E558">
            <v>192</v>
          </cell>
          <cell r="F558">
            <v>504</v>
          </cell>
          <cell r="G558">
            <v>239</v>
          </cell>
          <cell r="H558">
            <v>630</v>
          </cell>
          <cell r="I558">
            <v>299</v>
          </cell>
          <cell r="J558" t="str">
            <v>SD</v>
          </cell>
          <cell r="K558">
            <v>0.52539682539682497</v>
          </cell>
          <cell r="L558" t="str">
            <v>166</v>
          </cell>
          <cell r="M558" t="str">
            <v>CTLG</v>
          </cell>
          <cell r="N558" t="str">
            <v/>
          </cell>
          <cell r="O558" t="str">
            <v/>
          </cell>
        </row>
        <row r="559">
          <cell r="A559">
            <v>41303</v>
          </cell>
          <cell r="B559">
            <v>41303</v>
          </cell>
          <cell r="C559" t="str">
            <v>Activelle Invisible Fresh APD RO</v>
          </cell>
          <cell r="D559">
            <v>2</v>
          </cell>
          <cell r="E559">
            <v>141</v>
          </cell>
          <cell r="F559">
            <v>400</v>
          </cell>
          <cell r="G559">
            <v>175</v>
          </cell>
          <cell r="H559">
            <v>500</v>
          </cell>
          <cell r="I559">
            <v>219</v>
          </cell>
          <cell r="J559" t="str">
            <v>SD</v>
          </cell>
          <cell r="K559">
            <v>0.56200000000000006</v>
          </cell>
          <cell r="L559" t="str">
            <v>166</v>
          </cell>
          <cell r="M559" t="str">
            <v>CTLG</v>
          </cell>
          <cell r="N559" t="str">
            <v/>
          </cell>
          <cell r="O559" t="str">
            <v/>
          </cell>
        </row>
        <row r="560">
          <cell r="A560">
            <v>41311</v>
          </cell>
          <cell r="B560">
            <v>41311</v>
          </cell>
          <cell r="C560" t="str">
            <v>Activelle Invisible Fresh APD spray</v>
          </cell>
          <cell r="D560">
            <v>3</v>
          </cell>
          <cell r="E560">
            <v>192</v>
          </cell>
          <cell r="F560">
            <v>504</v>
          </cell>
          <cell r="G560">
            <v>239</v>
          </cell>
          <cell r="H560">
            <v>630</v>
          </cell>
          <cell r="I560">
            <v>299</v>
          </cell>
          <cell r="J560" t="str">
            <v>SD</v>
          </cell>
          <cell r="K560">
            <v>0.52539682539682497</v>
          </cell>
          <cell r="L560" t="str">
            <v>166</v>
          </cell>
          <cell r="M560" t="str">
            <v>CTLG</v>
          </cell>
          <cell r="N560" t="str">
            <v/>
          </cell>
          <cell r="O560" t="str">
            <v/>
          </cell>
        </row>
        <row r="561">
          <cell r="A561">
            <v>46810</v>
          </cell>
          <cell r="B561">
            <v>46810</v>
          </cell>
          <cell r="C561" t="str">
            <v>Novage+ Personal Anti-AgeingRoutine</v>
          </cell>
          <cell r="D561">
            <v>120</v>
          </cell>
          <cell r="E561">
            <v>6416</v>
          </cell>
          <cell r="F561">
            <v>11440</v>
          </cell>
          <cell r="G561">
            <v>7999</v>
          </cell>
          <cell r="H561">
            <v>14300</v>
          </cell>
          <cell r="I561">
            <v>9999</v>
          </cell>
          <cell r="J561" t="str">
            <v>SD</v>
          </cell>
          <cell r="K561">
            <v>0.30076923076923101</v>
          </cell>
          <cell r="L561" t="str">
            <v>2</v>
          </cell>
          <cell r="M561" t="str">
            <v>CTLG</v>
          </cell>
          <cell r="N561" t="str">
            <v/>
          </cell>
          <cell r="O561" t="str">
            <v/>
          </cell>
        </row>
        <row r="562">
          <cell r="A562">
            <v>46811</v>
          </cell>
          <cell r="B562">
            <v>46811</v>
          </cell>
          <cell r="C562" t="str">
            <v>Novage+ Personal Anti-AgeingRoutine</v>
          </cell>
          <cell r="D562">
            <v>120</v>
          </cell>
          <cell r="E562">
            <v>6416</v>
          </cell>
          <cell r="F562">
            <v>11440</v>
          </cell>
          <cell r="G562">
            <v>7999</v>
          </cell>
          <cell r="H562">
            <v>14300</v>
          </cell>
          <cell r="I562">
            <v>9999</v>
          </cell>
          <cell r="J562" t="str">
            <v>SD</v>
          </cell>
          <cell r="K562">
            <v>0.30076923076923101</v>
          </cell>
          <cell r="L562" t="str">
            <v>2</v>
          </cell>
          <cell r="M562" t="str">
            <v>CTLG</v>
          </cell>
          <cell r="N562" t="str">
            <v/>
          </cell>
          <cell r="O562" t="str">
            <v/>
          </cell>
        </row>
        <row r="563">
          <cell r="A563">
            <v>46812</v>
          </cell>
          <cell r="B563">
            <v>46812</v>
          </cell>
          <cell r="C563" t="str">
            <v>Novage+ Personal Anti-AgeingRoutine</v>
          </cell>
          <cell r="D563">
            <v>120</v>
          </cell>
          <cell r="E563">
            <v>6416</v>
          </cell>
          <cell r="F563">
            <v>11440</v>
          </cell>
          <cell r="G563">
            <v>7999</v>
          </cell>
          <cell r="H563">
            <v>14300</v>
          </cell>
          <cell r="I563">
            <v>9999</v>
          </cell>
          <cell r="J563" t="str">
            <v>SD</v>
          </cell>
          <cell r="K563">
            <v>0.30076923076923101</v>
          </cell>
          <cell r="L563" t="str">
            <v>2</v>
          </cell>
          <cell r="M563" t="str">
            <v>CTLG</v>
          </cell>
          <cell r="N563" t="str">
            <v/>
          </cell>
          <cell r="O563" t="str">
            <v/>
          </cell>
        </row>
        <row r="564">
          <cell r="A564">
            <v>46813</v>
          </cell>
          <cell r="B564">
            <v>46813</v>
          </cell>
          <cell r="C564" t="str">
            <v>Novage+ Personal Anti-AgeingRoutine</v>
          </cell>
          <cell r="D564">
            <v>120</v>
          </cell>
          <cell r="E564">
            <v>6416</v>
          </cell>
          <cell r="F564">
            <v>11440</v>
          </cell>
          <cell r="G564">
            <v>7999</v>
          </cell>
          <cell r="H564">
            <v>14300</v>
          </cell>
          <cell r="I564">
            <v>9999</v>
          </cell>
          <cell r="J564" t="str">
            <v>SD</v>
          </cell>
          <cell r="K564">
            <v>0.30076923076923101</v>
          </cell>
          <cell r="L564" t="str">
            <v>2</v>
          </cell>
          <cell r="M564" t="str">
            <v>CTLG</v>
          </cell>
          <cell r="N564" t="str">
            <v/>
          </cell>
          <cell r="O564" t="str">
            <v/>
          </cell>
        </row>
        <row r="565">
          <cell r="A565">
            <v>46814</v>
          </cell>
          <cell r="B565">
            <v>46814</v>
          </cell>
          <cell r="C565" t="str">
            <v>Novage+ Personal Anti-AgeingRoutine</v>
          </cell>
          <cell r="D565">
            <v>120</v>
          </cell>
          <cell r="E565">
            <v>6416</v>
          </cell>
          <cell r="F565">
            <v>11440</v>
          </cell>
          <cell r="G565">
            <v>7999</v>
          </cell>
          <cell r="H565">
            <v>14300</v>
          </cell>
          <cell r="I565">
            <v>9999</v>
          </cell>
          <cell r="J565" t="str">
            <v>SD</v>
          </cell>
          <cell r="K565">
            <v>0.30076923076923101</v>
          </cell>
          <cell r="L565" t="str">
            <v>2</v>
          </cell>
          <cell r="M565" t="str">
            <v>CTLG</v>
          </cell>
          <cell r="N565" t="str">
            <v/>
          </cell>
          <cell r="O565" t="str">
            <v/>
          </cell>
        </row>
        <row r="566">
          <cell r="A566">
            <v>46815</v>
          </cell>
          <cell r="B566">
            <v>46815</v>
          </cell>
          <cell r="C566" t="str">
            <v>Novage+ Personal Anti-AgeingRoutine</v>
          </cell>
          <cell r="D566">
            <v>120</v>
          </cell>
          <cell r="E566">
            <v>6416</v>
          </cell>
          <cell r="F566">
            <v>11440</v>
          </cell>
          <cell r="G566">
            <v>7999</v>
          </cell>
          <cell r="H566">
            <v>14300</v>
          </cell>
          <cell r="I566">
            <v>9999</v>
          </cell>
          <cell r="J566" t="str">
            <v>SD</v>
          </cell>
          <cell r="K566">
            <v>0.30076923076923101</v>
          </cell>
          <cell r="L566" t="str">
            <v>2</v>
          </cell>
          <cell r="M566" t="str">
            <v>CTLG</v>
          </cell>
          <cell r="N566" t="str">
            <v/>
          </cell>
          <cell r="O566" t="str">
            <v/>
          </cell>
        </row>
        <row r="567">
          <cell r="A567">
            <v>46816</v>
          </cell>
          <cell r="B567">
            <v>46816</v>
          </cell>
          <cell r="C567" t="str">
            <v>Novage+ Personal Anti-AgeingRoutine</v>
          </cell>
          <cell r="D567">
            <v>120</v>
          </cell>
          <cell r="E567">
            <v>6416</v>
          </cell>
          <cell r="F567">
            <v>11440</v>
          </cell>
          <cell r="G567">
            <v>7999</v>
          </cell>
          <cell r="H567">
            <v>14300</v>
          </cell>
          <cell r="I567">
            <v>9999</v>
          </cell>
          <cell r="J567" t="str">
            <v>SD</v>
          </cell>
          <cell r="K567">
            <v>0.30076923076923101</v>
          </cell>
          <cell r="L567" t="str">
            <v>2</v>
          </cell>
          <cell r="M567" t="str">
            <v>CTLG</v>
          </cell>
          <cell r="N567" t="str">
            <v/>
          </cell>
          <cell r="O567" t="str">
            <v/>
          </cell>
        </row>
        <row r="568">
          <cell r="A568">
            <v>46817</v>
          </cell>
          <cell r="B568">
            <v>46817</v>
          </cell>
          <cell r="C568" t="str">
            <v>Novage+ Personal Anti-AgeingRoutine</v>
          </cell>
          <cell r="D568">
            <v>120</v>
          </cell>
          <cell r="E568">
            <v>6416</v>
          </cell>
          <cell r="F568">
            <v>11440</v>
          </cell>
          <cell r="G568">
            <v>7999</v>
          </cell>
          <cell r="H568">
            <v>14300</v>
          </cell>
          <cell r="I568">
            <v>9999</v>
          </cell>
          <cell r="J568" t="str">
            <v>SD</v>
          </cell>
          <cell r="K568">
            <v>0.30076923076923101</v>
          </cell>
          <cell r="L568" t="str">
            <v>2</v>
          </cell>
          <cell r="M568" t="str">
            <v>CTLG</v>
          </cell>
          <cell r="N568" t="str">
            <v/>
          </cell>
          <cell r="O568" t="str">
            <v/>
          </cell>
        </row>
        <row r="569">
          <cell r="A569">
            <v>46818</v>
          </cell>
          <cell r="B569">
            <v>46818</v>
          </cell>
          <cell r="C569" t="str">
            <v>Novage+ Personal Anti-AgeingRoutine</v>
          </cell>
          <cell r="D569">
            <v>120</v>
          </cell>
          <cell r="E569">
            <v>6416</v>
          </cell>
          <cell r="F569">
            <v>11440</v>
          </cell>
          <cell r="G569">
            <v>7999</v>
          </cell>
          <cell r="H569">
            <v>14300</v>
          </cell>
          <cell r="I569">
            <v>9999</v>
          </cell>
          <cell r="J569" t="str">
            <v>SD</v>
          </cell>
          <cell r="K569">
            <v>0.30076923076923101</v>
          </cell>
          <cell r="L569" t="str">
            <v>2</v>
          </cell>
          <cell r="M569" t="str">
            <v>CTLG</v>
          </cell>
          <cell r="N569" t="str">
            <v/>
          </cell>
          <cell r="O569" t="str">
            <v/>
          </cell>
        </row>
        <row r="570">
          <cell r="A570">
            <v>46819</v>
          </cell>
          <cell r="B570">
            <v>46819</v>
          </cell>
          <cell r="C570" t="str">
            <v>Novage+ Personal Anti-AgeingRoutine</v>
          </cell>
          <cell r="D570">
            <v>120</v>
          </cell>
          <cell r="E570">
            <v>6416</v>
          </cell>
          <cell r="F570">
            <v>11440</v>
          </cell>
          <cell r="G570">
            <v>7999</v>
          </cell>
          <cell r="H570">
            <v>14300</v>
          </cell>
          <cell r="I570">
            <v>9999</v>
          </cell>
          <cell r="J570" t="str">
            <v>SD</v>
          </cell>
          <cell r="K570">
            <v>0.30076923076923101</v>
          </cell>
          <cell r="L570" t="str">
            <v>2</v>
          </cell>
          <cell r="M570" t="str">
            <v>CTLG</v>
          </cell>
          <cell r="N570" t="str">
            <v/>
          </cell>
          <cell r="O570" t="str">
            <v/>
          </cell>
        </row>
        <row r="571">
          <cell r="A571">
            <v>46820</v>
          </cell>
          <cell r="B571">
            <v>46820</v>
          </cell>
          <cell r="C571" t="str">
            <v>Novage+ Personal Anti-AgeingRoutine</v>
          </cell>
          <cell r="D571">
            <v>120</v>
          </cell>
          <cell r="E571">
            <v>6416</v>
          </cell>
          <cell r="F571">
            <v>11440</v>
          </cell>
          <cell r="G571">
            <v>7999</v>
          </cell>
          <cell r="H571">
            <v>14300</v>
          </cell>
          <cell r="I571">
            <v>9999</v>
          </cell>
          <cell r="J571" t="str">
            <v>SD</v>
          </cell>
          <cell r="K571">
            <v>0.30076923076923101</v>
          </cell>
          <cell r="L571" t="str">
            <v>2</v>
          </cell>
          <cell r="M571" t="str">
            <v>CTLG</v>
          </cell>
          <cell r="N571" t="str">
            <v/>
          </cell>
          <cell r="O571" t="str">
            <v/>
          </cell>
        </row>
        <row r="572">
          <cell r="A572">
            <v>46821</v>
          </cell>
          <cell r="B572">
            <v>46821</v>
          </cell>
          <cell r="C572" t="str">
            <v>Novage+ Personal Anti-AgeingRoutine</v>
          </cell>
          <cell r="D572">
            <v>120</v>
          </cell>
          <cell r="E572">
            <v>6416</v>
          </cell>
          <cell r="F572">
            <v>11440</v>
          </cell>
          <cell r="G572">
            <v>7999</v>
          </cell>
          <cell r="H572">
            <v>14300</v>
          </cell>
          <cell r="I572">
            <v>9999</v>
          </cell>
          <cell r="J572" t="str">
            <v>SD</v>
          </cell>
          <cell r="K572">
            <v>0.30076923076923101</v>
          </cell>
          <cell r="L572" t="str">
            <v>2</v>
          </cell>
          <cell r="M572" t="str">
            <v>CTLG</v>
          </cell>
          <cell r="N572" t="str">
            <v/>
          </cell>
          <cell r="O572" t="str">
            <v/>
          </cell>
        </row>
        <row r="573">
          <cell r="A573">
            <v>46822</v>
          </cell>
          <cell r="B573">
            <v>46822</v>
          </cell>
          <cell r="C573" t="str">
            <v>Novage+ Personal Anti-AgeingRoutine</v>
          </cell>
          <cell r="D573">
            <v>120</v>
          </cell>
          <cell r="E573">
            <v>6416</v>
          </cell>
          <cell r="F573">
            <v>11440</v>
          </cell>
          <cell r="G573">
            <v>7999</v>
          </cell>
          <cell r="H573">
            <v>14300</v>
          </cell>
          <cell r="I573">
            <v>9999</v>
          </cell>
          <cell r="J573" t="str">
            <v>SD</v>
          </cell>
          <cell r="K573">
            <v>0.30076923076923101</v>
          </cell>
          <cell r="L573" t="str">
            <v>2</v>
          </cell>
          <cell r="M573" t="str">
            <v>CTLG</v>
          </cell>
          <cell r="N573" t="str">
            <v/>
          </cell>
          <cell r="O573" t="str">
            <v/>
          </cell>
        </row>
        <row r="574">
          <cell r="A574">
            <v>46823</v>
          </cell>
          <cell r="B574">
            <v>46823</v>
          </cell>
          <cell r="C574" t="str">
            <v>Novage+ Personal Anti-AgeingRoutine</v>
          </cell>
          <cell r="D574">
            <v>120</v>
          </cell>
          <cell r="E574">
            <v>6416</v>
          </cell>
          <cell r="F574">
            <v>11440</v>
          </cell>
          <cell r="G574">
            <v>7999</v>
          </cell>
          <cell r="H574">
            <v>14300</v>
          </cell>
          <cell r="I574">
            <v>9999</v>
          </cell>
          <cell r="J574" t="str">
            <v>SD</v>
          </cell>
          <cell r="K574">
            <v>0.30076923076923101</v>
          </cell>
          <cell r="L574" t="str">
            <v>2</v>
          </cell>
          <cell r="M574" t="str">
            <v>CTLG</v>
          </cell>
          <cell r="N574" t="str">
            <v/>
          </cell>
          <cell r="O574" t="str">
            <v/>
          </cell>
        </row>
        <row r="575">
          <cell r="A575">
            <v>46824</v>
          </cell>
          <cell r="B575">
            <v>46824</v>
          </cell>
          <cell r="C575" t="str">
            <v>Novage+ Personal Anti-AgeingRoutine</v>
          </cell>
          <cell r="D575">
            <v>120</v>
          </cell>
          <cell r="E575">
            <v>6416</v>
          </cell>
          <cell r="F575">
            <v>11440</v>
          </cell>
          <cell r="G575">
            <v>7999</v>
          </cell>
          <cell r="H575">
            <v>14300</v>
          </cell>
          <cell r="I575">
            <v>9999</v>
          </cell>
          <cell r="J575" t="str">
            <v>SD</v>
          </cell>
          <cell r="K575">
            <v>0.30076923076923101</v>
          </cell>
          <cell r="L575" t="str">
            <v>2</v>
          </cell>
          <cell r="M575" t="str">
            <v>CTLG</v>
          </cell>
          <cell r="N575" t="str">
            <v/>
          </cell>
          <cell r="O575" t="str">
            <v/>
          </cell>
        </row>
        <row r="576">
          <cell r="A576">
            <v>46825</v>
          </cell>
          <cell r="B576">
            <v>46825</v>
          </cell>
          <cell r="C576" t="str">
            <v>Novage+ Personal Anti-AgeingRoutine</v>
          </cell>
          <cell r="D576">
            <v>120</v>
          </cell>
          <cell r="E576">
            <v>6416</v>
          </cell>
          <cell r="F576">
            <v>11440</v>
          </cell>
          <cell r="G576">
            <v>7999</v>
          </cell>
          <cell r="H576">
            <v>14300</v>
          </cell>
          <cell r="I576">
            <v>9999</v>
          </cell>
          <cell r="J576" t="str">
            <v>SD</v>
          </cell>
          <cell r="K576">
            <v>0.30076923076923101</v>
          </cell>
          <cell r="L576" t="str">
            <v>2</v>
          </cell>
          <cell r="M576" t="str">
            <v>CTLG</v>
          </cell>
          <cell r="N576" t="str">
            <v/>
          </cell>
          <cell r="O576" t="str">
            <v/>
          </cell>
        </row>
        <row r="577">
          <cell r="A577">
            <v>46826</v>
          </cell>
          <cell r="B577">
            <v>46826</v>
          </cell>
          <cell r="C577" t="str">
            <v>Novage+ Personal Anti-AgeingRoutine</v>
          </cell>
          <cell r="D577">
            <v>120</v>
          </cell>
          <cell r="E577">
            <v>6416</v>
          </cell>
          <cell r="F577">
            <v>11440</v>
          </cell>
          <cell r="G577">
            <v>7999</v>
          </cell>
          <cell r="H577">
            <v>14300</v>
          </cell>
          <cell r="I577">
            <v>9999</v>
          </cell>
          <cell r="J577" t="str">
            <v>SD</v>
          </cell>
          <cell r="K577">
            <v>0.30076923076923101</v>
          </cell>
          <cell r="L577" t="str">
            <v>2</v>
          </cell>
          <cell r="M577" t="str">
            <v>CTLG</v>
          </cell>
          <cell r="N577" t="str">
            <v/>
          </cell>
          <cell r="O577" t="str">
            <v/>
          </cell>
        </row>
        <row r="578">
          <cell r="A578">
            <v>46827</v>
          </cell>
          <cell r="B578">
            <v>46827</v>
          </cell>
          <cell r="C578" t="str">
            <v>Novage+ Personal Anti-AgeingRoutine</v>
          </cell>
          <cell r="D578">
            <v>120</v>
          </cell>
          <cell r="E578">
            <v>6416</v>
          </cell>
          <cell r="F578">
            <v>11440</v>
          </cell>
          <cell r="G578">
            <v>7999</v>
          </cell>
          <cell r="H578">
            <v>14300</v>
          </cell>
          <cell r="I578">
            <v>9999</v>
          </cell>
          <cell r="J578" t="str">
            <v>SD</v>
          </cell>
          <cell r="K578">
            <v>0.30076923076923101</v>
          </cell>
          <cell r="L578" t="str">
            <v>2</v>
          </cell>
          <cell r="M578" t="str">
            <v>CTLG</v>
          </cell>
          <cell r="N578" t="str">
            <v/>
          </cell>
          <cell r="O578" t="str">
            <v/>
          </cell>
        </row>
        <row r="579">
          <cell r="A579">
            <v>46828</v>
          </cell>
          <cell r="B579">
            <v>46828</v>
          </cell>
          <cell r="C579" t="str">
            <v>Novage+ Personal Anti-AgeingRoutine</v>
          </cell>
          <cell r="D579">
            <v>120</v>
          </cell>
          <cell r="E579">
            <v>6416</v>
          </cell>
          <cell r="F579">
            <v>11440</v>
          </cell>
          <cell r="G579">
            <v>7999</v>
          </cell>
          <cell r="H579">
            <v>14300</v>
          </cell>
          <cell r="I579">
            <v>9999</v>
          </cell>
          <cell r="J579" t="str">
            <v>SD</v>
          </cell>
          <cell r="K579">
            <v>0.30076923076923101</v>
          </cell>
          <cell r="L579" t="str">
            <v>2</v>
          </cell>
          <cell r="M579" t="str">
            <v>CTLG</v>
          </cell>
          <cell r="N579" t="str">
            <v/>
          </cell>
          <cell r="O579" t="str">
            <v/>
          </cell>
        </row>
        <row r="580">
          <cell r="A580">
            <v>46829</v>
          </cell>
          <cell r="B580">
            <v>46829</v>
          </cell>
          <cell r="C580" t="str">
            <v>Novage+ Personal Anti-AgeingRoutine</v>
          </cell>
          <cell r="D580">
            <v>120</v>
          </cell>
          <cell r="E580">
            <v>6416</v>
          </cell>
          <cell r="F580">
            <v>11440</v>
          </cell>
          <cell r="G580">
            <v>7999</v>
          </cell>
          <cell r="H580">
            <v>14300</v>
          </cell>
          <cell r="I580">
            <v>9999</v>
          </cell>
          <cell r="J580" t="str">
            <v>SD</v>
          </cell>
          <cell r="K580">
            <v>0.30076923076923101</v>
          </cell>
          <cell r="L580" t="str">
            <v>2</v>
          </cell>
          <cell r="M580" t="str">
            <v>CTLG</v>
          </cell>
          <cell r="N580" t="str">
            <v/>
          </cell>
          <cell r="O580" t="str">
            <v/>
          </cell>
        </row>
        <row r="581">
          <cell r="A581">
            <v>46830</v>
          </cell>
          <cell r="B581">
            <v>46830</v>
          </cell>
          <cell r="C581" t="str">
            <v>Novage+ Personal Anti-AgeingRoutine</v>
          </cell>
          <cell r="D581">
            <v>120</v>
          </cell>
          <cell r="E581">
            <v>6416</v>
          </cell>
          <cell r="F581">
            <v>11440</v>
          </cell>
          <cell r="G581">
            <v>7999</v>
          </cell>
          <cell r="H581">
            <v>14300</v>
          </cell>
          <cell r="I581">
            <v>9999</v>
          </cell>
          <cell r="J581" t="str">
            <v>SD</v>
          </cell>
          <cell r="K581">
            <v>0.30076923076923101</v>
          </cell>
          <cell r="L581" t="str">
            <v>2</v>
          </cell>
          <cell r="M581" t="str">
            <v>CTLG</v>
          </cell>
          <cell r="N581" t="str">
            <v/>
          </cell>
          <cell r="O581" t="str">
            <v/>
          </cell>
        </row>
        <row r="582">
          <cell r="A582">
            <v>46831</v>
          </cell>
          <cell r="B582">
            <v>46831</v>
          </cell>
          <cell r="C582" t="str">
            <v>Novage+ Personal Anti-AgeingRoutine</v>
          </cell>
          <cell r="D582">
            <v>120</v>
          </cell>
          <cell r="E582">
            <v>6416</v>
          </cell>
          <cell r="F582">
            <v>11440</v>
          </cell>
          <cell r="G582">
            <v>7999</v>
          </cell>
          <cell r="H582">
            <v>14300</v>
          </cell>
          <cell r="I582">
            <v>9999</v>
          </cell>
          <cell r="J582" t="str">
            <v>SD</v>
          </cell>
          <cell r="K582">
            <v>0.30076923076923101</v>
          </cell>
          <cell r="L582" t="str">
            <v>2</v>
          </cell>
          <cell r="M582" t="str">
            <v>CTLG</v>
          </cell>
          <cell r="N582" t="str">
            <v/>
          </cell>
          <cell r="O582" t="str">
            <v/>
          </cell>
        </row>
        <row r="583">
          <cell r="A583">
            <v>46832</v>
          </cell>
          <cell r="B583">
            <v>46832</v>
          </cell>
          <cell r="C583" t="str">
            <v>Novage+ Personal Anti-AgeingRoutine</v>
          </cell>
          <cell r="D583">
            <v>120</v>
          </cell>
          <cell r="E583">
            <v>6416</v>
          </cell>
          <cell r="F583">
            <v>11440</v>
          </cell>
          <cell r="G583">
            <v>7999</v>
          </cell>
          <cell r="H583">
            <v>14300</v>
          </cell>
          <cell r="I583">
            <v>9999</v>
          </cell>
          <cell r="J583" t="str">
            <v>SD</v>
          </cell>
          <cell r="K583">
            <v>0.30076923076923101</v>
          </cell>
          <cell r="L583" t="str">
            <v>2</v>
          </cell>
          <cell r="M583" t="str">
            <v>CTLG</v>
          </cell>
          <cell r="N583" t="str">
            <v/>
          </cell>
          <cell r="O583" t="str">
            <v/>
          </cell>
        </row>
        <row r="584">
          <cell r="A584">
            <v>46833</v>
          </cell>
          <cell r="B584">
            <v>46833</v>
          </cell>
          <cell r="C584" t="str">
            <v>Novage+ Personal Anti-AgeingRoutine</v>
          </cell>
          <cell r="D584">
            <v>120</v>
          </cell>
          <cell r="E584">
            <v>6416</v>
          </cell>
          <cell r="F584">
            <v>11440</v>
          </cell>
          <cell r="G584">
            <v>7999</v>
          </cell>
          <cell r="H584">
            <v>14300</v>
          </cell>
          <cell r="I584">
            <v>9999</v>
          </cell>
          <cell r="J584" t="str">
            <v>SD</v>
          </cell>
          <cell r="K584">
            <v>0.30076923076923101</v>
          </cell>
          <cell r="L584" t="str">
            <v>2</v>
          </cell>
          <cell r="M584" t="str">
            <v>CTLG</v>
          </cell>
          <cell r="N584" t="str">
            <v/>
          </cell>
          <cell r="O584" t="str">
            <v/>
          </cell>
        </row>
        <row r="585">
          <cell r="A585">
            <v>46834</v>
          </cell>
          <cell r="B585">
            <v>46834</v>
          </cell>
          <cell r="C585" t="str">
            <v>Novage+ Personal Anti-AgeingRoutine</v>
          </cell>
          <cell r="D585">
            <v>120</v>
          </cell>
          <cell r="E585">
            <v>6416</v>
          </cell>
          <cell r="F585">
            <v>11440</v>
          </cell>
          <cell r="G585">
            <v>7999</v>
          </cell>
          <cell r="H585">
            <v>14300</v>
          </cell>
          <cell r="I585">
            <v>9999</v>
          </cell>
          <cell r="J585" t="str">
            <v>SD</v>
          </cell>
          <cell r="K585">
            <v>0.30076923076923101</v>
          </cell>
          <cell r="L585" t="str">
            <v>2</v>
          </cell>
          <cell r="M585" t="str">
            <v>CTLG</v>
          </cell>
          <cell r="N585" t="str">
            <v/>
          </cell>
          <cell r="O585" t="str">
            <v/>
          </cell>
        </row>
        <row r="586">
          <cell r="A586">
            <v>46835</v>
          </cell>
          <cell r="B586">
            <v>46835</v>
          </cell>
          <cell r="C586" t="str">
            <v>Novage+ Personal Anti-AgeingRoutine</v>
          </cell>
          <cell r="D586">
            <v>120</v>
          </cell>
          <cell r="E586">
            <v>6416</v>
          </cell>
          <cell r="F586">
            <v>11440</v>
          </cell>
          <cell r="G586">
            <v>7999</v>
          </cell>
          <cell r="H586">
            <v>14300</v>
          </cell>
          <cell r="I586">
            <v>9999</v>
          </cell>
          <cell r="J586" t="str">
            <v>SD</v>
          </cell>
          <cell r="K586">
            <v>0.30076923076923101</v>
          </cell>
          <cell r="L586" t="str">
            <v>2</v>
          </cell>
          <cell r="M586" t="str">
            <v>CTLG</v>
          </cell>
          <cell r="N586" t="str">
            <v/>
          </cell>
          <cell r="O586" t="str">
            <v/>
          </cell>
        </row>
        <row r="587">
          <cell r="A587">
            <v>46836</v>
          </cell>
          <cell r="B587">
            <v>46836</v>
          </cell>
          <cell r="C587" t="str">
            <v>Novage+ Personal Anti-AgeingRoutine</v>
          </cell>
          <cell r="D587">
            <v>120</v>
          </cell>
          <cell r="E587">
            <v>6416</v>
          </cell>
          <cell r="F587">
            <v>11440</v>
          </cell>
          <cell r="G587">
            <v>7999</v>
          </cell>
          <cell r="H587">
            <v>14300</v>
          </cell>
          <cell r="I587">
            <v>9999</v>
          </cell>
          <cell r="J587" t="str">
            <v>SD</v>
          </cell>
          <cell r="K587">
            <v>0.30076923076923101</v>
          </cell>
          <cell r="L587" t="str">
            <v>2</v>
          </cell>
          <cell r="M587" t="str">
            <v>CTLG</v>
          </cell>
          <cell r="N587" t="str">
            <v/>
          </cell>
          <cell r="O587" t="str">
            <v/>
          </cell>
        </row>
        <row r="588">
          <cell r="A588">
            <v>46837</v>
          </cell>
          <cell r="B588">
            <v>46837</v>
          </cell>
          <cell r="C588" t="str">
            <v>Novage+ Personal Anti-AgeingRoutine</v>
          </cell>
          <cell r="D588">
            <v>120</v>
          </cell>
          <cell r="E588">
            <v>6416</v>
          </cell>
          <cell r="F588">
            <v>11440</v>
          </cell>
          <cell r="G588">
            <v>7999</v>
          </cell>
          <cell r="H588">
            <v>14300</v>
          </cell>
          <cell r="I588">
            <v>9999</v>
          </cell>
          <cell r="J588" t="str">
            <v>SD</v>
          </cell>
          <cell r="K588">
            <v>0.30076923076923101</v>
          </cell>
          <cell r="L588" t="str">
            <v>2</v>
          </cell>
          <cell r="M588" t="str">
            <v>CTLG</v>
          </cell>
          <cell r="N588" t="str">
            <v/>
          </cell>
          <cell r="O588" t="str">
            <v/>
          </cell>
        </row>
        <row r="589">
          <cell r="A589">
            <v>46838</v>
          </cell>
          <cell r="B589">
            <v>46838</v>
          </cell>
          <cell r="C589" t="str">
            <v>Novage+ Personal Anti-AgeingRoutine</v>
          </cell>
          <cell r="D589">
            <v>120</v>
          </cell>
          <cell r="E589">
            <v>6416</v>
          </cell>
          <cell r="F589">
            <v>11440</v>
          </cell>
          <cell r="G589">
            <v>7999</v>
          </cell>
          <cell r="H589">
            <v>14300</v>
          </cell>
          <cell r="I589">
            <v>9999</v>
          </cell>
          <cell r="J589" t="str">
            <v>SD</v>
          </cell>
          <cell r="K589">
            <v>0.30076923076923101</v>
          </cell>
          <cell r="L589" t="str">
            <v>2</v>
          </cell>
          <cell r="M589" t="str">
            <v>CTLG</v>
          </cell>
          <cell r="N589" t="str">
            <v/>
          </cell>
          <cell r="O589" t="str">
            <v/>
          </cell>
        </row>
        <row r="590">
          <cell r="A590">
            <v>46839</v>
          </cell>
          <cell r="B590">
            <v>46839</v>
          </cell>
          <cell r="C590" t="str">
            <v>Novage+ Personal Anti-AgeingRoutine</v>
          </cell>
          <cell r="D590">
            <v>120</v>
          </cell>
          <cell r="E590">
            <v>6416</v>
          </cell>
          <cell r="F590">
            <v>11440</v>
          </cell>
          <cell r="G590">
            <v>7999</v>
          </cell>
          <cell r="H590">
            <v>14300</v>
          </cell>
          <cell r="I590">
            <v>9999</v>
          </cell>
          <cell r="J590" t="str">
            <v>SD</v>
          </cell>
          <cell r="K590">
            <v>0.30076923076923101</v>
          </cell>
          <cell r="L590" t="str">
            <v>2</v>
          </cell>
          <cell r="M590" t="str">
            <v>CTLG</v>
          </cell>
          <cell r="N590" t="str">
            <v/>
          </cell>
          <cell r="O590" t="str">
            <v/>
          </cell>
        </row>
        <row r="591">
          <cell r="A591">
            <v>46840</v>
          </cell>
          <cell r="B591">
            <v>46840</v>
          </cell>
          <cell r="C591" t="str">
            <v>Novage+ Personal Anti-AgeingRoutine</v>
          </cell>
          <cell r="D591">
            <v>120</v>
          </cell>
          <cell r="E591">
            <v>6416</v>
          </cell>
          <cell r="F591">
            <v>11440</v>
          </cell>
          <cell r="G591">
            <v>7999</v>
          </cell>
          <cell r="H591">
            <v>14300</v>
          </cell>
          <cell r="I591">
            <v>9999</v>
          </cell>
          <cell r="J591" t="str">
            <v>SD</v>
          </cell>
          <cell r="K591">
            <v>0.30076923076923101</v>
          </cell>
          <cell r="L591" t="str">
            <v>2</v>
          </cell>
          <cell r="M591" t="str">
            <v>CTLG</v>
          </cell>
          <cell r="N591" t="str">
            <v/>
          </cell>
          <cell r="O591" t="str">
            <v/>
          </cell>
        </row>
        <row r="592">
          <cell r="A592">
            <v>46841</v>
          </cell>
          <cell r="B592">
            <v>46841</v>
          </cell>
          <cell r="C592" t="str">
            <v>Novage+ Personal Anti-AgeingRoutine</v>
          </cell>
          <cell r="D592">
            <v>120</v>
          </cell>
          <cell r="E592">
            <v>6416</v>
          </cell>
          <cell r="F592">
            <v>11440</v>
          </cell>
          <cell r="G592">
            <v>7999</v>
          </cell>
          <cell r="H592">
            <v>14300</v>
          </cell>
          <cell r="I592">
            <v>9999</v>
          </cell>
          <cell r="J592" t="str">
            <v>SD</v>
          </cell>
          <cell r="K592">
            <v>0.30076923076923101</v>
          </cell>
          <cell r="L592" t="str">
            <v>2</v>
          </cell>
          <cell r="M592" t="str">
            <v>CTLG</v>
          </cell>
          <cell r="N592" t="str">
            <v/>
          </cell>
          <cell r="O592" t="str">
            <v/>
          </cell>
        </row>
        <row r="593">
          <cell r="A593">
            <v>46842</v>
          </cell>
          <cell r="B593">
            <v>46842</v>
          </cell>
          <cell r="C593" t="str">
            <v>Novage+ Personal Anti-AgeingRoutine</v>
          </cell>
          <cell r="D593">
            <v>120</v>
          </cell>
          <cell r="E593">
            <v>6416</v>
          </cell>
          <cell r="F593">
            <v>11440</v>
          </cell>
          <cell r="G593">
            <v>7999</v>
          </cell>
          <cell r="H593">
            <v>14300</v>
          </cell>
          <cell r="I593">
            <v>9999</v>
          </cell>
          <cell r="J593" t="str">
            <v>SD</v>
          </cell>
          <cell r="K593">
            <v>0.30076923076923101</v>
          </cell>
          <cell r="L593" t="str">
            <v>2</v>
          </cell>
          <cell r="M593" t="str">
            <v>CTLG</v>
          </cell>
          <cell r="N593" t="str">
            <v/>
          </cell>
          <cell r="O593" t="str">
            <v/>
          </cell>
        </row>
        <row r="594">
          <cell r="A594">
            <v>46843</v>
          </cell>
          <cell r="B594">
            <v>46843</v>
          </cell>
          <cell r="C594" t="str">
            <v>Novage+ Personal Anti-AgeingRoutine</v>
          </cell>
          <cell r="D594">
            <v>120</v>
          </cell>
          <cell r="E594">
            <v>6416</v>
          </cell>
          <cell r="F594">
            <v>11440</v>
          </cell>
          <cell r="G594">
            <v>7999</v>
          </cell>
          <cell r="H594">
            <v>14300</v>
          </cell>
          <cell r="I594">
            <v>9999</v>
          </cell>
          <cell r="J594" t="str">
            <v>SD</v>
          </cell>
          <cell r="K594">
            <v>0.30076923076923101</v>
          </cell>
          <cell r="L594" t="str">
            <v>2</v>
          </cell>
          <cell r="M594" t="str">
            <v>CTLG</v>
          </cell>
          <cell r="N594" t="str">
            <v/>
          </cell>
          <cell r="O594" t="str">
            <v/>
          </cell>
        </row>
        <row r="595">
          <cell r="A595">
            <v>46844</v>
          </cell>
          <cell r="B595">
            <v>46844</v>
          </cell>
          <cell r="C595" t="str">
            <v>Novage+ Personal Anti-AgeingRoutine</v>
          </cell>
          <cell r="D595">
            <v>120</v>
          </cell>
          <cell r="E595">
            <v>6416</v>
          </cell>
          <cell r="F595">
            <v>11440</v>
          </cell>
          <cell r="G595">
            <v>7999</v>
          </cell>
          <cell r="H595">
            <v>14300</v>
          </cell>
          <cell r="I595">
            <v>9999</v>
          </cell>
          <cell r="J595" t="str">
            <v>SD</v>
          </cell>
          <cell r="K595">
            <v>0.30076923076923101</v>
          </cell>
          <cell r="L595" t="str">
            <v>2</v>
          </cell>
          <cell r="M595" t="str">
            <v>CTLG</v>
          </cell>
          <cell r="N595" t="str">
            <v/>
          </cell>
          <cell r="O595" t="str">
            <v/>
          </cell>
        </row>
        <row r="596">
          <cell r="A596">
            <v>46845</v>
          </cell>
          <cell r="B596">
            <v>46845</v>
          </cell>
          <cell r="C596" t="str">
            <v>Novage+ Personal Anti-AgeingRoutine</v>
          </cell>
          <cell r="D596">
            <v>120</v>
          </cell>
          <cell r="E596">
            <v>6416</v>
          </cell>
          <cell r="F596">
            <v>11440</v>
          </cell>
          <cell r="G596">
            <v>7999</v>
          </cell>
          <cell r="H596">
            <v>14300</v>
          </cell>
          <cell r="I596">
            <v>9999</v>
          </cell>
          <cell r="J596" t="str">
            <v>SD</v>
          </cell>
          <cell r="K596">
            <v>0.30076923076923101</v>
          </cell>
          <cell r="L596" t="str">
            <v>2</v>
          </cell>
          <cell r="M596" t="str">
            <v>CTLG</v>
          </cell>
          <cell r="N596" t="str">
            <v/>
          </cell>
          <cell r="O596" t="str">
            <v/>
          </cell>
        </row>
        <row r="597">
          <cell r="A597">
            <v>46846</v>
          </cell>
          <cell r="B597">
            <v>46846</v>
          </cell>
          <cell r="C597" t="str">
            <v>Novage+ Personal Anti-AgeingRoutine</v>
          </cell>
          <cell r="D597">
            <v>120</v>
          </cell>
          <cell r="E597">
            <v>6416</v>
          </cell>
          <cell r="F597">
            <v>11440</v>
          </cell>
          <cell r="G597">
            <v>7999</v>
          </cell>
          <cell r="H597">
            <v>14300</v>
          </cell>
          <cell r="I597">
            <v>9999</v>
          </cell>
          <cell r="J597" t="str">
            <v>SD</v>
          </cell>
          <cell r="K597">
            <v>0.30076923076923101</v>
          </cell>
          <cell r="L597" t="str">
            <v>2</v>
          </cell>
          <cell r="M597" t="str">
            <v>CTLG</v>
          </cell>
          <cell r="N597" t="str">
            <v/>
          </cell>
          <cell r="O597" t="str">
            <v/>
          </cell>
        </row>
        <row r="598">
          <cell r="A598">
            <v>46847</v>
          </cell>
          <cell r="B598">
            <v>46847</v>
          </cell>
          <cell r="C598" t="str">
            <v>Novage+ Personal Anti-AgeingRoutine</v>
          </cell>
          <cell r="D598">
            <v>120</v>
          </cell>
          <cell r="E598">
            <v>6416</v>
          </cell>
          <cell r="F598">
            <v>11440</v>
          </cell>
          <cell r="G598">
            <v>7999</v>
          </cell>
          <cell r="H598">
            <v>14300</v>
          </cell>
          <cell r="I598">
            <v>9999</v>
          </cell>
          <cell r="J598" t="str">
            <v>SD</v>
          </cell>
          <cell r="K598">
            <v>0.30076923076923101</v>
          </cell>
          <cell r="L598" t="str">
            <v>2</v>
          </cell>
          <cell r="M598" t="str">
            <v>CTLG</v>
          </cell>
          <cell r="N598" t="str">
            <v/>
          </cell>
          <cell r="O598" t="str">
            <v/>
          </cell>
        </row>
        <row r="599">
          <cell r="A599">
            <v>46848</v>
          </cell>
          <cell r="B599">
            <v>46848</v>
          </cell>
          <cell r="C599" t="str">
            <v>Novage+ Personal Anti-AgeingRoutine</v>
          </cell>
          <cell r="D599">
            <v>120</v>
          </cell>
          <cell r="E599">
            <v>6416</v>
          </cell>
          <cell r="F599">
            <v>11440</v>
          </cell>
          <cell r="G599">
            <v>7999</v>
          </cell>
          <cell r="H599">
            <v>14300</v>
          </cell>
          <cell r="I599">
            <v>9999</v>
          </cell>
          <cell r="J599" t="str">
            <v>SD</v>
          </cell>
          <cell r="K599">
            <v>0.30076923076923101</v>
          </cell>
          <cell r="L599" t="str">
            <v>2</v>
          </cell>
          <cell r="M599" t="str">
            <v>CTLG</v>
          </cell>
          <cell r="N599" t="str">
            <v/>
          </cell>
          <cell r="O599" t="str">
            <v/>
          </cell>
        </row>
        <row r="600">
          <cell r="A600">
            <v>46849</v>
          </cell>
          <cell r="B600">
            <v>46849</v>
          </cell>
          <cell r="C600" t="str">
            <v>Novage+ Personal Anti-AgeingRoutine</v>
          </cell>
          <cell r="D600">
            <v>120</v>
          </cell>
          <cell r="E600">
            <v>6416</v>
          </cell>
          <cell r="F600">
            <v>11440</v>
          </cell>
          <cell r="G600">
            <v>7999</v>
          </cell>
          <cell r="H600">
            <v>14300</v>
          </cell>
          <cell r="I600">
            <v>9999</v>
          </cell>
          <cell r="J600" t="str">
            <v>SD</v>
          </cell>
          <cell r="K600">
            <v>0.30076923076923101</v>
          </cell>
          <cell r="L600" t="str">
            <v>2</v>
          </cell>
          <cell r="M600" t="str">
            <v>CTLG</v>
          </cell>
          <cell r="N600" t="str">
            <v/>
          </cell>
          <cell r="O600" t="str">
            <v/>
          </cell>
        </row>
        <row r="601">
          <cell r="A601">
            <v>46850</v>
          </cell>
          <cell r="B601">
            <v>46850</v>
          </cell>
          <cell r="C601" t="str">
            <v>Novage+ Personal Anti-AgeingRoutine</v>
          </cell>
          <cell r="D601">
            <v>120</v>
          </cell>
          <cell r="E601">
            <v>6416</v>
          </cell>
          <cell r="F601">
            <v>11440</v>
          </cell>
          <cell r="G601">
            <v>7999</v>
          </cell>
          <cell r="H601">
            <v>14300</v>
          </cell>
          <cell r="I601">
            <v>9999</v>
          </cell>
          <cell r="J601" t="str">
            <v>SD</v>
          </cell>
          <cell r="K601">
            <v>0.30076923076923101</v>
          </cell>
          <cell r="L601" t="str">
            <v>2</v>
          </cell>
          <cell r="M601" t="str">
            <v>CTLG</v>
          </cell>
          <cell r="N601" t="str">
            <v/>
          </cell>
          <cell r="O601" t="str">
            <v/>
          </cell>
        </row>
        <row r="602">
          <cell r="A602">
            <v>46851</v>
          </cell>
          <cell r="B602">
            <v>46851</v>
          </cell>
          <cell r="C602" t="str">
            <v>Novage+ Personal Anti-AgeingRoutine</v>
          </cell>
          <cell r="D602">
            <v>120</v>
          </cell>
          <cell r="E602">
            <v>6416</v>
          </cell>
          <cell r="F602">
            <v>11440</v>
          </cell>
          <cell r="G602">
            <v>7999</v>
          </cell>
          <cell r="H602">
            <v>14300</v>
          </cell>
          <cell r="I602">
            <v>9999</v>
          </cell>
          <cell r="J602" t="str">
            <v>SD</v>
          </cell>
          <cell r="K602">
            <v>0.30076923076923101</v>
          </cell>
          <cell r="L602" t="str">
            <v>2</v>
          </cell>
          <cell r="M602" t="str">
            <v>CTLG</v>
          </cell>
          <cell r="N602" t="str">
            <v/>
          </cell>
          <cell r="O602" t="str">
            <v/>
          </cell>
        </row>
        <row r="603">
          <cell r="A603">
            <v>46852</v>
          </cell>
          <cell r="B603">
            <v>46852</v>
          </cell>
          <cell r="C603" t="str">
            <v>Novage+ Personal Anti-AgeingRoutine</v>
          </cell>
          <cell r="D603">
            <v>120</v>
          </cell>
          <cell r="E603">
            <v>6416</v>
          </cell>
          <cell r="F603">
            <v>11440</v>
          </cell>
          <cell r="G603">
            <v>7999</v>
          </cell>
          <cell r="H603">
            <v>14300</v>
          </cell>
          <cell r="I603">
            <v>9999</v>
          </cell>
          <cell r="J603" t="str">
            <v>SD</v>
          </cell>
          <cell r="K603">
            <v>0.30076923076923101</v>
          </cell>
          <cell r="L603" t="str">
            <v>2</v>
          </cell>
          <cell r="M603" t="str">
            <v>CTLG</v>
          </cell>
          <cell r="N603" t="str">
            <v/>
          </cell>
          <cell r="O603" t="str">
            <v/>
          </cell>
        </row>
        <row r="604">
          <cell r="A604">
            <v>46853</v>
          </cell>
          <cell r="B604">
            <v>46853</v>
          </cell>
          <cell r="C604" t="str">
            <v>Novage+ Personal Anti-AgeingRoutine</v>
          </cell>
          <cell r="D604">
            <v>120</v>
          </cell>
          <cell r="E604">
            <v>6416</v>
          </cell>
          <cell r="F604">
            <v>11440</v>
          </cell>
          <cell r="G604">
            <v>7999</v>
          </cell>
          <cell r="H604">
            <v>14300</v>
          </cell>
          <cell r="I604">
            <v>9999</v>
          </cell>
          <cell r="J604" t="str">
            <v>SD</v>
          </cell>
          <cell r="K604">
            <v>0.30076923076923101</v>
          </cell>
          <cell r="L604" t="str">
            <v>2</v>
          </cell>
          <cell r="M604" t="str">
            <v>CTLG</v>
          </cell>
          <cell r="N604" t="str">
            <v/>
          </cell>
          <cell r="O604" t="str">
            <v/>
          </cell>
        </row>
        <row r="605">
          <cell r="A605">
            <v>46854</v>
          </cell>
          <cell r="B605">
            <v>46854</v>
          </cell>
          <cell r="C605" t="str">
            <v>Novage+ Personal Anti-AgeingRoutine</v>
          </cell>
          <cell r="D605">
            <v>120</v>
          </cell>
          <cell r="E605">
            <v>6416</v>
          </cell>
          <cell r="F605">
            <v>11440</v>
          </cell>
          <cell r="G605">
            <v>7999</v>
          </cell>
          <cell r="H605">
            <v>14300</v>
          </cell>
          <cell r="I605">
            <v>9999</v>
          </cell>
          <cell r="J605" t="str">
            <v>SD</v>
          </cell>
          <cell r="K605">
            <v>0.30076923076923101</v>
          </cell>
          <cell r="L605" t="str">
            <v>2</v>
          </cell>
          <cell r="M605" t="str">
            <v>CTLG</v>
          </cell>
          <cell r="N605" t="str">
            <v/>
          </cell>
          <cell r="O605" t="str">
            <v/>
          </cell>
        </row>
        <row r="606">
          <cell r="A606">
            <v>46855</v>
          </cell>
          <cell r="B606">
            <v>46855</v>
          </cell>
          <cell r="C606" t="str">
            <v>Novage+ Personal Anti-AgeingRoutine</v>
          </cell>
          <cell r="D606">
            <v>120</v>
          </cell>
          <cell r="E606">
            <v>6416</v>
          </cell>
          <cell r="F606">
            <v>11440</v>
          </cell>
          <cell r="G606">
            <v>7999</v>
          </cell>
          <cell r="H606">
            <v>14300</v>
          </cell>
          <cell r="I606">
            <v>9999</v>
          </cell>
          <cell r="J606" t="str">
            <v>SD</v>
          </cell>
          <cell r="K606">
            <v>0.30076923076923101</v>
          </cell>
          <cell r="L606" t="str">
            <v>2</v>
          </cell>
          <cell r="M606" t="str">
            <v>CTLG</v>
          </cell>
          <cell r="N606" t="str">
            <v/>
          </cell>
          <cell r="O606" t="str">
            <v/>
          </cell>
        </row>
        <row r="607">
          <cell r="A607">
            <v>46856</v>
          </cell>
          <cell r="B607">
            <v>46856</v>
          </cell>
          <cell r="C607" t="str">
            <v>Novage+ Personal Anti-AgeingRoutine</v>
          </cell>
          <cell r="D607">
            <v>120</v>
          </cell>
          <cell r="E607">
            <v>6416</v>
          </cell>
          <cell r="F607">
            <v>11440</v>
          </cell>
          <cell r="G607">
            <v>7999</v>
          </cell>
          <cell r="H607">
            <v>14300</v>
          </cell>
          <cell r="I607">
            <v>9999</v>
          </cell>
          <cell r="J607" t="str">
            <v>SD</v>
          </cell>
          <cell r="K607">
            <v>0.30076923076923101</v>
          </cell>
          <cell r="L607" t="str">
            <v>2</v>
          </cell>
          <cell r="M607" t="str">
            <v>CTLG</v>
          </cell>
          <cell r="N607" t="str">
            <v/>
          </cell>
          <cell r="O607" t="str">
            <v/>
          </cell>
        </row>
        <row r="608">
          <cell r="A608">
            <v>46857</v>
          </cell>
          <cell r="B608">
            <v>46857</v>
          </cell>
          <cell r="C608" t="str">
            <v>Novage+ Personal Anti-AgeingRoutine</v>
          </cell>
          <cell r="D608">
            <v>120</v>
          </cell>
          <cell r="E608">
            <v>6416</v>
          </cell>
          <cell r="F608">
            <v>11440</v>
          </cell>
          <cell r="G608">
            <v>7999</v>
          </cell>
          <cell r="H608">
            <v>14300</v>
          </cell>
          <cell r="I608">
            <v>9999</v>
          </cell>
          <cell r="J608" t="str">
            <v>SD</v>
          </cell>
          <cell r="K608">
            <v>0.30076923076923101</v>
          </cell>
          <cell r="L608" t="str">
            <v>2</v>
          </cell>
          <cell r="M608" t="str">
            <v>CTLG</v>
          </cell>
          <cell r="N608" t="str">
            <v/>
          </cell>
          <cell r="O608" t="str">
            <v/>
          </cell>
        </row>
        <row r="609">
          <cell r="A609">
            <v>46858</v>
          </cell>
          <cell r="B609">
            <v>46858</v>
          </cell>
          <cell r="C609" t="str">
            <v>Novage+ Personal Anti-AgeingRoutine</v>
          </cell>
          <cell r="D609">
            <v>120</v>
          </cell>
          <cell r="E609">
            <v>6416</v>
          </cell>
          <cell r="F609">
            <v>11440</v>
          </cell>
          <cell r="G609">
            <v>7999</v>
          </cell>
          <cell r="H609">
            <v>14300</v>
          </cell>
          <cell r="I609">
            <v>9999</v>
          </cell>
          <cell r="J609" t="str">
            <v>SD</v>
          </cell>
          <cell r="K609">
            <v>0.30076923076923101</v>
          </cell>
          <cell r="L609" t="str">
            <v>2</v>
          </cell>
          <cell r="M609" t="str">
            <v>CTLG</v>
          </cell>
          <cell r="N609" t="str">
            <v/>
          </cell>
          <cell r="O609" t="str">
            <v/>
          </cell>
        </row>
        <row r="610">
          <cell r="A610">
            <v>46859</v>
          </cell>
          <cell r="B610">
            <v>46859</v>
          </cell>
          <cell r="C610" t="str">
            <v>Novage+ Personal Anti-AgeingRoutine</v>
          </cell>
          <cell r="D610">
            <v>120</v>
          </cell>
          <cell r="E610">
            <v>6416</v>
          </cell>
          <cell r="F610">
            <v>11440</v>
          </cell>
          <cell r="G610">
            <v>7999</v>
          </cell>
          <cell r="H610">
            <v>14300</v>
          </cell>
          <cell r="I610">
            <v>9999</v>
          </cell>
          <cell r="J610" t="str">
            <v>SD</v>
          </cell>
          <cell r="K610">
            <v>0.30076923076923101</v>
          </cell>
          <cell r="L610" t="str">
            <v>2</v>
          </cell>
          <cell r="M610" t="str">
            <v>CTLG</v>
          </cell>
          <cell r="N610" t="str">
            <v/>
          </cell>
          <cell r="O610" t="str">
            <v/>
          </cell>
        </row>
        <row r="611">
          <cell r="A611">
            <v>46860</v>
          </cell>
          <cell r="B611">
            <v>46860</v>
          </cell>
          <cell r="C611" t="str">
            <v>Novage+ Personal Anti-AgeingRoutine</v>
          </cell>
          <cell r="D611">
            <v>120</v>
          </cell>
          <cell r="E611">
            <v>6416</v>
          </cell>
          <cell r="F611">
            <v>11440</v>
          </cell>
          <cell r="G611">
            <v>7999</v>
          </cell>
          <cell r="H611">
            <v>14300</v>
          </cell>
          <cell r="I611">
            <v>9999</v>
          </cell>
          <cell r="J611" t="str">
            <v>SD</v>
          </cell>
          <cell r="K611">
            <v>0.30076923076923101</v>
          </cell>
          <cell r="L611" t="str">
            <v>2</v>
          </cell>
          <cell r="M611" t="str">
            <v>CTLG</v>
          </cell>
          <cell r="N611" t="str">
            <v/>
          </cell>
          <cell r="O611" t="str">
            <v/>
          </cell>
        </row>
        <row r="612">
          <cell r="A612">
            <v>46861</v>
          </cell>
          <cell r="B612">
            <v>46861</v>
          </cell>
          <cell r="C612" t="str">
            <v>Novage+ Personal Anti-AgeingRoutine</v>
          </cell>
          <cell r="D612">
            <v>120</v>
          </cell>
          <cell r="E612">
            <v>6416</v>
          </cell>
          <cell r="F612">
            <v>11440</v>
          </cell>
          <cell r="G612">
            <v>7999</v>
          </cell>
          <cell r="H612">
            <v>14300</v>
          </cell>
          <cell r="I612">
            <v>9999</v>
          </cell>
          <cell r="J612" t="str">
            <v>SD</v>
          </cell>
          <cell r="K612">
            <v>0.30076923076923101</v>
          </cell>
          <cell r="L612" t="str">
            <v>2</v>
          </cell>
          <cell r="M612" t="str">
            <v>CTLG</v>
          </cell>
          <cell r="N612" t="str">
            <v/>
          </cell>
          <cell r="O612" t="str">
            <v/>
          </cell>
        </row>
        <row r="613">
          <cell r="A613">
            <v>46862</v>
          </cell>
          <cell r="B613">
            <v>46862</v>
          </cell>
          <cell r="C613" t="str">
            <v>Novage+ Personal Anti-AgeingRoutine</v>
          </cell>
          <cell r="D613">
            <v>120</v>
          </cell>
          <cell r="E613">
            <v>6416</v>
          </cell>
          <cell r="F613">
            <v>11440</v>
          </cell>
          <cell r="G613">
            <v>7999</v>
          </cell>
          <cell r="H613">
            <v>14300</v>
          </cell>
          <cell r="I613">
            <v>9999</v>
          </cell>
          <cell r="J613" t="str">
            <v>SD</v>
          </cell>
          <cell r="K613">
            <v>0.30076923076923101</v>
          </cell>
          <cell r="L613" t="str">
            <v>2</v>
          </cell>
          <cell r="M613" t="str">
            <v>CTLG</v>
          </cell>
          <cell r="N613" t="str">
            <v/>
          </cell>
          <cell r="O613" t="str">
            <v/>
          </cell>
        </row>
        <row r="614">
          <cell r="A614">
            <v>46863</v>
          </cell>
          <cell r="B614">
            <v>46863</v>
          </cell>
          <cell r="C614" t="str">
            <v>Novage+ Personal Anti-AgeingRoutine</v>
          </cell>
          <cell r="D614">
            <v>120</v>
          </cell>
          <cell r="E614">
            <v>6416</v>
          </cell>
          <cell r="F614">
            <v>11440</v>
          </cell>
          <cell r="G614">
            <v>7999</v>
          </cell>
          <cell r="H614">
            <v>14300</v>
          </cell>
          <cell r="I614">
            <v>9999</v>
          </cell>
          <cell r="J614" t="str">
            <v>SD</v>
          </cell>
          <cell r="K614">
            <v>0.30076923076923101</v>
          </cell>
          <cell r="L614" t="str">
            <v>2</v>
          </cell>
          <cell r="M614" t="str">
            <v>CTLG</v>
          </cell>
          <cell r="N614" t="str">
            <v/>
          </cell>
          <cell r="O614" t="str">
            <v/>
          </cell>
        </row>
        <row r="615">
          <cell r="A615">
            <v>46864</v>
          </cell>
          <cell r="B615">
            <v>46864</v>
          </cell>
          <cell r="C615" t="str">
            <v>Novage+ Personal Anti-AgeingRoutine</v>
          </cell>
          <cell r="D615">
            <v>120</v>
          </cell>
          <cell r="E615">
            <v>6416</v>
          </cell>
          <cell r="F615">
            <v>11440</v>
          </cell>
          <cell r="G615">
            <v>7999</v>
          </cell>
          <cell r="H615">
            <v>14300</v>
          </cell>
          <cell r="I615">
            <v>9999</v>
          </cell>
          <cell r="J615" t="str">
            <v>SD</v>
          </cell>
          <cell r="K615">
            <v>0.30076923076923101</v>
          </cell>
          <cell r="L615" t="str">
            <v>2</v>
          </cell>
          <cell r="M615" t="str">
            <v>CTLG</v>
          </cell>
          <cell r="N615" t="str">
            <v/>
          </cell>
          <cell r="O615" t="str">
            <v/>
          </cell>
        </row>
        <row r="616">
          <cell r="A616">
            <v>46865</v>
          </cell>
          <cell r="B616">
            <v>46865</v>
          </cell>
          <cell r="C616" t="str">
            <v>Novage+ Personal Anti-AgeingRoutine</v>
          </cell>
          <cell r="D616">
            <v>120</v>
          </cell>
          <cell r="E616">
            <v>6416</v>
          </cell>
          <cell r="F616">
            <v>11440</v>
          </cell>
          <cell r="G616">
            <v>7999</v>
          </cell>
          <cell r="H616">
            <v>14300</v>
          </cell>
          <cell r="I616">
            <v>9999</v>
          </cell>
          <cell r="J616" t="str">
            <v>SD</v>
          </cell>
          <cell r="K616">
            <v>0.30076923076923101</v>
          </cell>
          <cell r="L616" t="str">
            <v>2</v>
          </cell>
          <cell r="M616" t="str">
            <v>CTLG</v>
          </cell>
          <cell r="N616" t="str">
            <v/>
          </cell>
          <cell r="O616" t="str">
            <v/>
          </cell>
        </row>
        <row r="617">
          <cell r="A617">
            <v>46866</v>
          </cell>
          <cell r="B617">
            <v>46866</v>
          </cell>
          <cell r="C617" t="str">
            <v>Novage+ Personal Anti-AgeingRoutine</v>
          </cell>
          <cell r="D617">
            <v>120</v>
          </cell>
          <cell r="E617">
            <v>6416</v>
          </cell>
          <cell r="F617">
            <v>11440</v>
          </cell>
          <cell r="G617">
            <v>7999</v>
          </cell>
          <cell r="H617">
            <v>14300</v>
          </cell>
          <cell r="I617">
            <v>9999</v>
          </cell>
          <cell r="J617" t="str">
            <v>SD</v>
          </cell>
          <cell r="K617">
            <v>0.30076923076923101</v>
          </cell>
          <cell r="L617" t="str">
            <v>2</v>
          </cell>
          <cell r="M617" t="str">
            <v>CTLG</v>
          </cell>
          <cell r="N617" t="str">
            <v/>
          </cell>
          <cell r="O617" t="str">
            <v/>
          </cell>
        </row>
        <row r="618">
          <cell r="A618">
            <v>46867</v>
          </cell>
          <cell r="B618">
            <v>46867</v>
          </cell>
          <cell r="C618" t="str">
            <v>Novage+ Personal Anti-AgeingRoutine</v>
          </cell>
          <cell r="D618">
            <v>120</v>
          </cell>
          <cell r="E618">
            <v>6416</v>
          </cell>
          <cell r="F618">
            <v>11440</v>
          </cell>
          <cell r="G618">
            <v>7999</v>
          </cell>
          <cell r="H618">
            <v>14300</v>
          </cell>
          <cell r="I618">
            <v>9999</v>
          </cell>
          <cell r="J618" t="str">
            <v>SD</v>
          </cell>
          <cell r="K618">
            <v>0.30076923076923101</v>
          </cell>
          <cell r="L618" t="str">
            <v>2</v>
          </cell>
          <cell r="M618" t="str">
            <v>CTLG</v>
          </cell>
          <cell r="N618" t="str">
            <v/>
          </cell>
          <cell r="O618" t="str">
            <v/>
          </cell>
        </row>
        <row r="619">
          <cell r="A619">
            <v>47033</v>
          </cell>
          <cell r="B619">
            <v>47033</v>
          </cell>
          <cell r="C619" t="str">
            <v>Novage+ Personal Anti-AgeingRoutine</v>
          </cell>
          <cell r="D619">
            <v>120</v>
          </cell>
          <cell r="E619">
            <v>6416</v>
          </cell>
          <cell r="F619">
            <v>11440</v>
          </cell>
          <cell r="G619">
            <v>7999</v>
          </cell>
          <cell r="H619">
            <v>14300</v>
          </cell>
          <cell r="I619">
            <v>9999</v>
          </cell>
          <cell r="J619" t="str">
            <v>SD</v>
          </cell>
          <cell r="K619">
            <v>0.30076923076923101</v>
          </cell>
          <cell r="L619" t="str">
            <v>2</v>
          </cell>
          <cell r="M619" t="str">
            <v>CTLG</v>
          </cell>
          <cell r="N619" t="str">
            <v/>
          </cell>
          <cell r="O619" t="str">
            <v/>
          </cell>
        </row>
        <row r="620">
          <cell r="A620">
            <v>47034</v>
          </cell>
          <cell r="B620">
            <v>47034</v>
          </cell>
          <cell r="C620" t="str">
            <v>Novage+ Personal Anti-AgeingRoutine</v>
          </cell>
          <cell r="D620">
            <v>120</v>
          </cell>
          <cell r="E620">
            <v>6416</v>
          </cell>
          <cell r="F620">
            <v>11440</v>
          </cell>
          <cell r="G620">
            <v>7999</v>
          </cell>
          <cell r="H620">
            <v>14300</v>
          </cell>
          <cell r="I620">
            <v>9999</v>
          </cell>
          <cell r="J620" t="str">
            <v>SD</v>
          </cell>
          <cell r="K620">
            <v>0.30076923076923101</v>
          </cell>
          <cell r="L620" t="str">
            <v>2</v>
          </cell>
          <cell r="M620" t="str">
            <v>CTLG</v>
          </cell>
          <cell r="N620" t="str">
            <v/>
          </cell>
          <cell r="O620" t="str">
            <v/>
          </cell>
        </row>
        <row r="621">
          <cell r="A621">
            <v>47035</v>
          </cell>
          <cell r="B621">
            <v>47035</v>
          </cell>
          <cell r="C621" t="str">
            <v>Novage+ Personal Anti-AgeingRoutine</v>
          </cell>
          <cell r="D621">
            <v>120</v>
          </cell>
          <cell r="E621">
            <v>6416</v>
          </cell>
          <cell r="F621">
            <v>11440</v>
          </cell>
          <cell r="G621">
            <v>7999</v>
          </cell>
          <cell r="H621">
            <v>14300</v>
          </cell>
          <cell r="I621">
            <v>9999</v>
          </cell>
          <cell r="J621" t="str">
            <v>SD</v>
          </cell>
          <cell r="K621">
            <v>0.30076923076923101</v>
          </cell>
          <cell r="L621" t="str">
            <v>2</v>
          </cell>
          <cell r="M621" t="str">
            <v>CTLG</v>
          </cell>
          <cell r="N621" t="str">
            <v/>
          </cell>
          <cell r="O621" t="str">
            <v/>
          </cell>
        </row>
        <row r="622">
          <cell r="A622">
            <v>47036</v>
          </cell>
          <cell r="B622">
            <v>47036</v>
          </cell>
          <cell r="C622" t="str">
            <v>Novage+ Personal Anti-AgeingRoutine</v>
          </cell>
          <cell r="D622">
            <v>120</v>
          </cell>
          <cell r="E622">
            <v>6416</v>
          </cell>
          <cell r="F622">
            <v>11440</v>
          </cell>
          <cell r="G622">
            <v>7999</v>
          </cell>
          <cell r="H622">
            <v>14300</v>
          </cell>
          <cell r="I622">
            <v>9999</v>
          </cell>
          <cell r="J622" t="str">
            <v>SD</v>
          </cell>
          <cell r="K622">
            <v>0.30076923076923101</v>
          </cell>
          <cell r="L622" t="str">
            <v>2</v>
          </cell>
          <cell r="M622" t="str">
            <v>CTLG</v>
          </cell>
          <cell r="N622" t="str">
            <v/>
          </cell>
          <cell r="O622" t="str">
            <v/>
          </cell>
        </row>
        <row r="623">
          <cell r="A623">
            <v>47037</v>
          </cell>
          <cell r="B623">
            <v>47037</v>
          </cell>
          <cell r="C623" t="str">
            <v>Novage+ Personal Anti-AgeingRoutine</v>
          </cell>
          <cell r="D623">
            <v>120</v>
          </cell>
          <cell r="E623">
            <v>6416</v>
          </cell>
          <cell r="F623">
            <v>11440</v>
          </cell>
          <cell r="G623">
            <v>7999</v>
          </cell>
          <cell r="H623">
            <v>14300</v>
          </cell>
          <cell r="I623">
            <v>9999</v>
          </cell>
          <cell r="J623" t="str">
            <v>SD</v>
          </cell>
          <cell r="K623">
            <v>0.30076923076923101</v>
          </cell>
          <cell r="L623" t="str">
            <v>2</v>
          </cell>
          <cell r="M623" t="str">
            <v>CTLG</v>
          </cell>
          <cell r="N623" t="str">
            <v/>
          </cell>
          <cell r="O623" t="str">
            <v/>
          </cell>
        </row>
        <row r="624">
          <cell r="A624">
            <v>47038</v>
          </cell>
          <cell r="B624">
            <v>47038</v>
          </cell>
          <cell r="C624" t="str">
            <v>Novage+ Personal Anti-AgeingRoutine</v>
          </cell>
          <cell r="D624">
            <v>120</v>
          </cell>
          <cell r="E624">
            <v>6416</v>
          </cell>
          <cell r="F624">
            <v>11440</v>
          </cell>
          <cell r="G624">
            <v>7999</v>
          </cell>
          <cell r="H624">
            <v>14300</v>
          </cell>
          <cell r="I624">
            <v>9999</v>
          </cell>
          <cell r="J624" t="str">
            <v>SD</v>
          </cell>
          <cell r="K624">
            <v>0.30076923076923101</v>
          </cell>
          <cell r="L624" t="str">
            <v>2</v>
          </cell>
          <cell r="M624" t="str">
            <v>CTLG</v>
          </cell>
          <cell r="N624" t="str">
            <v/>
          </cell>
          <cell r="O624" t="str">
            <v/>
          </cell>
        </row>
        <row r="625">
          <cell r="A625">
            <v>47039</v>
          </cell>
          <cell r="B625">
            <v>47039</v>
          </cell>
          <cell r="C625" t="str">
            <v>Novage+ Personal Anti-AgeingRoutine</v>
          </cell>
          <cell r="D625">
            <v>120</v>
          </cell>
          <cell r="E625">
            <v>6416</v>
          </cell>
          <cell r="F625">
            <v>11440</v>
          </cell>
          <cell r="G625">
            <v>7999</v>
          </cell>
          <cell r="H625">
            <v>14300</v>
          </cell>
          <cell r="I625">
            <v>9999</v>
          </cell>
          <cell r="J625" t="str">
            <v>SD</v>
          </cell>
          <cell r="K625">
            <v>0.30076923076923101</v>
          </cell>
          <cell r="L625" t="str">
            <v>2</v>
          </cell>
          <cell r="M625" t="str">
            <v>CTLG</v>
          </cell>
          <cell r="N625" t="str">
            <v/>
          </cell>
          <cell r="O625" t="str">
            <v/>
          </cell>
        </row>
        <row r="626">
          <cell r="A626">
            <v>47040</v>
          </cell>
          <cell r="B626">
            <v>47040</v>
          </cell>
          <cell r="C626" t="str">
            <v>Novage+ Personal Anti-AgeingRoutine</v>
          </cell>
          <cell r="D626">
            <v>120</v>
          </cell>
          <cell r="E626">
            <v>6416</v>
          </cell>
          <cell r="F626">
            <v>11440</v>
          </cell>
          <cell r="G626">
            <v>7999</v>
          </cell>
          <cell r="H626">
            <v>14300</v>
          </cell>
          <cell r="I626">
            <v>9999</v>
          </cell>
          <cell r="J626" t="str">
            <v>SD</v>
          </cell>
          <cell r="K626">
            <v>0.30076923076923101</v>
          </cell>
          <cell r="L626" t="str">
            <v>2</v>
          </cell>
          <cell r="M626" t="str">
            <v>CTLG</v>
          </cell>
          <cell r="N626" t="str">
            <v/>
          </cell>
          <cell r="O626" t="str">
            <v/>
          </cell>
        </row>
        <row r="627">
          <cell r="A627">
            <v>47041</v>
          </cell>
          <cell r="B627">
            <v>47041</v>
          </cell>
          <cell r="C627" t="str">
            <v>Novage+ Personal Anti-AgeingRoutine</v>
          </cell>
          <cell r="D627">
            <v>120</v>
          </cell>
          <cell r="E627">
            <v>6416</v>
          </cell>
          <cell r="F627">
            <v>11440</v>
          </cell>
          <cell r="G627">
            <v>7999</v>
          </cell>
          <cell r="H627">
            <v>14300</v>
          </cell>
          <cell r="I627">
            <v>9999</v>
          </cell>
          <cell r="J627" t="str">
            <v>SD</v>
          </cell>
          <cell r="K627">
            <v>0.30076923076923101</v>
          </cell>
          <cell r="L627" t="str">
            <v>2</v>
          </cell>
          <cell r="M627" t="str">
            <v>CTLG</v>
          </cell>
          <cell r="N627" t="str">
            <v/>
          </cell>
          <cell r="O627" t="str">
            <v/>
          </cell>
        </row>
        <row r="628">
          <cell r="A628">
            <v>47042</v>
          </cell>
          <cell r="B628">
            <v>47042</v>
          </cell>
          <cell r="C628" t="str">
            <v>Novage+ Personal Anti-AgeingRoutine</v>
          </cell>
          <cell r="D628">
            <v>120</v>
          </cell>
          <cell r="E628">
            <v>6416</v>
          </cell>
          <cell r="F628">
            <v>11440</v>
          </cell>
          <cell r="G628">
            <v>7999</v>
          </cell>
          <cell r="H628">
            <v>14300</v>
          </cell>
          <cell r="I628">
            <v>9999</v>
          </cell>
          <cell r="J628" t="str">
            <v>SD</v>
          </cell>
          <cell r="K628">
            <v>0.30076923076923101</v>
          </cell>
          <cell r="L628" t="str">
            <v>2</v>
          </cell>
          <cell r="M628" t="str">
            <v>CTLG</v>
          </cell>
          <cell r="N628" t="str">
            <v/>
          </cell>
          <cell r="O628" t="str">
            <v/>
          </cell>
        </row>
        <row r="629">
          <cell r="A629">
            <v>47043</v>
          </cell>
          <cell r="B629">
            <v>47043</v>
          </cell>
          <cell r="C629" t="str">
            <v>Novage+ Personal Anti-AgeingRoutine</v>
          </cell>
          <cell r="D629">
            <v>120</v>
          </cell>
          <cell r="E629">
            <v>6416</v>
          </cell>
          <cell r="F629">
            <v>11440</v>
          </cell>
          <cell r="G629">
            <v>7999</v>
          </cell>
          <cell r="H629">
            <v>14300</v>
          </cell>
          <cell r="I629">
            <v>9999</v>
          </cell>
          <cell r="J629" t="str">
            <v>SD</v>
          </cell>
          <cell r="K629">
            <v>0.30076923076923101</v>
          </cell>
          <cell r="L629" t="str">
            <v>2</v>
          </cell>
          <cell r="M629" t="str">
            <v>CTLG</v>
          </cell>
          <cell r="N629" t="str">
            <v/>
          </cell>
          <cell r="O629" t="str">
            <v/>
          </cell>
        </row>
        <row r="630">
          <cell r="A630">
            <v>47044</v>
          </cell>
          <cell r="B630">
            <v>47044</v>
          </cell>
          <cell r="C630" t="str">
            <v>Novage+ Personal Anti-AgeingRoutine</v>
          </cell>
          <cell r="D630">
            <v>120</v>
          </cell>
          <cell r="E630">
            <v>6416</v>
          </cell>
          <cell r="F630">
            <v>11440</v>
          </cell>
          <cell r="G630">
            <v>7999</v>
          </cell>
          <cell r="H630">
            <v>14300</v>
          </cell>
          <cell r="I630">
            <v>9999</v>
          </cell>
          <cell r="J630" t="str">
            <v>SD</v>
          </cell>
          <cell r="K630">
            <v>0.30076923076923101</v>
          </cell>
          <cell r="L630" t="str">
            <v>2</v>
          </cell>
          <cell r="M630" t="str">
            <v>CTLG</v>
          </cell>
          <cell r="N630" t="str">
            <v/>
          </cell>
          <cell r="O630" t="str">
            <v/>
          </cell>
        </row>
        <row r="631">
          <cell r="A631">
            <v>47045</v>
          </cell>
          <cell r="B631">
            <v>47045</v>
          </cell>
          <cell r="C631" t="str">
            <v>Novage+ Personal Anti-AgeingRoutine</v>
          </cell>
          <cell r="D631">
            <v>120</v>
          </cell>
          <cell r="E631">
            <v>6416</v>
          </cell>
          <cell r="F631">
            <v>11440</v>
          </cell>
          <cell r="G631">
            <v>7999</v>
          </cell>
          <cell r="H631">
            <v>14300</v>
          </cell>
          <cell r="I631">
            <v>9999</v>
          </cell>
          <cell r="J631" t="str">
            <v>SD</v>
          </cell>
          <cell r="K631">
            <v>0.30076923076923101</v>
          </cell>
          <cell r="L631" t="str">
            <v>2</v>
          </cell>
          <cell r="M631" t="str">
            <v>CTLG</v>
          </cell>
          <cell r="N631" t="str">
            <v/>
          </cell>
          <cell r="O631" t="str">
            <v/>
          </cell>
        </row>
        <row r="632">
          <cell r="A632">
            <v>47046</v>
          </cell>
          <cell r="B632">
            <v>47046</v>
          </cell>
          <cell r="C632" t="str">
            <v>Novage+ Personal Anti-AgeingRoutine</v>
          </cell>
          <cell r="D632">
            <v>120</v>
          </cell>
          <cell r="E632">
            <v>6416</v>
          </cell>
          <cell r="F632">
            <v>11440</v>
          </cell>
          <cell r="G632">
            <v>7999</v>
          </cell>
          <cell r="H632">
            <v>14300</v>
          </cell>
          <cell r="I632">
            <v>9999</v>
          </cell>
          <cell r="J632" t="str">
            <v>SD</v>
          </cell>
          <cell r="K632">
            <v>0.30076923076923101</v>
          </cell>
          <cell r="L632" t="str">
            <v>2</v>
          </cell>
          <cell r="M632" t="str">
            <v>CTLG</v>
          </cell>
          <cell r="N632" t="str">
            <v/>
          </cell>
          <cell r="O632" t="str">
            <v/>
          </cell>
        </row>
        <row r="633">
          <cell r="A633">
            <v>47047</v>
          </cell>
          <cell r="B633">
            <v>47047</v>
          </cell>
          <cell r="C633" t="str">
            <v>Novage+ Personal Anti-AgeingRoutine</v>
          </cell>
          <cell r="D633">
            <v>120</v>
          </cell>
          <cell r="E633">
            <v>6416</v>
          </cell>
          <cell r="F633">
            <v>11440</v>
          </cell>
          <cell r="G633">
            <v>7999</v>
          </cell>
          <cell r="H633">
            <v>14300</v>
          </cell>
          <cell r="I633">
            <v>9999</v>
          </cell>
          <cell r="J633" t="str">
            <v>SD</v>
          </cell>
          <cell r="K633">
            <v>0.30076923076923101</v>
          </cell>
          <cell r="L633" t="str">
            <v>2</v>
          </cell>
          <cell r="M633" t="str">
            <v>CTLG</v>
          </cell>
          <cell r="N633" t="str">
            <v/>
          </cell>
          <cell r="O633" t="str">
            <v/>
          </cell>
        </row>
        <row r="634">
          <cell r="A634">
            <v>47048</v>
          </cell>
          <cell r="B634">
            <v>47048</v>
          </cell>
          <cell r="C634" t="str">
            <v>Novage+ Personal Anti-AgeingRoutine</v>
          </cell>
          <cell r="D634">
            <v>120</v>
          </cell>
          <cell r="E634">
            <v>6416</v>
          </cell>
          <cell r="F634">
            <v>11440</v>
          </cell>
          <cell r="G634">
            <v>7999</v>
          </cell>
          <cell r="H634">
            <v>14300</v>
          </cell>
          <cell r="I634">
            <v>9999</v>
          </cell>
          <cell r="J634" t="str">
            <v>SD</v>
          </cell>
          <cell r="K634">
            <v>0.30076923076923101</v>
          </cell>
          <cell r="L634" t="str">
            <v>2</v>
          </cell>
          <cell r="M634" t="str">
            <v>CTLG</v>
          </cell>
          <cell r="N634" t="str">
            <v/>
          </cell>
          <cell r="O634" t="str">
            <v/>
          </cell>
        </row>
        <row r="635">
          <cell r="A635">
            <v>47049</v>
          </cell>
          <cell r="B635">
            <v>47049</v>
          </cell>
          <cell r="C635" t="str">
            <v>Novage+ Personal Anti-AgeingRoutine</v>
          </cell>
          <cell r="D635">
            <v>120</v>
          </cell>
          <cell r="E635">
            <v>6416</v>
          </cell>
          <cell r="F635">
            <v>11440</v>
          </cell>
          <cell r="G635">
            <v>7999</v>
          </cell>
          <cell r="H635">
            <v>14300</v>
          </cell>
          <cell r="I635">
            <v>9999</v>
          </cell>
          <cell r="J635" t="str">
            <v>SD</v>
          </cell>
          <cell r="K635">
            <v>0.30076923076923101</v>
          </cell>
          <cell r="L635" t="str">
            <v>2</v>
          </cell>
          <cell r="M635" t="str">
            <v>CTLG</v>
          </cell>
          <cell r="N635" t="str">
            <v/>
          </cell>
          <cell r="O635" t="str">
            <v/>
          </cell>
        </row>
        <row r="636">
          <cell r="A636">
            <v>47050</v>
          </cell>
          <cell r="B636">
            <v>47050</v>
          </cell>
          <cell r="C636" t="str">
            <v>Novage+ Personal Anti-AgeingRoutine</v>
          </cell>
          <cell r="D636">
            <v>120</v>
          </cell>
          <cell r="E636">
            <v>6416</v>
          </cell>
          <cell r="F636">
            <v>11440</v>
          </cell>
          <cell r="G636">
            <v>7999</v>
          </cell>
          <cell r="H636">
            <v>14300</v>
          </cell>
          <cell r="I636">
            <v>9999</v>
          </cell>
          <cell r="J636" t="str">
            <v>SD</v>
          </cell>
          <cell r="K636">
            <v>0.30076923076923101</v>
          </cell>
          <cell r="L636" t="str">
            <v>2</v>
          </cell>
          <cell r="M636" t="str">
            <v>CTLG</v>
          </cell>
          <cell r="N636" t="str">
            <v/>
          </cell>
          <cell r="O636" t="str">
            <v/>
          </cell>
        </row>
        <row r="637">
          <cell r="A637">
            <v>47051</v>
          </cell>
          <cell r="B637">
            <v>47051</v>
          </cell>
          <cell r="C637" t="str">
            <v>Novage+ Personal Anti-AgeingRoutine</v>
          </cell>
          <cell r="D637">
            <v>120</v>
          </cell>
          <cell r="E637">
            <v>6416</v>
          </cell>
          <cell r="F637">
            <v>11440</v>
          </cell>
          <cell r="G637">
            <v>7999</v>
          </cell>
          <cell r="H637">
            <v>14300</v>
          </cell>
          <cell r="I637">
            <v>9999</v>
          </cell>
          <cell r="J637" t="str">
            <v>SD</v>
          </cell>
          <cell r="K637">
            <v>0.30076923076923101</v>
          </cell>
          <cell r="L637" t="str">
            <v>2</v>
          </cell>
          <cell r="M637" t="str">
            <v>CTLG</v>
          </cell>
          <cell r="N637" t="str">
            <v/>
          </cell>
          <cell r="O637" t="str">
            <v/>
          </cell>
        </row>
        <row r="638">
          <cell r="A638">
            <v>47052</v>
          </cell>
          <cell r="B638">
            <v>47052</v>
          </cell>
          <cell r="C638" t="str">
            <v>Novage+ Personal Anti-AgeingRoutine</v>
          </cell>
          <cell r="D638">
            <v>120</v>
          </cell>
          <cell r="E638">
            <v>6416</v>
          </cell>
          <cell r="F638">
            <v>11440</v>
          </cell>
          <cell r="G638">
            <v>7999</v>
          </cell>
          <cell r="H638">
            <v>14300</v>
          </cell>
          <cell r="I638">
            <v>9999</v>
          </cell>
          <cell r="J638" t="str">
            <v>SD</v>
          </cell>
          <cell r="K638">
            <v>0.30076923076923101</v>
          </cell>
          <cell r="L638" t="str">
            <v>2</v>
          </cell>
          <cell r="M638" t="str">
            <v>CTLG</v>
          </cell>
          <cell r="N638" t="str">
            <v/>
          </cell>
          <cell r="O638" t="str">
            <v/>
          </cell>
        </row>
        <row r="639">
          <cell r="A639">
            <v>47053</v>
          </cell>
          <cell r="B639">
            <v>47053</v>
          </cell>
          <cell r="C639" t="str">
            <v>Novage+ Personal Anti-AgeingRoutine</v>
          </cell>
          <cell r="D639">
            <v>120</v>
          </cell>
          <cell r="E639">
            <v>6416</v>
          </cell>
          <cell r="F639">
            <v>11440</v>
          </cell>
          <cell r="G639">
            <v>7999</v>
          </cell>
          <cell r="H639">
            <v>14300</v>
          </cell>
          <cell r="I639">
            <v>9999</v>
          </cell>
          <cell r="J639" t="str">
            <v>SD</v>
          </cell>
          <cell r="K639">
            <v>0.30076923076923101</v>
          </cell>
          <cell r="L639" t="str">
            <v>2</v>
          </cell>
          <cell r="M639" t="str">
            <v>CTLG</v>
          </cell>
          <cell r="N639" t="str">
            <v/>
          </cell>
          <cell r="O639" t="str">
            <v/>
          </cell>
        </row>
        <row r="640">
          <cell r="A640">
            <v>47054</v>
          </cell>
          <cell r="B640">
            <v>47054</v>
          </cell>
          <cell r="C640" t="str">
            <v>Novage+ Personal Anti-AgeingRoutine</v>
          </cell>
          <cell r="D640">
            <v>120</v>
          </cell>
          <cell r="E640">
            <v>6416</v>
          </cell>
          <cell r="F640">
            <v>11440</v>
          </cell>
          <cell r="G640">
            <v>7999</v>
          </cell>
          <cell r="H640">
            <v>14300</v>
          </cell>
          <cell r="I640">
            <v>9999</v>
          </cell>
          <cell r="J640" t="str">
            <v>SD</v>
          </cell>
          <cell r="K640">
            <v>0.30076923076923101</v>
          </cell>
          <cell r="L640" t="str">
            <v>2</v>
          </cell>
          <cell r="M640" t="str">
            <v>CTLG</v>
          </cell>
          <cell r="N640" t="str">
            <v/>
          </cell>
          <cell r="O640" t="str">
            <v/>
          </cell>
        </row>
        <row r="641">
          <cell r="A641">
            <v>47055</v>
          </cell>
          <cell r="B641">
            <v>47055</v>
          </cell>
          <cell r="C641" t="str">
            <v>Novage+ Personal Anti-AgeingRoutine</v>
          </cell>
          <cell r="D641">
            <v>120</v>
          </cell>
          <cell r="E641">
            <v>6416</v>
          </cell>
          <cell r="F641">
            <v>11440</v>
          </cell>
          <cell r="G641">
            <v>7999</v>
          </cell>
          <cell r="H641">
            <v>14300</v>
          </cell>
          <cell r="I641">
            <v>9999</v>
          </cell>
          <cell r="J641" t="str">
            <v>SD</v>
          </cell>
          <cell r="K641">
            <v>0.30076923076923101</v>
          </cell>
          <cell r="L641" t="str">
            <v>2</v>
          </cell>
          <cell r="M641" t="str">
            <v>CTLG</v>
          </cell>
          <cell r="N641" t="str">
            <v/>
          </cell>
          <cell r="O641" t="str">
            <v/>
          </cell>
        </row>
        <row r="642">
          <cell r="A642">
            <v>47056</v>
          </cell>
          <cell r="B642">
            <v>47056</v>
          </cell>
          <cell r="C642" t="str">
            <v>Novage+ Personal Anti-AgeingRoutine</v>
          </cell>
          <cell r="D642">
            <v>120</v>
          </cell>
          <cell r="E642">
            <v>6416</v>
          </cell>
          <cell r="F642">
            <v>11440</v>
          </cell>
          <cell r="G642">
            <v>7999</v>
          </cell>
          <cell r="H642">
            <v>14300</v>
          </cell>
          <cell r="I642">
            <v>9999</v>
          </cell>
          <cell r="J642" t="str">
            <v>SD</v>
          </cell>
          <cell r="K642">
            <v>0.30076923076923101</v>
          </cell>
          <cell r="L642" t="str">
            <v>2</v>
          </cell>
          <cell r="M642" t="str">
            <v>CTLG</v>
          </cell>
          <cell r="N642" t="str">
            <v/>
          </cell>
          <cell r="O642" t="str">
            <v/>
          </cell>
        </row>
        <row r="643">
          <cell r="A643">
            <v>47057</v>
          </cell>
          <cell r="B643">
            <v>47057</v>
          </cell>
          <cell r="C643" t="str">
            <v>Novage+ Personal Anti-AgeingRoutine</v>
          </cell>
          <cell r="D643">
            <v>120</v>
          </cell>
          <cell r="E643">
            <v>6416</v>
          </cell>
          <cell r="F643">
            <v>11440</v>
          </cell>
          <cell r="G643">
            <v>7999</v>
          </cell>
          <cell r="H643">
            <v>14300</v>
          </cell>
          <cell r="I643">
            <v>9999</v>
          </cell>
          <cell r="J643" t="str">
            <v>SD</v>
          </cell>
          <cell r="K643">
            <v>0.30076923076923101</v>
          </cell>
          <cell r="L643" t="str">
            <v>2</v>
          </cell>
          <cell r="M643" t="str">
            <v>CTLG</v>
          </cell>
          <cell r="N643" t="str">
            <v/>
          </cell>
          <cell r="O643" t="str">
            <v/>
          </cell>
        </row>
        <row r="644">
          <cell r="A644">
            <v>47058</v>
          </cell>
          <cell r="B644">
            <v>47058</v>
          </cell>
          <cell r="C644" t="str">
            <v>Novage+ Personal Anti-AgeingRoutine</v>
          </cell>
          <cell r="D644">
            <v>120</v>
          </cell>
          <cell r="E644">
            <v>6416</v>
          </cell>
          <cell r="F644">
            <v>11440</v>
          </cell>
          <cell r="G644">
            <v>7999</v>
          </cell>
          <cell r="H644">
            <v>14300</v>
          </cell>
          <cell r="I644">
            <v>9999</v>
          </cell>
          <cell r="J644" t="str">
            <v>SD</v>
          </cell>
          <cell r="K644">
            <v>0.30076923076923101</v>
          </cell>
          <cell r="L644" t="str">
            <v>2</v>
          </cell>
          <cell r="M644" t="str">
            <v>CTLG</v>
          </cell>
          <cell r="N644" t="str">
            <v/>
          </cell>
          <cell r="O644" t="str">
            <v/>
          </cell>
        </row>
        <row r="645">
          <cell r="A645">
            <v>47059</v>
          </cell>
          <cell r="B645">
            <v>47059</v>
          </cell>
          <cell r="C645" t="str">
            <v>Novage+ Personal Anti-AgeingRoutine</v>
          </cell>
          <cell r="D645">
            <v>120</v>
          </cell>
          <cell r="E645">
            <v>6416</v>
          </cell>
          <cell r="F645">
            <v>11440</v>
          </cell>
          <cell r="G645">
            <v>7999</v>
          </cell>
          <cell r="H645">
            <v>14300</v>
          </cell>
          <cell r="I645">
            <v>9999</v>
          </cell>
          <cell r="J645" t="str">
            <v>SD</v>
          </cell>
          <cell r="K645">
            <v>0.30076923076923101</v>
          </cell>
          <cell r="L645" t="str">
            <v>2</v>
          </cell>
          <cell r="M645" t="str">
            <v>CTLG</v>
          </cell>
          <cell r="N645" t="str">
            <v/>
          </cell>
          <cell r="O645" t="str">
            <v/>
          </cell>
        </row>
        <row r="646">
          <cell r="A646">
            <v>47060</v>
          </cell>
          <cell r="B646">
            <v>47060</v>
          </cell>
          <cell r="C646" t="str">
            <v>Novage+ Personal Anti-AgeingRoutine</v>
          </cell>
          <cell r="D646">
            <v>120</v>
          </cell>
          <cell r="E646">
            <v>6416</v>
          </cell>
          <cell r="F646">
            <v>11440</v>
          </cell>
          <cell r="G646">
            <v>7999</v>
          </cell>
          <cell r="H646">
            <v>14300</v>
          </cell>
          <cell r="I646">
            <v>9999</v>
          </cell>
          <cell r="J646" t="str">
            <v>SD</v>
          </cell>
          <cell r="K646">
            <v>0.30076923076923101</v>
          </cell>
          <cell r="L646" t="str">
            <v>2</v>
          </cell>
          <cell r="M646" t="str">
            <v>CTLG</v>
          </cell>
          <cell r="N646" t="str">
            <v/>
          </cell>
          <cell r="O646" t="str">
            <v/>
          </cell>
        </row>
        <row r="647">
          <cell r="A647">
            <v>47061</v>
          </cell>
          <cell r="B647">
            <v>47061</v>
          </cell>
          <cell r="C647" t="str">
            <v>Novage+ Personal Anti-AgeingRoutine</v>
          </cell>
          <cell r="D647">
            <v>120</v>
          </cell>
          <cell r="E647">
            <v>6416</v>
          </cell>
          <cell r="F647">
            <v>11440</v>
          </cell>
          <cell r="G647">
            <v>7999</v>
          </cell>
          <cell r="H647">
            <v>14300</v>
          </cell>
          <cell r="I647">
            <v>9999</v>
          </cell>
          <cell r="J647" t="str">
            <v>SD</v>
          </cell>
          <cell r="K647">
            <v>0.30076923076923101</v>
          </cell>
          <cell r="L647" t="str">
            <v>2</v>
          </cell>
          <cell r="M647" t="str">
            <v>CTLG</v>
          </cell>
          <cell r="N647" t="str">
            <v/>
          </cell>
          <cell r="O647" t="str">
            <v/>
          </cell>
        </row>
        <row r="648">
          <cell r="A648">
            <v>47062</v>
          </cell>
          <cell r="B648">
            <v>47062</v>
          </cell>
          <cell r="C648" t="str">
            <v>Novage+ Personal Anti-AgeingRoutine</v>
          </cell>
          <cell r="D648">
            <v>120</v>
          </cell>
          <cell r="E648">
            <v>6416</v>
          </cell>
          <cell r="F648">
            <v>11440</v>
          </cell>
          <cell r="G648">
            <v>7999</v>
          </cell>
          <cell r="H648">
            <v>14300</v>
          </cell>
          <cell r="I648">
            <v>9999</v>
          </cell>
          <cell r="J648" t="str">
            <v>SD</v>
          </cell>
          <cell r="K648">
            <v>0.30076923076923101</v>
          </cell>
          <cell r="L648" t="str">
            <v>2</v>
          </cell>
          <cell r="M648" t="str">
            <v>CTLG</v>
          </cell>
          <cell r="N648" t="str">
            <v/>
          </cell>
          <cell r="O648" t="str">
            <v/>
          </cell>
        </row>
        <row r="649">
          <cell r="A649">
            <v>47063</v>
          </cell>
          <cell r="B649">
            <v>47063</v>
          </cell>
          <cell r="C649" t="str">
            <v>Novage+ Personal Anti-AgeingRoutine</v>
          </cell>
          <cell r="D649">
            <v>120</v>
          </cell>
          <cell r="E649">
            <v>6416</v>
          </cell>
          <cell r="F649">
            <v>11440</v>
          </cell>
          <cell r="G649">
            <v>7999</v>
          </cell>
          <cell r="H649">
            <v>14300</v>
          </cell>
          <cell r="I649">
            <v>9999</v>
          </cell>
          <cell r="J649" t="str">
            <v>SD</v>
          </cell>
          <cell r="K649">
            <v>0.30076923076923101</v>
          </cell>
          <cell r="L649" t="str">
            <v>2</v>
          </cell>
          <cell r="M649" t="str">
            <v>CTLG</v>
          </cell>
          <cell r="N649" t="str">
            <v/>
          </cell>
          <cell r="O649" t="str">
            <v/>
          </cell>
        </row>
        <row r="650">
          <cell r="A650">
            <v>47064</v>
          </cell>
          <cell r="B650">
            <v>47064</v>
          </cell>
          <cell r="C650" t="str">
            <v>Novage+ Personal Anti-AgeingRoutine</v>
          </cell>
          <cell r="D650">
            <v>120</v>
          </cell>
          <cell r="E650">
            <v>6416</v>
          </cell>
          <cell r="F650">
            <v>11440</v>
          </cell>
          <cell r="G650">
            <v>7999</v>
          </cell>
          <cell r="H650">
            <v>14300</v>
          </cell>
          <cell r="I650">
            <v>9999</v>
          </cell>
          <cell r="J650" t="str">
            <v>SD</v>
          </cell>
          <cell r="K650">
            <v>0.30076923076923101</v>
          </cell>
          <cell r="L650" t="str">
            <v>2</v>
          </cell>
          <cell r="M650" t="str">
            <v>CTLG</v>
          </cell>
          <cell r="N650" t="str">
            <v/>
          </cell>
          <cell r="O650" t="str">
            <v/>
          </cell>
        </row>
        <row r="651">
          <cell r="A651">
            <v>47065</v>
          </cell>
          <cell r="B651">
            <v>47065</v>
          </cell>
          <cell r="C651" t="str">
            <v>Novage+ Personal Anti-AgeingRoutine</v>
          </cell>
          <cell r="D651">
            <v>120</v>
          </cell>
          <cell r="E651">
            <v>6416</v>
          </cell>
          <cell r="F651">
            <v>11440</v>
          </cell>
          <cell r="G651">
            <v>7999</v>
          </cell>
          <cell r="H651">
            <v>14300</v>
          </cell>
          <cell r="I651">
            <v>9999</v>
          </cell>
          <cell r="J651" t="str">
            <v>SD</v>
          </cell>
          <cell r="K651">
            <v>0.30076923076923101</v>
          </cell>
          <cell r="L651" t="str">
            <v>2</v>
          </cell>
          <cell r="M651" t="str">
            <v>CTLG</v>
          </cell>
          <cell r="N651" t="str">
            <v/>
          </cell>
          <cell r="O651" t="str">
            <v/>
          </cell>
        </row>
        <row r="652">
          <cell r="A652">
            <v>47066</v>
          </cell>
          <cell r="B652">
            <v>47066</v>
          </cell>
          <cell r="C652" t="str">
            <v>Novage+ Personal Anti-AgeingRoutine</v>
          </cell>
          <cell r="D652">
            <v>120</v>
          </cell>
          <cell r="E652">
            <v>6416</v>
          </cell>
          <cell r="F652">
            <v>11440</v>
          </cell>
          <cell r="G652">
            <v>7999</v>
          </cell>
          <cell r="H652">
            <v>14300</v>
          </cell>
          <cell r="I652">
            <v>9999</v>
          </cell>
          <cell r="J652" t="str">
            <v>SD</v>
          </cell>
          <cell r="K652">
            <v>0.30076923076923101</v>
          </cell>
          <cell r="L652" t="str">
            <v>2</v>
          </cell>
          <cell r="M652" t="str">
            <v>CTLG</v>
          </cell>
          <cell r="N652" t="str">
            <v/>
          </cell>
          <cell r="O652" t="str">
            <v/>
          </cell>
        </row>
        <row r="653">
          <cell r="A653">
            <v>47067</v>
          </cell>
          <cell r="B653">
            <v>47067</v>
          </cell>
          <cell r="C653" t="str">
            <v>Novage+ Personal Anti-AgeingRoutine</v>
          </cell>
          <cell r="D653">
            <v>120</v>
          </cell>
          <cell r="E653">
            <v>6416</v>
          </cell>
          <cell r="F653">
            <v>11440</v>
          </cell>
          <cell r="G653">
            <v>7999</v>
          </cell>
          <cell r="H653">
            <v>14300</v>
          </cell>
          <cell r="I653">
            <v>9999</v>
          </cell>
          <cell r="J653" t="str">
            <v>SD</v>
          </cell>
          <cell r="K653">
            <v>0.30076923076923101</v>
          </cell>
          <cell r="L653" t="str">
            <v>2</v>
          </cell>
          <cell r="M653" t="str">
            <v>CTLG</v>
          </cell>
          <cell r="N653" t="str">
            <v/>
          </cell>
          <cell r="O653" t="str">
            <v/>
          </cell>
        </row>
        <row r="654">
          <cell r="A654">
            <v>47068</v>
          </cell>
          <cell r="B654">
            <v>47068</v>
          </cell>
          <cell r="C654" t="str">
            <v>Novage+ Personal Anti-AgeingRoutine</v>
          </cell>
          <cell r="D654">
            <v>120</v>
          </cell>
          <cell r="E654">
            <v>6416</v>
          </cell>
          <cell r="F654">
            <v>11440</v>
          </cell>
          <cell r="G654">
            <v>7999</v>
          </cell>
          <cell r="H654">
            <v>14300</v>
          </cell>
          <cell r="I654">
            <v>9999</v>
          </cell>
          <cell r="J654" t="str">
            <v>SD</v>
          </cell>
          <cell r="K654">
            <v>0.30076923076923101</v>
          </cell>
          <cell r="L654" t="str">
            <v>2</v>
          </cell>
          <cell r="M654" t="str">
            <v>CTLG</v>
          </cell>
          <cell r="N654" t="str">
            <v/>
          </cell>
          <cell r="O654" t="str">
            <v/>
          </cell>
        </row>
        <row r="655">
          <cell r="A655">
            <v>47069</v>
          </cell>
          <cell r="B655">
            <v>47069</v>
          </cell>
          <cell r="C655" t="str">
            <v>Novage+ Personal Anti-AgeingRoutine</v>
          </cell>
          <cell r="D655">
            <v>120</v>
          </cell>
          <cell r="E655">
            <v>6416</v>
          </cell>
          <cell r="F655">
            <v>11440</v>
          </cell>
          <cell r="G655">
            <v>7999</v>
          </cell>
          <cell r="H655">
            <v>14300</v>
          </cell>
          <cell r="I655">
            <v>9999</v>
          </cell>
          <cell r="J655" t="str">
            <v>SD</v>
          </cell>
          <cell r="K655">
            <v>0.30076923076923101</v>
          </cell>
          <cell r="L655" t="str">
            <v>2</v>
          </cell>
          <cell r="M655" t="str">
            <v>CTLG</v>
          </cell>
          <cell r="N655" t="str">
            <v/>
          </cell>
          <cell r="O655" t="str">
            <v/>
          </cell>
        </row>
        <row r="656">
          <cell r="A656">
            <v>47070</v>
          </cell>
          <cell r="B656">
            <v>47070</v>
          </cell>
          <cell r="C656" t="str">
            <v>Novage+ Personal Anti-AgeingRoutine</v>
          </cell>
          <cell r="D656">
            <v>120</v>
          </cell>
          <cell r="E656">
            <v>6416</v>
          </cell>
          <cell r="F656">
            <v>11440</v>
          </cell>
          <cell r="G656">
            <v>7999</v>
          </cell>
          <cell r="H656">
            <v>14300</v>
          </cell>
          <cell r="I656">
            <v>9999</v>
          </cell>
          <cell r="J656" t="str">
            <v>SD</v>
          </cell>
          <cell r="K656">
            <v>0.30076923076923101</v>
          </cell>
          <cell r="L656" t="str">
            <v>2</v>
          </cell>
          <cell r="M656" t="str">
            <v>CTLG</v>
          </cell>
          <cell r="N656" t="str">
            <v/>
          </cell>
          <cell r="O656" t="str">
            <v/>
          </cell>
        </row>
        <row r="657">
          <cell r="A657">
            <v>46810</v>
          </cell>
          <cell r="B657">
            <v>46810</v>
          </cell>
          <cell r="C657" t="str">
            <v>Novage+ Personal Anti-AgeingRoutine</v>
          </cell>
          <cell r="D657">
            <v>120</v>
          </cell>
          <cell r="E657">
            <v>6416</v>
          </cell>
          <cell r="F657">
            <v>11440</v>
          </cell>
          <cell r="G657">
            <v>7999</v>
          </cell>
          <cell r="H657">
            <v>14300</v>
          </cell>
          <cell r="I657">
            <v>9999</v>
          </cell>
          <cell r="J657" t="str">
            <v>SD</v>
          </cell>
          <cell r="K657">
            <v>0.30076923076923101</v>
          </cell>
          <cell r="L657" t="str">
            <v>1</v>
          </cell>
          <cell r="M657" t="str">
            <v>CTLG</v>
          </cell>
          <cell r="N657" t="str">
            <v/>
          </cell>
          <cell r="O657" t="str">
            <v/>
          </cell>
        </row>
        <row r="658">
          <cell r="A658">
            <v>46811</v>
          </cell>
          <cell r="B658">
            <v>46811</v>
          </cell>
          <cell r="C658" t="str">
            <v>Novage+ Personal Anti-AgeingRoutine</v>
          </cell>
          <cell r="D658">
            <v>120</v>
          </cell>
          <cell r="E658">
            <v>6416</v>
          </cell>
          <cell r="F658">
            <v>11440</v>
          </cell>
          <cell r="G658">
            <v>7999</v>
          </cell>
          <cell r="H658">
            <v>14300</v>
          </cell>
          <cell r="I658">
            <v>9999</v>
          </cell>
          <cell r="J658" t="str">
            <v>SD</v>
          </cell>
          <cell r="K658">
            <v>0.30076923076923101</v>
          </cell>
          <cell r="L658" t="str">
            <v>1</v>
          </cell>
          <cell r="M658" t="str">
            <v>CTLG</v>
          </cell>
          <cell r="N658" t="str">
            <v/>
          </cell>
          <cell r="O658" t="str">
            <v/>
          </cell>
        </row>
        <row r="659">
          <cell r="A659">
            <v>46812</v>
          </cell>
          <cell r="B659">
            <v>46812</v>
          </cell>
          <cell r="C659" t="str">
            <v>Novage+ Personal Anti-AgeingRoutine</v>
          </cell>
          <cell r="D659">
            <v>120</v>
          </cell>
          <cell r="E659">
            <v>6416</v>
          </cell>
          <cell r="F659">
            <v>11440</v>
          </cell>
          <cell r="G659">
            <v>7999</v>
          </cell>
          <cell r="H659">
            <v>14300</v>
          </cell>
          <cell r="I659">
            <v>9999</v>
          </cell>
          <cell r="J659" t="str">
            <v>SD</v>
          </cell>
          <cell r="K659">
            <v>0.30076923076923101</v>
          </cell>
          <cell r="L659" t="str">
            <v>1</v>
          </cell>
          <cell r="M659" t="str">
            <v>CTLG</v>
          </cell>
          <cell r="N659" t="str">
            <v/>
          </cell>
          <cell r="O659" t="str">
            <v/>
          </cell>
        </row>
        <row r="660">
          <cell r="A660">
            <v>46813</v>
          </cell>
          <cell r="B660">
            <v>46813</v>
          </cell>
          <cell r="C660" t="str">
            <v>Novage+ Personal Anti-AgeingRoutine</v>
          </cell>
          <cell r="D660">
            <v>120</v>
          </cell>
          <cell r="E660">
            <v>6416</v>
          </cell>
          <cell r="F660">
            <v>11440</v>
          </cell>
          <cell r="G660">
            <v>7999</v>
          </cell>
          <cell r="H660">
            <v>14300</v>
          </cell>
          <cell r="I660">
            <v>9999</v>
          </cell>
          <cell r="J660" t="str">
            <v>SD</v>
          </cell>
          <cell r="K660">
            <v>0.30076923076923101</v>
          </cell>
          <cell r="L660" t="str">
            <v>1</v>
          </cell>
          <cell r="M660" t="str">
            <v>CTLG</v>
          </cell>
          <cell r="N660" t="str">
            <v/>
          </cell>
          <cell r="O660" t="str">
            <v/>
          </cell>
        </row>
        <row r="661">
          <cell r="A661">
            <v>46814</v>
          </cell>
          <cell r="B661">
            <v>46814</v>
          </cell>
          <cell r="C661" t="str">
            <v>Novage+ Personal Anti-AgeingRoutine</v>
          </cell>
          <cell r="D661">
            <v>120</v>
          </cell>
          <cell r="E661">
            <v>6416</v>
          </cell>
          <cell r="F661">
            <v>11440</v>
          </cell>
          <cell r="G661">
            <v>7999</v>
          </cell>
          <cell r="H661">
            <v>14300</v>
          </cell>
          <cell r="I661">
            <v>9999</v>
          </cell>
          <cell r="J661" t="str">
            <v>SD</v>
          </cell>
          <cell r="K661">
            <v>0.30076923076923101</v>
          </cell>
          <cell r="L661" t="str">
            <v>1</v>
          </cell>
          <cell r="M661" t="str">
            <v>CTLG</v>
          </cell>
          <cell r="N661" t="str">
            <v/>
          </cell>
          <cell r="O661" t="str">
            <v/>
          </cell>
        </row>
        <row r="662">
          <cell r="A662">
            <v>46815</v>
          </cell>
          <cell r="B662">
            <v>46815</v>
          </cell>
          <cell r="C662" t="str">
            <v>Novage+ Personal Anti-AgeingRoutine</v>
          </cell>
          <cell r="D662">
            <v>120</v>
          </cell>
          <cell r="E662">
            <v>6416</v>
          </cell>
          <cell r="F662">
            <v>11440</v>
          </cell>
          <cell r="G662">
            <v>7999</v>
          </cell>
          <cell r="H662">
            <v>14300</v>
          </cell>
          <cell r="I662">
            <v>9999</v>
          </cell>
          <cell r="J662" t="str">
            <v>SD</v>
          </cell>
          <cell r="K662">
            <v>0.30076923076923101</v>
          </cell>
          <cell r="L662" t="str">
            <v>1</v>
          </cell>
          <cell r="M662" t="str">
            <v>CTLG</v>
          </cell>
          <cell r="N662" t="str">
            <v/>
          </cell>
          <cell r="O662" t="str">
            <v/>
          </cell>
        </row>
        <row r="663">
          <cell r="A663">
            <v>46816</v>
          </cell>
          <cell r="B663">
            <v>46816</v>
          </cell>
          <cell r="C663" t="str">
            <v>Novage+ Personal Anti-AgeingRoutine</v>
          </cell>
          <cell r="D663">
            <v>120</v>
          </cell>
          <cell r="E663">
            <v>6416</v>
          </cell>
          <cell r="F663">
            <v>11440</v>
          </cell>
          <cell r="G663">
            <v>7999</v>
          </cell>
          <cell r="H663">
            <v>14300</v>
          </cell>
          <cell r="I663">
            <v>9999</v>
          </cell>
          <cell r="J663" t="str">
            <v>SD</v>
          </cell>
          <cell r="K663">
            <v>0.30076923076923101</v>
          </cell>
          <cell r="L663" t="str">
            <v>1</v>
          </cell>
          <cell r="M663" t="str">
            <v>CTLG</v>
          </cell>
          <cell r="N663" t="str">
            <v/>
          </cell>
          <cell r="O663" t="str">
            <v/>
          </cell>
        </row>
        <row r="664">
          <cell r="A664">
            <v>46817</v>
          </cell>
          <cell r="B664">
            <v>46817</v>
          </cell>
          <cell r="C664" t="str">
            <v>Novage+ Personal Anti-AgeingRoutine</v>
          </cell>
          <cell r="D664">
            <v>120</v>
          </cell>
          <cell r="E664">
            <v>6416</v>
          </cell>
          <cell r="F664">
            <v>11440</v>
          </cell>
          <cell r="G664">
            <v>7999</v>
          </cell>
          <cell r="H664">
            <v>14300</v>
          </cell>
          <cell r="I664">
            <v>9999</v>
          </cell>
          <cell r="J664" t="str">
            <v>SD</v>
          </cell>
          <cell r="K664">
            <v>0.30076923076923101</v>
          </cell>
          <cell r="L664" t="str">
            <v>1</v>
          </cell>
          <cell r="M664" t="str">
            <v>CTLG</v>
          </cell>
          <cell r="N664" t="str">
            <v/>
          </cell>
          <cell r="O664" t="str">
            <v/>
          </cell>
        </row>
        <row r="665">
          <cell r="A665">
            <v>46818</v>
          </cell>
          <cell r="B665">
            <v>46818</v>
          </cell>
          <cell r="C665" t="str">
            <v>Novage+ Personal Anti-AgeingRoutine</v>
          </cell>
          <cell r="D665">
            <v>120</v>
          </cell>
          <cell r="E665">
            <v>6416</v>
          </cell>
          <cell r="F665">
            <v>11440</v>
          </cell>
          <cell r="G665">
            <v>7999</v>
          </cell>
          <cell r="H665">
            <v>14300</v>
          </cell>
          <cell r="I665">
            <v>9999</v>
          </cell>
          <cell r="J665" t="str">
            <v>SD</v>
          </cell>
          <cell r="K665">
            <v>0.30076923076923101</v>
          </cell>
          <cell r="L665" t="str">
            <v>1</v>
          </cell>
          <cell r="M665" t="str">
            <v>CTLG</v>
          </cell>
          <cell r="N665" t="str">
            <v/>
          </cell>
          <cell r="O665" t="str">
            <v/>
          </cell>
        </row>
        <row r="666">
          <cell r="A666">
            <v>46819</v>
          </cell>
          <cell r="B666">
            <v>46819</v>
          </cell>
          <cell r="C666" t="str">
            <v>Novage+ Personal Anti-AgeingRoutine</v>
          </cell>
          <cell r="D666">
            <v>120</v>
          </cell>
          <cell r="E666">
            <v>6416</v>
          </cell>
          <cell r="F666">
            <v>11440</v>
          </cell>
          <cell r="G666">
            <v>7999</v>
          </cell>
          <cell r="H666">
            <v>14300</v>
          </cell>
          <cell r="I666">
            <v>9999</v>
          </cell>
          <cell r="J666" t="str">
            <v>SD</v>
          </cell>
          <cell r="K666">
            <v>0.30076923076923101</v>
          </cell>
          <cell r="L666" t="str">
            <v>1</v>
          </cell>
          <cell r="M666" t="str">
            <v>CTLG</v>
          </cell>
          <cell r="N666" t="str">
            <v/>
          </cell>
          <cell r="O666" t="str">
            <v/>
          </cell>
        </row>
        <row r="667">
          <cell r="A667">
            <v>46820</v>
          </cell>
          <cell r="B667">
            <v>46820</v>
          </cell>
          <cell r="C667" t="str">
            <v>Novage+ Personal Anti-AgeingRoutine</v>
          </cell>
          <cell r="D667">
            <v>120</v>
          </cell>
          <cell r="E667">
            <v>6416</v>
          </cell>
          <cell r="F667">
            <v>11440</v>
          </cell>
          <cell r="G667">
            <v>7999</v>
          </cell>
          <cell r="H667">
            <v>14300</v>
          </cell>
          <cell r="I667">
            <v>9999</v>
          </cell>
          <cell r="J667" t="str">
            <v>SD</v>
          </cell>
          <cell r="K667">
            <v>0.30076923076923101</v>
          </cell>
          <cell r="L667" t="str">
            <v>1</v>
          </cell>
          <cell r="M667" t="str">
            <v>CTLG</v>
          </cell>
          <cell r="N667" t="str">
            <v/>
          </cell>
          <cell r="O667" t="str">
            <v/>
          </cell>
        </row>
        <row r="668">
          <cell r="A668">
            <v>46821</v>
          </cell>
          <cell r="B668">
            <v>46821</v>
          </cell>
          <cell r="C668" t="str">
            <v>Novage+ Personal Anti-AgeingRoutine</v>
          </cell>
          <cell r="D668">
            <v>120</v>
          </cell>
          <cell r="E668">
            <v>6416</v>
          </cell>
          <cell r="F668">
            <v>11440</v>
          </cell>
          <cell r="G668">
            <v>7999</v>
          </cell>
          <cell r="H668">
            <v>14300</v>
          </cell>
          <cell r="I668">
            <v>9999</v>
          </cell>
          <cell r="J668" t="str">
            <v>SD</v>
          </cell>
          <cell r="K668">
            <v>0.30076923076923101</v>
          </cell>
          <cell r="L668" t="str">
            <v>1</v>
          </cell>
          <cell r="M668" t="str">
            <v>CTLG</v>
          </cell>
          <cell r="N668" t="str">
            <v/>
          </cell>
          <cell r="O668" t="str">
            <v/>
          </cell>
        </row>
        <row r="669">
          <cell r="A669">
            <v>46822</v>
          </cell>
          <cell r="B669">
            <v>46822</v>
          </cell>
          <cell r="C669" t="str">
            <v>Novage+ Personal Anti-AgeingRoutine</v>
          </cell>
          <cell r="D669">
            <v>120</v>
          </cell>
          <cell r="E669">
            <v>6416</v>
          </cell>
          <cell r="F669">
            <v>11440</v>
          </cell>
          <cell r="G669">
            <v>7999</v>
          </cell>
          <cell r="H669">
            <v>14300</v>
          </cell>
          <cell r="I669">
            <v>9999</v>
          </cell>
          <cell r="J669" t="str">
            <v>SD</v>
          </cell>
          <cell r="K669">
            <v>0.30076923076923101</v>
          </cell>
          <cell r="L669" t="str">
            <v>1</v>
          </cell>
          <cell r="M669" t="str">
            <v>CTLG</v>
          </cell>
          <cell r="N669" t="str">
            <v/>
          </cell>
          <cell r="O669" t="str">
            <v/>
          </cell>
        </row>
        <row r="670">
          <cell r="A670">
            <v>46823</v>
          </cell>
          <cell r="B670">
            <v>46823</v>
          </cell>
          <cell r="C670" t="str">
            <v>Novage+ Personal Anti-AgeingRoutine</v>
          </cell>
          <cell r="D670">
            <v>120</v>
          </cell>
          <cell r="E670">
            <v>6416</v>
          </cell>
          <cell r="F670">
            <v>11440</v>
          </cell>
          <cell r="G670">
            <v>7999</v>
          </cell>
          <cell r="H670">
            <v>14300</v>
          </cell>
          <cell r="I670">
            <v>9999</v>
          </cell>
          <cell r="J670" t="str">
            <v>SD</v>
          </cell>
          <cell r="K670">
            <v>0.30076923076923101</v>
          </cell>
          <cell r="L670" t="str">
            <v>1</v>
          </cell>
          <cell r="M670" t="str">
            <v>CTLG</v>
          </cell>
          <cell r="N670" t="str">
            <v/>
          </cell>
          <cell r="O670" t="str">
            <v/>
          </cell>
        </row>
        <row r="671">
          <cell r="A671">
            <v>46824</v>
          </cell>
          <cell r="B671">
            <v>46824</v>
          </cell>
          <cell r="C671" t="str">
            <v>Novage+ Personal Anti-AgeingRoutine</v>
          </cell>
          <cell r="D671">
            <v>120</v>
          </cell>
          <cell r="E671">
            <v>6416</v>
          </cell>
          <cell r="F671">
            <v>11440</v>
          </cell>
          <cell r="G671">
            <v>7999</v>
          </cell>
          <cell r="H671">
            <v>14300</v>
          </cell>
          <cell r="I671">
            <v>9999</v>
          </cell>
          <cell r="J671" t="str">
            <v>SD</v>
          </cell>
          <cell r="K671">
            <v>0.30076923076923101</v>
          </cell>
          <cell r="L671" t="str">
            <v>1</v>
          </cell>
          <cell r="M671" t="str">
            <v>CTLG</v>
          </cell>
          <cell r="N671" t="str">
            <v/>
          </cell>
          <cell r="O671" t="str">
            <v/>
          </cell>
        </row>
        <row r="672">
          <cell r="A672">
            <v>46825</v>
          </cell>
          <cell r="B672">
            <v>46825</v>
          </cell>
          <cell r="C672" t="str">
            <v>Novage+ Personal Anti-AgeingRoutine</v>
          </cell>
          <cell r="D672">
            <v>120</v>
          </cell>
          <cell r="E672">
            <v>6416</v>
          </cell>
          <cell r="F672">
            <v>11440</v>
          </cell>
          <cell r="G672">
            <v>7999</v>
          </cell>
          <cell r="H672">
            <v>14300</v>
          </cell>
          <cell r="I672">
            <v>9999</v>
          </cell>
          <cell r="J672" t="str">
            <v>SD</v>
          </cell>
          <cell r="K672">
            <v>0.30076923076923101</v>
          </cell>
          <cell r="L672" t="str">
            <v>1</v>
          </cell>
          <cell r="M672" t="str">
            <v>CTLG</v>
          </cell>
          <cell r="N672" t="str">
            <v/>
          </cell>
          <cell r="O672" t="str">
            <v/>
          </cell>
        </row>
        <row r="673">
          <cell r="A673">
            <v>46826</v>
          </cell>
          <cell r="B673">
            <v>46826</v>
          </cell>
          <cell r="C673" t="str">
            <v>Novage+ Personal Anti-AgeingRoutine</v>
          </cell>
          <cell r="D673">
            <v>120</v>
          </cell>
          <cell r="E673">
            <v>6416</v>
          </cell>
          <cell r="F673">
            <v>11440</v>
          </cell>
          <cell r="G673">
            <v>7999</v>
          </cell>
          <cell r="H673">
            <v>14300</v>
          </cell>
          <cell r="I673">
            <v>9999</v>
          </cell>
          <cell r="J673" t="str">
            <v>SD</v>
          </cell>
          <cell r="K673">
            <v>0.30076923076923101</v>
          </cell>
          <cell r="L673" t="str">
            <v>1</v>
          </cell>
          <cell r="M673" t="str">
            <v>CTLG</v>
          </cell>
          <cell r="N673" t="str">
            <v/>
          </cell>
          <cell r="O673" t="str">
            <v/>
          </cell>
        </row>
        <row r="674">
          <cell r="A674">
            <v>46827</v>
          </cell>
          <cell r="B674">
            <v>46827</v>
          </cell>
          <cell r="C674" t="str">
            <v>Novage+ Personal Anti-AgeingRoutine</v>
          </cell>
          <cell r="D674">
            <v>120</v>
          </cell>
          <cell r="E674">
            <v>6416</v>
          </cell>
          <cell r="F674">
            <v>11440</v>
          </cell>
          <cell r="G674">
            <v>7999</v>
          </cell>
          <cell r="H674">
            <v>14300</v>
          </cell>
          <cell r="I674">
            <v>9999</v>
          </cell>
          <cell r="J674" t="str">
            <v>SD</v>
          </cell>
          <cell r="K674">
            <v>0.30076923076923101</v>
          </cell>
          <cell r="L674" t="str">
            <v>1</v>
          </cell>
          <cell r="M674" t="str">
            <v>CTLG</v>
          </cell>
          <cell r="N674" t="str">
            <v/>
          </cell>
          <cell r="O674" t="str">
            <v/>
          </cell>
        </row>
        <row r="675">
          <cell r="A675">
            <v>46828</v>
          </cell>
          <cell r="B675">
            <v>46828</v>
          </cell>
          <cell r="C675" t="str">
            <v>Novage+ Personal Anti-AgeingRoutine</v>
          </cell>
          <cell r="D675">
            <v>120</v>
          </cell>
          <cell r="E675">
            <v>6416</v>
          </cell>
          <cell r="F675">
            <v>11440</v>
          </cell>
          <cell r="G675">
            <v>7999</v>
          </cell>
          <cell r="H675">
            <v>14300</v>
          </cell>
          <cell r="I675">
            <v>9999</v>
          </cell>
          <cell r="J675" t="str">
            <v>SD</v>
          </cell>
          <cell r="K675">
            <v>0.30076923076923101</v>
          </cell>
          <cell r="L675" t="str">
            <v>1</v>
          </cell>
          <cell r="M675" t="str">
            <v>CTLG</v>
          </cell>
          <cell r="N675" t="str">
            <v/>
          </cell>
          <cell r="O675" t="str">
            <v/>
          </cell>
        </row>
        <row r="676">
          <cell r="A676">
            <v>46829</v>
          </cell>
          <cell r="B676">
            <v>46829</v>
          </cell>
          <cell r="C676" t="str">
            <v>Novage+ Personal Anti-AgeingRoutine</v>
          </cell>
          <cell r="D676">
            <v>120</v>
          </cell>
          <cell r="E676">
            <v>6416</v>
          </cell>
          <cell r="F676">
            <v>11440</v>
          </cell>
          <cell r="G676">
            <v>7999</v>
          </cell>
          <cell r="H676">
            <v>14300</v>
          </cell>
          <cell r="I676">
            <v>9999</v>
          </cell>
          <cell r="J676" t="str">
            <v>SD</v>
          </cell>
          <cell r="K676">
            <v>0.30076923076923101</v>
          </cell>
          <cell r="L676" t="str">
            <v>1</v>
          </cell>
          <cell r="M676" t="str">
            <v>CTLG</v>
          </cell>
          <cell r="N676" t="str">
            <v/>
          </cell>
          <cell r="O676" t="str">
            <v/>
          </cell>
        </row>
        <row r="677">
          <cell r="A677">
            <v>46830</v>
          </cell>
          <cell r="B677">
            <v>46830</v>
          </cell>
          <cell r="C677" t="str">
            <v>Novage+ Personal Anti-AgeingRoutine</v>
          </cell>
          <cell r="D677">
            <v>120</v>
          </cell>
          <cell r="E677">
            <v>6416</v>
          </cell>
          <cell r="F677">
            <v>11440</v>
          </cell>
          <cell r="G677">
            <v>7999</v>
          </cell>
          <cell r="H677">
            <v>14300</v>
          </cell>
          <cell r="I677">
            <v>9999</v>
          </cell>
          <cell r="J677" t="str">
            <v>SD</v>
          </cell>
          <cell r="K677">
            <v>0.30076923076923101</v>
          </cell>
          <cell r="L677" t="str">
            <v>1</v>
          </cell>
          <cell r="M677" t="str">
            <v>CTLG</v>
          </cell>
          <cell r="N677" t="str">
            <v/>
          </cell>
          <cell r="O677" t="str">
            <v/>
          </cell>
        </row>
        <row r="678">
          <cell r="A678">
            <v>46831</v>
          </cell>
          <cell r="B678">
            <v>46831</v>
          </cell>
          <cell r="C678" t="str">
            <v>Novage+ Personal Anti-AgeingRoutine</v>
          </cell>
          <cell r="D678">
            <v>120</v>
          </cell>
          <cell r="E678">
            <v>6416</v>
          </cell>
          <cell r="F678">
            <v>11440</v>
          </cell>
          <cell r="G678">
            <v>7999</v>
          </cell>
          <cell r="H678">
            <v>14300</v>
          </cell>
          <cell r="I678">
            <v>9999</v>
          </cell>
          <cell r="J678" t="str">
            <v>SD</v>
          </cell>
          <cell r="K678">
            <v>0.30076923076923101</v>
          </cell>
          <cell r="L678" t="str">
            <v>1</v>
          </cell>
          <cell r="M678" t="str">
            <v>CTLG</v>
          </cell>
          <cell r="N678" t="str">
            <v/>
          </cell>
          <cell r="O678" t="str">
            <v/>
          </cell>
        </row>
        <row r="679">
          <cell r="A679">
            <v>46832</v>
          </cell>
          <cell r="B679">
            <v>46832</v>
          </cell>
          <cell r="C679" t="str">
            <v>Novage+ Personal Anti-AgeingRoutine</v>
          </cell>
          <cell r="D679">
            <v>120</v>
          </cell>
          <cell r="E679">
            <v>6416</v>
          </cell>
          <cell r="F679">
            <v>11440</v>
          </cell>
          <cell r="G679">
            <v>7999</v>
          </cell>
          <cell r="H679">
            <v>14300</v>
          </cell>
          <cell r="I679">
            <v>9999</v>
          </cell>
          <cell r="J679" t="str">
            <v>SD</v>
          </cell>
          <cell r="K679">
            <v>0.30076923076923101</v>
          </cell>
          <cell r="L679" t="str">
            <v>1</v>
          </cell>
          <cell r="M679" t="str">
            <v>CTLG</v>
          </cell>
          <cell r="N679" t="str">
            <v/>
          </cell>
          <cell r="O679" t="str">
            <v/>
          </cell>
        </row>
        <row r="680">
          <cell r="A680">
            <v>46833</v>
          </cell>
          <cell r="B680">
            <v>46833</v>
          </cell>
          <cell r="C680" t="str">
            <v>Novage+ Personal Anti-AgeingRoutine</v>
          </cell>
          <cell r="D680">
            <v>120</v>
          </cell>
          <cell r="E680">
            <v>6416</v>
          </cell>
          <cell r="F680">
            <v>11440</v>
          </cell>
          <cell r="G680">
            <v>7999</v>
          </cell>
          <cell r="H680">
            <v>14300</v>
          </cell>
          <cell r="I680">
            <v>9999</v>
          </cell>
          <cell r="J680" t="str">
            <v>SD</v>
          </cell>
          <cell r="K680">
            <v>0.30076923076923101</v>
          </cell>
          <cell r="L680" t="str">
            <v>1</v>
          </cell>
          <cell r="M680" t="str">
            <v>CTLG</v>
          </cell>
          <cell r="N680" t="str">
            <v/>
          </cell>
          <cell r="O680" t="str">
            <v/>
          </cell>
        </row>
        <row r="681">
          <cell r="A681">
            <v>46834</v>
          </cell>
          <cell r="B681">
            <v>46834</v>
          </cell>
          <cell r="C681" t="str">
            <v>Novage+ Personal Anti-AgeingRoutine</v>
          </cell>
          <cell r="D681">
            <v>120</v>
          </cell>
          <cell r="E681">
            <v>6416</v>
          </cell>
          <cell r="F681">
            <v>11440</v>
          </cell>
          <cell r="G681">
            <v>7999</v>
          </cell>
          <cell r="H681">
            <v>14300</v>
          </cell>
          <cell r="I681">
            <v>9999</v>
          </cell>
          <cell r="J681" t="str">
            <v>SD</v>
          </cell>
          <cell r="K681">
            <v>0.30076923076923101</v>
          </cell>
          <cell r="L681" t="str">
            <v>1</v>
          </cell>
          <cell r="M681" t="str">
            <v>CTLG</v>
          </cell>
          <cell r="N681" t="str">
            <v/>
          </cell>
          <cell r="O681" t="str">
            <v/>
          </cell>
        </row>
        <row r="682">
          <cell r="A682">
            <v>46835</v>
          </cell>
          <cell r="B682">
            <v>46835</v>
          </cell>
          <cell r="C682" t="str">
            <v>Novage+ Personal Anti-AgeingRoutine</v>
          </cell>
          <cell r="D682">
            <v>120</v>
          </cell>
          <cell r="E682">
            <v>6416</v>
          </cell>
          <cell r="F682">
            <v>11440</v>
          </cell>
          <cell r="G682">
            <v>7999</v>
          </cell>
          <cell r="H682">
            <v>14300</v>
          </cell>
          <cell r="I682">
            <v>9999</v>
          </cell>
          <cell r="J682" t="str">
            <v>SD</v>
          </cell>
          <cell r="K682">
            <v>0.30076923076923101</v>
          </cell>
          <cell r="L682" t="str">
            <v>1</v>
          </cell>
          <cell r="M682" t="str">
            <v>CTLG</v>
          </cell>
          <cell r="N682" t="str">
            <v/>
          </cell>
          <cell r="O682" t="str">
            <v/>
          </cell>
        </row>
        <row r="683">
          <cell r="A683">
            <v>46836</v>
          </cell>
          <cell r="B683">
            <v>46836</v>
          </cell>
          <cell r="C683" t="str">
            <v>Novage+ Personal Anti-AgeingRoutine</v>
          </cell>
          <cell r="D683">
            <v>120</v>
          </cell>
          <cell r="E683">
            <v>6416</v>
          </cell>
          <cell r="F683">
            <v>11440</v>
          </cell>
          <cell r="G683">
            <v>7999</v>
          </cell>
          <cell r="H683">
            <v>14300</v>
          </cell>
          <cell r="I683">
            <v>9999</v>
          </cell>
          <cell r="J683" t="str">
            <v>SD</v>
          </cell>
          <cell r="K683">
            <v>0.30076923076923101</v>
          </cell>
          <cell r="L683" t="str">
            <v>1</v>
          </cell>
          <cell r="M683" t="str">
            <v>CTLG</v>
          </cell>
          <cell r="N683" t="str">
            <v/>
          </cell>
          <cell r="O683" t="str">
            <v/>
          </cell>
        </row>
        <row r="684">
          <cell r="A684">
            <v>46837</v>
          </cell>
          <cell r="B684">
            <v>46837</v>
          </cell>
          <cell r="C684" t="str">
            <v>Novage+ Personal Anti-AgeingRoutine</v>
          </cell>
          <cell r="D684">
            <v>120</v>
          </cell>
          <cell r="E684">
            <v>6416</v>
          </cell>
          <cell r="F684">
            <v>11440</v>
          </cell>
          <cell r="G684">
            <v>7999</v>
          </cell>
          <cell r="H684">
            <v>14300</v>
          </cell>
          <cell r="I684">
            <v>9999</v>
          </cell>
          <cell r="J684" t="str">
            <v>SD</v>
          </cell>
          <cell r="K684">
            <v>0.30076923076923101</v>
          </cell>
          <cell r="L684" t="str">
            <v>1</v>
          </cell>
          <cell r="M684" t="str">
            <v>CTLG</v>
          </cell>
          <cell r="N684" t="str">
            <v/>
          </cell>
          <cell r="O684" t="str">
            <v/>
          </cell>
        </row>
        <row r="685">
          <cell r="A685">
            <v>46838</v>
          </cell>
          <cell r="B685">
            <v>46838</v>
          </cell>
          <cell r="C685" t="str">
            <v>Novage+ Personal Anti-AgeingRoutine</v>
          </cell>
          <cell r="D685">
            <v>120</v>
          </cell>
          <cell r="E685">
            <v>6416</v>
          </cell>
          <cell r="F685">
            <v>11440</v>
          </cell>
          <cell r="G685">
            <v>7999</v>
          </cell>
          <cell r="H685">
            <v>14300</v>
          </cell>
          <cell r="I685">
            <v>9999</v>
          </cell>
          <cell r="J685" t="str">
            <v>SD</v>
          </cell>
          <cell r="K685">
            <v>0.30076923076923101</v>
          </cell>
          <cell r="L685" t="str">
            <v>1</v>
          </cell>
          <cell r="M685" t="str">
            <v>CTLG</v>
          </cell>
          <cell r="N685" t="str">
            <v/>
          </cell>
          <cell r="O685" t="str">
            <v/>
          </cell>
        </row>
        <row r="686">
          <cell r="A686">
            <v>46839</v>
          </cell>
          <cell r="B686">
            <v>46839</v>
          </cell>
          <cell r="C686" t="str">
            <v>Novage+ Personal Anti-AgeingRoutine</v>
          </cell>
          <cell r="D686">
            <v>120</v>
          </cell>
          <cell r="E686">
            <v>6416</v>
          </cell>
          <cell r="F686">
            <v>11440</v>
          </cell>
          <cell r="G686">
            <v>7999</v>
          </cell>
          <cell r="H686">
            <v>14300</v>
          </cell>
          <cell r="I686">
            <v>9999</v>
          </cell>
          <cell r="J686" t="str">
            <v>SD</v>
          </cell>
          <cell r="K686">
            <v>0.30076923076923101</v>
          </cell>
          <cell r="L686" t="str">
            <v>1</v>
          </cell>
          <cell r="M686" t="str">
            <v>CTLG</v>
          </cell>
          <cell r="N686" t="str">
            <v/>
          </cell>
          <cell r="O686" t="str">
            <v/>
          </cell>
        </row>
        <row r="687">
          <cell r="A687">
            <v>46840</v>
          </cell>
          <cell r="B687">
            <v>46840</v>
          </cell>
          <cell r="C687" t="str">
            <v>Novage+ Personal Anti-AgeingRoutine</v>
          </cell>
          <cell r="D687">
            <v>120</v>
          </cell>
          <cell r="E687">
            <v>6416</v>
          </cell>
          <cell r="F687">
            <v>11440</v>
          </cell>
          <cell r="G687">
            <v>7999</v>
          </cell>
          <cell r="H687">
            <v>14300</v>
          </cell>
          <cell r="I687">
            <v>9999</v>
          </cell>
          <cell r="J687" t="str">
            <v>SD</v>
          </cell>
          <cell r="K687">
            <v>0.30076923076923101</v>
          </cell>
          <cell r="L687" t="str">
            <v>1</v>
          </cell>
          <cell r="M687" t="str">
            <v>CTLG</v>
          </cell>
          <cell r="N687" t="str">
            <v/>
          </cell>
          <cell r="O687" t="str">
            <v/>
          </cell>
        </row>
        <row r="688">
          <cell r="A688">
            <v>46841</v>
          </cell>
          <cell r="B688">
            <v>46841</v>
          </cell>
          <cell r="C688" t="str">
            <v>Novage+ Personal Anti-AgeingRoutine</v>
          </cell>
          <cell r="D688">
            <v>120</v>
          </cell>
          <cell r="E688">
            <v>6416</v>
          </cell>
          <cell r="F688">
            <v>11440</v>
          </cell>
          <cell r="G688">
            <v>7999</v>
          </cell>
          <cell r="H688">
            <v>14300</v>
          </cell>
          <cell r="I688">
            <v>9999</v>
          </cell>
          <cell r="J688" t="str">
            <v>SD</v>
          </cell>
          <cell r="K688">
            <v>0.30076923076923101</v>
          </cell>
          <cell r="L688" t="str">
            <v>1</v>
          </cell>
          <cell r="M688" t="str">
            <v>CTLG</v>
          </cell>
          <cell r="N688" t="str">
            <v/>
          </cell>
          <cell r="O688" t="str">
            <v/>
          </cell>
        </row>
        <row r="689">
          <cell r="A689">
            <v>46842</v>
          </cell>
          <cell r="B689">
            <v>46842</v>
          </cell>
          <cell r="C689" t="str">
            <v>Novage+ Personal Anti-AgeingRoutine</v>
          </cell>
          <cell r="D689">
            <v>120</v>
          </cell>
          <cell r="E689">
            <v>6416</v>
          </cell>
          <cell r="F689">
            <v>11440</v>
          </cell>
          <cell r="G689">
            <v>7999</v>
          </cell>
          <cell r="H689">
            <v>14300</v>
          </cell>
          <cell r="I689">
            <v>9999</v>
          </cell>
          <cell r="J689" t="str">
            <v>SD</v>
          </cell>
          <cell r="K689">
            <v>0.30076923076923101</v>
          </cell>
          <cell r="L689" t="str">
            <v>1</v>
          </cell>
          <cell r="M689" t="str">
            <v>CTLG</v>
          </cell>
          <cell r="N689" t="str">
            <v/>
          </cell>
          <cell r="O689" t="str">
            <v/>
          </cell>
        </row>
        <row r="690">
          <cell r="A690">
            <v>46843</v>
          </cell>
          <cell r="B690">
            <v>46843</v>
          </cell>
          <cell r="C690" t="str">
            <v>Novage+ Personal Anti-AgeingRoutine</v>
          </cell>
          <cell r="D690">
            <v>120</v>
          </cell>
          <cell r="E690">
            <v>6416</v>
          </cell>
          <cell r="F690">
            <v>11440</v>
          </cell>
          <cell r="G690">
            <v>7999</v>
          </cell>
          <cell r="H690">
            <v>14300</v>
          </cell>
          <cell r="I690">
            <v>9999</v>
          </cell>
          <cell r="J690" t="str">
            <v>SD</v>
          </cell>
          <cell r="K690">
            <v>0.30076923076923101</v>
          </cell>
          <cell r="L690" t="str">
            <v>1</v>
          </cell>
          <cell r="M690" t="str">
            <v>CTLG</v>
          </cell>
          <cell r="N690" t="str">
            <v/>
          </cell>
          <cell r="O690" t="str">
            <v/>
          </cell>
        </row>
        <row r="691">
          <cell r="A691">
            <v>46844</v>
          </cell>
          <cell r="B691">
            <v>46844</v>
          </cell>
          <cell r="C691" t="str">
            <v>Novage+ Personal Anti-AgeingRoutine</v>
          </cell>
          <cell r="D691">
            <v>120</v>
          </cell>
          <cell r="E691">
            <v>6416</v>
          </cell>
          <cell r="F691">
            <v>11440</v>
          </cell>
          <cell r="G691">
            <v>7999</v>
          </cell>
          <cell r="H691">
            <v>14300</v>
          </cell>
          <cell r="I691">
            <v>9999</v>
          </cell>
          <cell r="J691" t="str">
            <v>SD</v>
          </cell>
          <cell r="K691">
            <v>0.30076923076923101</v>
          </cell>
          <cell r="L691" t="str">
            <v>1</v>
          </cell>
          <cell r="M691" t="str">
            <v>CTLG</v>
          </cell>
          <cell r="N691" t="str">
            <v/>
          </cell>
          <cell r="O691" t="str">
            <v/>
          </cell>
        </row>
        <row r="692">
          <cell r="A692">
            <v>46845</v>
          </cell>
          <cell r="B692">
            <v>46845</v>
          </cell>
          <cell r="C692" t="str">
            <v>Novage+ Personal Anti-AgeingRoutine</v>
          </cell>
          <cell r="D692">
            <v>120</v>
          </cell>
          <cell r="E692">
            <v>6416</v>
          </cell>
          <cell r="F692">
            <v>11440</v>
          </cell>
          <cell r="G692">
            <v>7999</v>
          </cell>
          <cell r="H692">
            <v>14300</v>
          </cell>
          <cell r="I692">
            <v>9999</v>
          </cell>
          <cell r="J692" t="str">
            <v>SD</v>
          </cell>
          <cell r="K692">
            <v>0.30076923076923101</v>
          </cell>
          <cell r="L692" t="str">
            <v>1</v>
          </cell>
          <cell r="M692" t="str">
            <v>CTLG</v>
          </cell>
          <cell r="N692" t="str">
            <v/>
          </cell>
          <cell r="O692" t="str">
            <v/>
          </cell>
        </row>
        <row r="693">
          <cell r="A693">
            <v>46846</v>
          </cell>
          <cell r="B693">
            <v>46846</v>
          </cell>
          <cell r="C693" t="str">
            <v>Novage+ Personal Anti-AgeingRoutine</v>
          </cell>
          <cell r="D693">
            <v>120</v>
          </cell>
          <cell r="E693">
            <v>6416</v>
          </cell>
          <cell r="F693">
            <v>11440</v>
          </cell>
          <cell r="G693">
            <v>7999</v>
          </cell>
          <cell r="H693">
            <v>14300</v>
          </cell>
          <cell r="I693">
            <v>9999</v>
          </cell>
          <cell r="J693" t="str">
            <v>SD</v>
          </cell>
          <cell r="K693">
            <v>0.30076923076923101</v>
          </cell>
          <cell r="L693" t="str">
            <v>1</v>
          </cell>
          <cell r="M693" t="str">
            <v>CTLG</v>
          </cell>
          <cell r="N693" t="str">
            <v/>
          </cell>
          <cell r="O693" t="str">
            <v/>
          </cell>
        </row>
        <row r="694">
          <cell r="A694">
            <v>46847</v>
          </cell>
          <cell r="B694">
            <v>46847</v>
          </cell>
          <cell r="C694" t="str">
            <v>Novage+ Personal Anti-AgeingRoutine</v>
          </cell>
          <cell r="D694">
            <v>120</v>
          </cell>
          <cell r="E694">
            <v>6416</v>
          </cell>
          <cell r="F694">
            <v>11440</v>
          </cell>
          <cell r="G694">
            <v>7999</v>
          </cell>
          <cell r="H694">
            <v>14300</v>
          </cell>
          <cell r="I694">
            <v>9999</v>
          </cell>
          <cell r="J694" t="str">
            <v>SD</v>
          </cell>
          <cell r="K694">
            <v>0.30076923076923101</v>
          </cell>
          <cell r="L694" t="str">
            <v>1</v>
          </cell>
          <cell r="M694" t="str">
            <v>CTLG</v>
          </cell>
          <cell r="N694" t="str">
            <v/>
          </cell>
          <cell r="O694" t="str">
            <v/>
          </cell>
        </row>
        <row r="695">
          <cell r="A695">
            <v>46848</v>
          </cell>
          <cell r="B695">
            <v>46848</v>
          </cell>
          <cell r="C695" t="str">
            <v>Novage+ Personal Anti-AgeingRoutine</v>
          </cell>
          <cell r="D695">
            <v>120</v>
          </cell>
          <cell r="E695">
            <v>6416</v>
          </cell>
          <cell r="F695">
            <v>11440</v>
          </cell>
          <cell r="G695">
            <v>7999</v>
          </cell>
          <cell r="H695">
            <v>14300</v>
          </cell>
          <cell r="I695">
            <v>9999</v>
          </cell>
          <cell r="J695" t="str">
            <v>SD</v>
          </cell>
          <cell r="K695">
            <v>0.30076923076923101</v>
          </cell>
          <cell r="L695" t="str">
            <v>1</v>
          </cell>
          <cell r="M695" t="str">
            <v>CTLG</v>
          </cell>
          <cell r="N695" t="str">
            <v/>
          </cell>
          <cell r="O695" t="str">
            <v/>
          </cell>
        </row>
        <row r="696">
          <cell r="A696">
            <v>46849</v>
          </cell>
          <cell r="B696">
            <v>46849</v>
          </cell>
          <cell r="C696" t="str">
            <v>Novage+ Personal Anti-AgeingRoutine</v>
          </cell>
          <cell r="D696">
            <v>120</v>
          </cell>
          <cell r="E696">
            <v>6416</v>
          </cell>
          <cell r="F696">
            <v>11440</v>
          </cell>
          <cell r="G696">
            <v>7999</v>
          </cell>
          <cell r="H696">
            <v>14300</v>
          </cell>
          <cell r="I696">
            <v>9999</v>
          </cell>
          <cell r="J696" t="str">
            <v>SD</v>
          </cell>
          <cell r="K696">
            <v>0.30076923076923101</v>
          </cell>
          <cell r="L696" t="str">
            <v>1</v>
          </cell>
          <cell r="M696" t="str">
            <v>CTLG</v>
          </cell>
          <cell r="N696" t="str">
            <v/>
          </cell>
          <cell r="O696" t="str">
            <v/>
          </cell>
        </row>
        <row r="697">
          <cell r="A697">
            <v>46850</v>
          </cell>
          <cell r="B697">
            <v>46850</v>
          </cell>
          <cell r="C697" t="str">
            <v>Novage+ Personal Anti-AgeingRoutine</v>
          </cell>
          <cell r="D697">
            <v>120</v>
          </cell>
          <cell r="E697">
            <v>6416</v>
          </cell>
          <cell r="F697">
            <v>11440</v>
          </cell>
          <cell r="G697">
            <v>7999</v>
          </cell>
          <cell r="H697">
            <v>14300</v>
          </cell>
          <cell r="I697">
            <v>9999</v>
          </cell>
          <cell r="J697" t="str">
            <v>SD</v>
          </cell>
          <cell r="K697">
            <v>0.30076923076923101</v>
          </cell>
          <cell r="L697" t="str">
            <v>1</v>
          </cell>
          <cell r="M697" t="str">
            <v>CTLG</v>
          </cell>
          <cell r="N697" t="str">
            <v/>
          </cell>
          <cell r="O697" t="str">
            <v/>
          </cell>
        </row>
        <row r="698">
          <cell r="A698">
            <v>46851</v>
          </cell>
          <cell r="B698">
            <v>46851</v>
          </cell>
          <cell r="C698" t="str">
            <v>Novage+ Personal Anti-AgeingRoutine</v>
          </cell>
          <cell r="D698">
            <v>120</v>
          </cell>
          <cell r="E698">
            <v>6416</v>
          </cell>
          <cell r="F698">
            <v>11440</v>
          </cell>
          <cell r="G698">
            <v>7999</v>
          </cell>
          <cell r="H698">
            <v>14300</v>
          </cell>
          <cell r="I698">
            <v>9999</v>
          </cell>
          <cell r="J698" t="str">
            <v>SD</v>
          </cell>
          <cell r="K698">
            <v>0.30076923076923101</v>
          </cell>
          <cell r="L698" t="str">
            <v>1</v>
          </cell>
          <cell r="M698" t="str">
            <v>CTLG</v>
          </cell>
          <cell r="N698" t="str">
            <v/>
          </cell>
          <cell r="O698" t="str">
            <v/>
          </cell>
        </row>
        <row r="699">
          <cell r="A699">
            <v>46852</v>
          </cell>
          <cell r="B699">
            <v>46852</v>
          </cell>
          <cell r="C699" t="str">
            <v>Novage+ Personal Anti-AgeingRoutine</v>
          </cell>
          <cell r="D699">
            <v>120</v>
          </cell>
          <cell r="E699">
            <v>6416</v>
          </cell>
          <cell r="F699">
            <v>11440</v>
          </cell>
          <cell r="G699">
            <v>7999</v>
          </cell>
          <cell r="H699">
            <v>14300</v>
          </cell>
          <cell r="I699">
            <v>9999</v>
          </cell>
          <cell r="J699" t="str">
            <v>SD</v>
          </cell>
          <cell r="K699">
            <v>0.30076923076923101</v>
          </cell>
          <cell r="L699" t="str">
            <v>1</v>
          </cell>
          <cell r="M699" t="str">
            <v>CTLG</v>
          </cell>
          <cell r="N699" t="str">
            <v/>
          </cell>
          <cell r="O699" t="str">
            <v/>
          </cell>
        </row>
        <row r="700">
          <cell r="A700">
            <v>46853</v>
          </cell>
          <cell r="B700">
            <v>46853</v>
          </cell>
          <cell r="C700" t="str">
            <v>Novage+ Personal Anti-AgeingRoutine</v>
          </cell>
          <cell r="D700">
            <v>120</v>
          </cell>
          <cell r="E700">
            <v>6416</v>
          </cell>
          <cell r="F700">
            <v>11440</v>
          </cell>
          <cell r="G700">
            <v>7999</v>
          </cell>
          <cell r="H700">
            <v>14300</v>
          </cell>
          <cell r="I700">
            <v>9999</v>
          </cell>
          <cell r="J700" t="str">
            <v>SD</v>
          </cell>
          <cell r="K700">
            <v>0.30076923076923101</v>
          </cell>
          <cell r="L700" t="str">
            <v>1</v>
          </cell>
          <cell r="M700" t="str">
            <v>CTLG</v>
          </cell>
          <cell r="N700" t="str">
            <v/>
          </cell>
          <cell r="O700" t="str">
            <v/>
          </cell>
        </row>
        <row r="701">
          <cell r="A701">
            <v>46854</v>
          </cell>
          <cell r="B701">
            <v>46854</v>
          </cell>
          <cell r="C701" t="str">
            <v>Novage+ Personal Anti-AgeingRoutine</v>
          </cell>
          <cell r="D701">
            <v>120</v>
          </cell>
          <cell r="E701">
            <v>6416</v>
          </cell>
          <cell r="F701">
            <v>11440</v>
          </cell>
          <cell r="G701">
            <v>7999</v>
          </cell>
          <cell r="H701">
            <v>14300</v>
          </cell>
          <cell r="I701">
            <v>9999</v>
          </cell>
          <cell r="J701" t="str">
            <v>SD</v>
          </cell>
          <cell r="K701">
            <v>0.30076923076923101</v>
          </cell>
          <cell r="L701" t="str">
            <v>1</v>
          </cell>
          <cell r="M701" t="str">
            <v>CTLG</v>
          </cell>
          <cell r="N701" t="str">
            <v/>
          </cell>
          <cell r="O701" t="str">
            <v/>
          </cell>
        </row>
        <row r="702">
          <cell r="A702">
            <v>46855</v>
          </cell>
          <cell r="B702">
            <v>46855</v>
          </cell>
          <cell r="C702" t="str">
            <v>Novage+ Personal Anti-AgeingRoutine</v>
          </cell>
          <cell r="D702">
            <v>120</v>
          </cell>
          <cell r="E702">
            <v>6416</v>
          </cell>
          <cell r="F702">
            <v>11440</v>
          </cell>
          <cell r="G702">
            <v>7999</v>
          </cell>
          <cell r="H702">
            <v>14300</v>
          </cell>
          <cell r="I702">
            <v>9999</v>
          </cell>
          <cell r="J702" t="str">
            <v>SD</v>
          </cell>
          <cell r="K702">
            <v>0.30076923076923101</v>
          </cell>
          <cell r="L702" t="str">
            <v>1</v>
          </cell>
          <cell r="M702" t="str">
            <v>CTLG</v>
          </cell>
          <cell r="N702" t="str">
            <v/>
          </cell>
          <cell r="O702" t="str">
            <v/>
          </cell>
        </row>
        <row r="703">
          <cell r="A703">
            <v>46856</v>
          </cell>
          <cell r="B703">
            <v>46856</v>
          </cell>
          <cell r="C703" t="str">
            <v>Novage+ Personal Anti-AgeingRoutine</v>
          </cell>
          <cell r="D703">
            <v>120</v>
          </cell>
          <cell r="E703">
            <v>6416</v>
          </cell>
          <cell r="F703">
            <v>11440</v>
          </cell>
          <cell r="G703">
            <v>7999</v>
          </cell>
          <cell r="H703">
            <v>14300</v>
          </cell>
          <cell r="I703">
            <v>9999</v>
          </cell>
          <cell r="J703" t="str">
            <v>SD</v>
          </cell>
          <cell r="K703">
            <v>0.30076923076923101</v>
          </cell>
          <cell r="L703" t="str">
            <v>1</v>
          </cell>
          <cell r="M703" t="str">
            <v>CTLG</v>
          </cell>
          <cell r="N703" t="str">
            <v/>
          </cell>
          <cell r="O703" t="str">
            <v/>
          </cell>
        </row>
        <row r="704">
          <cell r="A704">
            <v>46857</v>
          </cell>
          <cell r="B704">
            <v>46857</v>
          </cell>
          <cell r="C704" t="str">
            <v>Novage+ Personal Anti-AgeingRoutine</v>
          </cell>
          <cell r="D704">
            <v>120</v>
          </cell>
          <cell r="E704">
            <v>6416</v>
          </cell>
          <cell r="F704">
            <v>11440</v>
          </cell>
          <cell r="G704">
            <v>7999</v>
          </cell>
          <cell r="H704">
            <v>14300</v>
          </cell>
          <cell r="I704">
            <v>9999</v>
          </cell>
          <cell r="J704" t="str">
            <v>SD</v>
          </cell>
          <cell r="K704">
            <v>0.30076923076923101</v>
          </cell>
          <cell r="L704" t="str">
            <v>1</v>
          </cell>
          <cell r="M704" t="str">
            <v>CTLG</v>
          </cell>
          <cell r="N704" t="str">
            <v/>
          </cell>
          <cell r="O704" t="str">
            <v/>
          </cell>
        </row>
        <row r="705">
          <cell r="A705">
            <v>46858</v>
          </cell>
          <cell r="B705">
            <v>46858</v>
          </cell>
          <cell r="C705" t="str">
            <v>Novage+ Personal Anti-AgeingRoutine</v>
          </cell>
          <cell r="D705">
            <v>120</v>
          </cell>
          <cell r="E705">
            <v>6416</v>
          </cell>
          <cell r="F705">
            <v>11440</v>
          </cell>
          <cell r="G705">
            <v>7999</v>
          </cell>
          <cell r="H705">
            <v>14300</v>
          </cell>
          <cell r="I705">
            <v>9999</v>
          </cell>
          <cell r="J705" t="str">
            <v>SD</v>
          </cell>
          <cell r="K705">
            <v>0.30076923076923101</v>
          </cell>
          <cell r="L705" t="str">
            <v>1</v>
          </cell>
          <cell r="M705" t="str">
            <v>CTLG</v>
          </cell>
          <cell r="N705" t="str">
            <v/>
          </cell>
          <cell r="O705" t="str">
            <v/>
          </cell>
        </row>
        <row r="706">
          <cell r="A706">
            <v>46859</v>
          </cell>
          <cell r="B706">
            <v>46859</v>
          </cell>
          <cell r="C706" t="str">
            <v>Novage+ Personal Anti-AgeingRoutine</v>
          </cell>
          <cell r="D706">
            <v>120</v>
          </cell>
          <cell r="E706">
            <v>6416</v>
          </cell>
          <cell r="F706">
            <v>11440</v>
          </cell>
          <cell r="G706">
            <v>7999</v>
          </cell>
          <cell r="H706">
            <v>14300</v>
          </cell>
          <cell r="I706">
            <v>9999</v>
          </cell>
          <cell r="J706" t="str">
            <v>SD</v>
          </cell>
          <cell r="K706">
            <v>0.30076923076923101</v>
          </cell>
          <cell r="L706" t="str">
            <v>1</v>
          </cell>
          <cell r="M706" t="str">
            <v>CTLG</v>
          </cell>
          <cell r="N706" t="str">
            <v/>
          </cell>
          <cell r="O706" t="str">
            <v/>
          </cell>
        </row>
        <row r="707">
          <cell r="A707">
            <v>46860</v>
          </cell>
          <cell r="B707">
            <v>46860</v>
          </cell>
          <cell r="C707" t="str">
            <v>Novage+ Personal Anti-AgeingRoutine</v>
          </cell>
          <cell r="D707">
            <v>120</v>
          </cell>
          <cell r="E707">
            <v>6416</v>
          </cell>
          <cell r="F707">
            <v>11440</v>
          </cell>
          <cell r="G707">
            <v>7999</v>
          </cell>
          <cell r="H707">
            <v>14300</v>
          </cell>
          <cell r="I707">
            <v>9999</v>
          </cell>
          <cell r="J707" t="str">
            <v>SD</v>
          </cell>
          <cell r="K707">
            <v>0.30076923076923101</v>
          </cell>
          <cell r="L707" t="str">
            <v>1</v>
          </cell>
          <cell r="M707" t="str">
            <v>CTLG</v>
          </cell>
          <cell r="N707" t="str">
            <v/>
          </cell>
          <cell r="O707" t="str">
            <v/>
          </cell>
        </row>
        <row r="708">
          <cell r="A708">
            <v>46861</v>
          </cell>
          <cell r="B708">
            <v>46861</v>
          </cell>
          <cell r="C708" t="str">
            <v>Novage+ Personal Anti-AgeingRoutine</v>
          </cell>
          <cell r="D708">
            <v>120</v>
          </cell>
          <cell r="E708">
            <v>6416</v>
          </cell>
          <cell r="F708">
            <v>11440</v>
          </cell>
          <cell r="G708">
            <v>7999</v>
          </cell>
          <cell r="H708">
            <v>14300</v>
          </cell>
          <cell r="I708">
            <v>9999</v>
          </cell>
          <cell r="J708" t="str">
            <v>SD</v>
          </cell>
          <cell r="K708">
            <v>0.30076923076923101</v>
          </cell>
          <cell r="L708" t="str">
            <v>1</v>
          </cell>
          <cell r="M708" t="str">
            <v>CTLG</v>
          </cell>
          <cell r="N708" t="str">
            <v/>
          </cell>
          <cell r="O708" t="str">
            <v/>
          </cell>
        </row>
        <row r="709">
          <cell r="A709">
            <v>46862</v>
          </cell>
          <cell r="B709">
            <v>46862</v>
          </cell>
          <cell r="C709" t="str">
            <v>Novage+ Personal Anti-AgeingRoutine</v>
          </cell>
          <cell r="D709">
            <v>120</v>
          </cell>
          <cell r="E709">
            <v>6416</v>
          </cell>
          <cell r="F709">
            <v>11440</v>
          </cell>
          <cell r="G709">
            <v>7999</v>
          </cell>
          <cell r="H709">
            <v>14300</v>
          </cell>
          <cell r="I709">
            <v>9999</v>
          </cell>
          <cell r="J709" t="str">
            <v>SD</v>
          </cell>
          <cell r="K709">
            <v>0.30076923076923101</v>
          </cell>
          <cell r="L709" t="str">
            <v>1</v>
          </cell>
          <cell r="M709" t="str">
            <v>CTLG</v>
          </cell>
          <cell r="N709" t="str">
            <v/>
          </cell>
          <cell r="O709" t="str">
            <v/>
          </cell>
        </row>
        <row r="710">
          <cell r="A710">
            <v>46863</v>
          </cell>
          <cell r="B710">
            <v>46863</v>
          </cell>
          <cell r="C710" t="str">
            <v>Novage+ Personal Anti-AgeingRoutine</v>
          </cell>
          <cell r="D710">
            <v>120</v>
          </cell>
          <cell r="E710">
            <v>6416</v>
          </cell>
          <cell r="F710">
            <v>11440</v>
          </cell>
          <cell r="G710">
            <v>7999</v>
          </cell>
          <cell r="H710">
            <v>14300</v>
          </cell>
          <cell r="I710">
            <v>9999</v>
          </cell>
          <cell r="J710" t="str">
            <v>SD</v>
          </cell>
          <cell r="K710">
            <v>0.30076923076923101</v>
          </cell>
          <cell r="L710" t="str">
            <v>1</v>
          </cell>
          <cell r="M710" t="str">
            <v>CTLG</v>
          </cell>
          <cell r="N710" t="str">
            <v/>
          </cell>
          <cell r="O710" t="str">
            <v/>
          </cell>
        </row>
        <row r="711">
          <cell r="A711">
            <v>46864</v>
          </cell>
          <cell r="B711">
            <v>46864</v>
          </cell>
          <cell r="C711" t="str">
            <v>Novage+ Personal Anti-AgeingRoutine</v>
          </cell>
          <cell r="D711">
            <v>120</v>
          </cell>
          <cell r="E711">
            <v>6416</v>
          </cell>
          <cell r="F711">
            <v>11440</v>
          </cell>
          <cell r="G711">
            <v>7999</v>
          </cell>
          <cell r="H711">
            <v>14300</v>
          </cell>
          <cell r="I711">
            <v>9999</v>
          </cell>
          <cell r="J711" t="str">
            <v>SD</v>
          </cell>
          <cell r="K711">
            <v>0.30076923076923101</v>
          </cell>
          <cell r="L711" t="str">
            <v>1</v>
          </cell>
          <cell r="M711" t="str">
            <v>CTLG</v>
          </cell>
          <cell r="N711" t="str">
            <v/>
          </cell>
          <cell r="O711" t="str">
            <v/>
          </cell>
        </row>
        <row r="712">
          <cell r="A712">
            <v>46865</v>
          </cell>
          <cell r="B712">
            <v>46865</v>
          </cell>
          <cell r="C712" t="str">
            <v>Novage+ Personal Anti-AgeingRoutine</v>
          </cell>
          <cell r="D712">
            <v>120</v>
          </cell>
          <cell r="E712">
            <v>6416</v>
          </cell>
          <cell r="F712">
            <v>11440</v>
          </cell>
          <cell r="G712">
            <v>7999</v>
          </cell>
          <cell r="H712">
            <v>14300</v>
          </cell>
          <cell r="I712">
            <v>9999</v>
          </cell>
          <cell r="J712" t="str">
            <v>SD</v>
          </cell>
          <cell r="K712">
            <v>0.30076923076923101</v>
          </cell>
          <cell r="L712" t="str">
            <v>1</v>
          </cell>
          <cell r="M712" t="str">
            <v>CTLG</v>
          </cell>
          <cell r="N712" t="str">
            <v/>
          </cell>
          <cell r="O712" t="str">
            <v/>
          </cell>
        </row>
        <row r="713">
          <cell r="A713">
            <v>46866</v>
          </cell>
          <cell r="B713">
            <v>46866</v>
          </cell>
          <cell r="C713" t="str">
            <v>Novage+ Personal Anti-AgeingRoutine</v>
          </cell>
          <cell r="D713">
            <v>120</v>
          </cell>
          <cell r="E713">
            <v>6416</v>
          </cell>
          <cell r="F713">
            <v>11440</v>
          </cell>
          <cell r="G713">
            <v>7999</v>
          </cell>
          <cell r="H713">
            <v>14300</v>
          </cell>
          <cell r="I713">
            <v>9999</v>
          </cell>
          <cell r="J713" t="str">
            <v>SD</v>
          </cell>
          <cell r="K713">
            <v>0.30076923076923101</v>
          </cell>
          <cell r="L713" t="str">
            <v>1</v>
          </cell>
          <cell r="M713" t="str">
            <v>CTLG</v>
          </cell>
          <cell r="N713" t="str">
            <v/>
          </cell>
          <cell r="O713" t="str">
            <v/>
          </cell>
        </row>
        <row r="714">
          <cell r="A714">
            <v>46867</v>
          </cell>
          <cell r="B714">
            <v>46867</v>
          </cell>
          <cell r="C714" t="str">
            <v>Novage+ Personal Anti-AgeingRoutine</v>
          </cell>
          <cell r="D714">
            <v>120</v>
          </cell>
          <cell r="E714">
            <v>6416</v>
          </cell>
          <cell r="F714">
            <v>11440</v>
          </cell>
          <cell r="G714">
            <v>7999</v>
          </cell>
          <cell r="H714">
            <v>14300</v>
          </cell>
          <cell r="I714">
            <v>9999</v>
          </cell>
          <cell r="J714" t="str">
            <v>SD</v>
          </cell>
          <cell r="K714">
            <v>0.30076923076923101</v>
          </cell>
          <cell r="L714" t="str">
            <v>1</v>
          </cell>
          <cell r="M714" t="str">
            <v>CTLG</v>
          </cell>
          <cell r="N714" t="str">
            <v/>
          </cell>
          <cell r="O714" t="str">
            <v/>
          </cell>
        </row>
        <row r="715">
          <cell r="A715">
            <v>47033</v>
          </cell>
          <cell r="B715">
            <v>47033</v>
          </cell>
          <cell r="C715" t="str">
            <v>Novage+ Personal Anti-AgeingRoutine</v>
          </cell>
          <cell r="D715">
            <v>120</v>
          </cell>
          <cell r="E715">
            <v>6416</v>
          </cell>
          <cell r="F715">
            <v>11440</v>
          </cell>
          <cell r="G715">
            <v>7999</v>
          </cell>
          <cell r="H715">
            <v>14300</v>
          </cell>
          <cell r="I715">
            <v>9999</v>
          </cell>
          <cell r="J715" t="str">
            <v>SD</v>
          </cell>
          <cell r="K715">
            <v>0.30076923076923101</v>
          </cell>
          <cell r="L715" t="str">
            <v>1</v>
          </cell>
          <cell r="M715" t="str">
            <v>CTLG</v>
          </cell>
          <cell r="N715" t="str">
            <v/>
          </cell>
          <cell r="O715" t="str">
            <v/>
          </cell>
        </row>
        <row r="716">
          <cell r="A716">
            <v>47034</v>
          </cell>
          <cell r="B716">
            <v>47034</v>
          </cell>
          <cell r="C716" t="str">
            <v>Novage+ Personal Anti-AgeingRoutine</v>
          </cell>
          <cell r="D716">
            <v>120</v>
          </cell>
          <cell r="E716">
            <v>6416</v>
          </cell>
          <cell r="F716">
            <v>11440</v>
          </cell>
          <cell r="G716">
            <v>7999</v>
          </cell>
          <cell r="H716">
            <v>14300</v>
          </cell>
          <cell r="I716">
            <v>9999</v>
          </cell>
          <cell r="J716" t="str">
            <v>SD</v>
          </cell>
          <cell r="K716">
            <v>0.30076923076923101</v>
          </cell>
          <cell r="L716" t="str">
            <v>1</v>
          </cell>
          <cell r="M716" t="str">
            <v>CTLG</v>
          </cell>
          <cell r="N716" t="str">
            <v/>
          </cell>
          <cell r="O716" t="str">
            <v/>
          </cell>
        </row>
        <row r="717">
          <cell r="A717">
            <v>47035</v>
          </cell>
          <cell r="B717">
            <v>47035</v>
          </cell>
          <cell r="C717" t="str">
            <v>Novage+ Personal Anti-AgeingRoutine</v>
          </cell>
          <cell r="D717">
            <v>120</v>
          </cell>
          <cell r="E717">
            <v>6416</v>
          </cell>
          <cell r="F717">
            <v>11440</v>
          </cell>
          <cell r="G717">
            <v>7999</v>
          </cell>
          <cell r="H717">
            <v>14300</v>
          </cell>
          <cell r="I717">
            <v>9999</v>
          </cell>
          <cell r="J717" t="str">
            <v>SD</v>
          </cell>
          <cell r="K717">
            <v>0.30076923076923101</v>
          </cell>
          <cell r="L717" t="str">
            <v>1</v>
          </cell>
          <cell r="M717" t="str">
            <v>CTLG</v>
          </cell>
          <cell r="N717" t="str">
            <v/>
          </cell>
          <cell r="O717" t="str">
            <v/>
          </cell>
        </row>
        <row r="718">
          <cell r="A718">
            <v>47036</v>
          </cell>
          <cell r="B718">
            <v>47036</v>
          </cell>
          <cell r="C718" t="str">
            <v>Novage+ Personal Anti-AgeingRoutine</v>
          </cell>
          <cell r="D718">
            <v>120</v>
          </cell>
          <cell r="E718">
            <v>6416</v>
          </cell>
          <cell r="F718">
            <v>11440</v>
          </cell>
          <cell r="G718">
            <v>7999</v>
          </cell>
          <cell r="H718">
            <v>14300</v>
          </cell>
          <cell r="I718">
            <v>9999</v>
          </cell>
          <cell r="J718" t="str">
            <v>SD</v>
          </cell>
          <cell r="K718">
            <v>0.30076923076923101</v>
          </cell>
          <cell r="L718" t="str">
            <v>1</v>
          </cell>
          <cell r="M718" t="str">
            <v>CTLG</v>
          </cell>
          <cell r="N718" t="str">
            <v/>
          </cell>
          <cell r="O718" t="str">
            <v/>
          </cell>
        </row>
        <row r="719">
          <cell r="A719">
            <v>47037</v>
          </cell>
          <cell r="B719">
            <v>47037</v>
          </cell>
          <cell r="C719" t="str">
            <v>Novage+ Personal Anti-AgeingRoutine</v>
          </cell>
          <cell r="D719">
            <v>120</v>
          </cell>
          <cell r="E719">
            <v>6416</v>
          </cell>
          <cell r="F719">
            <v>11440</v>
          </cell>
          <cell r="G719">
            <v>7999</v>
          </cell>
          <cell r="H719">
            <v>14300</v>
          </cell>
          <cell r="I719">
            <v>9999</v>
          </cell>
          <cell r="J719" t="str">
            <v>SD</v>
          </cell>
          <cell r="K719">
            <v>0.30076923076923101</v>
          </cell>
          <cell r="L719" t="str">
            <v>1</v>
          </cell>
          <cell r="M719" t="str">
            <v>CTLG</v>
          </cell>
          <cell r="N719" t="str">
            <v/>
          </cell>
          <cell r="O719" t="str">
            <v/>
          </cell>
        </row>
        <row r="720">
          <cell r="A720">
            <v>47038</v>
          </cell>
          <cell r="B720">
            <v>47038</v>
          </cell>
          <cell r="C720" t="str">
            <v>Novage+ Personal Anti-AgeingRoutine</v>
          </cell>
          <cell r="D720">
            <v>120</v>
          </cell>
          <cell r="E720">
            <v>6416</v>
          </cell>
          <cell r="F720">
            <v>11440</v>
          </cell>
          <cell r="G720">
            <v>7999</v>
          </cell>
          <cell r="H720">
            <v>14300</v>
          </cell>
          <cell r="I720">
            <v>9999</v>
          </cell>
          <cell r="J720" t="str">
            <v>SD</v>
          </cell>
          <cell r="K720">
            <v>0.30076923076923101</v>
          </cell>
          <cell r="L720" t="str">
            <v>1</v>
          </cell>
          <cell r="M720" t="str">
            <v>CTLG</v>
          </cell>
          <cell r="N720" t="str">
            <v/>
          </cell>
          <cell r="O720" t="str">
            <v/>
          </cell>
        </row>
        <row r="721">
          <cell r="A721">
            <v>47039</v>
          </cell>
          <cell r="B721">
            <v>47039</v>
          </cell>
          <cell r="C721" t="str">
            <v>Novage+ Personal Anti-AgeingRoutine</v>
          </cell>
          <cell r="D721">
            <v>120</v>
          </cell>
          <cell r="E721">
            <v>6416</v>
          </cell>
          <cell r="F721">
            <v>11440</v>
          </cell>
          <cell r="G721">
            <v>7999</v>
          </cell>
          <cell r="H721">
            <v>14300</v>
          </cell>
          <cell r="I721">
            <v>9999</v>
          </cell>
          <cell r="J721" t="str">
            <v>SD</v>
          </cell>
          <cell r="K721">
            <v>0.30076923076923101</v>
          </cell>
          <cell r="L721" t="str">
            <v>1</v>
          </cell>
          <cell r="M721" t="str">
            <v>CTLG</v>
          </cell>
          <cell r="N721" t="str">
            <v/>
          </cell>
          <cell r="O721" t="str">
            <v/>
          </cell>
        </row>
        <row r="722">
          <cell r="A722">
            <v>47040</v>
          </cell>
          <cell r="B722">
            <v>47040</v>
          </cell>
          <cell r="C722" t="str">
            <v>Novage+ Personal Anti-AgeingRoutine</v>
          </cell>
          <cell r="D722">
            <v>120</v>
          </cell>
          <cell r="E722">
            <v>6416</v>
          </cell>
          <cell r="F722">
            <v>11440</v>
          </cell>
          <cell r="G722">
            <v>7999</v>
          </cell>
          <cell r="H722">
            <v>14300</v>
          </cell>
          <cell r="I722">
            <v>9999</v>
          </cell>
          <cell r="J722" t="str">
            <v>SD</v>
          </cell>
          <cell r="K722">
            <v>0.30076923076923101</v>
          </cell>
          <cell r="L722" t="str">
            <v>1</v>
          </cell>
          <cell r="M722" t="str">
            <v>CTLG</v>
          </cell>
          <cell r="N722" t="str">
            <v/>
          </cell>
          <cell r="O722" t="str">
            <v/>
          </cell>
        </row>
        <row r="723">
          <cell r="A723">
            <v>47041</v>
          </cell>
          <cell r="B723">
            <v>47041</v>
          </cell>
          <cell r="C723" t="str">
            <v>Novage+ Personal Anti-AgeingRoutine</v>
          </cell>
          <cell r="D723">
            <v>120</v>
          </cell>
          <cell r="E723">
            <v>6416</v>
          </cell>
          <cell r="F723">
            <v>11440</v>
          </cell>
          <cell r="G723">
            <v>7999</v>
          </cell>
          <cell r="H723">
            <v>14300</v>
          </cell>
          <cell r="I723">
            <v>9999</v>
          </cell>
          <cell r="J723" t="str">
            <v>SD</v>
          </cell>
          <cell r="K723">
            <v>0.30076923076923101</v>
          </cell>
          <cell r="L723" t="str">
            <v>1</v>
          </cell>
          <cell r="M723" t="str">
            <v>CTLG</v>
          </cell>
          <cell r="N723" t="str">
            <v/>
          </cell>
          <cell r="O723" t="str">
            <v/>
          </cell>
        </row>
        <row r="724">
          <cell r="A724">
            <v>47042</v>
          </cell>
          <cell r="B724">
            <v>47042</v>
          </cell>
          <cell r="C724" t="str">
            <v>Novage+ Personal Anti-AgeingRoutine</v>
          </cell>
          <cell r="D724">
            <v>120</v>
          </cell>
          <cell r="E724">
            <v>6416</v>
          </cell>
          <cell r="F724">
            <v>11440</v>
          </cell>
          <cell r="G724">
            <v>7999</v>
          </cell>
          <cell r="H724">
            <v>14300</v>
          </cell>
          <cell r="I724">
            <v>9999</v>
          </cell>
          <cell r="J724" t="str">
            <v>SD</v>
          </cell>
          <cell r="K724">
            <v>0.30076923076923101</v>
          </cell>
          <cell r="L724" t="str">
            <v>1</v>
          </cell>
          <cell r="M724" t="str">
            <v>CTLG</v>
          </cell>
          <cell r="N724" t="str">
            <v/>
          </cell>
          <cell r="O724" t="str">
            <v/>
          </cell>
        </row>
        <row r="725">
          <cell r="A725">
            <v>47043</v>
          </cell>
          <cell r="B725">
            <v>47043</v>
          </cell>
          <cell r="C725" t="str">
            <v>Novage+ Personal Anti-AgeingRoutine</v>
          </cell>
          <cell r="D725">
            <v>120</v>
          </cell>
          <cell r="E725">
            <v>6416</v>
          </cell>
          <cell r="F725">
            <v>11440</v>
          </cell>
          <cell r="G725">
            <v>7999</v>
          </cell>
          <cell r="H725">
            <v>14300</v>
          </cell>
          <cell r="I725">
            <v>9999</v>
          </cell>
          <cell r="J725" t="str">
            <v>SD</v>
          </cell>
          <cell r="K725">
            <v>0.30076923076923101</v>
          </cell>
          <cell r="L725" t="str">
            <v>1</v>
          </cell>
          <cell r="M725" t="str">
            <v>CTLG</v>
          </cell>
          <cell r="N725" t="str">
            <v/>
          </cell>
          <cell r="O725" t="str">
            <v/>
          </cell>
        </row>
        <row r="726">
          <cell r="A726">
            <v>47044</v>
          </cell>
          <cell r="B726">
            <v>47044</v>
          </cell>
          <cell r="C726" t="str">
            <v>Novage+ Personal Anti-AgeingRoutine</v>
          </cell>
          <cell r="D726">
            <v>120</v>
          </cell>
          <cell r="E726">
            <v>6416</v>
          </cell>
          <cell r="F726">
            <v>11440</v>
          </cell>
          <cell r="G726">
            <v>7999</v>
          </cell>
          <cell r="H726">
            <v>14300</v>
          </cell>
          <cell r="I726">
            <v>9999</v>
          </cell>
          <cell r="J726" t="str">
            <v>SD</v>
          </cell>
          <cell r="K726">
            <v>0.30076923076923101</v>
          </cell>
          <cell r="L726" t="str">
            <v>1</v>
          </cell>
          <cell r="M726" t="str">
            <v>CTLG</v>
          </cell>
          <cell r="N726" t="str">
            <v/>
          </cell>
          <cell r="O726" t="str">
            <v/>
          </cell>
        </row>
        <row r="727">
          <cell r="A727">
            <v>47045</v>
          </cell>
          <cell r="B727">
            <v>47045</v>
          </cell>
          <cell r="C727" t="str">
            <v>Novage+ Personal Anti-AgeingRoutine</v>
          </cell>
          <cell r="D727">
            <v>120</v>
          </cell>
          <cell r="E727">
            <v>6416</v>
          </cell>
          <cell r="F727">
            <v>11440</v>
          </cell>
          <cell r="G727">
            <v>7999</v>
          </cell>
          <cell r="H727">
            <v>14300</v>
          </cell>
          <cell r="I727">
            <v>9999</v>
          </cell>
          <cell r="J727" t="str">
            <v>SD</v>
          </cell>
          <cell r="K727">
            <v>0.30076923076923101</v>
          </cell>
          <cell r="L727" t="str">
            <v>1</v>
          </cell>
          <cell r="M727" t="str">
            <v>CTLG</v>
          </cell>
          <cell r="N727" t="str">
            <v/>
          </cell>
          <cell r="O727" t="str">
            <v/>
          </cell>
        </row>
        <row r="728">
          <cell r="A728">
            <v>47046</v>
          </cell>
          <cell r="B728">
            <v>47046</v>
          </cell>
          <cell r="C728" t="str">
            <v>Novage+ Personal Anti-AgeingRoutine</v>
          </cell>
          <cell r="D728">
            <v>120</v>
          </cell>
          <cell r="E728">
            <v>6416</v>
          </cell>
          <cell r="F728">
            <v>11440</v>
          </cell>
          <cell r="G728">
            <v>7999</v>
          </cell>
          <cell r="H728">
            <v>14300</v>
          </cell>
          <cell r="I728">
            <v>9999</v>
          </cell>
          <cell r="J728" t="str">
            <v>SD</v>
          </cell>
          <cell r="K728">
            <v>0.30076923076923101</v>
          </cell>
          <cell r="L728" t="str">
            <v>1</v>
          </cell>
          <cell r="M728" t="str">
            <v>CTLG</v>
          </cell>
          <cell r="N728" t="str">
            <v/>
          </cell>
          <cell r="O728" t="str">
            <v/>
          </cell>
        </row>
        <row r="729">
          <cell r="A729">
            <v>47047</v>
          </cell>
          <cell r="B729">
            <v>47047</v>
          </cell>
          <cell r="C729" t="str">
            <v>Novage+ Personal Anti-AgeingRoutine</v>
          </cell>
          <cell r="D729">
            <v>120</v>
          </cell>
          <cell r="E729">
            <v>6416</v>
          </cell>
          <cell r="F729">
            <v>11440</v>
          </cell>
          <cell r="G729">
            <v>7999</v>
          </cell>
          <cell r="H729">
            <v>14300</v>
          </cell>
          <cell r="I729">
            <v>9999</v>
          </cell>
          <cell r="J729" t="str">
            <v>SD</v>
          </cell>
          <cell r="K729">
            <v>0.30076923076923101</v>
          </cell>
          <cell r="L729" t="str">
            <v>1</v>
          </cell>
          <cell r="M729" t="str">
            <v>CTLG</v>
          </cell>
          <cell r="N729" t="str">
            <v/>
          </cell>
          <cell r="O729" t="str">
            <v/>
          </cell>
        </row>
        <row r="730">
          <cell r="A730">
            <v>47048</v>
          </cell>
          <cell r="B730">
            <v>47048</v>
          </cell>
          <cell r="C730" t="str">
            <v>Novage+ Personal Anti-AgeingRoutine</v>
          </cell>
          <cell r="D730">
            <v>120</v>
          </cell>
          <cell r="E730">
            <v>6416</v>
          </cell>
          <cell r="F730">
            <v>11440</v>
          </cell>
          <cell r="G730">
            <v>7999</v>
          </cell>
          <cell r="H730">
            <v>14300</v>
          </cell>
          <cell r="I730">
            <v>9999</v>
          </cell>
          <cell r="J730" t="str">
            <v>SD</v>
          </cell>
          <cell r="K730">
            <v>0.30076923076923101</v>
          </cell>
          <cell r="L730" t="str">
            <v>1</v>
          </cell>
          <cell r="M730" t="str">
            <v>CTLG</v>
          </cell>
          <cell r="N730" t="str">
            <v/>
          </cell>
          <cell r="O730" t="str">
            <v/>
          </cell>
        </row>
        <row r="731">
          <cell r="A731">
            <v>47049</v>
          </cell>
          <cell r="B731">
            <v>47049</v>
          </cell>
          <cell r="C731" t="str">
            <v>Novage+ Personal Anti-AgeingRoutine</v>
          </cell>
          <cell r="D731">
            <v>120</v>
          </cell>
          <cell r="E731">
            <v>6416</v>
          </cell>
          <cell r="F731">
            <v>11440</v>
          </cell>
          <cell r="G731">
            <v>7999</v>
          </cell>
          <cell r="H731">
            <v>14300</v>
          </cell>
          <cell r="I731">
            <v>9999</v>
          </cell>
          <cell r="J731" t="str">
            <v>SD</v>
          </cell>
          <cell r="K731">
            <v>0.30076923076923101</v>
          </cell>
          <cell r="L731" t="str">
            <v>1</v>
          </cell>
          <cell r="M731" t="str">
            <v>CTLG</v>
          </cell>
          <cell r="N731" t="str">
            <v/>
          </cell>
          <cell r="O731" t="str">
            <v/>
          </cell>
        </row>
        <row r="732">
          <cell r="A732">
            <v>47050</v>
          </cell>
          <cell r="B732">
            <v>47050</v>
          </cell>
          <cell r="C732" t="str">
            <v>Novage+ Personal Anti-AgeingRoutine</v>
          </cell>
          <cell r="D732">
            <v>120</v>
          </cell>
          <cell r="E732">
            <v>6416</v>
          </cell>
          <cell r="F732">
            <v>11440</v>
          </cell>
          <cell r="G732">
            <v>7999</v>
          </cell>
          <cell r="H732">
            <v>14300</v>
          </cell>
          <cell r="I732">
            <v>9999</v>
          </cell>
          <cell r="J732" t="str">
            <v>SD</v>
          </cell>
          <cell r="K732">
            <v>0.30076923076923101</v>
          </cell>
          <cell r="L732" t="str">
            <v>1</v>
          </cell>
          <cell r="M732" t="str">
            <v>CTLG</v>
          </cell>
          <cell r="N732" t="str">
            <v/>
          </cell>
          <cell r="O732" t="str">
            <v/>
          </cell>
        </row>
        <row r="733">
          <cell r="A733">
            <v>47051</v>
          </cell>
          <cell r="B733">
            <v>47051</v>
          </cell>
          <cell r="C733" t="str">
            <v>Novage+ Personal Anti-AgeingRoutine</v>
          </cell>
          <cell r="D733">
            <v>120</v>
          </cell>
          <cell r="E733">
            <v>6416</v>
          </cell>
          <cell r="F733">
            <v>11440</v>
          </cell>
          <cell r="G733">
            <v>7999</v>
          </cell>
          <cell r="H733">
            <v>14300</v>
          </cell>
          <cell r="I733">
            <v>9999</v>
          </cell>
          <cell r="J733" t="str">
            <v>SD</v>
          </cell>
          <cell r="K733">
            <v>0.30076923076923101</v>
          </cell>
          <cell r="L733" t="str">
            <v>1</v>
          </cell>
          <cell r="M733" t="str">
            <v>CTLG</v>
          </cell>
          <cell r="N733" t="str">
            <v/>
          </cell>
          <cell r="O733" t="str">
            <v/>
          </cell>
        </row>
        <row r="734">
          <cell r="A734">
            <v>47052</v>
          </cell>
          <cell r="B734">
            <v>47052</v>
          </cell>
          <cell r="C734" t="str">
            <v>Novage+ Personal Anti-AgeingRoutine</v>
          </cell>
          <cell r="D734">
            <v>120</v>
          </cell>
          <cell r="E734">
            <v>6416</v>
          </cell>
          <cell r="F734">
            <v>11440</v>
          </cell>
          <cell r="G734">
            <v>7999</v>
          </cell>
          <cell r="H734">
            <v>14300</v>
          </cell>
          <cell r="I734">
            <v>9999</v>
          </cell>
          <cell r="J734" t="str">
            <v>SD</v>
          </cell>
          <cell r="K734">
            <v>0.30076923076923101</v>
          </cell>
          <cell r="L734" t="str">
            <v>1</v>
          </cell>
          <cell r="M734" t="str">
            <v>CTLG</v>
          </cell>
          <cell r="N734" t="str">
            <v/>
          </cell>
          <cell r="O734" t="str">
            <v/>
          </cell>
        </row>
        <row r="735">
          <cell r="A735">
            <v>47053</v>
          </cell>
          <cell r="B735">
            <v>47053</v>
          </cell>
          <cell r="C735" t="str">
            <v>Novage+ Personal Anti-AgeingRoutine</v>
          </cell>
          <cell r="D735">
            <v>120</v>
          </cell>
          <cell r="E735">
            <v>6416</v>
          </cell>
          <cell r="F735">
            <v>11440</v>
          </cell>
          <cell r="G735">
            <v>7999</v>
          </cell>
          <cell r="H735">
            <v>14300</v>
          </cell>
          <cell r="I735">
            <v>9999</v>
          </cell>
          <cell r="J735" t="str">
            <v>SD</v>
          </cell>
          <cell r="K735">
            <v>0.30076923076923101</v>
          </cell>
          <cell r="L735" t="str">
            <v>1</v>
          </cell>
          <cell r="M735" t="str">
            <v>CTLG</v>
          </cell>
          <cell r="N735" t="str">
            <v/>
          </cell>
          <cell r="O735" t="str">
            <v/>
          </cell>
        </row>
        <row r="736">
          <cell r="A736">
            <v>47054</v>
          </cell>
          <cell r="B736">
            <v>47054</v>
          </cell>
          <cell r="C736" t="str">
            <v>Novage+ Personal Anti-AgeingRoutine</v>
          </cell>
          <cell r="D736">
            <v>120</v>
          </cell>
          <cell r="E736">
            <v>6416</v>
          </cell>
          <cell r="F736">
            <v>11440</v>
          </cell>
          <cell r="G736">
            <v>7999</v>
          </cell>
          <cell r="H736">
            <v>14300</v>
          </cell>
          <cell r="I736">
            <v>9999</v>
          </cell>
          <cell r="J736" t="str">
            <v>SD</v>
          </cell>
          <cell r="K736">
            <v>0.30076923076923101</v>
          </cell>
          <cell r="L736" t="str">
            <v>1</v>
          </cell>
          <cell r="M736" t="str">
            <v>CTLG</v>
          </cell>
          <cell r="N736" t="str">
            <v/>
          </cell>
          <cell r="O736" t="str">
            <v/>
          </cell>
        </row>
        <row r="737">
          <cell r="A737">
            <v>47055</v>
          </cell>
          <cell r="B737">
            <v>47055</v>
          </cell>
          <cell r="C737" t="str">
            <v>Novage+ Personal Anti-AgeingRoutine</v>
          </cell>
          <cell r="D737">
            <v>120</v>
          </cell>
          <cell r="E737">
            <v>6416</v>
          </cell>
          <cell r="F737">
            <v>11440</v>
          </cell>
          <cell r="G737">
            <v>7999</v>
          </cell>
          <cell r="H737">
            <v>14300</v>
          </cell>
          <cell r="I737">
            <v>9999</v>
          </cell>
          <cell r="J737" t="str">
            <v>SD</v>
          </cell>
          <cell r="K737">
            <v>0.30076923076923101</v>
          </cell>
          <cell r="L737" t="str">
            <v>1</v>
          </cell>
          <cell r="M737" t="str">
            <v>CTLG</v>
          </cell>
          <cell r="N737" t="str">
            <v/>
          </cell>
          <cell r="O737" t="str">
            <v/>
          </cell>
        </row>
        <row r="738">
          <cell r="A738">
            <v>47056</v>
          </cell>
          <cell r="B738">
            <v>47056</v>
          </cell>
          <cell r="C738" t="str">
            <v>Novage+ Personal Anti-AgeingRoutine</v>
          </cell>
          <cell r="D738">
            <v>120</v>
          </cell>
          <cell r="E738">
            <v>6416</v>
          </cell>
          <cell r="F738">
            <v>11440</v>
          </cell>
          <cell r="G738">
            <v>7999</v>
          </cell>
          <cell r="H738">
            <v>14300</v>
          </cell>
          <cell r="I738">
            <v>9999</v>
          </cell>
          <cell r="J738" t="str">
            <v>SD</v>
          </cell>
          <cell r="K738">
            <v>0.30076923076923101</v>
          </cell>
          <cell r="L738" t="str">
            <v>1</v>
          </cell>
          <cell r="M738" t="str">
            <v>CTLG</v>
          </cell>
          <cell r="N738" t="str">
            <v/>
          </cell>
          <cell r="O738" t="str">
            <v/>
          </cell>
        </row>
        <row r="739">
          <cell r="A739">
            <v>47057</v>
          </cell>
          <cell r="B739">
            <v>47057</v>
          </cell>
          <cell r="C739" t="str">
            <v>Novage+ Personal Anti-AgeingRoutine</v>
          </cell>
          <cell r="D739">
            <v>120</v>
          </cell>
          <cell r="E739">
            <v>6416</v>
          </cell>
          <cell r="F739">
            <v>11440</v>
          </cell>
          <cell r="G739">
            <v>7999</v>
          </cell>
          <cell r="H739">
            <v>14300</v>
          </cell>
          <cell r="I739">
            <v>9999</v>
          </cell>
          <cell r="J739" t="str">
            <v>SD</v>
          </cell>
          <cell r="K739">
            <v>0.30076923076923101</v>
          </cell>
          <cell r="L739" t="str">
            <v>1</v>
          </cell>
          <cell r="M739" t="str">
            <v>CTLG</v>
          </cell>
          <cell r="N739" t="str">
            <v/>
          </cell>
          <cell r="O739" t="str">
            <v/>
          </cell>
        </row>
        <row r="740">
          <cell r="A740">
            <v>47058</v>
          </cell>
          <cell r="B740">
            <v>47058</v>
          </cell>
          <cell r="C740" t="str">
            <v>Novage+ Personal Anti-AgeingRoutine</v>
          </cell>
          <cell r="D740">
            <v>120</v>
          </cell>
          <cell r="E740">
            <v>6416</v>
          </cell>
          <cell r="F740">
            <v>11440</v>
          </cell>
          <cell r="G740">
            <v>7999</v>
          </cell>
          <cell r="H740">
            <v>14300</v>
          </cell>
          <cell r="I740">
            <v>9999</v>
          </cell>
          <cell r="J740" t="str">
            <v>SD</v>
          </cell>
          <cell r="K740">
            <v>0.30076923076923101</v>
          </cell>
          <cell r="L740" t="str">
            <v>1</v>
          </cell>
          <cell r="M740" t="str">
            <v>CTLG</v>
          </cell>
          <cell r="N740" t="str">
            <v/>
          </cell>
          <cell r="O740" t="str">
            <v/>
          </cell>
        </row>
        <row r="741">
          <cell r="A741">
            <v>47059</v>
          </cell>
          <cell r="B741">
            <v>47059</v>
          </cell>
          <cell r="C741" t="str">
            <v>Novage+ Personal Anti-AgeingRoutine</v>
          </cell>
          <cell r="D741">
            <v>120</v>
          </cell>
          <cell r="E741">
            <v>6416</v>
          </cell>
          <cell r="F741">
            <v>11440</v>
          </cell>
          <cell r="G741">
            <v>7999</v>
          </cell>
          <cell r="H741">
            <v>14300</v>
          </cell>
          <cell r="I741">
            <v>9999</v>
          </cell>
          <cell r="J741" t="str">
            <v>SD</v>
          </cell>
          <cell r="K741">
            <v>0.30076923076923101</v>
          </cell>
          <cell r="L741" t="str">
            <v>1</v>
          </cell>
          <cell r="M741" t="str">
            <v>CTLG</v>
          </cell>
          <cell r="N741" t="str">
            <v/>
          </cell>
          <cell r="O741" t="str">
            <v/>
          </cell>
        </row>
        <row r="742">
          <cell r="A742">
            <v>47060</v>
          </cell>
          <cell r="B742">
            <v>47060</v>
          </cell>
          <cell r="C742" t="str">
            <v>Novage+ Personal Anti-AgeingRoutine</v>
          </cell>
          <cell r="D742">
            <v>120</v>
          </cell>
          <cell r="E742">
            <v>6416</v>
          </cell>
          <cell r="F742">
            <v>11440</v>
          </cell>
          <cell r="G742">
            <v>7999</v>
          </cell>
          <cell r="H742">
            <v>14300</v>
          </cell>
          <cell r="I742">
            <v>9999</v>
          </cell>
          <cell r="J742" t="str">
            <v>SD</v>
          </cell>
          <cell r="K742">
            <v>0.30076923076923101</v>
          </cell>
          <cell r="L742" t="str">
            <v>1</v>
          </cell>
          <cell r="M742" t="str">
            <v>CTLG</v>
          </cell>
          <cell r="N742" t="str">
            <v/>
          </cell>
          <cell r="O742" t="str">
            <v/>
          </cell>
        </row>
        <row r="743">
          <cell r="A743">
            <v>47061</v>
          </cell>
          <cell r="B743">
            <v>47061</v>
          </cell>
          <cell r="C743" t="str">
            <v>Novage+ Personal Anti-AgeingRoutine</v>
          </cell>
          <cell r="D743">
            <v>120</v>
          </cell>
          <cell r="E743">
            <v>6416</v>
          </cell>
          <cell r="F743">
            <v>11440</v>
          </cell>
          <cell r="G743">
            <v>7999</v>
          </cell>
          <cell r="H743">
            <v>14300</v>
          </cell>
          <cell r="I743">
            <v>9999</v>
          </cell>
          <cell r="J743" t="str">
            <v>SD</v>
          </cell>
          <cell r="K743">
            <v>0.30076923076923101</v>
          </cell>
          <cell r="L743" t="str">
            <v>1</v>
          </cell>
          <cell r="M743" t="str">
            <v>CTLG</v>
          </cell>
          <cell r="N743" t="str">
            <v/>
          </cell>
          <cell r="O743" t="str">
            <v/>
          </cell>
        </row>
        <row r="744">
          <cell r="A744">
            <v>47062</v>
          </cell>
          <cell r="B744">
            <v>47062</v>
          </cell>
          <cell r="C744" t="str">
            <v>Novage+ Personal Anti-AgeingRoutine</v>
          </cell>
          <cell r="D744">
            <v>120</v>
          </cell>
          <cell r="E744">
            <v>6416</v>
          </cell>
          <cell r="F744">
            <v>11440</v>
          </cell>
          <cell r="G744">
            <v>7999</v>
          </cell>
          <cell r="H744">
            <v>14300</v>
          </cell>
          <cell r="I744">
            <v>9999</v>
          </cell>
          <cell r="J744" t="str">
            <v>SD</v>
          </cell>
          <cell r="K744">
            <v>0.30076923076923101</v>
          </cell>
          <cell r="L744" t="str">
            <v>1</v>
          </cell>
          <cell r="M744" t="str">
            <v>CTLG</v>
          </cell>
          <cell r="N744" t="str">
            <v/>
          </cell>
          <cell r="O744" t="str">
            <v/>
          </cell>
        </row>
        <row r="745">
          <cell r="A745">
            <v>47063</v>
          </cell>
          <cell r="B745">
            <v>47063</v>
          </cell>
          <cell r="C745" t="str">
            <v>Novage+ Personal Anti-AgeingRoutine</v>
          </cell>
          <cell r="D745">
            <v>120</v>
          </cell>
          <cell r="E745">
            <v>6416</v>
          </cell>
          <cell r="F745">
            <v>11440</v>
          </cell>
          <cell r="G745">
            <v>7999</v>
          </cell>
          <cell r="H745">
            <v>14300</v>
          </cell>
          <cell r="I745">
            <v>9999</v>
          </cell>
          <cell r="J745" t="str">
            <v>SD</v>
          </cell>
          <cell r="K745">
            <v>0.30076923076923101</v>
          </cell>
          <cell r="L745" t="str">
            <v>1</v>
          </cell>
          <cell r="M745" t="str">
            <v>CTLG</v>
          </cell>
          <cell r="N745" t="str">
            <v/>
          </cell>
          <cell r="O745" t="str">
            <v/>
          </cell>
        </row>
        <row r="746">
          <cell r="A746">
            <v>47064</v>
          </cell>
          <cell r="B746">
            <v>47064</v>
          </cell>
          <cell r="C746" t="str">
            <v>Novage+ Personal Anti-AgeingRoutine</v>
          </cell>
          <cell r="D746">
            <v>120</v>
          </cell>
          <cell r="E746">
            <v>6416</v>
          </cell>
          <cell r="F746">
            <v>11440</v>
          </cell>
          <cell r="G746">
            <v>7999</v>
          </cell>
          <cell r="H746">
            <v>14300</v>
          </cell>
          <cell r="I746">
            <v>9999</v>
          </cell>
          <cell r="J746" t="str">
            <v>SD</v>
          </cell>
          <cell r="K746">
            <v>0.30076923076923101</v>
          </cell>
          <cell r="L746" t="str">
            <v>1</v>
          </cell>
          <cell r="M746" t="str">
            <v>CTLG</v>
          </cell>
          <cell r="N746" t="str">
            <v/>
          </cell>
          <cell r="O746" t="str">
            <v/>
          </cell>
        </row>
        <row r="747">
          <cell r="A747">
            <v>47065</v>
          </cell>
          <cell r="B747">
            <v>47065</v>
          </cell>
          <cell r="C747" t="str">
            <v>Novage+ Personal Anti-AgeingRoutine</v>
          </cell>
          <cell r="D747">
            <v>120</v>
          </cell>
          <cell r="E747">
            <v>6416</v>
          </cell>
          <cell r="F747">
            <v>11440</v>
          </cell>
          <cell r="G747">
            <v>7999</v>
          </cell>
          <cell r="H747">
            <v>14300</v>
          </cell>
          <cell r="I747">
            <v>9999</v>
          </cell>
          <cell r="J747" t="str">
            <v>SD</v>
          </cell>
          <cell r="K747">
            <v>0.30076923076923101</v>
          </cell>
          <cell r="L747" t="str">
            <v>1</v>
          </cell>
          <cell r="M747" t="str">
            <v>CTLG</v>
          </cell>
          <cell r="N747" t="str">
            <v/>
          </cell>
          <cell r="O747" t="str">
            <v/>
          </cell>
        </row>
        <row r="748">
          <cell r="A748">
            <v>47066</v>
          </cell>
          <cell r="B748">
            <v>47066</v>
          </cell>
          <cell r="C748" t="str">
            <v>Novage+ Personal Anti-AgeingRoutine</v>
          </cell>
          <cell r="D748">
            <v>120</v>
          </cell>
          <cell r="E748">
            <v>6416</v>
          </cell>
          <cell r="F748">
            <v>11440</v>
          </cell>
          <cell r="G748">
            <v>7999</v>
          </cell>
          <cell r="H748">
            <v>14300</v>
          </cell>
          <cell r="I748">
            <v>9999</v>
          </cell>
          <cell r="J748" t="str">
            <v>SD</v>
          </cell>
          <cell r="K748">
            <v>0.30076923076923101</v>
          </cell>
          <cell r="L748" t="str">
            <v>1</v>
          </cell>
          <cell r="M748" t="str">
            <v>CTLG</v>
          </cell>
          <cell r="N748" t="str">
            <v/>
          </cell>
          <cell r="O748" t="str">
            <v/>
          </cell>
        </row>
        <row r="749">
          <cell r="A749">
            <v>47067</v>
          </cell>
          <cell r="B749">
            <v>47067</v>
          </cell>
          <cell r="C749" t="str">
            <v>Novage+ Personal Anti-AgeingRoutine</v>
          </cell>
          <cell r="D749">
            <v>120</v>
          </cell>
          <cell r="E749">
            <v>6416</v>
          </cell>
          <cell r="F749">
            <v>11440</v>
          </cell>
          <cell r="G749">
            <v>7999</v>
          </cell>
          <cell r="H749">
            <v>14300</v>
          </cell>
          <cell r="I749">
            <v>9999</v>
          </cell>
          <cell r="J749" t="str">
            <v>SD</v>
          </cell>
          <cell r="K749">
            <v>0.30076923076923101</v>
          </cell>
          <cell r="L749" t="str">
            <v>1</v>
          </cell>
          <cell r="M749" t="str">
            <v>CTLG</v>
          </cell>
          <cell r="N749" t="str">
            <v/>
          </cell>
          <cell r="O749" t="str">
            <v/>
          </cell>
        </row>
        <row r="750">
          <cell r="A750">
            <v>47068</v>
          </cell>
          <cell r="B750">
            <v>47068</v>
          </cell>
          <cell r="C750" t="str">
            <v>Novage+ Personal Anti-AgeingRoutine</v>
          </cell>
          <cell r="D750">
            <v>120</v>
          </cell>
          <cell r="E750">
            <v>6416</v>
          </cell>
          <cell r="F750">
            <v>11440</v>
          </cell>
          <cell r="G750">
            <v>7999</v>
          </cell>
          <cell r="H750">
            <v>14300</v>
          </cell>
          <cell r="I750">
            <v>9999</v>
          </cell>
          <cell r="J750" t="str">
            <v>SD</v>
          </cell>
          <cell r="K750">
            <v>0.30076923076923101</v>
          </cell>
          <cell r="L750" t="str">
            <v>1</v>
          </cell>
          <cell r="M750" t="str">
            <v>CTLG</v>
          </cell>
          <cell r="N750" t="str">
            <v/>
          </cell>
          <cell r="O750" t="str">
            <v/>
          </cell>
        </row>
        <row r="751">
          <cell r="A751">
            <v>47069</v>
          </cell>
          <cell r="B751">
            <v>47069</v>
          </cell>
          <cell r="C751" t="str">
            <v>Novage+ Personal Anti-AgeingRoutine</v>
          </cell>
          <cell r="D751">
            <v>120</v>
          </cell>
          <cell r="E751">
            <v>6416</v>
          </cell>
          <cell r="F751">
            <v>11440</v>
          </cell>
          <cell r="G751">
            <v>7999</v>
          </cell>
          <cell r="H751">
            <v>14300</v>
          </cell>
          <cell r="I751">
            <v>9999</v>
          </cell>
          <cell r="J751" t="str">
            <v>SD</v>
          </cell>
          <cell r="K751">
            <v>0.30076923076923101</v>
          </cell>
          <cell r="L751" t="str">
            <v>1</v>
          </cell>
          <cell r="M751" t="str">
            <v>CTLG</v>
          </cell>
          <cell r="N751" t="str">
            <v/>
          </cell>
          <cell r="O751" t="str">
            <v/>
          </cell>
        </row>
        <row r="752">
          <cell r="A752">
            <v>47070</v>
          </cell>
          <cell r="B752">
            <v>47070</v>
          </cell>
          <cell r="C752" t="str">
            <v>Novage+ Personal Anti-AgeingRoutine</v>
          </cell>
          <cell r="D752">
            <v>120</v>
          </cell>
          <cell r="E752">
            <v>6416</v>
          </cell>
          <cell r="F752">
            <v>11440</v>
          </cell>
          <cell r="G752">
            <v>7999</v>
          </cell>
          <cell r="H752">
            <v>14300</v>
          </cell>
          <cell r="I752">
            <v>9999</v>
          </cell>
          <cell r="J752" t="str">
            <v>SD</v>
          </cell>
          <cell r="K752">
            <v>0.30076923076923101</v>
          </cell>
          <cell r="L752" t="str">
            <v>1</v>
          </cell>
          <cell r="M752" t="str">
            <v>CTLG</v>
          </cell>
          <cell r="N752" t="str">
            <v/>
          </cell>
          <cell r="O752" t="str">
            <v/>
          </cell>
        </row>
        <row r="753">
          <cell r="B753">
            <v>27730</v>
          </cell>
          <cell r="C753" t="str">
            <v>Dual Pencil Sharpener</v>
          </cell>
          <cell r="D753">
            <v>4</v>
          </cell>
          <cell r="E753">
            <v>119</v>
          </cell>
          <cell r="F753">
            <v>296</v>
          </cell>
          <cell r="G753">
            <v>296</v>
          </cell>
          <cell r="H753">
            <v>370</v>
          </cell>
          <cell r="I753">
            <v>370</v>
          </cell>
          <cell r="J753" t="str">
            <v>NO</v>
          </cell>
          <cell r="K753">
            <v>0</v>
          </cell>
          <cell r="L753" t="str">
            <v/>
          </cell>
          <cell r="M753" t="str">
            <v>NF</v>
          </cell>
          <cell r="N753" t="str">
            <v/>
          </cell>
          <cell r="O753" t="str">
            <v/>
          </cell>
        </row>
        <row r="754">
          <cell r="B754">
            <v>30888</v>
          </cell>
          <cell r="C754" t="str">
            <v>Giordani Gold Silky Powder Polisher</v>
          </cell>
          <cell r="D754">
            <v>14</v>
          </cell>
          <cell r="E754">
            <v>449</v>
          </cell>
          <cell r="F754">
            <v>1120</v>
          </cell>
          <cell r="G754">
            <v>1120</v>
          </cell>
          <cell r="H754">
            <v>1400</v>
          </cell>
          <cell r="I754">
            <v>1400</v>
          </cell>
          <cell r="J754" t="str">
            <v>NO</v>
          </cell>
          <cell r="K754">
            <v>0</v>
          </cell>
          <cell r="L754" t="str">
            <v/>
          </cell>
          <cell r="M754" t="str">
            <v>NF</v>
          </cell>
          <cell r="N754" t="str">
            <v/>
          </cell>
          <cell r="O754" t="str">
            <v/>
          </cell>
        </row>
        <row r="755">
          <cell r="B755">
            <v>37449</v>
          </cell>
          <cell r="C755" t="str">
            <v>Giordani Gold Eyelash Curler</v>
          </cell>
          <cell r="D755">
            <v>8</v>
          </cell>
          <cell r="E755">
            <v>256</v>
          </cell>
          <cell r="F755">
            <v>640</v>
          </cell>
          <cell r="G755">
            <v>640</v>
          </cell>
          <cell r="H755">
            <v>800</v>
          </cell>
          <cell r="I755">
            <v>800</v>
          </cell>
          <cell r="J755" t="str">
            <v>NO</v>
          </cell>
          <cell r="K755">
            <v>0</v>
          </cell>
          <cell r="L755" t="str">
            <v/>
          </cell>
          <cell r="M755" t="str">
            <v>NF</v>
          </cell>
          <cell r="N755" t="str">
            <v/>
          </cell>
          <cell r="O755" t="str">
            <v/>
          </cell>
        </row>
        <row r="756">
          <cell r="B756">
            <v>37457</v>
          </cell>
          <cell r="C756" t="str">
            <v>Giordani Gold Slant Tweezer</v>
          </cell>
          <cell r="D756">
            <v>6</v>
          </cell>
          <cell r="E756">
            <v>208</v>
          </cell>
          <cell r="F756">
            <v>520</v>
          </cell>
          <cell r="G756">
            <v>520</v>
          </cell>
          <cell r="H756">
            <v>650</v>
          </cell>
          <cell r="I756">
            <v>650</v>
          </cell>
          <cell r="J756" t="str">
            <v>NO</v>
          </cell>
          <cell r="K756">
            <v>0</v>
          </cell>
          <cell r="L756" t="str">
            <v/>
          </cell>
          <cell r="M756" t="str">
            <v>NF</v>
          </cell>
          <cell r="N756" t="str">
            <v/>
          </cell>
          <cell r="O756" t="str">
            <v/>
          </cell>
        </row>
        <row r="757">
          <cell r="B757">
            <v>37525</v>
          </cell>
          <cell r="C757" t="str">
            <v>Squared Pocket Mirror</v>
          </cell>
          <cell r="D757">
            <v>5</v>
          </cell>
          <cell r="E757">
            <v>160</v>
          </cell>
          <cell r="F757">
            <v>400</v>
          </cell>
          <cell r="G757">
            <v>400</v>
          </cell>
          <cell r="H757">
            <v>500</v>
          </cell>
          <cell r="I757">
            <v>500</v>
          </cell>
          <cell r="J757" t="str">
            <v>NO</v>
          </cell>
          <cell r="K757">
            <v>0</v>
          </cell>
          <cell r="L757" t="str">
            <v/>
          </cell>
          <cell r="M757" t="str">
            <v>NF</v>
          </cell>
          <cell r="N757" t="str">
            <v/>
          </cell>
          <cell r="O757" t="str">
            <v/>
          </cell>
        </row>
        <row r="758">
          <cell r="B758">
            <v>41593</v>
          </cell>
          <cell r="C758" t="str">
            <v>Elemental Exfoliating Glove</v>
          </cell>
          <cell r="D758">
            <v>4</v>
          </cell>
          <cell r="E758">
            <v>119</v>
          </cell>
          <cell r="F758">
            <v>296</v>
          </cell>
          <cell r="G758">
            <v>296</v>
          </cell>
          <cell r="H758">
            <v>370</v>
          </cell>
          <cell r="I758">
            <v>370</v>
          </cell>
          <cell r="J758" t="str">
            <v>NO</v>
          </cell>
          <cell r="K758">
            <v>0</v>
          </cell>
          <cell r="L758" t="str">
            <v/>
          </cell>
          <cell r="M758" t="str">
            <v>NF</v>
          </cell>
          <cell r="N758" t="str">
            <v/>
          </cell>
          <cell r="O758" t="str">
            <v/>
          </cell>
        </row>
        <row r="759">
          <cell r="B759">
            <v>41625</v>
          </cell>
          <cell r="C759" t="str">
            <v>Elemental Shower Puff</v>
          </cell>
          <cell r="D759">
            <v>3</v>
          </cell>
          <cell r="E759">
            <v>87</v>
          </cell>
          <cell r="F759">
            <v>216</v>
          </cell>
          <cell r="G759">
            <v>216</v>
          </cell>
          <cell r="H759">
            <v>270</v>
          </cell>
          <cell r="I759">
            <v>270</v>
          </cell>
          <cell r="J759" t="str">
            <v>NO</v>
          </cell>
          <cell r="K759">
            <v>0</v>
          </cell>
          <cell r="L759" t="str">
            <v/>
          </cell>
          <cell r="M759" t="str">
            <v>NF</v>
          </cell>
          <cell r="N759" t="str">
            <v/>
          </cell>
          <cell r="O759" t="str">
            <v/>
          </cell>
        </row>
        <row r="760">
          <cell r="B760">
            <v>42287</v>
          </cell>
          <cell r="C760" t="str">
            <v>Nail It Cuticle Nipper</v>
          </cell>
          <cell r="D760">
            <v>8</v>
          </cell>
          <cell r="E760">
            <v>256</v>
          </cell>
          <cell r="F760">
            <v>640</v>
          </cell>
          <cell r="G760">
            <v>640</v>
          </cell>
          <cell r="H760">
            <v>800</v>
          </cell>
          <cell r="I760">
            <v>800</v>
          </cell>
          <cell r="J760" t="str">
            <v>NO</v>
          </cell>
          <cell r="K760">
            <v>0</v>
          </cell>
          <cell r="L760" t="str">
            <v/>
          </cell>
          <cell r="M760" t="str">
            <v>NF</v>
          </cell>
          <cell r="N760" t="str">
            <v/>
          </cell>
          <cell r="O760" t="str">
            <v/>
          </cell>
        </row>
        <row r="761">
          <cell r="B761">
            <v>42288</v>
          </cell>
          <cell r="C761" t="str">
            <v>Nail It Crystal Nail File</v>
          </cell>
          <cell r="D761">
            <v>3</v>
          </cell>
          <cell r="E761">
            <v>87</v>
          </cell>
          <cell r="F761">
            <v>216</v>
          </cell>
          <cell r="G761">
            <v>216</v>
          </cell>
          <cell r="H761">
            <v>270</v>
          </cell>
          <cell r="I761">
            <v>270</v>
          </cell>
          <cell r="J761" t="str">
            <v>NO</v>
          </cell>
          <cell r="K761">
            <v>0</v>
          </cell>
          <cell r="L761" t="str">
            <v/>
          </cell>
          <cell r="M761" t="str">
            <v>NF</v>
          </cell>
          <cell r="N761" t="str">
            <v/>
          </cell>
          <cell r="O761" t="str">
            <v/>
          </cell>
        </row>
        <row r="762">
          <cell r="B762">
            <v>42290</v>
          </cell>
          <cell r="C762" t="str">
            <v>Nail It Manicure Kit</v>
          </cell>
          <cell r="D762">
            <v>9</v>
          </cell>
          <cell r="E762">
            <v>298</v>
          </cell>
          <cell r="F762">
            <v>744</v>
          </cell>
          <cell r="G762">
            <v>744</v>
          </cell>
          <cell r="H762">
            <v>930</v>
          </cell>
          <cell r="I762">
            <v>930</v>
          </cell>
          <cell r="J762" t="str">
            <v>NO</v>
          </cell>
          <cell r="K762">
            <v>0</v>
          </cell>
          <cell r="L762" t="str">
            <v/>
          </cell>
          <cell r="M762" t="str">
            <v>NF</v>
          </cell>
          <cell r="N762" t="str">
            <v/>
          </cell>
          <cell r="O762" t="str">
            <v/>
          </cell>
        </row>
        <row r="763">
          <cell r="B763">
            <v>42478</v>
          </cell>
          <cell r="C763" t="str">
            <v>THE ONE Foundation Brush</v>
          </cell>
          <cell r="D763">
            <v>7</v>
          </cell>
          <cell r="E763">
            <v>237</v>
          </cell>
          <cell r="F763">
            <v>592</v>
          </cell>
          <cell r="G763">
            <v>592</v>
          </cell>
          <cell r="H763">
            <v>740</v>
          </cell>
          <cell r="I763">
            <v>740</v>
          </cell>
          <cell r="J763" t="str">
            <v>NO</v>
          </cell>
          <cell r="K763">
            <v>0</v>
          </cell>
          <cell r="L763" t="str">
            <v/>
          </cell>
          <cell r="M763" t="str">
            <v>NF</v>
          </cell>
          <cell r="N763" t="str">
            <v/>
          </cell>
          <cell r="O763" t="str">
            <v/>
          </cell>
        </row>
        <row r="764">
          <cell r="B764">
            <v>42479</v>
          </cell>
          <cell r="C764" t="str">
            <v>THE ONE Stippling Brush</v>
          </cell>
          <cell r="D764">
            <v>7</v>
          </cell>
          <cell r="E764">
            <v>237</v>
          </cell>
          <cell r="F764">
            <v>592</v>
          </cell>
          <cell r="G764">
            <v>592</v>
          </cell>
          <cell r="H764">
            <v>740</v>
          </cell>
          <cell r="I764">
            <v>740</v>
          </cell>
          <cell r="J764" t="str">
            <v>NO</v>
          </cell>
          <cell r="K764">
            <v>0</v>
          </cell>
          <cell r="L764" t="str">
            <v/>
          </cell>
          <cell r="M764" t="str">
            <v>NF</v>
          </cell>
          <cell r="N764" t="str">
            <v/>
          </cell>
          <cell r="O764" t="str">
            <v/>
          </cell>
        </row>
        <row r="765">
          <cell r="B765">
            <v>42483</v>
          </cell>
          <cell r="C765" t="str">
            <v>THE ONE Concealer Brush</v>
          </cell>
          <cell r="D765">
            <v>5</v>
          </cell>
          <cell r="E765">
            <v>154</v>
          </cell>
          <cell r="F765">
            <v>384</v>
          </cell>
          <cell r="G765">
            <v>384</v>
          </cell>
          <cell r="H765">
            <v>480</v>
          </cell>
          <cell r="I765">
            <v>480</v>
          </cell>
          <cell r="J765" t="str">
            <v>NO</v>
          </cell>
          <cell r="K765">
            <v>0</v>
          </cell>
          <cell r="L765" t="str">
            <v/>
          </cell>
          <cell r="M765" t="str">
            <v>NF</v>
          </cell>
          <cell r="N765" t="str">
            <v/>
          </cell>
          <cell r="O765" t="str">
            <v/>
          </cell>
        </row>
        <row r="766">
          <cell r="B766">
            <v>42487</v>
          </cell>
          <cell r="C766" t="str">
            <v>THE ONE Dual Eyebrow Brush</v>
          </cell>
          <cell r="D766">
            <v>5</v>
          </cell>
          <cell r="E766">
            <v>154</v>
          </cell>
          <cell r="F766">
            <v>384</v>
          </cell>
          <cell r="G766">
            <v>384</v>
          </cell>
          <cell r="H766">
            <v>480</v>
          </cell>
          <cell r="I766">
            <v>480</v>
          </cell>
          <cell r="J766" t="str">
            <v>NO</v>
          </cell>
          <cell r="K766">
            <v>0</v>
          </cell>
          <cell r="L766" t="str">
            <v/>
          </cell>
          <cell r="M766" t="str">
            <v>NF</v>
          </cell>
          <cell r="N766" t="str">
            <v/>
          </cell>
          <cell r="O766" t="str">
            <v/>
          </cell>
        </row>
        <row r="767">
          <cell r="B767">
            <v>44004</v>
          </cell>
          <cell r="C767" t="str">
            <v>THE ONE Eyelash Shield</v>
          </cell>
          <cell r="D767">
            <v>5</v>
          </cell>
          <cell r="E767">
            <v>160</v>
          </cell>
          <cell r="F767">
            <v>400</v>
          </cell>
          <cell r="G767">
            <v>400</v>
          </cell>
          <cell r="H767">
            <v>500</v>
          </cell>
          <cell r="I767">
            <v>500</v>
          </cell>
          <cell r="J767" t="str">
            <v>NO</v>
          </cell>
          <cell r="K767">
            <v>0</v>
          </cell>
          <cell r="L767" t="str">
            <v/>
          </cell>
          <cell r="M767" t="str">
            <v>NF</v>
          </cell>
          <cell r="N767" t="str">
            <v/>
          </cell>
          <cell r="O767" t="str">
            <v/>
          </cell>
        </row>
        <row r="768">
          <cell r="B768">
            <v>44005</v>
          </cell>
          <cell r="C768" t="str">
            <v>Charcoal Shower Puff</v>
          </cell>
          <cell r="D768">
            <v>3</v>
          </cell>
          <cell r="E768">
            <v>100</v>
          </cell>
          <cell r="F768">
            <v>248</v>
          </cell>
          <cell r="G768">
            <v>248</v>
          </cell>
          <cell r="H768">
            <v>310</v>
          </cell>
          <cell r="I768">
            <v>310</v>
          </cell>
          <cell r="J768" t="str">
            <v>NO</v>
          </cell>
          <cell r="K768">
            <v>0</v>
          </cell>
          <cell r="L768" t="str">
            <v/>
          </cell>
          <cell r="M768" t="str">
            <v>NF</v>
          </cell>
          <cell r="N768" t="str">
            <v/>
          </cell>
          <cell r="O768" t="str">
            <v/>
          </cell>
        </row>
        <row r="769">
          <cell r="B769">
            <v>45068</v>
          </cell>
          <cell r="C769" t="str">
            <v>Blotting Roller</v>
          </cell>
          <cell r="D769">
            <v>21</v>
          </cell>
          <cell r="E769">
            <v>674</v>
          </cell>
          <cell r="F769">
            <v>1680</v>
          </cell>
          <cell r="G769">
            <v>1680</v>
          </cell>
          <cell r="H769">
            <v>2100</v>
          </cell>
          <cell r="I769">
            <v>2100</v>
          </cell>
          <cell r="J769" t="str">
            <v>NO</v>
          </cell>
          <cell r="K769">
            <v>0</v>
          </cell>
          <cell r="L769" t="str">
            <v/>
          </cell>
          <cell r="M769" t="str">
            <v>NF</v>
          </cell>
          <cell r="N769" t="str">
            <v/>
          </cell>
          <cell r="O769" t="str">
            <v/>
          </cell>
        </row>
        <row r="770">
          <cell r="B770">
            <v>45847</v>
          </cell>
          <cell r="C770" t="str">
            <v>Men's 4-in-1 Grooming Tool</v>
          </cell>
          <cell r="D770">
            <v>42</v>
          </cell>
          <cell r="E770">
            <v>1347</v>
          </cell>
          <cell r="F770">
            <v>3360</v>
          </cell>
          <cell r="G770">
            <v>3360</v>
          </cell>
          <cell r="H770">
            <v>4200</v>
          </cell>
          <cell r="I770">
            <v>4200</v>
          </cell>
          <cell r="J770" t="str">
            <v>NO</v>
          </cell>
          <cell r="K770">
            <v>0</v>
          </cell>
          <cell r="L770" t="str">
            <v/>
          </cell>
          <cell r="M770" t="str">
            <v>NF</v>
          </cell>
          <cell r="N770" t="str">
            <v/>
          </cell>
          <cell r="O770" t="str">
            <v/>
          </cell>
        </row>
        <row r="771">
          <cell r="B771">
            <v>46015</v>
          </cell>
          <cell r="C771" t="str">
            <v xml:space="preserve">The body edition CelluMassager </v>
          </cell>
          <cell r="D771">
            <v>12</v>
          </cell>
          <cell r="E771">
            <v>385</v>
          </cell>
          <cell r="F771">
            <v>960</v>
          </cell>
          <cell r="G771">
            <v>960</v>
          </cell>
          <cell r="H771">
            <v>1200</v>
          </cell>
          <cell r="I771">
            <v>1200</v>
          </cell>
          <cell r="J771" t="str">
            <v>NO</v>
          </cell>
          <cell r="K771">
            <v>0</v>
          </cell>
          <cell r="L771" t="str">
            <v/>
          </cell>
          <cell r="M771" t="str">
            <v>NF</v>
          </cell>
          <cell r="N771" t="str">
            <v/>
          </cell>
          <cell r="O771" t="str">
            <v/>
          </cell>
        </row>
        <row r="772">
          <cell r="B772">
            <v>46028</v>
          </cell>
          <cell r="C772" t="str">
            <v>Beam Face and Body Trimmer</v>
          </cell>
          <cell r="D772">
            <v>35</v>
          </cell>
          <cell r="E772">
            <v>1123</v>
          </cell>
          <cell r="F772">
            <v>2800</v>
          </cell>
          <cell r="G772">
            <v>2800</v>
          </cell>
          <cell r="H772">
            <v>3500</v>
          </cell>
          <cell r="I772">
            <v>3500</v>
          </cell>
          <cell r="J772" t="str">
            <v>NO</v>
          </cell>
          <cell r="K772">
            <v>0</v>
          </cell>
          <cell r="L772" t="str">
            <v/>
          </cell>
          <cell r="M772" t="str">
            <v>NF</v>
          </cell>
          <cell r="N772" t="str">
            <v/>
          </cell>
          <cell r="O772" t="str">
            <v/>
          </cell>
        </row>
        <row r="773">
          <cell r="B773">
            <v>46357</v>
          </cell>
          <cell r="C773" t="str">
            <v>StylerPRO Cushion Brush</v>
          </cell>
          <cell r="D773">
            <v>8</v>
          </cell>
          <cell r="E773">
            <v>256</v>
          </cell>
          <cell r="F773">
            <v>640</v>
          </cell>
          <cell r="G773">
            <v>640</v>
          </cell>
          <cell r="H773">
            <v>800</v>
          </cell>
          <cell r="I773">
            <v>800</v>
          </cell>
          <cell r="J773" t="str">
            <v>NO</v>
          </cell>
          <cell r="K773">
            <v>0</v>
          </cell>
          <cell r="L773" t="str">
            <v/>
          </cell>
          <cell r="M773" t="str">
            <v>NF</v>
          </cell>
          <cell r="N773" t="str">
            <v/>
          </cell>
          <cell r="O773" t="str">
            <v/>
          </cell>
        </row>
        <row r="774">
          <cell r="B774">
            <v>46361</v>
          </cell>
          <cell r="C774" t="str">
            <v>StylerPRO Styling Brush</v>
          </cell>
          <cell r="D774">
            <v>9</v>
          </cell>
          <cell r="E774">
            <v>298</v>
          </cell>
          <cell r="F774">
            <v>744</v>
          </cell>
          <cell r="G774">
            <v>744</v>
          </cell>
          <cell r="H774">
            <v>930</v>
          </cell>
          <cell r="I774">
            <v>930</v>
          </cell>
          <cell r="J774" t="str">
            <v>NO</v>
          </cell>
          <cell r="K774">
            <v>0</v>
          </cell>
          <cell r="L774" t="str">
            <v/>
          </cell>
          <cell r="M774" t="str">
            <v>NF</v>
          </cell>
          <cell r="N774" t="str">
            <v/>
          </cell>
          <cell r="O774" t="str">
            <v/>
          </cell>
        </row>
        <row r="775">
          <cell r="B775">
            <v>46362</v>
          </cell>
          <cell r="C775" t="str">
            <v>StylerPRO Paddle Brush</v>
          </cell>
          <cell r="D775">
            <v>9</v>
          </cell>
          <cell r="E775">
            <v>282</v>
          </cell>
          <cell r="F775">
            <v>704</v>
          </cell>
          <cell r="G775">
            <v>704</v>
          </cell>
          <cell r="H775">
            <v>880</v>
          </cell>
          <cell r="I775">
            <v>880</v>
          </cell>
          <cell r="J775" t="str">
            <v>NO</v>
          </cell>
          <cell r="K775">
            <v>0</v>
          </cell>
          <cell r="L775" t="str">
            <v/>
          </cell>
          <cell r="M775" t="str">
            <v>NF</v>
          </cell>
          <cell r="N775" t="str">
            <v/>
          </cell>
          <cell r="O775" t="str">
            <v/>
          </cell>
        </row>
        <row r="776">
          <cell r="B776">
            <v>46401</v>
          </cell>
          <cell r="C776" t="str">
            <v>StylerPRO Detangler</v>
          </cell>
          <cell r="D776">
            <v>8</v>
          </cell>
          <cell r="E776">
            <v>256</v>
          </cell>
          <cell r="F776">
            <v>640</v>
          </cell>
          <cell r="G776">
            <v>640</v>
          </cell>
          <cell r="H776">
            <v>800</v>
          </cell>
          <cell r="I776">
            <v>800</v>
          </cell>
          <cell r="J776" t="str">
            <v>NO</v>
          </cell>
          <cell r="K776">
            <v>0</v>
          </cell>
          <cell r="L776" t="str">
            <v/>
          </cell>
          <cell r="M776" t="str">
            <v>NF</v>
          </cell>
          <cell r="N776" t="str">
            <v/>
          </cell>
          <cell r="O776" t="str">
            <v/>
          </cell>
        </row>
        <row r="777">
          <cell r="B777">
            <v>46403</v>
          </cell>
          <cell r="C777" t="str">
            <v>StylerPRO Teasing Comb</v>
          </cell>
          <cell r="D777">
            <v>4</v>
          </cell>
          <cell r="E777">
            <v>131</v>
          </cell>
          <cell r="F777">
            <v>328</v>
          </cell>
          <cell r="G777">
            <v>328</v>
          </cell>
          <cell r="H777">
            <v>410</v>
          </cell>
          <cell r="I777">
            <v>410</v>
          </cell>
          <cell r="J777" t="str">
            <v>NO</v>
          </cell>
          <cell r="K777">
            <v>0</v>
          </cell>
          <cell r="L777" t="str">
            <v/>
          </cell>
          <cell r="M777" t="str">
            <v>NF</v>
          </cell>
          <cell r="N777" t="str">
            <v/>
          </cell>
          <cell r="O777" t="str">
            <v/>
          </cell>
        </row>
        <row r="778">
          <cell r="B778">
            <v>46404</v>
          </cell>
          <cell r="C778" t="str">
            <v>StylerPRO Brush Cleaner</v>
          </cell>
          <cell r="D778">
            <v>4</v>
          </cell>
          <cell r="E778">
            <v>131</v>
          </cell>
          <cell r="F778">
            <v>328</v>
          </cell>
          <cell r="G778">
            <v>328</v>
          </cell>
          <cell r="H778">
            <v>410</v>
          </cell>
          <cell r="I778">
            <v>410</v>
          </cell>
          <cell r="J778" t="str">
            <v>NO</v>
          </cell>
          <cell r="K778">
            <v>0</v>
          </cell>
          <cell r="L778" t="str">
            <v/>
          </cell>
          <cell r="M778" t="str">
            <v>NF</v>
          </cell>
          <cell r="N778" t="str">
            <v/>
          </cell>
          <cell r="O778" t="str">
            <v/>
          </cell>
        </row>
        <row r="779">
          <cell r="B779">
            <v>46660</v>
          </cell>
          <cell r="C779" t="str">
            <v>GG Sensuous Touch Foundation Brush</v>
          </cell>
          <cell r="D779">
            <v>14</v>
          </cell>
          <cell r="E779">
            <v>449</v>
          </cell>
          <cell r="F779">
            <v>1120</v>
          </cell>
          <cell r="G779">
            <v>1120</v>
          </cell>
          <cell r="H779">
            <v>1400</v>
          </cell>
          <cell r="I779">
            <v>1400</v>
          </cell>
          <cell r="J779" t="str">
            <v>NO</v>
          </cell>
          <cell r="K779">
            <v>0</v>
          </cell>
          <cell r="L779" t="str">
            <v/>
          </cell>
          <cell r="M779" t="str">
            <v>NF</v>
          </cell>
          <cell r="N779" t="str">
            <v/>
          </cell>
          <cell r="O779" t="str">
            <v/>
          </cell>
        </row>
        <row r="780">
          <cell r="B780">
            <v>47210</v>
          </cell>
          <cell r="C780" t="str">
            <v>LN Marine Adventure Shower Sponge</v>
          </cell>
          <cell r="D780">
            <v>2</v>
          </cell>
          <cell r="E780">
            <v>80</v>
          </cell>
          <cell r="F780">
            <v>199</v>
          </cell>
          <cell r="G780">
            <v>199</v>
          </cell>
          <cell r="H780">
            <v>249</v>
          </cell>
          <cell r="I780">
            <v>249</v>
          </cell>
          <cell r="J780" t="str">
            <v>NO</v>
          </cell>
          <cell r="K780">
            <v>0</v>
          </cell>
          <cell r="L780" t="str">
            <v/>
          </cell>
          <cell r="M780" t="str">
            <v>NF</v>
          </cell>
          <cell r="N780" t="str">
            <v/>
          </cell>
          <cell r="O780" t="str">
            <v/>
          </cell>
        </row>
        <row r="781">
          <cell r="B781">
            <v>47212</v>
          </cell>
          <cell r="C781" t="str">
            <v>Love Nature Up-Loved Shower Puff</v>
          </cell>
          <cell r="D781">
            <v>3</v>
          </cell>
          <cell r="E781">
            <v>87</v>
          </cell>
          <cell r="F781">
            <v>216</v>
          </cell>
          <cell r="G781">
            <v>216</v>
          </cell>
          <cell r="H781">
            <v>270</v>
          </cell>
          <cell r="I781">
            <v>270</v>
          </cell>
          <cell r="J781" t="str">
            <v>NO</v>
          </cell>
          <cell r="K781">
            <v>0</v>
          </cell>
          <cell r="L781" t="str">
            <v/>
          </cell>
          <cell r="M781" t="str">
            <v>NF</v>
          </cell>
          <cell r="N781" t="str">
            <v/>
          </cell>
          <cell r="O781" t="str">
            <v/>
          </cell>
        </row>
        <row r="782">
          <cell r="B782">
            <v>47213</v>
          </cell>
          <cell r="C782" t="str">
            <v>Love Nature Up-Loved Hair Turban</v>
          </cell>
          <cell r="D782">
            <v>9</v>
          </cell>
          <cell r="E782">
            <v>288</v>
          </cell>
          <cell r="F782">
            <v>719</v>
          </cell>
          <cell r="G782">
            <v>719</v>
          </cell>
          <cell r="H782">
            <v>899</v>
          </cell>
          <cell r="I782">
            <v>899</v>
          </cell>
          <cell r="J782" t="str">
            <v>NO</v>
          </cell>
          <cell r="K782">
            <v>0</v>
          </cell>
          <cell r="L782" t="str">
            <v/>
          </cell>
          <cell r="M782" t="str">
            <v>NF</v>
          </cell>
          <cell r="N782" t="str">
            <v/>
          </cell>
          <cell r="O782" t="str">
            <v/>
          </cell>
        </row>
        <row r="783">
          <cell r="B783">
            <v>47216</v>
          </cell>
          <cell r="C783" t="str">
            <v>Sunset Glass Foot File</v>
          </cell>
          <cell r="D783">
            <v>8</v>
          </cell>
          <cell r="E783">
            <v>256</v>
          </cell>
          <cell r="F783">
            <v>640</v>
          </cell>
          <cell r="G783">
            <v>640</v>
          </cell>
          <cell r="H783">
            <v>800</v>
          </cell>
          <cell r="I783">
            <v>800</v>
          </cell>
          <cell r="J783" t="str">
            <v>NO</v>
          </cell>
          <cell r="K783">
            <v>0</v>
          </cell>
          <cell r="L783" t="str">
            <v/>
          </cell>
          <cell r="M783" t="str">
            <v>NF</v>
          </cell>
          <cell r="N783" t="str">
            <v/>
          </cell>
          <cell r="O783" t="str">
            <v/>
          </cell>
        </row>
        <row r="784">
          <cell r="B784">
            <v>47217</v>
          </cell>
          <cell r="C784" t="str">
            <v>Sunset Nail kit</v>
          </cell>
          <cell r="D784">
            <v>12</v>
          </cell>
          <cell r="E784">
            <v>385</v>
          </cell>
          <cell r="F784">
            <v>960</v>
          </cell>
          <cell r="G784">
            <v>960</v>
          </cell>
          <cell r="H784">
            <v>1200</v>
          </cell>
          <cell r="I784">
            <v>1200</v>
          </cell>
          <cell r="J784" t="str">
            <v>NO</v>
          </cell>
          <cell r="K784">
            <v>0</v>
          </cell>
          <cell r="L784" t="str">
            <v/>
          </cell>
          <cell r="M784" t="str">
            <v>NF</v>
          </cell>
          <cell r="N784" t="str">
            <v/>
          </cell>
          <cell r="O784" t="str">
            <v/>
          </cell>
        </row>
        <row r="785">
          <cell r="B785">
            <v>47218</v>
          </cell>
          <cell r="C785" t="str">
            <v>Sunset Tweezer</v>
          </cell>
          <cell r="D785">
            <v>4</v>
          </cell>
          <cell r="E785">
            <v>131</v>
          </cell>
          <cell r="F785">
            <v>328</v>
          </cell>
          <cell r="G785">
            <v>328</v>
          </cell>
          <cell r="H785">
            <v>410</v>
          </cell>
          <cell r="I785">
            <v>410</v>
          </cell>
          <cell r="J785" t="str">
            <v>NO</v>
          </cell>
          <cell r="K785">
            <v>0</v>
          </cell>
          <cell r="L785" t="str">
            <v/>
          </cell>
          <cell r="M785" t="str">
            <v>NF</v>
          </cell>
          <cell r="N785" t="str">
            <v/>
          </cell>
          <cell r="O785" t="str">
            <v/>
          </cell>
        </row>
        <row r="786">
          <cell r="B786">
            <v>47416</v>
          </cell>
          <cell r="C786" t="str">
            <v>Sunset Large Make-Up Sponge</v>
          </cell>
          <cell r="D786">
            <v>6</v>
          </cell>
          <cell r="E786">
            <v>192</v>
          </cell>
          <cell r="F786">
            <v>479</v>
          </cell>
          <cell r="G786">
            <v>479</v>
          </cell>
          <cell r="H786">
            <v>599</v>
          </cell>
          <cell r="I786">
            <v>599</v>
          </cell>
          <cell r="J786" t="str">
            <v>NO</v>
          </cell>
          <cell r="K786">
            <v>0</v>
          </cell>
          <cell r="L786" t="str">
            <v/>
          </cell>
          <cell r="M786" t="str">
            <v>NF</v>
          </cell>
          <cell r="N786" t="str">
            <v/>
          </cell>
          <cell r="O786" t="str">
            <v/>
          </cell>
        </row>
        <row r="787">
          <cell r="B787">
            <v>47418</v>
          </cell>
          <cell r="C787" t="str">
            <v>Serum And Mask Cover</v>
          </cell>
          <cell r="D787">
            <v>9</v>
          </cell>
          <cell r="E787">
            <v>298</v>
          </cell>
          <cell r="F787">
            <v>744</v>
          </cell>
          <cell r="G787">
            <v>744</v>
          </cell>
          <cell r="H787">
            <v>930</v>
          </cell>
          <cell r="I787">
            <v>930</v>
          </cell>
          <cell r="J787" t="str">
            <v>NO</v>
          </cell>
          <cell r="K787">
            <v>0</v>
          </cell>
          <cell r="L787" t="str">
            <v/>
          </cell>
          <cell r="M787" t="str">
            <v>NF</v>
          </cell>
          <cell r="N787" t="str">
            <v/>
          </cell>
          <cell r="O787" t="str">
            <v/>
          </cell>
        </row>
        <row r="788">
          <cell r="B788">
            <v>47423</v>
          </cell>
          <cell r="C788" t="str">
            <v>Everyday Toe Nail Clipper</v>
          </cell>
          <cell r="D788">
            <v>5</v>
          </cell>
          <cell r="E788">
            <v>154</v>
          </cell>
          <cell r="F788">
            <v>384</v>
          </cell>
          <cell r="G788">
            <v>384</v>
          </cell>
          <cell r="H788">
            <v>480</v>
          </cell>
          <cell r="I788">
            <v>480</v>
          </cell>
          <cell r="J788" t="str">
            <v>NO</v>
          </cell>
          <cell r="K788">
            <v>0</v>
          </cell>
          <cell r="L788" t="str">
            <v/>
          </cell>
          <cell r="M788" t="str">
            <v>NF</v>
          </cell>
          <cell r="N788" t="str">
            <v/>
          </cell>
          <cell r="O788" t="str">
            <v/>
          </cell>
        </row>
        <row r="789">
          <cell r="B789">
            <v>47424</v>
          </cell>
          <cell r="C789" t="str">
            <v>Everyday Foot Pumice Stone</v>
          </cell>
          <cell r="D789">
            <v>4</v>
          </cell>
          <cell r="E789">
            <v>131</v>
          </cell>
          <cell r="F789">
            <v>328</v>
          </cell>
          <cell r="G789">
            <v>328</v>
          </cell>
          <cell r="H789">
            <v>410</v>
          </cell>
          <cell r="I789">
            <v>410</v>
          </cell>
          <cell r="J789" t="str">
            <v>NO</v>
          </cell>
          <cell r="K789">
            <v>0</v>
          </cell>
          <cell r="L789" t="str">
            <v/>
          </cell>
          <cell r="M789" t="str">
            <v>NF</v>
          </cell>
          <cell r="N789" t="str">
            <v/>
          </cell>
          <cell r="O789" t="str">
            <v/>
          </cell>
        </row>
        <row r="790">
          <cell r="B790">
            <v>47426</v>
          </cell>
          <cell r="C790" t="str">
            <v>Everyday Foot File</v>
          </cell>
          <cell r="D790">
            <v>4</v>
          </cell>
          <cell r="E790">
            <v>131</v>
          </cell>
          <cell r="F790">
            <v>328</v>
          </cell>
          <cell r="G790">
            <v>328</v>
          </cell>
          <cell r="H790">
            <v>410</v>
          </cell>
          <cell r="I790">
            <v>410</v>
          </cell>
          <cell r="J790" t="str">
            <v>NO</v>
          </cell>
          <cell r="K790">
            <v>0</v>
          </cell>
          <cell r="L790" t="str">
            <v/>
          </cell>
          <cell r="M790" t="str">
            <v>NF</v>
          </cell>
          <cell r="N790" t="str">
            <v/>
          </cell>
          <cell r="O790" t="str">
            <v/>
          </cell>
        </row>
        <row r="791">
          <cell r="B791">
            <v>47427</v>
          </cell>
          <cell r="C791" t="str">
            <v>Expert Foot File</v>
          </cell>
          <cell r="D791">
            <v>6</v>
          </cell>
          <cell r="E791">
            <v>177</v>
          </cell>
          <cell r="F791">
            <v>440</v>
          </cell>
          <cell r="G791">
            <v>440</v>
          </cell>
          <cell r="H791">
            <v>550</v>
          </cell>
          <cell r="I791">
            <v>550</v>
          </cell>
          <cell r="J791" t="str">
            <v>NO</v>
          </cell>
          <cell r="K791">
            <v>0</v>
          </cell>
          <cell r="L791" t="str">
            <v/>
          </cell>
          <cell r="M791" t="str">
            <v>NF</v>
          </cell>
          <cell r="N791" t="str">
            <v/>
          </cell>
          <cell r="O791" t="str">
            <v/>
          </cell>
        </row>
        <row r="792">
          <cell r="B792">
            <v>47428</v>
          </cell>
          <cell r="C792" t="str">
            <v>Expert Callus Remover</v>
          </cell>
          <cell r="D792">
            <v>7</v>
          </cell>
          <cell r="E792">
            <v>237</v>
          </cell>
          <cell r="F792">
            <v>592</v>
          </cell>
          <cell r="G792">
            <v>592</v>
          </cell>
          <cell r="H792">
            <v>740</v>
          </cell>
          <cell r="I792">
            <v>740</v>
          </cell>
          <cell r="J792" t="str">
            <v>NO</v>
          </cell>
          <cell r="K792">
            <v>0</v>
          </cell>
          <cell r="L792" t="str">
            <v/>
          </cell>
          <cell r="M792" t="str">
            <v>NF</v>
          </cell>
          <cell r="N792" t="str">
            <v/>
          </cell>
          <cell r="O792" t="str">
            <v/>
          </cell>
        </row>
        <row r="793">
          <cell r="B793">
            <v>47429</v>
          </cell>
          <cell r="C793" t="str">
            <v>Expert Stainless Steel Foot File</v>
          </cell>
          <cell r="D793">
            <v>6</v>
          </cell>
          <cell r="E793">
            <v>177</v>
          </cell>
          <cell r="F793">
            <v>440</v>
          </cell>
          <cell r="G793">
            <v>440</v>
          </cell>
          <cell r="H793">
            <v>550</v>
          </cell>
          <cell r="I793">
            <v>550</v>
          </cell>
          <cell r="J793" t="str">
            <v>NO</v>
          </cell>
          <cell r="K793">
            <v>0</v>
          </cell>
          <cell r="L793" t="str">
            <v/>
          </cell>
          <cell r="M793" t="str">
            <v>NF</v>
          </cell>
          <cell r="N793" t="str">
            <v/>
          </cell>
          <cell r="O793" t="str">
            <v/>
          </cell>
        </row>
        <row r="794">
          <cell r="B794">
            <v>34637</v>
          </cell>
          <cell r="C794" t="str">
            <v>GG Pressed Powder - L Ivory</v>
          </cell>
          <cell r="D794">
            <v>21</v>
          </cell>
          <cell r="E794">
            <v>1347</v>
          </cell>
          <cell r="F794">
            <v>1680</v>
          </cell>
          <cell r="G794">
            <v>1680</v>
          </cell>
          <cell r="H794">
            <v>2100</v>
          </cell>
          <cell r="I794">
            <v>2100</v>
          </cell>
          <cell r="J794" t="str">
            <v>NO</v>
          </cell>
          <cell r="K794">
            <v>0</v>
          </cell>
          <cell r="L794" t="str">
            <v/>
          </cell>
          <cell r="M794" t="str">
            <v>NF</v>
          </cell>
          <cell r="N794" t="str">
            <v/>
          </cell>
          <cell r="O794" t="str">
            <v/>
          </cell>
        </row>
        <row r="795">
          <cell r="B795">
            <v>34638</v>
          </cell>
          <cell r="C795" t="str">
            <v>GG Pressed Powder - B Warm</v>
          </cell>
          <cell r="D795">
            <v>21</v>
          </cell>
          <cell r="E795">
            <v>1347</v>
          </cell>
          <cell r="F795">
            <v>1680</v>
          </cell>
          <cell r="G795">
            <v>1680</v>
          </cell>
          <cell r="H795">
            <v>2100</v>
          </cell>
          <cell r="I795">
            <v>2100</v>
          </cell>
          <cell r="J795" t="str">
            <v>NO</v>
          </cell>
          <cell r="K795">
            <v>0</v>
          </cell>
          <cell r="L795" t="str">
            <v/>
          </cell>
          <cell r="M795" t="str">
            <v>NF</v>
          </cell>
          <cell r="N795" t="str">
            <v/>
          </cell>
          <cell r="O795" t="str">
            <v/>
          </cell>
        </row>
        <row r="796">
          <cell r="B796">
            <v>34750</v>
          </cell>
          <cell r="C796" t="str">
            <v>OnColour Length Up Mascara - Black</v>
          </cell>
          <cell r="D796">
            <v>6</v>
          </cell>
          <cell r="E796">
            <v>366</v>
          </cell>
          <cell r="F796">
            <v>456</v>
          </cell>
          <cell r="G796">
            <v>456</v>
          </cell>
          <cell r="H796">
            <v>570</v>
          </cell>
          <cell r="I796">
            <v>570</v>
          </cell>
          <cell r="J796" t="str">
            <v>NO</v>
          </cell>
          <cell r="K796">
            <v>0</v>
          </cell>
          <cell r="L796" t="str">
            <v/>
          </cell>
          <cell r="M796" t="str">
            <v>NF</v>
          </cell>
          <cell r="N796" t="str">
            <v/>
          </cell>
          <cell r="O796" t="str">
            <v/>
          </cell>
        </row>
        <row r="797">
          <cell r="B797">
            <v>35425</v>
          </cell>
          <cell r="C797" t="str">
            <v>TO Lash Extension Mascara - Black</v>
          </cell>
          <cell r="D797">
            <v>8</v>
          </cell>
          <cell r="E797">
            <v>500</v>
          </cell>
          <cell r="F797">
            <v>624</v>
          </cell>
          <cell r="G797">
            <v>624</v>
          </cell>
          <cell r="H797">
            <v>780</v>
          </cell>
          <cell r="I797">
            <v>780</v>
          </cell>
          <cell r="J797" t="str">
            <v>NO</v>
          </cell>
          <cell r="K797">
            <v>0</v>
          </cell>
          <cell r="L797" t="str">
            <v/>
          </cell>
          <cell r="M797" t="str">
            <v>NF</v>
          </cell>
          <cell r="N797" t="str">
            <v/>
          </cell>
          <cell r="O797" t="str">
            <v/>
          </cell>
        </row>
        <row r="798">
          <cell r="B798">
            <v>36139</v>
          </cell>
          <cell r="C798" t="str">
            <v>TO Face Styler Highlighter - ...ing Star</v>
          </cell>
          <cell r="D798">
            <v>15</v>
          </cell>
          <cell r="E798">
            <v>962</v>
          </cell>
          <cell r="F798">
            <v>1200</v>
          </cell>
          <cell r="G798">
            <v>1200</v>
          </cell>
          <cell r="H798">
            <v>1500</v>
          </cell>
          <cell r="I798">
            <v>1500</v>
          </cell>
          <cell r="J798" t="str">
            <v>NO</v>
          </cell>
          <cell r="K798">
            <v>0</v>
          </cell>
          <cell r="L798" t="str">
            <v/>
          </cell>
          <cell r="M798" t="str">
            <v>NF</v>
          </cell>
          <cell r="N798" t="str">
            <v/>
          </cell>
          <cell r="O798" t="str">
            <v/>
          </cell>
        </row>
        <row r="799">
          <cell r="B799">
            <v>36140</v>
          </cell>
          <cell r="C799" t="str">
            <v>TO Face Styler Blush - Stunning Rose</v>
          </cell>
          <cell r="D799">
            <v>15</v>
          </cell>
          <cell r="E799">
            <v>962</v>
          </cell>
          <cell r="F799">
            <v>1200</v>
          </cell>
          <cell r="G799">
            <v>1200</v>
          </cell>
          <cell r="H799">
            <v>1500</v>
          </cell>
          <cell r="I799">
            <v>1500</v>
          </cell>
          <cell r="J799" t="str">
            <v>NO</v>
          </cell>
          <cell r="K799">
            <v>0</v>
          </cell>
          <cell r="L799" t="str">
            <v/>
          </cell>
          <cell r="M799" t="str">
            <v>NF</v>
          </cell>
          <cell r="N799" t="str">
            <v/>
          </cell>
          <cell r="O799" t="str">
            <v/>
          </cell>
        </row>
        <row r="800">
          <cell r="B800">
            <v>36141</v>
          </cell>
          <cell r="C800" t="str">
            <v>TO Face Styler Bronzer - Dazzling Brown</v>
          </cell>
          <cell r="D800">
            <v>15</v>
          </cell>
          <cell r="E800">
            <v>962</v>
          </cell>
          <cell r="F800">
            <v>1200</v>
          </cell>
          <cell r="G800">
            <v>1200</v>
          </cell>
          <cell r="H800">
            <v>1500</v>
          </cell>
          <cell r="I800">
            <v>1500</v>
          </cell>
          <cell r="J800" t="str">
            <v>NO</v>
          </cell>
          <cell r="K800">
            <v>0</v>
          </cell>
          <cell r="L800" t="str">
            <v/>
          </cell>
          <cell r="M800" t="str">
            <v>NF</v>
          </cell>
          <cell r="N800" t="str">
            <v/>
          </cell>
          <cell r="O800" t="str">
            <v/>
          </cell>
        </row>
        <row r="801">
          <cell r="B801">
            <v>38805</v>
          </cell>
          <cell r="C801" t="str">
            <v>OnColour Power Up Foundation ...orcelain</v>
          </cell>
          <cell r="D801">
            <v>6</v>
          </cell>
          <cell r="E801">
            <v>378</v>
          </cell>
          <cell r="F801">
            <v>472</v>
          </cell>
          <cell r="G801">
            <v>472</v>
          </cell>
          <cell r="H801">
            <v>590</v>
          </cell>
          <cell r="I801">
            <v>590</v>
          </cell>
          <cell r="J801" t="str">
            <v>NO</v>
          </cell>
          <cell r="K801">
            <v>0</v>
          </cell>
          <cell r="L801" t="str">
            <v/>
          </cell>
          <cell r="M801" t="str">
            <v>NF</v>
          </cell>
          <cell r="N801" t="str">
            <v/>
          </cell>
          <cell r="O801" t="str">
            <v/>
          </cell>
        </row>
        <row r="802">
          <cell r="B802">
            <v>38806</v>
          </cell>
          <cell r="C802" t="str">
            <v>OnColour Power Up Foundation - W Ivory</v>
          </cell>
          <cell r="D802">
            <v>6</v>
          </cell>
          <cell r="E802">
            <v>378</v>
          </cell>
          <cell r="F802">
            <v>472</v>
          </cell>
          <cell r="G802">
            <v>472</v>
          </cell>
          <cell r="H802">
            <v>590</v>
          </cell>
          <cell r="I802">
            <v>590</v>
          </cell>
          <cell r="J802" t="str">
            <v>NO</v>
          </cell>
          <cell r="K802">
            <v>0</v>
          </cell>
          <cell r="L802" t="str">
            <v/>
          </cell>
          <cell r="M802" t="str">
            <v>NF</v>
          </cell>
          <cell r="N802" t="str">
            <v/>
          </cell>
          <cell r="O802" t="str">
            <v/>
          </cell>
        </row>
        <row r="803">
          <cell r="B803">
            <v>38807</v>
          </cell>
          <cell r="C803" t="str">
            <v>OnColour Power Up Foundation  - N Beige</v>
          </cell>
          <cell r="D803">
            <v>6</v>
          </cell>
          <cell r="E803">
            <v>378</v>
          </cell>
          <cell r="F803">
            <v>472</v>
          </cell>
          <cell r="G803">
            <v>472</v>
          </cell>
          <cell r="H803">
            <v>590</v>
          </cell>
          <cell r="I803">
            <v>590</v>
          </cell>
          <cell r="J803" t="str">
            <v>NO</v>
          </cell>
          <cell r="K803">
            <v>0</v>
          </cell>
          <cell r="L803" t="str">
            <v/>
          </cell>
          <cell r="M803" t="str">
            <v>NF</v>
          </cell>
          <cell r="N803" t="str">
            <v/>
          </cell>
          <cell r="O803" t="str">
            <v/>
          </cell>
        </row>
        <row r="804">
          <cell r="B804">
            <v>38863</v>
          </cell>
          <cell r="C804" t="str">
            <v>TO Irresistible Touch HShine LS - CRose</v>
          </cell>
          <cell r="D804">
            <v>10</v>
          </cell>
          <cell r="E804">
            <v>674</v>
          </cell>
          <cell r="F804">
            <v>840</v>
          </cell>
          <cell r="G804">
            <v>840</v>
          </cell>
          <cell r="H804">
            <v>1050</v>
          </cell>
          <cell r="I804">
            <v>1050</v>
          </cell>
          <cell r="J804" t="str">
            <v>NO</v>
          </cell>
          <cell r="K804">
            <v>0</v>
          </cell>
          <cell r="L804" t="str">
            <v/>
          </cell>
          <cell r="M804" t="str">
            <v>NF</v>
          </cell>
          <cell r="N804" t="str">
            <v/>
          </cell>
          <cell r="O804" t="str">
            <v/>
          </cell>
        </row>
        <row r="805">
          <cell r="B805">
            <v>38864</v>
          </cell>
          <cell r="C805" t="str">
            <v>TO Irresistible Touch HShine LS - LTaupe</v>
          </cell>
          <cell r="D805">
            <v>10</v>
          </cell>
          <cell r="E805">
            <v>674</v>
          </cell>
          <cell r="F805">
            <v>840</v>
          </cell>
          <cell r="G805">
            <v>840</v>
          </cell>
          <cell r="H805">
            <v>1050</v>
          </cell>
          <cell r="I805">
            <v>1050</v>
          </cell>
          <cell r="J805" t="str">
            <v>NO</v>
          </cell>
          <cell r="K805">
            <v>0</v>
          </cell>
          <cell r="L805" t="str">
            <v/>
          </cell>
          <cell r="M805" t="str">
            <v>NF</v>
          </cell>
          <cell r="N805" t="str">
            <v/>
          </cell>
          <cell r="O805" t="str">
            <v/>
          </cell>
        </row>
        <row r="806">
          <cell r="B806">
            <v>38865</v>
          </cell>
          <cell r="C806" t="str">
            <v>TO Irresistible Touch HShine LS - CNude</v>
          </cell>
          <cell r="D806">
            <v>10</v>
          </cell>
          <cell r="E806">
            <v>674</v>
          </cell>
          <cell r="F806">
            <v>840</v>
          </cell>
          <cell r="G806">
            <v>840</v>
          </cell>
          <cell r="H806">
            <v>1050</v>
          </cell>
          <cell r="I806">
            <v>1050</v>
          </cell>
          <cell r="J806" t="str">
            <v>NO</v>
          </cell>
          <cell r="K806">
            <v>0</v>
          </cell>
          <cell r="L806" t="str">
            <v/>
          </cell>
          <cell r="M806" t="str">
            <v>NF</v>
          </cell>
          <cell r="N806" t="str">
            <v/>
          </cell>
          <cell r="O806" t="str">
            <v/>
          </cell>
        </row>
        <row r="807">
          <cell r="B807">
            <v>38866</v>
          </cell>
          <cell r="C807" t="str">
            <v>TO Irresistible Touch HShine ...SCaramel</v>
          </cell>
          <cell r="D807">
            <v>10</v>
          </cell>
          <cell r="E807">
            <v>674</v>
          </cell>
          <cell r="F807">
            <v>840</v>
          </cell>
          <cell r="G807">
            <v>840</v>
          </cell>
          <cell r="H807">
            <v>1050</v>
          </cell>
          <cell r="I807">
            <v>1050</v>
          </cell>
          <cell r="J807" t="str">
            <v>NO</v>
          </cell>
          <cell r="K807">
            <v>0</v>
          </cell>
          <cell r="L807" t="str">
            <v/>
          </cell>
          <cell r="M807" t="str">
            <v>NF</v>
          </cell>
          <cell r="N807" t="str">
            <v/>
          </cell>
          <cell r="O807" t="str">
            <v/>
          </cell>
        </row>
        <row r="808">
          <cell r="B808">
            <v>38867</v>
          </cell>
          <cell r="C808" t="str">
            <v>TO Irresistible Touch HShine LS - TBrown</v>
          </cell>
          <cell r="D808">
            <v>10</v>
          </cell>
          <cell r="E808">
            <v>674</v>
          </cell>
          <cell r="F808">
            <v>840</v>
          </cell>
          <cell r="G808">
            <v>840</v>
          </cell>
          <cell r="H808">
            <v>1050</v>
          </cell>
          <cell r="I808">
            <v>1050</v>
          </cell>
          <cell r="J808" t="str">
            <v>NO</v>
          </cell>
          <cell r="K808">
            <v>0</v>
          </cell>
          <cell r="L808" t="str">
            <v/>
          </cell>
          <cell r="M808" t="str">
            <v>NF</v>
          </cell>
          <cell r="N808" t="str">
            <v/>
          </cell>
          <cell r="O808" t="str">
            <v/>
          </cell>
        </row>
        <row r="809">
          <cell r="B809">
            <v>38868</v>
          </cell>
          <cell r="C809" t="str">
            <v>TO Irresistible Touch HShine LS - PinkP</v>
          </cell>
          <cell r="D809">
            <v>10</v>
          </cell>
          <cell r="E809">
            <v>674</v>
          </cell>
          <cell r="F809">
            <v>840</v>
          </cell>
          <cell r="G809">
            <v>840</v>
          </cell>
          <cell r="H809">
            <v>1050</v>
          </cell>
          <cell r="I809">
            <v>1050</v>
          </cell>
          <cell r="J809" t="str">
            <v>NO</v>
          </cell>
          <cell r="K809">
            <v>0</v>
          </cell>
          <cell r="L809" t="str">
            <v/>
          </cell>
          <cell r="M809" t="str">
            <v>NF</v>
          </cell>
          <cell r="N809" t="str">
            <v/>
          </cell>
          <cell r="O809" t="str">
            <v/>
          </cell>
        </row>
        <row r="810">
          <cell r="B810">
            <v>38869</v>
          </cell>
          <cell r="C810" t="str">
            <v>TO Irresistible Touch HShine LS - MRed</v>
          </cell>
          <cell r="D810">
            <v>10</v>
          </cell>
          <cell r="E810">
            <v>674</v>
          </cell>
          <cell r="F810">
            <v>840</v>
          </cell>
          <cell r="G810">
            <v>840</v>
          </cell>
          <cell r="H810">
            <v>1050</v>
          </cell>
          <cell r="I810">
            <v>1050</v>
          </cell>
          <cell r="J810" t="str">
            <v>NO</v>
          </cell>
          <cell r="K810">
            <v>0</v>
          </cell>
          <cell r="L810" t="str">
            <v/>
          </cell>
          <cell r="M810" t="str">
            <v>NF</v>
          </cell>
          <cell r="N810" t="str">
            <v/>
          </cell>
          <cell r="O810" t="str">
            <v/>
          </cell>
        </row>
        <row r="811">
          <cell r="B811">
            <v>38870</v>
          </cell>
          <cell r="C811" t="str">
            <v>TO Irresistible Touch HShine ... CherryC</v>
          </cell>
          <cell r="D811">
            <v>10</v>
          </cell>
          <cell r="E811">
            <v>674</v>
          </cell>
          <cell r="F811">
            <v>840</v>
          </cell>
          <cell r="G811">
            <v>840</v>
          </cell>
          <cell r="H811">
            <v>1050</v>
          </cell>
          <cell r="I811">
            <v>1050</v>
          </cell>
          <cell r="J811" t="str">
            <v>NO</v>
          </cell>
          <cell r="K811">
            <v>0</v>
          </cell>
          <cell r="L811" t="str">
            <v/>
          </cell>
          <cell r="M811" t="str">
            <v>NF</v>
          </cell>
          <cell r="N811" t="str">
            <v/>
          </cell>
          <cell r="O811" t="str">
            <v/>
          </cell>
        </row>
        <row r="812">
          <cell r="B812">
            <v>38871</v>
          </cell>
          <cell r="C812" t="str">
            <v>TO Irresistible Touch HShine LS - GMauve</v>
          </cell>
          <cell r="D812">
            <v>10</v>
          </cell>
          <cell r="E812">
            <v>674</v>
          </cell>
          <cell r="F812">
            <v>840</v>
          </cell>
          <cell r="G812">
            <v>840</v>
          </cell>
          <cell r="H812">
            <v>1050</v>
          </cell>
          <cell r="I812">
            <v>1050</v>
          </cell>
          <cell r="J812" t="str">
            <v>NO</v>
          </cell>
          <cell r="K812">
            <v>0</v>
          </cell>
          <cell r="L812" t="str">
            <v/>
          </cell>
          <cell r="M812" t="str">
            <v>NF</v>
          </cell>
          <cell r="N812" t="str">
            <v/>
          </cell>
          <cell r="O812" t="str">
            <v/>
          </cell>
        </row>
        <row r="813">
          <cell r="B813">
            <v>38872</v>
          </cell>
          <cell r="C813" t="str">
            <v>TO Irresistible Touch HShine LS - SBerry</v>
          </cell>
          <cell r="D813">
            <v>10</v>
          </cell>
          <cell r="E813">
            <v>674</v>
          </cell>
          <cell r="F813">
            <v>840</v>
          </cell>
          <cell r="G813">
            <v>840</v>
          </cell>
          <cell r="H813">
            <v>1050</v>
          </cell>
          <cell r="I813">
            <v>1050</v>
          </cell>
          <cell r="J813" t="str">
            <v>NO</v>
          </cell>
          <cell r="K813">
            <v>0</v>
          </cell>
          <cell r="L813" t="str">
            <v/>
          </cell>
          <cell r="M813" t="str">
            <v>NF</v>
          </cell>
          <cell r="N813" t="str">
            <v/>
          </cell>
          <cell r="O813" t="str">
            <v/>
          </cell>
        </row>
        <row r="814">
          <cell r="B814">
            <v>38929</v>
          </cell>
          <cell r="C814" t="str">
            <v>OnColour Big Lash Mascara - Black</v>
          </cell>
          <cell r="D814">
            <v>6</v>
          </cell>
          <cell r="E814">
            <v>366</v>
          </cell>
          <cell r="F814">
            <v>456</v>
          </cell>
          <cell r="G814">
            <v>456</v>
          </cell>
          <cell r="H814">
            <v>570</v>
          </cell>
          <cell r="I814">
            <v>570</v>
          </cell>
          <cell r="J814" t="str">
            <v>NO</v>
          </cell>
          <cell r="K814">
            <v>0</v>
          </cell>
          <cell r="L814" t="str">
            <v/>
          </cell>
          <cell r="M814" t="str">
            <v>NF</v>
          </cell>
          <cell r="N814" t="str">
            <v/>
          </cell>
          <cell r="O814" t="str">
            <v/>
          </cell>
        </row>
        <row r="815">
          <cell r="B815">
            <v>38975</v>
          </cell>
          <cell r="C815" t="str">
            <v>OnColour Nail Polish - P Pink</v>
          </cell>
          <cell r="D815">
            <v>4</v>
          </cell>
          <cell r="E815">
            <v>276</v>
          </cell>
          <cell r="F815">
            <v>344</v>
          </cell>
          <cell r="G815">
            <v>344</v>
          </cell>
          <cell r="H815">
            <v>430</v>
          </cell>
          <cell r="I815">
            <v>430</v>
          </cell>
          <cell r="J815" t="str">
            <v>NO</v>
          </cell>
          <cell r="K815">
            <v>0</v>
          </cell>
          <cell r="L815" t="str">
            <v/>
          </cell>
          <cell r="M815" t="str">
            <v>NF</v>
          </cell>
          <cell r="N815" t="str">
            <v/>
          </cell>
          <cell r="O815" t="str">
            <v/>
          </cell>
        </row>
        <row r="816">
          <cell r="B816">
            <v>38976</v>
          </cell>
          <cell r="C816" t="str">
            <v>OnColour Nail Polish - T Nude</v>
          </cell>
          <cell r="D816">
            <v>4</v>
          </cell>
          <cell r="E816">
            <v>276</v>
          </cell>
          <cell r="F816">
            <v>344</v>
          </cell>
          <cell r="G816">
            <v>344</v>
          </cell>
          <cell r="H816">
            <v>430</v>
          </cell>
          <cell r="I816">
            <v>430</v>
          </cell>
          <cell r="J816" t="str">
            <v>NO</v>
          </cell>
          <cell r="K816">
            <v>0</v>
          </cell>
          <cell r="L816" t="str">
            <v/>
          </cell>
          <cell r="M816" t="str">
            <v>NF</v>
          </cell>
          <cell r="N816" t="str">
            <v/>
          </cell>
          <cell r="O816" t="str">
            <v/>
          </cell>
        </row>
        <row r="817">
          <cell r="B817">
            <v>38977</v>
          </cell>
          <cell r="C817" t="str">
            <v>OnColour Nail Polish - L Taupe</v>
          </cell>
          <cell r="D817">
            <v>4</v>
          </cell>
          <cell r="E817">
            <v>276</v>
          </cell>
          <cell r="F817">
            <v>344</v>
          </cell>
          <cell r="G817">
            <v>344</v>
          </cell>
          <cell r="H817">
            <v>430</v>
          </cell>
          <cell r="I817">
            <v>430</v>
          </cell>
          <cell r="J817" t="str">
            <v>NO</v>
          </cell>
          <cell r="K817">
            <v>0</v>
          </cell>
          <cell r="L817" t="str">
            <v/>
          </cell>
          <cell r="M817" t="str">
            <v>NF</v>
          </cell>
          <cell r="N817" t="str">
            <v/>
          </cell>
          <cell r="O817" t="str">
            <v/>
          </cell>
        </row>
        <row r="818">
          <cell r="B818">
            <v>38978</v>
          </cell>
          <cell r="C818" t="str">
            <v>OnColour Nail Polish - C Lavender</v>
          </cell>
          <cell r="D818">
            <v>4</v>
          </cell>
          <cell r="E818">
            <v>276</v>
          </cell>
          <cell r="F818">
            <v>344</v>
          </cell>
          <cell r="G818">
            <v>344</v>
          </cell>
          <cell r="H818">
            <v>430</v>
          </cell>
          <cell r="I818">
            <v>430</v>
          </cell>
          <cell r="J818" t="str">
            <v>NO</v>
          </cell>
          <cell r="K818">
            <v>0</v>
          </cell>
          <cell r="L818" t="str">
            <v/>
          </cell>
          <cell r="M818" t="str">
            <v>NF</v>
          </cell>
          <cell r="N818" t="str">
            <v/>
          </cell>
          <cell r="O818" t="str">
            <v/>
          </cell>
        </row>
        <row r="819">
          <cell r="B819">
            <v>38980</v>
          </cell>
          <cell r="C819" t="str">
            <v>OnColour Nail Polish - M Green</v>
          </cell>
          <cell r="D819">
            <v>4</v>
          </cell>
          <cell r="E819">
            <v>276</v>
          </cell>
          <cell r="F819">
            <v>344</v>
          </cell>
          <cell r="G819">
            <v>344</v>
          </cell>
          <cell r="H819">
            <v>430</v>
          </cell>
          <cell r="I819">
            <v>430</v>
          </cell>
          <cell r="J819" t="str">
            <v>NO</v>
          </cell>
          <cell r="K819">
            <v>0</v>
          </cell>
          <cell r="L819" t="str">
            <v/>
          </cell>
          <cell r="M819" t="str">
            <v>NF</v>
          </cell>
          <cell r="N819" t="str">
            <v/>
          </cell>
          <cell r="O819" t="str">
            <v/>
          </cell>
        </row>
        <row r="820">
          <cell r="B820">
            <v>38982</v>
          </cell>
          <cell r="C820" t="str">
            <v>OnColour Nail Polish - P Pink</v>
          </cell>
          <cell r="D820">
            <v>4</v>
          </cell>
          <cell r="E820">
            <v>276</v>
          </cell>
          <cell r="F820">
            <v>344</v>
          </cell>
          <cell r="G820">
            <v>344</v>
          </cell>
          <cell r="H820">
            <v>430</v>
          </cell>
          <cell r="I820">
            <v>430</v>
          </cell>
          <cell r="J820" t="str">
            <v>NO</v>
          </cell>
          <cell r="K820">
            <v>0</v>
          </cell>
          <cell r="L820" t="str">
            <v/>
          </cell>
          <cell r="M820" t="str">
            <v>NF</v>
          </cell>
          <cell r="N820" t="str">
            <v/>
          </cell>
          <cell r="O820" t="str">
            <v/>
          </cell>
        </row>
        <row r="821">
          <cell r="B821">
            <v>38983</v>
          </cell>
          <cell r="C821" t="str">
            <v>OnColour Nail Polish - S Pink</v>
          </cell>
          <cell r="D821">
            <v>4</v>
          </cell>
          <cell r="E821">
            <v>276</v>
          </cell>
          <cell r="F821">
            <v>344</v>
          </cell>
          <cell r="G821">
            <v>344</v>
          </cell>
          <cell r="H821">
            <v>430</v>
          </cell>
          <cell r="I821">
            <v>430</v>
          </cell>
          <cell r="J821" t="str">
            <v>NO</v>
          </cell>
          <cell r="K821">
            <v>0</v>
          </cell>
          <cell r="L821" t="str">
            <v/>
          </cell>
          <cell r="M821" t="str">
            <v>NF</v>
          </cell>
          <cell r="N821" t="str">
            <v/>
          </cell>
          <cell r="O821" t="str">
            <v/>
          </cell>
        </row>
        <row r="822">
          <cell r="B822">
            <v>38986</v>
          </cell>
          <cell r="C822" t="str">
            <v>OnColour Nail Polish - C Burgundy</v>
          </cell>
          <cell r="D822">
            <v>4</v>
          </cell>
          <cell r="E822">
            <v>276</v>
          </cell>
          <cell r="F822">
            <v>344</v>
          </cell>
          <cell r="G822">
            <v>344</v>
          </cell>
          <cell r="H822">
            <v>430</v>
          </cell>
          <cell r="I822">
            <v>430</v>
          </cell>
          <cell r="J822" t="str">
            <v>NO</v>
          </cell>
          <cell r="K822">
            <v>0</v>
          </cell>
          <cell r="L822" t="str">
            <v/>
          </cell>
          <cell r="M822" t="str">
            <v>NF</v>
          </cell>
          <cell r="N822" t="str">
            <v/>
          </cell>
          <cell r="O822" t="str">
            <v/>
          </cell>
        </row>
        <row r="823">
          <cell r="B823">
            <v>38991</v>
          </cell>
          <cell r="C823" t="str">
            <v>OnColour Nail Polish - V Raspberry</v>
          </cell>
          <cell r="D823">
            <v>4</v>
          </cell>
          <cell r="E823">
            <v>276</v>
          </cell>
          <cell r="F823">
            <v>344</v>
          </cell>
          <cell r="G823">
            <v>344</v>
          </cell>
          <cell r="H823">
            <v>430</v>
          </cell>
          <cell r="I823">
            <v>430</v>
          </cell>
          <cell r="J823" t="str">
            <v>NO</v>
          </cell>
          <cell r="K823">
            <v>0</v>
          </cell>
          <cell r="L823" t="str">
            <v/>
          </cell>
          <cell r="M823" t="str">
            <v>NF</v>
          </cell>
          <cell r="N823" t="str">
            <v/>
          </cell>
          <cell r="O823" t="str">
            <v/>
          </cell>
        </row>
        <row r="824">
          <cell r="B824">
            <v>38997</v>
          </cell>
          <cell r="C824" t="str">
            <v>OnColour Nail Polish - S Mulberry</v>
          </cell>
          <cell r="D824">
            <v>4</v>
          </cell>
          <cell r="E824">
            <v>276</v>
          </cell>
          <cell r="F824">
            <v>344</v>
          </cell>
          <cell r="G824">
            <v>344</v>
          </cell>
          <cell r="H824">
            <v>430</v>
          </cell>
          <cell r="I824">
            <v>430</v>
          </cell>
          <cell r="J824" t="str">
            <v>NO</v>
          </cell>
          <cell r="K824">
            <v>0</v>
          </cell>
          <cell r="L824" t="str">
            <v/>
          </cell>
          <cell r="M824" t="str">
            <v>NF</v>
          </cell>
          <cell r="N824" t="str">
            <v/>
          </cell>
          <cell r="O824" t="str">
            <v/>
          </cell>
        </row>
        <row r="825">
          <cell r="B825">
            <v>38998</v>
          </cell>
          <cell r="C825" t="str">
            <v>OnColour Nail Polish - D Gold</v>
          </cell>
          <cell r="D825">
            <v>4</v>
          </cell>
          <cell r="E825">
            <v>276</v>
          </cell>
          <cell r="F825">
            <v>344</v>
          </cell>
          <cell r="G825">
            <v>344</v>
          </cell>
          <cell r="H825">
            <v>430</v>
          </cell>
          <cell r="I825">
            <v>430</v>
          </cell>
          <cell r="J825" t="str">
            <v>NO</v>
          </cell>
          <cell r="K825">
            <v>0</v>
          </cell>
          <cell r="L825" t="str">
            <v/>
          </cell>
          <cell r="M825" t="str">
            <v>NF</v>
          </cell>
          <cell r="N825" t="str">
            <v/>
          </cell>
          <cell r="O825" t="str">
            <v/>
          </cell>
        </row>
        <row r="826">
          <cell r="B826">
            <v>39913</v>
          </cell>
          <cell r="C826" t="str">
            <v xml:space="preserve"> OC Perf Concealer Stick - L Ivory</v>
          </cell>
          <cell r="D826">
            <v>5</v>
          </cell>
          <cell r="E826">
            <v>353</v>
          </cell>
          <cell r="F826">
            <v>440</v>
          </cell>
          <cell r="G826">
            <v>440</v>
          </cell>
          <cell r="H826">
            <v>550</v>
          </cell>
          <cell r="I826">
            <v>550</v>
          </cell>
          <cell r="J826" t="str">
            <v>NO</v>
          </cell>
          <cell r="K826">
            <v>0</v>
          </cell>
          <cell r="L826" t="str">
            <v/>
          </cell>
          <cell r="M826" t="str">
            <v>NF</v>
          </cell>
          <cell r="N826" t="str">
            <v/>
          </cell>
          <cell r="O826" t="str">
            <v/>
          </cell>
        </row>
        <row r="827">
          <cell r="B827">
            <v>39914</v>
          </cell>
          <cell r="C827" t="str">
            <v>OC Perf Concealer Stick - N Beige</v>
          </cell>
          <cell r="D827">
            <v>5</v>
          </cell>
          <cell r="E827">
            <v>353</v>
          </cell>
          <cell r="F827">
            <v>440</v>
          </cell>
          <cell r="G827">
            <v>440</v>
          </cell>
          <cell r="H827">
            <v>550</v>
          </cell>
          <cell r="I827">
            <v>550</v>
          </cell>
          <cell r="J827" t="str">
            <v>NO</v>
          </cell>
          <cell r="K827">
            <v>0</v>
          </cell>
          <cell r="L827" t="str">
            <v/>
          </cell>
          <cell r="M827" t="str">
            <v>NF</v>
          </cell>
          <cell r="N827" t="str">
            <v/>
          </cell>
          <cell r="O827" t="str">
            <v/>
          </cell>
        </row>
        <row r="828">
          <cell r="B828">
            <v>40951</v>
          </cell>
          <cell r="C828" t="str">
            <v>GG Serum Inf. Pearls - Natural Glow</v>
          </cell>
          <cell r="D828">
            <v>22</v>
          </cell>
          <cell r="E828">
            <v>1412</v>
          </cell>
          <cell r="F828">
            <v>1760</v>
          </cell>
          <cell r="G828">
            <v>1760</v>
          </cell>
          <cell r="H828">
            <v>2200</v>
          </cell>
          <cell r="I828">
            <v>2200</v>
          </cell>
          <cell r="J828" t="str">
            <v>NO</v>
          </cell>
          <cell r="K828">
            <v>0</v>
          </cell>
          <cell r="L828" t="str">
            <v/>
          </cell>
          <cell r="M828" t="str">
            <v>NF</v>
          </cell>
          <cell r="N828" t="str">
            <v/>
          </cell>
          <cell r="O828" t="str">
            <v/>
          </cell>
        </row>
        <row r="829">
          <cell r="B829">
            <v>40952</v>
          </cell>
          <cell r="C829" t="str">
            <v>GG Serum Inf. Pearls - Luminous Tan</v>
          </cell>
          <cell r="D829">
            <v>22</v>
          </cell>
          <cell r="E829">
            <v>1412</v>
          </cell>
          <cell r="F829">
            <v>1760</v>
          </cell>
          <cell r="G829">
            <v>1760</v>
          </cell>
          <cell r="H829">
            <v>2200</v>
          </cell>
          <cell r="I829">
            <v>2200</v>
          </cell>
          <cell r="J829" t="str">
            <v>NO</v>
          </cell>
          <cell r="K829">
            <v>0</v>
          </cell>
          <cell r="L829" t="str">
            <v/>
          </cell>
          <cell r="M829" t="str">
            <v>NF</v>
          </cell>
          <cell r="N829" t="str">
            <v/>
          </cell>
          <cell r="O829" t="str">
            <v/>
          </cell>
        </row>
        <row r="830">
          <cell r="B830">
            <v>40954</v>
          </cell>
          <cell r="C830" t="str">
            <v>GG Serum Inf.Pearls - Golden Bronze</v>
          </cell>
          <cell r="D830">
            <v>22</v>
          </cell>
          <cell r="E830">
            <v>1412</v>
          </cell>
          <cell r="F830">
            <v>1760</v>
          </cell>
          <cell r="G830">
            <v>1760</v>
          </cell>
          <cell r="H830">
            <v>2200</v>
          </cell>
          <cell r="I830">
            <v>2200</v>
          </cell>
          <cell r="J830" t="str">
            <v>NO</v>
          </cell>
          <cell r="K830">
            <v>0</v>
          </cell>
          <cell r="L830" t="str">
            <v/>
          </cell>
          <cell r="M830" t="str">
            <v>NF</v>
          </cell>
          <cell r="N830" t="str">
            <v/>
          </cell>
          <cell r="O830" t="str">
            <v/>
          </cell>
        </row>
        <row r="831">
          <cell r="B831">
            <v>41011</v>
          </cell>
          <cell r="C831" t="str">
            <v>TO Colour Unlimited ES Stick - S Nude</v>
          </cell>
          <cell r="D831">
            <v>10</v>
          </cell>
          <cell r="E831">
            <v>623</v>
          </cell>
          <cell r="F831">
            <v>776</v>
          </cell>
          <cell r="G831">
            <v>776</v>
          </cell>
          <cell r="H831">
            <v>970</v>
          </cell>
          <cell r="I831">
            <v>970</v>
          </cell>
          <cell r="J831" t="str">
            <v>NO</v>
          </cell>
          <cell r="K831">
            <v>0</v>
          </cell>
          <cell r="L831" t="str">
            <v/>
          </cell>
          <cell r="M831" t="str">
            <v>NF</v>
          </cell>
          <cell r="N831" t="str">
            <v/>
          </cell>
          <cell r="O831" t="str">
            <v/>
          </cell>
        </row>
        <row r="832">
          <cell r="B832">
            <v>41012</v>
          </cell>
          <cell r="C832" t="str">
            <v>TO Colour Unlimited ES Stick - C Pink</v>
          </cell>
          <cell r="D832">
            <v>10</v>
          </cell>
          <cell r="E832">
            <v>623</v>
          </cell>
          <cell r="F832">
            <v>776</v>
          </cell>
          <cell r="G832">
            <v>776</v>
          </cell>
          <cell r="H832">
            <v>970</v>
          </cell>
          <cell r="I832">
            <v>970</v>
          </cell>
          <cell r="J832" t="str">
            <v>NO</v>
          </cell>
          <cell r="K832">
            <v>0</v>
          </cell>
          <cell r="L832" t="str">
            <v/>
          </cell>
          <cell r="M832" t="str">
            <v>NF</v>
          </cell>
          <cell r="N832" t="str">
            <v/>
          </cell>
          <cell r="O832" t="str">
            <v/>
          </cell>
        </row>
        <row r="833">
          <cell r="B833">
            <v>42770</v>
          </cell>
          <cell r="C833" t="str">
            <v>TO Colour Unlimited ES Stick - C Sand</v>
          </cell>
          <cell r="D833">
            <v>10</v>
          </cell>
          <cell r="E833">
            <v>623</v>
          </cell>
          <cell r="F833">
            <v>776</v>
          </cell>
          <cell r="G833">
            <v>776</v>
          </cell>
          <cell r="H833">
            <v>970</v>
          </cell>
          <cell r="I833">
            <v>970</v>
          </cell>
          <cell r="J833" t="str">
            <v>NO</v>
          </cell>
          <cell r="K833">
            <v>0</v>
          </cell>
          <cell r="L833" t="str">
            <v/>
          </cell>
          <cell r="M833" t="str">
            <v>NF</v>
          </cell>
          <cell r="N833" t="str">
            <v/>
          </cell>
          <cell r="O833" t="str">
            <v/>
          </cell>
        </row>
        <row r="834">
          <cell r="B834">
            <v>42771</v>
          </cell>
          <cell r="C834" t="str">
            <v>TO Colour Unlimited ES Stick - Cold Silv</v>
          </cell>
          <cell r="D834">
            <v>10</v>
          </cell>
          <cell r="E834">
            <v>623</v>
          </cell>
          <cell r="F834">
            <v>776</v>
          </cell>
          <cell r="G834">
            <v>776</v>
          </cell>
          <cell r="H834">
            <v>970</v>
          </cell>
          <cell r="I834">
            <v>970</v>
          </cell>
          <cell r="J834" t="str">
            <v>NO</v>
          </cell>
          <cell r="K834">
            <v>0</v>
          </cell>
          <cell r="L834" t="str">
            <v/>
          </cell>
          <cell r="M834" t="str">
            <v>NF</v>
          </cell>
          <cell r="N834" t="str">
            <v/>
          </cell>
          <cell r="O834" t="str">
            <v/>
          </cell>
        </row>
        <row r="835">
          <cell r="B835">
            <v>42772</v>
          </cell>
          <cell r="C835" t="str">
            <v>TO Colour Unlimited ES Stick - S Bron</v>
          </cell>
          <cell r="D835">
            <v>10</v>
          </cell>
          <cell r="E835">
            <v>623</v>
          </cell>
          <cell r="F835">
            <v>776</v>
          </cell>
          <cell r="G835">
            <v>776</v>
          </cell>
          <cell r="H835">
            <v>970</v>
          </cell>
          <cell r="I835">
            <v>970</v>
          </cell>
          <cell r="J835" t="str">
            <v>NO</v>
          </cell>
          <cell r="K835">
            <v>0</v>
          </cell>
          <cell r="L835" t="str">
            <v/>
          </cell>
          <cell r="M835" t="str">
            <v>NF</v>
          </cell>
          <cell r="N835" t="str">
            <v/>
          </cell>
          <cell r="O835" t="str">
            <v/>
          </cell>
        </row>
        <row r="836">
          <cell r="B836">
            <v>42773</v>
          </cell>
          <cell r="C836" t="str">
            <v>TO Colour Unlimited ES Stick - L Mauve</v>
          </cell>
          <cell r="D836">
            <v>10</v>
          </cell>
          <cell r="E836">
            <v>623</v>
          </cell>
          <cell r="F836">
            <v>776</v>
          </cell>
          <cell r="G836">
            <v>776</v>
          </cell>
          <cell r="H836">
            <v>970</v>
          </cell>
          <cell r="I836">
            <v>970</v>
          </cell>
          <cell r="J836" t="str">
            <v>NO</v>
          </cell>
          <cell r="K836">
            <v>0</v>
          </cell>
          <cell r="L836" t="str">
            <v/>
          </cell>
          <cell r="M836" t="str">
            <v>NF</v>
          </cell>
          <cell r="N836" t="str">
            <v/>
          </cell>
          <cell r="O836" t="str">
            <v/>
          </cell>
        </row>
        <row r="837">
          <cell r="B837">
            <v>42776</v>
          </cell>
          <cell r="C837" t="str">
            <v>TO Colour Unlimited ES Stick - F Rose</v>
          </cell>
          <cell r="D837">
            <v>10</v>
          </cell>
          <cell r="E837">
            <v>623</v>
          </cell>
          <cell r="F837">
            <v>776</v>
          </cell>
          <cell r="G837">
            <v>776</v>
          </cell>
          <cell r="H837">
            <v>970</v>
          </cell>
          <cell r="I837">
            <v>970</v>
          </cell>
          <cell r="J837" t="str">
            <v>NO</v>
          </cell>
          <cell r="K837">
            <v>0</v>
          </cell>
          <cell r="L837" t="str">
            <v/>
          </cell>
          <cell r="M837" t="str">
            <v>NF</v>
          </cell>
          <cell r="N837" t="str">
            <v/>
          </cell>
          <cell r="O837" t="str">
            <v/>
          </cell>
        </row>
        <row r="838">
          <cell r="B838">
            <v>42777</v>
          </cell>
          <cell r="C838" t="str">
            <v>TO Colour Unlimited ES Stick - S Gold</v>
          </cell>
          <cell r="D838">
            <v>10</v>
          </cell>
          <cell r="E838">
            <v>623</v>
          </cell>
          <cell r="F838">
            <v>776</v>
          </cell>
          <cell r="G838">
            <v>776</v>
          </cell>
          <cell r="H838">
            <v>970</v>
          </cell>
          <cell r="I838">
            <v>970</v>
          </cell>
          <cell r="J838" t="str">
            <v>NO</v>
          </cell>
          <cell r="K838">
            <v>0</v>
          </cell>
          <cell r="L838" t="str">
            <v/>
          </cell>
          <cell r="M838" t="str">
            <v>NF</v>
          </cell>
          <cell r="N838" t="str">
            <v/>
          </cell>
          <cell r="O838" t="str">
            <v/>
          </cell>
        </row>
        <row r="839">
          <cell r="B839">
            <v>42778</v>
          </cell>
          <cell r="C839" t="str">
            <v>TO Colour Unlimited ES Stick - M BLue</v>
          </cell>
          <cell r="D839">
            <v>10</v>
          </cell>
          <cell r="E839">
            <v>623</v>
          </cell>
          <cell r="F839">
            <v>776</v>
          </cell>
          <cell r="G839">
            <v>776</v>
          </cell>
          <cell r="H839">
            <v>970</v>
          </cell>
          <cell r="I839">
            <v>970</v>
          </cell>
          <cell r="J839" t="str">
            <v>NO</v>
          </cell>
          <cell r="K839">
            <v>0</v>
          </cell>
          <cell r="L839" t="str">
            <v/>
          </cell>
          <cell r="M839" t="str">
            <v>NF</v>
          </cell>
          <cell r="N839" t="str">
            <v/>
          </cell>
          <cell r="O839" t="str">
            <v/>
          </cell>
        </row>
        <row r="840">
          <cell r="B840">
            <v>45391</v>
          </cell>
          <cell r="C840" t="str">
            <v>TO Colour Unlimited ES Stick - Turquoise</v>
          </cell>
          <cell r="D840">
            <v>10</v>
          </cell>
          <cell r="E840">
            <v>623</v>
          </cell>
          <cell r="F840">
            <v>776</v>
          </cell>
          <cell r="G840">
            <v>776</v>
          </cell>
          <cell r="H840">
            <v>970</v>
          </cell>
          <cell r="I840">
            <v>970</v>
          </cell>
          <cell r="J840" t="str">
            <v>NO</v>
          </cell>
          <cell r="K840">
            <v>0</v>
          </cell>
          <cell r="L840" t="str">
            <v/>
          </cell>
          <cell r="M840" t="str">
            <v>NF</v>
          </cell>
          <cell r="N840" t="str">
            <v/>
          </cell>
          <cell r="O840" t="str">
            <v/>
          </cell>
        </row>
        <row r="841">
          <cell r="B841">
            <v>45392</v>
          </cell>
          <cell r="C841" t="str">
            <v>TO Colour Unlimited ES - Lavender</v>
          </cell>
          <cell r="D841">
            <v>10</v>
          </cell>
          <cell r="E841">
            <v>623</v>
          </cell>
          <cell r="F841">
            <v>776</v>
          </cell>
          <cell r="G841">
            <v>776</v>
          </cell>
          <cell r="H841">
            <v>970</v>
          </cell>
          <cell r="I841">
            <v>970</v>
          </cell>
          <cell r="J841" t="str">
            <v>NO</v>
          </cell>
          <cell r="K841">
            <v>0</v>
          </cell>
          <cell r="L841" t="str">
            <v/>
          </cell>
          <cell r="M841" t="str">
            <v>NF</v>
          </cell>
          <cell r="N841" t="str">
            <v/>
          </cell>
          <cell r="O841" t="str">
            <v/>
          </cell>
        </row>
        <row r="842">
          <cell r="B842">
            <v>45393</v>
          </cell>
          <cell r="C842" t="str">
            <v>TO Colour Unlimited ES Stick -  Peach</v>
          </cell>
          <cell r="D842">
            <v>10</v>
          </cell>
          <cell r="E842">
            <v>623</v>
          </cell>
          <cell r="F842">
            <v>776</v>
          </cell>
          <cell r="G842">
            <v>776</v>
          </cell>
          <cell r="H842">
            <v>970</v>
          </cell>
          <cell r="I842">
            <v>970</v>
          </cell>
          <cell r="J842" t="str">
            <v>NO</v>
          </cell>
          <cell r="K842">
            <v>0</v>
          </cell>
          <cell r="L842" t="str">
            <v/>
          </cell>
          <cell r="M842" t="str">
            <v>NF</v>
          </cell>
          <cell r="N842" t="str">
            <v/>
          </cell>
          <cell r="O842" t="str">
            <v/>
          </cell>
        </row>
        <row r="843">
          <cell r="B843">
            <v>45394</v>
          </cell>
          <cell r="C843" t="str">
            <v>TO Colour Unlimited ES Stick ...Charcoal</v>
          </cell>
          <cell r="D843">
            <v>10</v>
          </cell>
          <cell r="E843">
            <v>623</v>
          </cell>
          <cell r="F843">
            <v>776</v>
          </cell>
          <cell r="G843">
            <v>776</v>
          </cell>
          <cell r="H843">
            <v>970</v>
          </cell>
          <cell r="I843">
            <v>970</v>
          </cell>
          <cell r="J843" t="str">
            <v>NO</v>
          </cell>
          <cell r="K843">
            <v>0</v>
          </cell>
          <cell r="L843" t="str">
            <v/>
          </cell>
          <cell r="M843" t="str">
            <v>NF</v>
          </cell>
          <cell r="N843" t="str">
            <v/>
          </cell>
          <cell r="O843" t="str">
            <v/>
          </cell>
        </row>
        <row r="844">
          <cell r="B844">
            <v>41367</v>
          </cell>
          <cell r="C844" t="str">
            <v>OC Perfect Duo Eye Pencil - Gre &amp; Wh</v>
          </cell>
          <cell r="D844">
            <v>5</v>
          </cell>
          <cell r="E844">
            <v>340</v>
          </cell>
          <cell r="F844">
            <v>424</v>
          </cell>
          <cell r="G844">
            <v>424</v>
          </cell>
          <cell r="H844">
            <v>530</v>
          </cell>
          <cell r="I844">
            <v>530</v>
          </cell>
          <cell r="J844" t="str">
            <v>NO</v>
          </cell>
          <cell r="K844">
            <v>0</v>
          </cell>
          <cell r="L844" t="str">
            <v/>
          </cell>
          <cell r="M844" t="str">
            <v>NF</v>
          </cell>
          <cell r="N844" t="str">
            <v/>
          </cell>
          <cell r="O844" t="str">
            <v/>
          </cell>
        </row>
        <row r="845">
          <cell r="B845">
            <v>41368</v>
          </cell>
          <cell r="C845" t="str">
            <v>OC Perfect Duo Eye Pencil - Moc &amp; Ros</v>
          </cell>
          <cell r="D845">
            <v>5</v>
          </cell>
          <cell r="E845">
            <v>340</v>
          </cell>
          <cell r="F845">
            <v>424</v>
          </cell>
          <cell r="G845">
            <v>424</v>
          </cell>
          <cell r="H845">
            <v>530</v>
          </cell>
          <cell r="I845">
            <v>530</v>
          </cell>
          <cell r="J845" t="str">
            <v>NO</v>
          </cell>
          <cell r="K845">
            <v>0</v>
          </cell>
          <cell r="L845" t="str">
            <v/>
          </cell>
          <cell r="M845" t="str">
            <v>NF</v>
          </cell>
          <cell r="N845" t="str">
            <v/>
          </cell>
          <cell r="O845" t="str">
            <v/>
          </cell>
        </row>
        <row r="846">
          <cell r="B846">
            <v>41369</v>
          </cell>
          <cell r="C846" t="str">
            <v>OC Perfect Duo Eye Pencil - Blu &amp; Sap</v>
          </cell>
          <cell r="D846">
            <v>5</v>
          </cell>
          <cell r="E846">
            <v>340</v>
          </cell>
          <cell r="F846">
            <v>424</v>
          </cell>
          <cell r="G846">
            <v>424</v>
          </cell>
          <cell r="H846">
            <v>530</v>
          </cell>
          <cell r="I846">
            <v>530</v>
          </cell>
          <cell r="J846" t="str">
            <v>NO</v>
          </cell>
          <cell r="K846">
            <v>0</v>
          </cell>
          <cell r="L846" t="str">
            <v/>
          </cell>
          <cell r="M846" t="str">
            <v>NF</v>
          </cell>
          <cell r="N846" t="str">
            <v/>
          </cell>
          <cell r="O846" t="str">
            <v/>
          </cell>
        </row>
        <row r="847">
          <cell r="B847">
            <v>41370</v>
          </cell>
          <cell r="C847" t="str">
            <v>OC Perfect Duo Eye Pencil - Jun &amp; Oli</v>
          </cell>
          <cell r="D847">
            <v>5</v>
          </cell>
          <cell r="E847">
            <v>340</v>
          </cell>
          <cell r="F847">
            <v>424</v>
          </cell>
          <cell r="G847">
            <v>424</v>
          </cell>
          <cell r="H847">
            <v>530</v>
          </cell>
          <cell r="I847">
            <v>530</v>
          </cell>
          <cell r="J847" t="str">
            <v>NO</v>
          </cell>
          <cell r="K847">
            <v>0</v>
          </cell>
          <cell r="L847" t="str">
            <v/>
          </cell>
          <cell r="M847" t="str">
            <v>NF</v>
          </cell>
          <cell r="N847" t="str">
            <v/>
          </cell>
          <cell r="O847" t="str">
            <v/>
          </cell>
        </row>
        <row r="848">
          <cell r="B848">
            <v>41371</v>
          </cell>
          <cell r="C848" t="str">
            <v>OC Perfect Duo Eye Pencil - Plu &amp; Cop</v>
          </cell>
          <cell r="D848">
            <v>5</v>
          </cell>
          <cell r="E848">
            <v>340</v>
          </cell>
          <cell r="F848">
            <v>424</v>
          </cell>
          <cell r="G848">
            <v>424</v>
          </cell>
          <cell r="H848">
            <v>530</v>
          </cell>
          <cell r="I848">
            <v>530</v>
          </cell>
          <cell r="J848" t="str">
            <v>NO</v>
          </cell>
          <cell r="K848">
            <v>0</v>
          </cell>
          <cell r="L848" t="str">
            <v/>
          </cell>
          <cell r="M848" t="str">
            <v>NF</v>
          </cell>
          <cell r="N848" t="str">
            <v/>
          </cell>
          <cell r="O848" t="str">
            <v/>
          </cell>
        </row>
        <row r="849">
          <cell r="B849">
            <v>41414</v>
          </cell>
          <cell r="C849" t="str">
            <v>GG Precise Two Sided Brow Pen... L Brown</v>
          </cell>
          <cell r="D849">
            <v>13</v>
          </cell>
          <cell r="E849">
            <v>834</v>
          </cell>
          <cell r="F849">
            <v>1040</v>
          </cell>
          <cell r="G849">
            <v>1040</v>
          </cell>
          <cell r="H849">
            <v>1300</v>
          </cell>
          <cell r="I849">
            <v>1300</v>
          </cell>
          <cell r="J849" t="str">
            <v>NO</v>
          </cell>
          <cell r="K849">
            <v>0</v>
          </cell>
          <cell r="L849" t="str">
            <v/>
          </cell>
          <cell r="M849" t="str">
            <v>NF</v>
          </cell>
          <cell r="N849" t="str">
            <v/>
          </cell>
          <cell r="O849" t="str">
            <v/>
          </cell>
        </row>
        <row r="850">
          <cell r="B850">
            <v>41415</v>
          </cell>
          <cell r="C850" t="str">
            <v>GG Precise Two Sided Brow Pen... M Brown</v>
          </cell>
          <cell r="D850">
            <v>13</v>
          </cell>
          <cell r="E850">
            <v>834</v>
          </cell>
          <cell r="F850">
            <v>1040</v>
          </cell>
          <cell r="G850">
            <v>1040</v>
          </cell>
          <cell r="H850">
            <v>1300</v>
          </cell>
          <cell r="I850">
            <v>1300</v>
          </cell>
          <cell r="J850" t="str">
            <v>NO</v>
          </cell>
          <cell r="K850">
            <v>0</v>
          </cell>
          <cell r="L850" t="str">
            <v/>
          </cell>
          <cell r="M850" t="str">
            <v>NF</v>
          </cell>
          <cell r="N850" t="str">
            <v/>
          </cell>
          <cell r="O850" t="str">
            <v/>
          </cell>
        </row>
        <row r="851">
          <cell r="B851">
            <v>41635</v>
          </cell>
          <cell r="C851" t="str">
            <v>TO CUnlimited Matte LS - NNude</v>
          </cell>
          <cell r="D851">
            <v>9</v>
          </cell>
          <cell r="E851">
            <v>577</v>
          </cell>
          <cell r="F851">
            <v>720</v>
          </cell>
          <cell r="G851">
            <v>720</v>
          </cell>
          <cell r="H851">
            <v>900</v>
          </cell>
          <cell r="I851">
            <v>900</v>
          </cell>
          <cell r="J851" t="str">
            <v>NO</v>
          </cell>
          <cell r="K851">
            <v>0</v>
          </cell>
          <cell r="L851" t="str">
            <v/>
          </cell>
          <cell r="M851" t="str">
            <v>NF</v>
          </cell>
          <cell r="N851" t="str">
            <v/>
          </cell>
          <cell r="O851" t="str">
            <v/>
          </cell>
        </row>
        <row r="852">
          <cell r="B852">
            <v>41636</v>
          </cell>
          <cell r="C852" t="str">
            <v>TO CUnlimited Matte LS - IPeach</v>
          </cell>
          <cell r="D852">
            <v>9</v>
          </cell>
          <cell r="E852">
            <v>577</v>
          </cell>
          <cell r="F852">
            <v>720</v>
          </cell>
          <cell r="G852">
            <v>720</v>
          </cell>
          <cell r="H852">
            <v>900</v>
          </cell>
          <cell r="I852">
            <v>900</v>
          </cell>
          <cell r="J852" t="str">
            <v>NO</v>
          </cell>
          <cell r="K852">
            <v>0</v>
          </cell>
          <cell r="L852" t="str">
            <v/>
          </cell>
          <cell r="M852" t="str">
            <v>NF</v>
          </cell>
          <cell r="N852" t="str">
            <v/>
          </cell>
          <cell r="O852" t="str">
            <v/>
          </cell>
        </row>
        <row r="853">
          <cell r="B853">
            <v>41637</v>
          </cell>
          <cell r="C853" t="str">
            <v>TO CUnlimited Matte LS - PBlush</v>
          </cell>
          <cell r="D853">
            <v>9</v>
          </cell>
          <cell r="E853">
            <v>577</v>
          </cell>
          <cell r="F853">
            <v>720</v>
          </cell>
          <cell r="G853">
            <v>720</v>
          </cell>
          <cell r="H853">
            <v>900</v>
          </cell>
          <cell r="I853">
            <v>900</v>
          </cell>
          <cell r="J853" t="str">
            <v>NO</v>
          </cell>
          <cell r="K853">
            <v>0</v>
          </cell>
          <cell r="L853" t="str">
            <v/>
          </cell>
          <cell r="M853" t="str">
            <v>NF</v>
          </cell>
          <cell r="N853" t="str">
            <v/>
          </cell>
          <cell r="O853" t="str">
            <v/>
          </cell>
        </row>
        <row r="854">
          <cell r="B854">
            <v>41638</v>
          </cell>
          <cell r="C854" t="str">
            <v>TO CUnlimited Matte LS - FTruffle</v>
          </cell>
          <cell r="D854">
            <v>9</v>
          </cell>
          <cell r="E854">
            <v>577</v>
          </cell>
          <cell r="F854">
            <v>720</v>
          </cell>
          <cell r="G854">
            <v>720</v>
          </cell>
          <cell r="H854">
            <v>900</v>
          </cell>
          <cell r="I854">
            <v>900</v>
          </cell>
          <cell r="J854" t="str">
            <v>NO</v>
          </cell>
          <cell r="K854">
            <v>0</v>
          </cell>
          <cell r="L854" t="str">
            <v/>
          </cell>
          <cell r="M854" t="str">
            <v>NF</v>
          </cell>
          <cell r="N854" t="str">
            <v/>
          </cell>
          <cell r="O854" t="str">
            <v/>
          </cell>
        </row>
        <row r="855">
          <cell r="B855">
            <v>41639</v>
          </cell>
          <cell r="C855" t="str">
            <v>TO CUnlimited Matte LS - ERose</v>
          </cell>
          <cell r="D855">
            <v>9</v>
          </cell>
          <cell r="E855">
            <v>577</v>
          </cell>
          <cell r="F855">
            <v>720</v>
          </cell>
          <cell r="G855">
            <v>720</v>
          </cell>
          <cell r="H855">
            <v>900</v>
          </cell>
          <cell r="I855">
            <v>900</v>
          </cell>
          <cell r="J855" t="str">
            <v>NO</v>
          </cell>
          <cell r="K855">
            <v>0</v>
          </cell>
          <cell r="L855" t="str">
            <v/>
          </cell>
          <cell r="M855" t="str">
            <v>NF</v>
          </cell>
          <cell r="N855" t="str">
            <v/>
          </cell>
          <cell r="O855" t="str">
            <v/>
          </cell>
        </row>
        <row r="856">
          <cell r="B856">
            <v>41640</v>
          </cell>
          <cell r="C856" t="str">
            <v>TO CUnlimited Matte LS - TMauve</v>
          </cell>
          <cell r="D856">
            <v>9</v>
          </cell>
          <cell r="E856">
            <v>577</v>
          </cell>
          <cell r="F856">
            <v>720</v>
          </cell>
          <cell r="G856">
            <v>720</v>
          </cell>
          <cell r="H856">
            <v>900</v>
          </cell>
          <cell r="I856">
            <v>900</v>
          </cell>
          <cell r="J856" t="str">
            <v>NO</v>
          </cell>
          <cell r="K856">
            <v>0</v>
          </cell>
          <cell r="L856" t="str">
            <v/>
          </cell>
          <cell r="M856" t="str">
            <v>NF</v>
          </cell>
          <cell r="N856" t="str">
            <v/>
          </cell>
          <cell r="O856" t="str">
            <v/>
          </cell>
        </row>
        <row r="857">
          <cell r="B857">
            <v>41641</v>
          </cell>
          <cell r="C857" t="str">
            <v>TO CUnlimited Matte LS - CCoral</v>
          </cell>
          <cell r="D857">
            <v>9</v>
          </cell>
          <cell r="E857">
            <v>577</v>
          </cell>
          <cell r="F857">
            <v>720</v>
          </cell>
          <cell r="G857">
            <v>720</v>
          </cell>
          <cell r="H857">
            <v>900</v>
          </cell>
          <cell r="I857">
            <v>900</v>
          </cell>
          <cell r="J857" t="str">
            <v>NO</v>
          </cell>
          <cell r="K857">
            <v>0</v>
          </cell>
          <cell r="L857" t="str">
            <v/>
          </cell>
          <cell r="M857" t="str">
            <v>NF</v>
          </cell>
          <cell r="N857" t="str">
            <v/>
          </cell>
          <cell r="O857" t="str">
            <v/>
          </cell>
        </row>
        <row r="858">
          <cell r="B858">
            <v>41642</v>
          </cell>
          <cell r="C858" t="str">
            <v>TO CUnlimited Matte LS - RRed</v>
          </cell>
          <cell r="D858">
            <v>9</v>
          </cell>
          <cell r="E858">
            <v>577</v>
          </cell>
          <cell r="F858">
            <v>720</v>
          </cell>
          <cell r="G858">
            <v>720</v>
          </cell>
          <cell r="H858">
            <v>900</v>
          </cell>
          <cell r="I858">
            <v>900</v>
          </cell>
          <cell r="J858" t="str">
            <v>NO</v>
          </cell>
          <cell r="K858">
            <v>0</v>
          </cell>
          <cell r="L858" t="str">
            <v/>
          </cell>
          <cell r="M858" t="str">
            <v>NF</v>
          </cell>
          <cell r="N858" t="str">
            <v/>
          </cell>
          <cell r="O858" t="str">
            <v/>
          </cell>
        </row>
        <row r="859">
          <cell r="B859">
            <v>41643</v>
          </cell>
          <cell r="C859" t="str">
            <v>TO CUnlimited Matte LS - ECherry</v>
          </cell>
          <cell r="D859">
            <v>9</v>
          </cell>
          <cell r="E859">
            <v>577</v>
          </cell>
          <cell r="F859">
            <v>720</v>
          </cell>
          <cell r="G859">
            <v>720</v>
          </cell>
          <cell r="H859">
            <v>900</v>
          </cell>
          <cell r="I859">
            <v>900</v>
          </cell>
          <cell r="J859" t="str">
            <v>NO</v>
          </cell>
          <cell r="K859">
            <v>0</v>
          </cell>
          <cell r="L859" t="str">
            <v/>
          </cell>
          <cell r="M859" t="str">
            <v>NF</v>
          </cell>
          <cell r="N859" t="str">
            <v/>
          </cell>
          <cell r="O859" t="str">
            <v/>
          </cell>
        </row>
        <row r="860">
          <cell r="B860">
            <v>41644</v>
          </cell>
          <cell r="C860" t="str">
            <v>TO CUnlimited Matte LS - PBerry</v>
          </cell>
          <cell r="D860">
            <v>9</v>
          </cell>
          <cell r="E860">
            <v>577</v>
          </cell>
          <cell r="F860">
            <v>720</v>
          </cell>
          <cell r="G860">
            <v>720</v>
          </cell>
          <cell r="H860">
            <v>900</v>
          </cell>
          <cell r="I860">
            <v>900</v>
          </cell>
          <cell r="J860" t="str">
            <v>NO</v>
          </cell>
          <cell r="K860">
            <v>0</v>
          </cell>
          <cell r="L860" t="str">
            <v/>
          </cell>
          <cell r="M860" t="str">
            <v>NF</v>
          </cell>
          <cell r="N860" t="str">
            <v/>
          </cell>
          <cell r="O860" t="str">
            <v/>
          </cell>
        </row>
        <row r="861">
          <cell r="B861">
            <v>41796</v>
          </cell>
          <cell r="C861" t="str">
            <v>TO CUnlimited Ultra Fix LS - UTaupe</v>
          </cell>
          <cell r="D861">
            <v>11</v>
          </cell>
          <cell r="E861">
            <v>738</v>
          </cell>
          <cell r="F861">
            <v>920</v>
          </cell>
          <cell r="G861">
            <v>920</v>
          </cell>
          <cell r="H861">
            <v>1150</v>
          </cell>
          <cell r="I861">
            <v>1150</v>
          </cell>
          <cell r="J861" t="str">
            <v>NO</v>
          </cell>
          <cell r="K861">
            <v>0</v>
          </cell>
          <cell r="L861" t="str">
            <v/>
          </cell>
          <cell r="M861" t="str">
            <v>NF</v>
          </cell>
          <cell r="N861" t="str">
            <v/>
          </cell>
          <cell r="O861" t="str">
            <v/>
          </cell>
        </row>
        <row r="862">
          <cell r="B862">
            <v>41797</v>
          </cell>
          <cell r="C862" t="str">
            <v>TO CUnlimited Ultra Fix LS - UNude</v>
          </cell>
          <cell r="D862">
            <v>11</v>
          </cell>
          <cell r="E862">
            <v>738</v>
          </cell>
          <cell r="F862">
            <v>920</v>
          </cell>
          <cell r="G862">
            <v>920</v>
          </cell>
          <cell r="H862">
            <v>1150</v>
          </cell>
          <cell r="I862">
            <v>1150</v>
          </cell>
          <cell r="J862" t="str">
            <v>NO</v>
          </cell>
          <cell r="K862">
            <v>0</v>
          </cell>
          <cell r="L862" t="str">
            <v/>
          </cell>
          <cell r="M862" t="str">
            <v>NF</v>
          </cell>
          <cell r="N862" t="str">
            <v/>
          </cell>
          <cell r="O862" t="str">
            <v/>
          </cell>
        </row>
        <row r="863">
          <cell r="B863">
            <v>41798</v>
          </cell>
          <cell r="C863" t="str">
            <v>TO CUnlimited Ultra Fix LS - UTerracotta</v>
          </cell>
          <cell r="D863">
            <v>11</v>
          </cell>
          <cell r="E863">
            <v>738</v>
          </cell>
          <cell r="F863">
            <v>920</v>
          </cell>
          <cell r="G863">
            <v>920</v>
          </cell>
          <cell r="H863">
            <v>1150</v>
          </cell>
          <cell r="I863">
            <v>1150</v>
          </cell>
          <cell r="J863" t="str">
            <v>NO</v>
          </cell>
          <cell r="K863">
            <v>0</v>
          </cell>
          <cell r="L863" t="str">
            <v/>
          </cell>
          <cell r="M863" t="str">
            <v>NF</v>
          </cell>
          <cell r="N863" t="str">
            <v/>
          </cell>
          <cell r="O863" t="str">
            <v/>
          </cell>
        </row>
        <row r="864">
          <cell r="B864">
            <v>41799</v>
          </cell>
          <cell r="C864" t="str">
            <v>TO CUnlimited Ultra Fix LS - URose</v>
          </cell>
          <cell r="D864">
            <v>11</v>
          </cell>
          <cell r="E864">
            <v>738</v>
          </cell>
          <cell r="F864">
            <v>920</v>
          </cell>
          <cell r="G864">
            <v>920</v>
          </cell>
          <cell r="H864">
            <v>1150</v>
          </cell>
          <cell r="I864">
            <v>1150</v>
          </cell>
          <cell r="J864" t="str">
            <v>NO</v>
          </cell>
          <cell r="K864">
            <v>0</v>
          </cell>
          <cell r="L864" t="str">
            <v/>
          </cell>
          <cell r="M864" t="str">
            <v>NF</v>
          </cell>
          <cell r="N864" t="str">
            <v/>
          </cell>
          <cell r="O864" t="str">
            <v/>
          </cell>
        </row>
        <row r="865">
          <cell r="B865">
            <v>41800</v>
          </cell>
          <cell r="C865" t="str">
            <v>TO CUnlimited Ultra Fix LS - URaspberry</v>
          </cell>
          <cell r="D865">
            <v>11</v>
          </cell>
          <cell r="E865">
            <v>738</v>
          </cell>
          <cell r="F865">
            <v>920</v>
          </cell>
          <cell r="G865">
            <v>920</v>
          </cell>
          <cell r="H865">
            <v>1150</v>
          </cell>
          <cell r="I865">
            <v>1150</v>
          </cell>
          <cell r="J865" t="str">
            <v>NO</v>
          </cell>
          <cell r="K865">
            <v>0</v>
          </cell>
          <cell r="L865" t="str">
            <v/>
          </cell>
          <cell r="M865" t="str">
            <v>NF</v>
          </cell>
          <cell r="N865" t="str">
            <v/>
          </cell>
          <cell r="O865" t="str">
            <v/>
          </cell>
        </row>
        <row r="866">
          <cell r="B866">
            <v>41801</v>
          </cell>
          <cell r="C866" t="str">
            <v>TO CUnlimited Ultra Fix LS - UPink</v>
          </cell>
          <cell r="D866">
            <v>11</v>
          </cell>
          <cell r="E866">
            <v>738</v>
          </cell>
          <cell r="F866">
            <v>920</v>
          </cell>
          <cell r="G866">
            <v>920</v>
          </cell>
          <cell r="H866">
            <v>1150</v>
          </cell>
          <cell r="I866">
            <v>1150</v>
          </cell>
          <cell r="J866" t="str">
            <v>NO</v>
          </cell>
          <cell r="K866">
            <v>0</v>
          </cell>
          <cell r="L866" t="str">
            <v/>
          </cell>
          <cell r="M866" t="str">
            <v>NF</v>
          </cell>
          <cell r="N866" t="str">
            <v/>
          </cell>
          <cell r="O866" t="str">
            <v/>
          </cell>
        </row>
        <row r="867">
          <cell r="B867">
            <v>41802</v>
          </cell>
          <cell r="C867" t="str">
            <v>TO CUnlimited Ultra Fix LS - UFuchsia</v>
          </cell>
          <cell r="D867">
            <v>11</v>
          </cell>
          <cell r="E867">
            <v>738</v>
          </cell>
          <cell r="F867">
            <v>920</v>
          </cell>
          <cell r="G867">
            <v>920</v>
          </cell>
          <cell r="H867">
            <v>1150</v>
          </cell>
          <cell r="I867">
            <v>1150</v>
          </cell>
          <cell r="J867" t="str">
            <v>NO</v>
          </cell>
          <cell r="K867">
            <v>0</v>
          </cell>
          <cell r="L867" t="str">
            <v/>
          </cell>
          <cell r="M867" t="str">
            <v>NF</v>
          </cell>
          <cell r="N867" t="str">
            <v/>
          </cell>
          <cell r="O867" t="str">
            <v/>
          </cell>
        </row>
        <row r="868">
          <cell r="B868">
            <v>41803</v>
          </cell>
          <cell r="C868" t="str">
            <v>TO CUnlimited Ultra Fix LS - UCoral</v>
          </cell>
          <cell r="D868">
            <v>11</v>
          </cell>
          <cell r="E868">
            <v>738</v>
          </cell>
          <cell r="F868">
            <v>920</v>
          </cell>
          <cell r="G868">
            <v>920</v>
          </cell>
          <cell r="H868">
            <v>1150</v>
          </cell>
          <cell r="I868">
            <v>1150</v>
          </cell>
          <cell r="J868" t="str">
            <v>NO</v>
          </cell>
          <cell r="K868">
            <v>0</v>
          </cell>
          <cell r="L868" t="str">
            <v/>
          </cell>
          <cell r="M868" t="str">
            <v>NF</v>
          </cell>
          <cell r="N868" t="str">
            <v/>
          </cell>
          <cell r="O868" t="str">
            <v/>
          </cell>
        </row>
        <row r="869">
          <cell r="B869">
            <v>41804</v>
          </cell>
          <cell r="C869" t="str">
            <v>TO CUnlimited Ultra Fix LS - URed</v>
          </cell>
          <cell r="D869">
            <v>11</v>
          </cell>
          <cell r="E869">
            <v>738</v>
          </cell>
          <cell r="F869">
            <v>920</v>
          </cell>
          <cell r="G869">
            <v>920</v>
          </cell>
          <cell r="H869">
            <v>1150</v>
          </cell>
          <cell r="I869">
            <v>1150</v>
          </cell>
          <cell r="J869" t="str">
            <v>NO</v>
          </cell>
          <cell r="K869">
            <v>0</v>
          </cell>
          <cell r="L869" t="str">
            <v/>
          </cell>
          <cell r="M869" t="str">
            <v>NF</v>
          </cell>
          <cell r="N869" t="str">
            <v/>
          </cell>
          <cell r="O869" t="str">
            <v/>
          </cell>
        </row>
        <row r="870">
          <cell r="B870">
            <v>41805</v>
          </cell>
          <cell r="C870" t="str">
            <v>TO CUnlimited Ultra Fix LS - UBordeaux</v>
          </cell>
          <cell r="D870">
            <v>11</v>
          </cell>
          <cell r="E870">
            <v>738</v>
          </cell>
          <cell r="F870">
            <v>920</v>
          </cell>
          <cell r="G870">
            <v>920</v>
          </cell>
          <cell r="H870">
            <v>1150</v>
          </cell>
          <cell r="I870">
            <v>1150</v>
          </cell>
          <cell r="J870" t="str">
            <v>NO</v>
          </cell>
          <cell r="K870">
            <v>0</v>
          </cell>
          <cell r="L870" t="str">
            <v/>
          </cell>
          <cell r="M870" t="str">
            <v>NF</v>
          </cell>
          <cell r="N870" t="str">
            <v/>
          </cell>
          <cell r="O870" t="str">
            <v/>
          </cell>
        </row>
        <row r="871">
          <cell r="B871">
            <v>41806</v>
          </cell>
          <cell r="C871" t="str">
            <v>TO CUnlimited Ultra Fix LS - UBurgundy</v>
          </cell>
          <cell r="D871">
            <v>11</v>
          </cell>
          <cell r="E871">
            <v>738</v>
          </cell>
          <cell r="F871">
            <v>920</v>
          </cell>
          <cell r="G871">
            <v>920</v>
          </cell>
          <cell r="H871">
            <v>1150</v>
          </cell>
          <cell r="I871">
            <v>1150</v>
          </cell>
          <cell r="J871" t="str">
            <v>NO</v>
          </cell>
          <cell r="K871">
            <v>0</v>
          </cell>
          <cell r="L871" t="str">
            <v/>
          </cell>
          <cell r="M871" t="str">
            <v>NF</v>
          </cell>
          <cell r="N871" t="str">
            <v/>
          </cell>
          <cell r="O871" t="str">
            <v/>
          </cell>
        </row>
        <row r="872">
          <cell r="B872">
            <v>41807</v>
          </cell>
          <cell r="C872" t="str">
            <v>TO CUnlimited Ultra Fix LS - UMocha</v>
          </cell>
          <cell r="D872">
            <v>11</v>
          </cell>
          <cell r="E872">
            <v>738</v>
          </cell>
          <cell r="F872">
            <v>920</v>
          </cell>
          <cell r="G872">
            <v>920</v>
          </cell>
          <cell r="H872">
            <v>1150</v>
          </cell>
          <cell r="I872">
            <v>1150</v>
          </cell>
          <cell r="J872" t="str">
            <v>NO</v>
          </cell>
          <cell r="K872">
            <v>0</v>
          </cell>
          <cell r="L872" t="str">
            <v/>
          </cell>
          <cell r="M872" t="str">
            <v>NF</v>
          </cell>
          <cell r="N872" t="str">
            <v/>
          </cell>
          <cell r="O872" t="str">
            <v/>
          </cell>
        </row>
        <row r="873">
          <cell r="B873">
            <v>41808</v>
          </cell>
          <cell r="C873" t="str">
            <v>TO CUnlimited Ultra Fix LS - UWine</v>
          </cell>
          <cell r="D873">
            <v>11</v>
          </cell>
          <cell r="E873">
            <v>738</v>
          </cell>
          <cell r="F873">
            <v>920</v>
          </cell>
          <cell r="G873">
            <v>920</v>
          </cell>
          <cell r="H873">
            <v>1150</v>
          </cell>
          <cell r="I873">
            <v>1150</v>
          </cell>
          <cell r="J873" t="str">
            <v>NO</v>
          </cell>
          <cell r="K873">
            <v>0</v>
          </cell>
          <cell r="L873" t="str">
            <v/>
          </cell>
          <cell r="M873" t="str">
            <v>NF</v>
          </cell>
          <cell r="N873" t="str">
            <v/>
          </cell>
          <cell r="O873" t="str">
            <v/>
          </cell>
        </row>
        <row r="874">
          <cell r="B874">
            <v>41809</v>
          </cell>
          <cell r="C874" t="str">
            <v>TO CUnlimited Ultra Fix LS - UPlum</v>
          </cell>
          <cell r="D874">
            <v>11</v>
          </cell>
          <cell r="E874">
            <v>738</v>
          </cell>
          <cell r="F874">
            <v>920</v>
          </cell>
          <cell r="G874">
            <v>920</v>
          </cell>
          <cell r="H874">
            <v>1150</v>
          </cell>
          <cell r="I874">
            <v>1150</v>
          </cell>
          <cell r="J874" t="str">
            <v>NO</v>
          </cell>
          <cell r="K874">
            <v>0</v>
          </cell>
          <cell r="L874" t="str">
            <v/>
          </cell>
          <cell r="M874" t="str">
            <v>NF</v>
          </cell>
          <cell r="N874" t="str">
            <v/>
          </cell>
          <cell r="O874" t="str">
            <v/>
          </cell>
        </row>
        <row r="875">
          <cell r="B875">
            <v>41871</v>
          </cell>
          <cell r="C875" t="str">
            <v>TO GlossNWear NL - SMilk C</v>
          </cell>
          <cell r="D875">
            <v>5</v>
          </cell>
          <cell r="E875">
            <v>353</v>
          </cell>
          <cell r="F875">
            <v>440</v>
          </cell>
          <cell r="G875">
            <v>440</v>
          </cell>
          <cell r="H875">
            <v>550</v>
          </cell>
          <cell r="I875">
            <v>550</v>
          </cell>
          <cell r="J875" t="str">
            <v>NO</v>
          </cell>
          <cell r="K875">
            <v>0</v>
          </cell>
          <cell r="L875" t="str">
            <v/>
          </cell>
          <cell r="M875" t="str">
            <v>NF</v>
          </cell>
          <cell r="N875" t="str">
            <v/>
          </cell>
          <cell r="O875" t="str">
            <v/>
          </cell>
        </row>
        <row r="876">
          <cell r="B876">
            <v>41872</v>
          </cell>
          <cell r="C876" t="str">
            <v>TO GlossNWear NL - RNude C</v>
          </cell>
          <cell r="D876">
            <v>5</v>
          </cell>
          <cell r="E876">
            <v>353</v>
          </cell>
          <cell r="F876">
            <v>440</v>
          </cell>
          <cell r="G876">
            <v>440</v>
          </cell>
          <cell r="H876">
            <v>550</v>
          </cell>
          <cell r="I876">
            <v>550</v>
          </cell>
          <cell r="J876" t="str">
            <v>NO</v>
          </cell>
          <cell r="K876">
            <v>0</v>
          </cell>
          <cell r="L876" t="str">
            <v/>
          </cell>
          <cell r="M876" t="str">
            <v>NF</v>
          </cell>
          <cell r="N876" t="str">
            <v/>
          </cell>
          <cell r="O876" t="str">
            <v/>
          </cell>
        </row>
        <row r="877">
          <cell r="B877">
            <v>41873</v>
          </cell>
          <cell r="C877" t="str">
            <v>TO GlossNWear NL - CLove S</v>
          </cell>
          <cell r="D877">
            <v>5</v>
          </cell>
          <cell r="E877">
            <v>353</v>
          </cell>
          <cell r="F877">
            <v>440</v>
          </cell>
          <cell r="G877">
            <v>440</v>
          </cell>
          <cell r="H877">
            <v>550</v>
          </cell>
          <cell r="I877">
            <v>550</v>
          </cell>
          <cell r="J877" t="str">
            <v>NO</v>
          </cell>
          <cell r="K877">
            <v>0</v>
          </cell>
          <cell r="L877" t="str">
            <v/>
          </cell>
          <cell r="M877" t="str">
            <v>NF</v>
          </cell>
          <cell r="N877" t="str">
            <v/>
          </cell>
          <cell r="O877" t="str">
            <v/>
          </cell>
        </row>
        <row r="878">
          <cell r="B878">
            <v>41874</v>
          </cell>
          <cell r="C878" t="str">
            <v>TO GlossNWear NL - ILave C</v>
          </cell>
          <cell r="D878">
            <v>5</v>
          </cell>
          <cell r="E878">
            <v>353</v>
          </cell>
          <cell r="F878">
            <v>440</v>
          </cell>
          <cell r="G878">
            <v>440</v>
          </cell>
          <cell r="H878">
            <v>550</v>
          </cell>
          <cell r="I878">
            <v>550</v>
          </cell>
          <cell r="J878" t="str">
            <v>NO</v>
          </cell>
          <cell r="K878">
            <v>0</v>
          </cell>
          <cell r="L878" t="str">
            <v/>
          </cell>
          <cell r="M878" t="str">
            <v>NF</v>
          </cell>
          <cell r="N878" t="str">
            <v/>
          </cell>
          <cell r="O878" t="str">
            <v/>
          </cell>
        </row>
        <row r="879">
          <cell r="B879">
            <v>41877</v>
          </cell>
          <cell r="C879" t="str">
            <v>TO GlossNWear NL - MAqua S</v>
          </cell>
          <cell r="D879">
            <v>5</v>
          </cell>
          <cell r="E879">
            <v>353</v>
          </cell>
          <cell r="F879">
            <v>440</v>
          </cell>
          <cell r="G879">
            <v>440</v>
          </cell>
          <cell r="H879">
            <v>550</v>
          </cell>
          <cell r="I879">
            <v>550</v>
          </cell>
          <cell r="J879" t="str">
            <v>NO</v>
          </cell>
          <cell r="K879">
            <v>0</v>
          </cell>
          <cell r="L879" t="str">
            <v/>
          </cell>
          <cell r="M879" t="str">
            <v>NF</v>
          </cell>
          <cell r="N879" t="str">
            <v/>
          </cell>
          <cell r="O879" t="str">
            <v/>
          </cell>
        </row>
        <row r="880">
          <cell r="B880">
            <v>41880</v>
          </cell>
          <cell r="C880" t="str">
            <v>TO GlossNWear NL - NOrchi C</v>
          </cell>
          <cell r="D880">
            <v>5</v>
          </cell>
          <cell r="E880">
            <v>353</v>
          </cell>
          <cell r="F880">
            <v>440</v>
          </cell>
          <cell r="G880">
            <v>440</v>
          </cell>
          <cell r="H880">
            <v>550</v>
          </cell>
          <cell r="I880">
            <v>550</v>
          </cell>
          <cell r="J880" t="str">
            <v>NO</v>
          </cell>
          <cell r="K880">
            <v>0</v>
          </cell>
          <cell r="L880" t="str">
            <v/>
          </cell>
          <cell r="M880" t="str">
            <v>NF</v>
          </cell>
          <cell r="N880" t="str">
            <v/>
          </cell>
          <cell r="O880" t="str">
            <v/>
          </cell>
        </row>
        <row r="881">
          <cell r="B881">
            <v>41881</v>
          </cell>
          <cell r="C881" t="str">
            <v>TO GlossNWear NL - FAllu C</v>
          </cell>
          <cell r="D881">
            <v>5</v>
          </cell>
          <cell r="E881">
            <v>353</v>
          </cell>
          <cell r="F881">
            <v>440</v>
          </cell>
          <cell r="G881">
            <v>440</v>
          </cell>
          <cell r="H881">
            <v>550</v>
          </cell>
          <cell r="I881">
            <v>550</v>
          </cell>
          <cell r="J881" t="str">
            <v>NO</v>
          </cell>
          <cell r="K881">
            <v>0</v>
          </cell>
          <cell r="L881" t="str">
            <v/>
          </cell>
          <cell r="M881" t="str">
            <v>NF</v>
          </cell>
          <cell r="N881" t="str">
            <v/>
          </cell>
          <cell r="O881" t="str">
            <v/>
          </cell>
        </row>
        <row r="882">
          <cell r="B882">
            <v>41882</v>
          </cell>
          <cell r="C882" t="str">
            <v>TO GlossNWear NL - CRose C</v>
          </cell>
          <cell r="D882">
            <v>5</v>
          </cell>
          <cell r="E882">
            <v>353</v>
          </cell>
          <cell r="F882">
            <v>440</v>
          </cell>
          <cell r="G882">
            <v>440</v>
          </cell>
          <cell r="H882">
            <v>550</v>
          </cell>
          <cell r="I882">
            <v>550</v>
          </cell>
          <cell r="J882" t="str">
            <v>NO</v>
          </cell>
          <cell r="K882">
            <v>0</v>
          </cell>
          <cell r="L882" t="str">
            <v/>
          </cell>
          <cell r="M882" t="str">
            <v>NF</v>
          </cell>
          <cell r="N882" t="str">
            <v/>
          </cell>
          <cell r="O882" t="str">
            <v/>
          </cell>
        </row>
        <row r="883">
          <cell r="B883">
            <v>41883</v>
          </cell>
          <cell r="C883" t="str">
            <v>TO GlossNWear NL - WPunchC</v>
          </cell>
          <cell r="D883">
            <v>5</v>
          </cell>
          <cell r="E883">
            <v>353</v>
          </cell>
          <cell r="F883">
            <v>440</v>
          </cell>
          <cell r="G883">
            <v>440</v>
          </cell>
          <cell r="H883">
            <v>550</v>
          </cell>
          <cell r="I883">
            <v>550</v>
          </cell>
          <cell r="J883" t="str">
            <v>NO</v>
          </cell>
          <cell r="K883">
            <v>0</v>
          </cell>
          <cell r="L883" t="str">
            <v/>
          </cell>
          <cell r="M883" t="str">
            <v>NF</v>
          </cell>
          <cell r="N883" t="str">
            <v/>
          </cell>
          <cell r="O883" t="str">
            <v/>
          </cell>
        </row>
        <row r="884">
          <cell r="B884">
            <v>41888</v>
          </cell>
          <cell r="C884" t="str">
            <v>TO GlossNWear NL - VEbon C</v>
          </cell>
          <cell r="D884">
            <v>5</v>
          </cell>
          <cell r="E884">
            <v>353</v>
          </cell>
          <cell r="F884">
            <v>440</v>
          </cell>
          <cell r="G884">
            <v>440</v>
          </cell>
          <cell r="H884">
            <v>550</v>
          </cell>
          <cell r="I884">
            <v>550</v>
          </cell>
          <cell r="J884" t="str">
            <v>NO</v>
          </cell>
          <cell r="K884">
            <v>0</v>
          </cell>
          <cell r="L884" t="str">
            <v/>
          </cell>
          <cell r="M884" t="str">
            <v>NF</v>
          </cell>
          <cell r="N884" t="str">
            <v/>
          </cell>
          <cell r="O884" t="str">
            <v/>
          </cell>
        </row>
        <row r="885">
          <cell r="B885">
            <v>41890</v>
          </cell>
          <cell r="C885" t="str">
            <v>TO GlossNWear NL - RDiamo S</v>
          </cell>
          <cell r="D885">
            <v>5</v>
          </cell>
          <cell r="E885">
            <v>353</v>
          </cell>
          <cell r="F885">
            <v>440</v>
          </cell>
          <cell r="G885">
            <v>440</v>
          </cell>
          <cell r="H885">
            <v>550</v>
          </cell>
          <cell r="I885">
            <v>550</v>
          </cell>
          <cell r="J885" t="str">
            <v>NO</v>
          </cell>
          <cell r="K885">
            <v>0</v>
          </cell>
          <cell r="L885" t="str">
            <v/>
          </cell>
          <cell r="M885" t="str">
            <v>NF</v>
          </cell>
          <cell r="N885" t="str">
            <v/>
          </cell>
          <cell r="O885" t="str">
            <v/>
          </cell>
        </row>
        <row r="886">
          <cell r="B886">
            <v>41989</v>
          </cell>
          <cell r="C886" t="str">
            <v>TO Everlasting Sync Concealer - P Cool</v>
          </cell>
          <cell r="D886">
            <v>7</v>
          </cell>
          <cell r="E886">
            <v>449</v>
          </cell>
          <cell r="F886">
            <v>560</v>
          </cell>
          <cell r="G886">
            <v>560</v>
          </cell>
          <cell r="H886">
            <v>700</v>
          </cell>
          <cell r="I886">
            <v>700</v>
          </cell>
          <cell r="J886" t="str">
            <v>NO</v>
          </cell>
          <cell r="K886">
            <v>0</v>
          </cell>
          <cell r="L886" t="str">
            <v/>
          </cell>
          <cell r="M886" t="str">
            <v>NF</v>
          </cell>
          <cell r="N886" t="str">
            <v/>
          </cell>
          <cell r="O886" t="str">
            <v/>
          </cell>
        </row>
        <row r="887">
          <cell r="B887">
            <v>41990</v>
          </cell>
          <cell r="C887" t="str">
            <v>TO Everlasting Sync Concealer - L Beige</v>
          </cell>
          <cell r="D887">
            <v>7</v>
          </cell>
          <cell r="E887">
            <v>449</v>
          </cell>
          <cell r="F887">
            <v>560</v>
          </cell>
          <cell r="G887">
            <v>560</v>
          </cell>
          <cell r="H887">
            <v>700</v>
          </cell>
          <cell r="I887">
            <v>700</v>
          </cell>
          <cell r="J887" t="str">
            <v>NO</v>
          </cell>
          <cell r="K887">
            <v>0</v>
          </cell>
          <cell r="L887" t="str">
            <v/>
          </cell>
          <cell r="M887" t="str">
            <v>NF</v>
          </cell>
          <cell r="N887" t="str">
            <v/>
          </cell>
          <cell r="O887" t="str">
            <v/>
          </cell>
        </row>
        <row r="888">
          <cell r="B888">
            <v>41991</v>
          </cell>
          <cell r="C888" t="str">
            <v>TO Everlasting Sync Concealer - S Beige</v>
          </cell>
          <cell r="D888">
            <v>7</v>
          </cell>
          <cell r="E888">
            <v>449</v>
          </cell>
          <cell r="F888">
            <v>560</v>
          </cell>
          <cell r="G888">
            <v>560</v>
          </cell>
          <cell r="H888">
            <v>700</v>
          </cell>
          <cell r="I888">
            <v>700</v>
          </cell>
          <cell r="J888" t="str">
            <v>NO</v>
          </cell>
          <cell r="K888">
            <v>0</v>
          </cell>
          <cell r="L888" t="str">
            <v/>
          </cell>
          <cell r="M888" t="str">
            <v>NF</v>
          </cell>
          <cell r="N888" t="str">
            <v/>
          </cell>
          <cell r="O888" t="str">
            <v/>
          </cell>
        </row>
        <row r="889">
          <cell r="B889">
            <v>42101</v>
          </cell>
          <cell r="C889" t="str">
            <v>GG Long Wear Mineral Fnd - Vanilla N</v>
          </cell>
          <cell r="D889">
            <v>19</v>
          </cell>
          <cell r="E889">
            <v>1251</v>
          </cell>
          <cell r="F889">
            <v>1560</v>
          </cell>
          <cell r="G889">
            <v>1560</v>
          </cell>
          <cell r="H889">
            <v>1950</v>
          </cell>
          <cell r="I889">
            <v>1950</v>
          </cell>
          <cell r="J889" t="str">
            <v>NO</v>
          </cell>
          <cell r="K889">
            <v>0</v>
          </cell>
          <cell r="L889" t="str">
            <v/>
          </cell>
          <cell r="M889" t="str">
            <v>NF</v>
          </cell>
          <cell r="N889" t="str">
            <v/>
          </cell>
          <cell r="O889" t="str">
            <v/>
          </cell>
        </row>
        <row r="890">
          <cell r="B890">
            <v>42102</v>
          </cell>
          <cell r="C890" t="str">
            <v>GG Long Wear Mineral Fnd - Porcelain W</v>
          </cell>
          <cell r="D890">
            <v>19</v>
          </cell>
          <cell r="E890">
            <v>1251</v>
          </cell>
          <cell r="F890">
            <v>1560</v>
          </cell>
          <cell r="G890">
            <v>1560</v>
          </cell>
          <cell r="H890">
            <v>1950</v>
          </cell>
          <cell r="I890">
            <v>1950</v>
          </cell>
          <cell r="J890" t="str">
            <v>NO</v>
          </cell>
          <cell r="K890">
            <v>0</v>
          </cell>
          <cell r="L890" t="str">
            <v/>
          </cell>
          <cell r="M890" t="str">
            <v>NF</v>
          </cell>
          <cell r="N890" t="str">
            <v/>
          </cell>
          <cell r="O890" t="str">
            <v/>
          </cell>
        </row>
        <row r="891">
          <cell r="B891">
            <v>42103</v>
          </cell>
          <cell r="C891" t="str">
            <v>GG Long Wear Mineral Fnd - Marble N</v>
          </cell>
          <cell r="D891">
            <v>19</v>
          </cell>
          <cell r="E891">
            <v>1251</v>
          </cell>
          <cell r="F891">
            <v>1560</v>
          </cell>
          <cell r="G891">
            <v>1560</v>
          </cell>
          <cell r="H891">
            <v>1950</v>
          </cell>
          <cell r="I891">
            <v>1950</v>
          </cell>
          <cell r="J891" t="str">
            <v>NO</v>
          </cell>
          <cell r="K891">
            <v>0</v>
          </cell>
          <cell r="L891" t="str">
            <v/>
          </cell>
          <cell r="M891" t="str">
            <v>NF</v>
          </cell>
          <cell r="N891" t="str">
            <v/>
          </cell>
          <cell r="O891" t="str">
            <v/>
          </cell>
        </row>
        <row r="892">
          <cell r="B892">
            <v>42104</v>
          </cell>
          <cell r="C892" t="str">
            <v>GG Long Wear Mineral Fnd - L Beige N</v>
          </cell>
          <cell r="D892">
            <v>19</v>
          </cell>
          <cell r="E892">
            <v>1251</v>
          </cell>
          <cell r="F892">
            <v>1560</v>
          </cell>
          <cell r="G892">
            <v>1560</v>
          </cell>
          <cell r="H892">
            <v>1950</v>
          </cell>
          <cell r="I892">
            <v>1950</v>
          </cell>
          <cell r="J892" t="str">
            <v>NO</v>
          </cell>
          <cell r="K892">
            <v>0</v>
          </cell>
          <cell r="L892" t="str">
            <v/>
          </cell>
          <cell r="M892" t="str">
            <v>NF</v>
          </cell>
          <cell r="N892" t="str">
            <v/>
          </cell>
          <cell r="O892" t="str">
            <v/>
          </cell>
        </row>
        <row r="893">
          <cell r="B893">
            <v>42105</v>
          </cell>
          <cell r="C893" t="str">
            <v>GG Long Wear Mineral Fnd - Soft Sand</v>
          </cell>
          <cell r="D893">
            <v>19</v>
          </cell>
          <cell r="E893">
            <v>1251</v>
          </cell>
          <cell r="F893">
            <v>1560</v>
          </cell>
          <cell r="G893">
            <v>1560</v>
          </cell>
          <cell r="H893">
            <v>1950</v>
          </cell>
          <cell r="I893">
            <v>1950</v>
          </cell>
          <cell r="J893" t="str">
            <v>NO</v>
          </cell>
          <cell r="K893">
            <v>0</v>
          </cell>
          <cell r="L893" t="str">
            <v/>
          </cell>
          <cell r="M893" t="str">
            <v>NF</v>
          </cell>
          <cell r="N893" t="str">
            <v/>
          </cell>
          <cell r="O893" t="str">
            <v/>
          </cell>
        </row>
        <row r="894">
          <cell r="B894">
            <v>42106</v>
          </cell>
          <cell r="C894" t="str">
            <v>GG Long Wear Mineral Fnd - Light Ivory N</v>
          </cell>
          <cell r="D894">
            <v>19</v>
          </cell>
          <cell r="E894">
            <v>1251</v>
          </cell>
          <cell r="F894">
            <v>1560</v>
          </cell>
          <cell r="G894">
            <v>1560</v>
          </cell>
          <cell r="H894">
            <v>1950</v>
          </cell>
          <cell r="I894">
            <v>1950</v>
          </cell>
          <cell r="J894" t="str">
            <v>NO</v>
          </cell>
          <cell r="K894">
            <v>0</v>
          </cell>
          <cell r="L894" t="str">
            <v/>
          </cell>
          <cell r="M894" t="str">
            <v>NF</v>
          </cell>
          <cell r="N894" t="str">
            <v/>
          </cell>
          <cell r="O894" t="str">
            <v/>
          </cell>
        </row>
        <row r="895">
          <cell r="B895">
            <v>42107</v>
          </cell>
          <cell r="C895" t="str">
            <v>GG Long Wear Mineral Fnd - Nat Beige</v>
          </cell>
          <cell r="D895">
            <v>19</v>
          </cell>
          <cell r="E895">
            <v>1251</v>
          </cell>
          <cell r="F895">
            <v>1560</v>
          </cell>
          <cell r="G895">
            <v>1560</v>
          </cell>
          <cell r="H895">
            <v>1950</v>
          </cell>
          <cell r="I895">
            <v>1950</v>
          </cell>
          <cell r="J895" t="str">
            <v>NO</v>
          </cell>
          <cell r="K895">
            <v>0</v>
          </cell>
          <cell r="L895" t="str">
            <v/>
          </cell>
          <cell r="M895" t="str">
            <v>NF</v>
          </cell>
          <cell r="N895" t="str">
            <v/>
          </cell>
          <cell r="O895" t="str">
            <v/>
          </cell>
        </row>
        <row r="896">
          <cell r="B896">
            <v>42112</v>
          </cell>
          <cell r="C896" t="str">
            <v>GG CC Cream SPF 30 - Light</v>
          </cell>
          <cell r="D896">
            <v>17</v>
          </cell>
          <cell r="E896">
            <v>1123</v>
          </cell>
          <cell r="F896">
            <v>1400</v>
          </cell>
          <cell r="G896">
            <v>1400</v>
          </cell>
          <cell r="H896">
            <v>1750</v>
          </cell>
          <cell r="I896">
            <v>1750</v>
          </cell>
          <cell r="J896" t="str">
            <v>NO</v>
          </cell>
          <cell r="K896">
            <v>0</v>
          </cell>
          <cell r="L896" t="str">
            <v/>
          </cell>
          <cell r="M896" t="str">
            <v>NF</v>
          </cell>
          <cell r="N896" t="str">
            <v/>
          </cell>
          <cell r="O896" t="str">
            <v/>
          </cell>
        </row>
        <row r="897">
          <cell r="B897">
            <v>42113</v>
          </cell>
          <cell r="C897" t="str">
            <v>GG CC Cream SPF 30 - Medium</v>
          </cell>
          <cell r="D897">
            <v>17</v>
          </cell>
          <cell r="E897">
            <v>1123</v>
          </cell>
          <cell r="F897">
            <v>1400</v>
          </cell>
          <cell r="G897">
            <v>1400</v>
          </cell>
          <cell r="H897">
            <v>1750</v>
          </cell>
          <cell r="I897">
            <v>1750</v>
          </cell>
          <cell r="J897" t="str">
            <v>NO</v>
          </cell>
          <cell r="K897">
            <v>0</v>
          </cell>
          <cell r="L897" t="str">
            <v/>
          </cell>
          <cell r="M897" t="str">
            <v>NF</v>
          </cell>
          <cell r="N897" t="str">
            <v/>
          </cell>
          <cell r="O897" t="str">
            <v/>
          </cell>
        </row>
        <row r="898">
          <cell r="B898">
            <v>42119</v>
          </cell>
          <cell r="C898" t="str">
            <v>TO 5-in-1 Wonder Lash Mascara WS - Black</v>
          </cell>
          <cell r="D898">
            <v>8</v>
          </cell>
          <cell r="E898">
            <v>513</v>
          </cell>
          <cell r="F898">
            <v>640</v>
          </cell>
          <cell r="G898">
            <v>640</v>
          </cell>
          <cell r="H898">
            <v>800</v>
          </cell>
          <cell r="I898">
            <v>800</v>
          </cell>
          <cell r="J898" t="str">
            <v>NO</v>
          </cell>
          <cell r="K898">
            <v>0</v>
          </cell>
          <cell r="L898" t="str">
            <v/>
          </cell>
          <cell r="M898" t="str">
            <v>NF</v>
          </cell>
          <cell r="N898" t="str">
            <v/>
          </cell>
          <cell r="O898" t="str">
            <v/>
          </cell>
        </row>
        <row r="899">
          <cell r="B899">
            <v>42123</v>
          </cell>
          <cell r="C899" t="str">
            <v>TO Hypnotic Depth Mascara Triple Black</v>
          </cell>
          <cell r="D899">
            <v>8</v>
          </cell>
          <cell r="E899">
            <v>500</v>
          </cell>
          <cell r="F899">
            <v>624</v>
          </cell>
          <cell r="G899">
            <v>624</v>
          </cell>
          <cell r="H899">
            <v>780</v>
          </cell>
          <cell r="I899">
            <v>780</v>
          </cell>
          <cell r="J899" t="str">
            <v>NO</v>
          </cell>
          <cell r="K899">
            <v>0</v>
          </cell>
          <cell r="L899" t="str">
            <v/>
          </cell>
          <cell r="M899" t="str">
            <v>NF</v>
          </cell>
          <cell r="N899" t="str">
            <v/>
          </cell>
          <cell r="O899" t="str">
            <v/>
          </cell>
        </row>
        <row r="900">
          <cell r="B900">
            <v>42215</v>
          </cell>
          <cell r="C900" t="str">
            <v>TO Illuskin Pressed Powder - Light</v>
          </cell>
          <cell r="D900">
            <v>15</v>
          </cell>
          <cell r="E900">
            <v>994</v>
          </cell>
          <cell r="F900">
            <v>1240</v>
          </cell>
          <cell r="G900">
            <v>1240</v>
          </cell>
          <cell r="H900">
            <v>1550</v>
          </cell>
          <cell r="I900">
            <v>1550</v>
          </cell>
          <cell r="J900" t="str">
            <v>NO</v>
          </cell>
          <cell r="K900">
            <v>0</v>
          </cell>
          <cell r="L900" t="str">
            <v/>
          </cell>
          <cell r="M900" t="str">
            <v>NF</v>
          </cell>
          <cell r="N900" t="str">
            <v/>
          </cell>
          <cell r="O900" t="str">
            <v/>
          </cell>
        </row>
        <row r="901">
          <cell r="B901">
            <v>42216</v>
          </cell>
          <cell r="C901" t="str">
            <v>TO Illuskin Pressed Powder - Light Plus</v>
          </cell>
          <cell r="D901">
            <v>15</v>
          </cell>
          <cell r="E901">
            <v>994</v>
          </cell>
          <cell r="F901">
            <v>1240</v>
          </cell>
          <cell r="G901">
            <v>1240</v>
          </cell>
          <cell r="H901">
            <v>1550</v>
          </cell>
          <cell r="I901">
            <v>1550</v>
          </cell>
          <cell r="J901" t="str">
            <v>NO</v>
          </cell>
          <cell r="K901">
            <v>0</v>
          </cell>
          <cell r="L901" t="str">
            <v/>
          </cell>
          <cell r="M901" t="str">
            <v>NF</v>
          </cell>
          <cell r="N901" t="str">
            <v/>
          </cell>
          <cell r="O901" t="str">
            <v/>
          </cell>
        </row>
        <row r="902">
          <cell r="B902">
            <v>42217</v>
          </cell>
          <cell r="C902" t="str">
            <v>TO Illuskin Pressed Powder - Medium</v>
          </cell>
          <cell r="D902">
            <v>15</v>
          </cell>
          <cell r="E902">
            <v>994</v>
          </cell>
          <cell r="F902">
            <v>1240</v>
          </cell>
          <cell r="G902">
            <v>1240</v>
          </cell>
          <cell r="H902">
            <v>1550</v>
          </cell>
          <cell r="I902">
            <v>1550</v>
          </cell>
          <cell r="J902" t="str">
            <v>NO</v>
          </cell>
          <cell r="K902">
            <v>0</v>
          </cell>
          <cell r="L902" t="str">
            <v/>
          </cell>
          <cell r="M902" t="str">
            <v>NF</v>
          </cell>
          <cell r="N902" t="str">
            <v/>
          </cell>
          <cell r="O902" t="str">
            <v/>
          </cell>
        </row>
        <row r="903">
          <cell r="B903">
            <v>42273</v>
          </cell>
          <cell r="C903" t="str">
            <v>OnColour Big Lash Mascara Wat... - Black</v>
          </cell>
          <cell r="D903">
            <v>6</v>
          </cell>
          <cell r="E903">
            <v>366</v>
          </cell>
          <cell r="F903">
            <v>456</v>
          </cell>
          <cell r="G903">
            <v>456</v>
          </cell>
          <cell r="H903">
            <v>570</v>
          </cell>
          <cell r="I903">
            <v>570</v>
          </cell>
          <cell r="J903" t="str">
            <v>NO</v>
          </cell>
          <cell r="K903">
            <v>0</v>
          </cell>
          <cell r="L903" t="str">
            <v/>
          </cell>
          <cell r="M903" t="str">
            <v>NF</v>
          </cell>
          <cell r="N903" t="str">
            <v/>
          </cell>
          <cell r="O903" t="str">
            <v/>
          </cell>
        </row>
        <row r="904">
          <cell r="B904">
            <v>42360</v>
          </cell>
          <cell r="C904" t="str">
            <v>GG Pure Úforia Fdt - Porcelain</v>
          </cell>
          <cell r="D904">
            <v>21</v>
          </cell>
          <cell r="E904">
            <v>1379</v>
          </cell>
          <cell r="F904">
            <v>1720</v>
          </cell>
          <cell r="G904">
            <v>1720</v>
          </cell>
          <cell r="H904">
            <v>2150</v>
          </cell>
          <cell r="I904">
            <v>2150</v>
          </cell>
          <cell r="J904" t="str">
            <v>NO</v>
          </cell>
          <cell r="K904">
            <v>0</v>
          </cell>
          <cell r="L904" t="str">
            <v/>
          </cell>
          <cell r="M904" t="str">
            <v>NF</v>
          </cell>
          <cell r="N904" t="str">
            <v/>
          </cell>
          <cell r="O904" t="str">
            <v/>
          </cell>
        </row>
        <row r="905">
          <cell r="B905">
            <v>42362</v>
          </cell>
          <cell r="C905" t="str">
            <v>GG Pure Úforia Fdt - Vanilla</v>
          </cell>
          <cell r="D905">
            <v>21</v>
          </cell>
          <cell r="E905">
            <v>1379</v>
          </cell>
          <cell r="F905">
            <v>1720</v>
          </cell>
          <cell r="G905">
            <v>1720</v>
          </cell>
          <cell r="H905">
            <v>2150</v>
          </cell>
          <cell r="I905">
            <v>2150</v>
          </cell>
          <cell r="J905" t="str">
            <v>NO</v>
          </cell>
          <cell r="K905">
            <v>0</v>
          </cell>
          <cell r="L905" t="str">
            <v/>
          </cell>
          <cell r="M905" t="str">
            <v>NF</v>
          </cell>
          <cell r="N905" t="str">
            <v/>
          </cell>
          <cell r="O905" t="str">
            <v/>
          </cell>
        </row>
        <row r="906">
          <cell r="B906">
            <v>42363</v>
          </cell>
          <cell r="C906" t="str">
            <v>GG Pure Úforia Fdt - Beige</v>
          </cell>
          <cell r="D906">
            <v>21</v>
          </cell>
          <cell r="E906">
            <v>1379</v>
          </cell>
          <cell r="F906">
            <v>1720</v>
          </cell>
          <cell r="G906">
            <v>1720</v>
          </cell>
          <cell r="H906">
            <v>2150</v>
          </cell>
          <cell r="I906">
            <v>2150</v>
          </cell>
          <cell r="J906" t="str">
            <v>NO</v>
          </cell>
          <cell r="K906">
            <v>0</v>
          </cell>
          <cell r="L906" t="str">
            <v/>
          </cell>
          <cell r="M906" t="str">
            <v>NF</v>
          </cell>
          <cell r="N906" t="str">
            <v/>
          </cell>
          <cell r="O906" t="str">
            <v/>
          </cell>
        </row>
        <row r="907">
          <cell r="B907">
            <v>42364</v>
          </cell>
          <cell r="C907" t="str">
            <v>GG Pure Úforia Fdt - GSand</v>
          </cell>
          <cell r="D907">
            <v>21</v>
          </cell>
          <cell r="E907">
            <v>1379</v>
          </cell>
          <cell r="F907">
            <v>1720</v>
          </cell>
          <cell r="G907">
            <v>1720</v>
          </cell>
          <cell r="H907">
            <v>2150</v>
          </cell>
          <cell r="I907">
            <v>2150</v>
          </cell>
          <cell r="J907" t="str">
            <v>NO</v>
          </cell>
          <cell r="K907">
            <v>0</v>
          </cell>
          <cell r="L907" t="str">
            <v/>
          </cell>
          <cell r="M907" t="str">
            <v>NF</v>
          </cell>
          <cell r="N907" t="str">
            <v/>
          </cell>
          <cell r="O907" t="str">
            <v/>
          </cell>
        </row>
        <row r="908">
          <cell r="B908">
            <v>42417</v>
          </cell>
          <cell r="C908" t="str">
            <v>The ONE Kohl Eye Pencil - Black</v>
          </cell>
          <cell r="D908">
            <v>5</v>
          </cell>
          <cell r="E908">
            <v>321</v>
          </cell>
          <cell r="F908">
            <v>400</v>
          </cell>
          <cell r="G908">
            <v>400</v>
          </cell>
          <cell r="H908">
            <v>500</v>
          </cell>
          <cell r="I908">
            <v>500</v>
          </cell>
          <cell r="J908" t="str">
            <v>NO</v>
          </cell>
          <cell r="K908">
            <v>0</v>
          </cell>
          <cell r="L908" t="str">
            <v/>
          </cell>
          <cell r="M908" t="str">
            <v>NF</v>
          </cell>
          <cell r="N908" t="str">
            <v/>
          </cell>
          <cell r="O908" t="str">
            <v/>
          </cell>
        </row>
        <row r="909">
          <cell r="B909">
            <v>42418</v>
          </cell>
          <cell r="C909" t="str">
            <v>The ONE Kohl Eye Pencil - Brown</v>
          </cell>
          <cell r="D909">
            <v>5</v>
          </cell>
          <cell r="E909">
            <v>321</v>
          </cell>
          <cell r="F909">
            <v>400</v>
          </cell>
          <cell r="G909">
            <v>400</v>
          </cell>
          <cell r="H909">
            <v>500</v>
          </cell>
          <cell r="I909">
            <v>500</v>
          </cell>
          <cell r="J909" t="str">
            <v>NO</v>
          </cell>
          <cell r="K909">
            <v>0</v>
          </cell>
          <cell r="L909" t="str">
            <v/>
          </cell>
          <cell r="M909" t="str">
            <v>NF</v>
          </cell>
          <cell r="N909" t="str">
            <v/>
          </cell>
          <cell r="O909" t="str">
            <v/>
          </cell>
        </row>
        <row r="910">
          <cell r="B910">
            <v>42769</v>
          </cell>
          <cell r="C910" t="str">
            <v>TO Eyeliner Stylo - Black Metal</v>
          </cell>
          <cell r="D910">
            <v>9</v>
          </cell>
          <cell r="E910">
            <v>546</v>
          </cell>
          <cell r="F910">
            <v>680</v>
          </cell>
          <cell r="G910">
            <v>680</v>
          </cell>
          <cell r="H910">
            <v>850</v>
          </cell>
          <cell r="I910">
            <v>850</v>
          </cell>
          <cell r="J910" t="str">
            <v>NO</v>
          </cell>
          <cell r="K910">
            <v>0</v>
          </cell>
          <cell r="L910" t="str">
            <v/>
          </cell>
          <cell r="M910" t="str">
            <v>NF</v>
          </cell>
          <cell r="N910" t="str">
            <v/>
          </cell>
          <cell r="O910" t="str">
            <v/>
          </cell>
        </row>
        <row r="911">
          <cell r="B911">
            <v>42823</v>
          </cell>
          <cell r="C911" t="str">
            <v>GG Lash Iconic Mascara - Black</v>
          </cell>
          <cell r="D911">
            <v>10</v>
          </cell>
          <cell r="E911">
            <v>674</v>
          </cell>
          <cell r="F911">
            <v>840</v>
          </cell>
          <cell r="G911">
            <v>840</v>
          </cell>
          <cell r="H911">
            <v>1050</v>
          </cell>
          <cell r="I911">
            <v>1050</v>
          </cell>
          <cell r="J911" t="str">
            <v>NO</v>
          </cell>
          <cell r="K911">
            <v>0</v>
          </cell>
          <cell r="L911" t="str">
            <v/>
          </cell>
          <cell r="M911" t="str">
            <v>NF</v>
          </cell>
          <cell r="N911" t="str">
            <v/>
          </cell>
          <cell r="O911" t="str">
            <v/>
          </cell>
        </row>
        <row r="912">
          <cell r="B912">
            <v>43123</v>
          </cell>
          <cell r="C912" t="str">
            <v>TO Wonder Lash Ultra WS Mascara Black</v>
          </cell>
          <cell r="D912">
            <v>8</v>
          </cell>
          <cell r="E912">
            <v>513</v>
          </cell>
          <cell r="F912">
            <v>640</v>
          </cell>
          <cell r="G912">
            <v>640</v>
          </cell>
          <cell r="H912">
            <v>800</v>
          </cell>
          <cell r="I912">
            <v>800</v>
          </cell>
          <cell r="J912" t="str">
            <v>NO</v>
          </cell>
          <cell r="K912">
            <v>0</v>
          </cell>
          <cell r="L912" t="str">
            <v/>
          </cell>
          <cell r="M912" t="str">
            <v>NF</v>
          </cell>
          <cell r="N912" t="str">
            <v/>
          </cell>
          <cell r="O912" t="str">
            <v/>
          </cell>
        </row>
        <row r="913">
          <cell r="B913">
            <v>43129</v>
          </cell>
          <cell r="C913" t="str">
            <v>TO False Lashes 360° Bendable Mascara</v>
          </cell>
          <cell r="D913">
            <v>10</v>
          </cell>
          <cell r="E913">
            <v>642</v>
          </cell>
          <cell r="F913">
            <v>800</v>
          </cell>
          <cell r="G913">
            <v>800</v>
          </cell>
          <cell r="H913">
            <v>1000</v>
          </cell>
          <cell r="I913">
            <v>1000</v>
          </cell>
          <cell r="J913" t="str">
            <v>NO</v>
          </cell>
          <cell r="K913">
            <v>0</v>
          </cell>
          <cell r="L913" t="str">
            <v/>
          </cell>
          <cell r="M913" t="str">
            <v>NF</v>
          </cell>
          <cell r="N913" t="str">
            <v/>
          </cell>
          <cell r="O913" t="str">
            <v/>
          </cell>
        </row>
        <row r="914">
          <cell r="B914">
            <v>43130</v>
          </cell>
          <cell r="C914" t="str">
            <v>TO False Lashes 360° Bendable Mascara WP</v>
          </cell>
          <cell r="D914">
            <v>10</v>
          </cell>
          <cell r="E914">
            <v>642</v>
          </cell>
          <cell r="F914">
            <v>800</v>
          </cell>
          <cell r="G914">
            <v>800</v>
          </cell>
          <cell r="H914">
            <v>1000</v>
          </cell>
          <cell r="I914">
            <v>1000</v>
          </cell>
          <cell r="J914" t="str">
            <v>NO</v>
          </cell>
          <cell r="K914">
            <v>0</v>
          </cell>
          <cell r="L914" t="str">
            <v/>
          </cell>
          <cell r="M914" t="str">
            <v>NF</v>
          </cell>
          <cell r="N914" t="str">
            <v/>
          </cell>
          <cell r="O914" t="str">
            <v/>
          </cell>
        </row>
        <row r="915">
          <cell r="B915">
            <v>43135</v>
          </cell>
          <cell r="C915" t="str">
            <v>TO Tremendous Mascara WS Black</v>
          </cell>
          <cell r="D915">
            <v>8</v>
          </cell>
          <cell r="E915">
            <v>500</v>
          </cell>
          <cell r="F915">
            <v>624</v>
          </cell>
          <cell r="G915">
            <v>624</v>
          </cell>
          <cell r="H915">
            <v>780</v>
          </cell>
          <cell r="I915">
            <v>780</v>
          </cell>
          <cell r="J915" t="str">
            <v>NO</v>
          </cell>
          <cell r="K915">
            <v>0</v>
          </cell>
          <cell r="L915" t="str">
            <v/>
          </cell>
          <cell r="M915" t="str">
            <v>NF</v>
          </cell>
          <cell r="N915" t="str">
            <v/>
          </cell>
          <cell r="O915" t="str">
            <v/>
          </cell>
        </row>
        <row r="916">
          <cell r="B916">
            <v>43206</v>
          </cell>
          <cell r="C916" t="str">
            <v>TO Browcara Refresh</v>
          </cell>
          <cell r="D916">
            <v>9</v>
          </cell>
          <cell r="E916">
            <v>546</v>
          </cell>
          <cell r="F916">
            <v>680</v>
          </cell>
          <cell r="G916">
            <v>680</v>
          </cell>
          <cell r="H916">
            <v>850</v>
          </cell>
          <cell r="I916">
            <v>850</v>
          </cell>
          <cell r="J916" t="str">
            <v>NO</v>
          </cell>
          <cell r="K916">
            <v>0</v>
          </cell>
          <cell r="L916" t="str">
            <v/>
          </cell>
          <cell r="M916" t="str">
            <v>NF</v>
          </cell>
          <cell r="N916" t="str">
            <v/>
          </cell>
          <cell r="O916" t="str">
            <v/>
          </cell>
        </row>
        <row r="917">
          <cell r="B917">
            <v>43207</v>
          </cell>
          <cell r="C917" t="str">
            <v>TO Browcara Refresh</v>
          </cell>
          <cell r="D917">
            <v>9</v>
          </cell>
          <cell r="E917">
            <v>546</v>
          </cell>
          <cell r="F917">
            <v>680</v>
          </cell>
          <cell r="G917">
            <v>680</v>
          </cell>
          <cell r="H917">
            <v>850</v>
          </cell>
          <cell r="I917">
            <v>850</v>
          </cell>
          <cell r="J917" t="str">
            <v>NO</v>
          </cell>
          <cell r="K917">
            <v>0</v>
          </cell>
          <cell r="L917" t="str">
            <v/>
          </cell>
          <cell r="M917" t="str">
            <v>NF</v>
          </cell>
          <cell r="N917" t="str">
            <v/>
          </cell>
          <cell r="O917" t="str">
            <v/>
          </cell>
        </row>
        <row r="918">
          <cell r="B918">
            <v>43214</v>
          </cell>
          <cell r="C918" t="str">
            <v>GG Radiant Gel CC SPF 25 - Fair</v>
          </cell>
          <cell r="D918">
            <v>22</v>
          </cell>
          <cell r="E918">
            <v>1444</v>
          </cell>
          <cell r="F918">
            <v>1800</v>
          </cell>
          <cell r="G918">
            <v>1800</v>
          </cell>
          <cell r="H918">
            <v>2250</v>
          </cell>
          <cell r="I918">
            <v>2250</v>
          </cell>
          <cell r="J918" t="str">
            <v>NO</v>
          </cell>
          <cell r="K918">
            <v>0</v>
          </cell>
          <cell r="L918" t="str">
            <v/>
          </cell>
          <cell r="M918" t="str">
            <v>NF</v>
          </cell>
          <cell r="N918" t="str">
            <v/>
          </cell>
          <cell r="O918" t="str">
            <v/>
          </cell>
        </row>
        <row r="919">
          <cell r="B919">
            <v>43215</v>
          </cell>
          <cell r="C919" t="str">
            <v>GG Radiant Gel CC SPF 25 - Light</v>
          </cell>
          <cell r="D919">
            <v>22</v>
          </cell>
          <cell r="E919">
            <v>1444</v>
          </cell>
          <cell r="F919">
            <v>1800</v>
          </cell>
          <cell r="G919">
            <v>1800</v>
          </cell>
          <cell r="H919">
            <v>2250</v>
          </cell>
          <cell r="I919">
            <v>2250</v>
          </cell>
          <cell r="J919" t="str">
            <v>NO</v>
          </cell>
          <cell r="K919">
            <v>0</v>
          </cell>
          <cell r="L919" t="str">
            <v/>
          </cell>
          <cell r="M919" t="str">
            <v>NF</v>
          </cell>
          <cell r="N919" t="str">
            <v/>
          </cell>
          <cell r="O919" t="str">
            <v/>
          </cell>
        </row>
        <row r="920">
          <cell r="B920">
            <v>43216</v>
          </cell>
          <cell r="C920" t="str">
            <v>GG Radiant Gel CC SPF 25 - Medium</v>
          </cell>
          <cell r="D920">
            <v>22</v>
          </cell>
          <cell r="E920">
            <v>1444</v>
          </cell>
          <cell r="F920">
            <v>1800</v>
          </cell>
          <cell r="G920">
            <v>1800</v>
          </cell>
          <cell r="H920">
            <v>2250</v>
          </cell>
          <cell r="I920">
            <v>2250</v>
          </cell>
          <cell r="J920" t="str">
            <v>NO</v>
          </cell>
          <cell r="K920">
            <v>0</v>
          </cell>
          <cell r="L920" t="str">
            <v/>
          </cell>
          <cell r="M920" t="str">
            <v>NF</v>
          </cell>
          <cell r="N920" t="str">
            <v/>
          </cell>
          <cell r="O920" t="str">
            <v/>
          </cell>
        </row>
        <row r="921">
          <cell r="B921">
            <v>43217</v>
          </cell>
          <cell r="C921" t="str">
            <v>GG Radiant Gel CC SPF 25  - Tan</v>
          </cell>
          <cell r="D921">
            <v>22</v>
          </cell>
          <cell r="E921">
            <v>1444</v>
          </cell>
          <cell r="F921">
            <v>1800</v>
          </cell>
          <cell r="G921">
            <v>1800</v>
          </cell>
          <cell r="H921">
            <v>2250</v>
          </cell>
          <cell r="I921">
            <v>2250</v>
          </cell>
          <cell r="J921" t="str">
            <v>NO</v>
          </cell>
          <cell r="K921">
            <v>0</v>
          </cell>
          <cell r="L921" t="str">
            <v/>
          </cell>
          <cell r="M921" t="str">
            <v>NF</v>
          </cell>
          <cell r="N921" t="str">
            <v/>
          </cell>
          <cell r="O921" t="str">
            <v/>
          </cell>
        </row>
        <row r="922">
          <cell r="B922">
            <v>43243</v>
          </cell>
          <cell r="C922" t="str">
            <v>GG Eternal Glow Fnd - Vanilla N</v>
          </cell>
          <cell r="D922">
            <v>22</v>
          </cell>
          <cell r="E922">
            <v>1444</v>
          </cell>
          <cell r="F922">
            <v>1800</v>
          </cell>
          <cell r="G922">
            <v>1800</v>
          </cell>
          <cell r="H922">
            <v>2250</v>
          </cell>
          <cell r="I922">
            <v>2250</v>
          </cell>
          <cell r="J922" t="str">
            <v>NO</v>
          </cell>
          <cell r="K922">
            <v>0</v>
          </cell>
          <cell r="L922" t="str">
            <v/>
          </cell>
          <cell r="M922" t="str">
            <v>NF</v>
          </cell>
          <cell r="N922" t="str">
            <v/>
          </cell>
          <cell r="O922" t="str">
            <v/>
          </cell>
        </row>
        <row r="923">
          <cell r="B923">
            <v>43244</v>
          </cell>
          <cell r="C923" t="str">
            <v>GG Eternal Glow Fnd - Porcelain W</v>
          </cell>
          <cell r="D923">
            <v>22</v>
          </cell>
          <cell r="E923">
            <v>1444</v>
          </cell>
          <cell r="F923">
            <v>1800</v>
          </cell>
          <cell r="G923">
            <v>1800</v>
          </cell>
          <cell r="H923">
            <v>2250</v>
          </cell>
          <cell r="I923">
            <v>2250</v>
          </cell>
          <cell r="J923" t="str">
            <v>NO</v>
          </cell>
          <cell r="K923">
            <v>0</v>
          </cell>
          <cell r="L923" t="str">
            <v/>
          </cell>
          <cell r="M923" t="str">
            <v>NF</v>
          </cell>
          <cell r="N923" t="str">
            <v/>
          </cell>
          <cell r="O923" t="str">
            <v/>
          </cell>
        </row>
        <row r="924">
          <cell r="B924">
            <v>43245</v>
          </cell>
          <cell r="C924" t="str">
            <v>GG Eternal Glow Fnd - Light Beige N</v>
          </cell>
          <cell r="D924">
            <v>22</v>
          </cell>
          <cell r="E924">
            <v>1444</v>
          </cell>
          <cell r="F924">
            <v>1800</v>
          </cell>
          <cell r="G924">
            <v>1800</v>
          </cell>
          <cell r="H924">
            <v>2250</v>
          </cell>
          <cell r="I924">
            <v>2250</v>
          </cell>
          <cell r="J924" t="str">
            <v>NO</v>
          </cell>
          <cell r="K924">
            <v>0</v>
          </cell>
          <cell r="L924" t="str">
            <v/>
          </cell>
          <cell r="M924" t="str">
            <v>NF</v>
          </cell>
          <cell r="N924" t="str">
            <v/>
          </cell>
          <cell r="O924" t="str">
            <v/>
          </cell>
        </row>
        <row r="925">
          <cell r="B925">
            <v>43246</v>
          </cell>
          <cell r="C925" t="str">
            <v>GG Eternal Glow Fnd - Soft Sand</v>
          </cell>
          <cell r="D925">
            <v>22</v>
          </cell>
          <cell r="E925">
            <v>1444</v>
          </cell>
          <cell r="F925">
            <v>1800</v>
          </cell>
          <cell r="G925">
            <v>1800</v>
          </cell>
          <cell r="H925">
            <v>2250</v>
          </cell>
          <cell r="I925">
            <v>2250</v>
          </cell>
          <cell r="J925" t="str">
            <v>NO</v>
          </cell>
          <cell r="K925">
            <v>0</v>
          </cell>
          <cell r="L925" t="str">
            <v/>
          </cell>
          <cell r="M925" t="str">
            <v>NF</v>
          </cell>
          <cell r="N925" t="str">
            <v/>
          </cell>
          <cell r="O925" t="str">
            <v/>
          </cell>
        </row>
        <row r="926">
          <cell r="B926">
            <v>43247</v>
          </cell>
          <cell r="C926" t="str">
            <v>GG Eternal Glow Fnd - Ivory N</v>
          </cell>
          <cell r="D926">
            <v>22</v>
          </cell>
          <cell r="E926">
            <v>1444</v>
          </cell>
          <cell r="F926">
            <v>1800</v>
          </cell>
          <cell r="G926">
            <v>1800</v>
          </cell>
          <cell r="H926">
            <v>2250</v>
          </cell>
          <cell r="I926">
            <v>2250</v>
          </cell>
          <cell r="J926" t="str">
            <v>NO</v>
          </cell>
          <cell r="K926">
            <v>0</v>
          </cell>
          <cell r="L926" t="str">
            <v/>
          </cell>
          <cell r="M926" t="str">
            <v>NF</v>
          </cell>
          <cell r="N926" t="str">
            <v/>
          </cell>
          <cell r="O926" t="str">
            <v/>
          </cell>
        </row>
        <row r="927">
          <cell r="B927">
            <v>43248</v>
          </cell>
          <cell r="C927" t="str">
            <v>GG Eternal Glow Fnd - Nat Beige</v>
          </cell>
          <cell r="D927">
            <v>22</v>
          </cell>
          <cell r="E927">
            <v>1444</v>
          </cell>
          <cell r="F927">
            <v>1800</v>
          </cell>
          <cell r="G927">
            <v>1800</v>
          </cell>
          <cell r="H927">
            <v>2250</v>
          </cell>
          <cell r="I927">
            <v>2250</v>
          </cell>
          <cell r="J927" t="str">
            <v>NO</v>
          </cell>
          <cell r="K927">
            <v>0</v>
          </cell>
          <cell r="L927" t="str">
            <v/>
          </cell>
          <cell r="M927" t="str">
            <v>NF</v>
          </cell>
          <cell r="N927" t="str">
            <v/>
          </cell>
          <cell r="O927" t="str">
            <v/>
          </cell>
        </row>
        <row r="928">
          <cell r="B928">
            <v>43249</v>
          </cell>
          <cell r="C928" t="str">
            <v>GG Eternal Glow Fnd - Beige W</v>
          </cell>
          <cell r="D928">
            <v>22</v>
          </cell>
          <cell r="E928">
            <v>1444</v>
          </cell>
          <cell r="F928">
            <v>1800</v>
          </cell>
          <cell r="G928">
            <v>1800</v>
          </cell>
          <cell r="H928">
            <v>2250</v>
          </cell>
          <cell r="I928">
            <v>2250</v>
          </cell>
          <cell r="J928" t="str">
            <v>NO</v>
          </cell>
          <cell r="K928">
            <v>0</v>
          </cell>
          <cell r="L928" t="str">
            <v/>
          </cell>
          <cell r="M928" t="str">
            <v>NF</v>
          </cell>
          <cell r="N928" t="str">
            <v/>
          </cell>
          <cell r="O928" t="str">
            <v/>
          </cell>
        </row>
        <row r="929">
          <cell r="B929">
            <v>43368</v>
          </cell>
          <cell r="C929" t="str">
            <v>TO Make-up Pro All Cover Stic... - Van N</v>
          </cell>
          <cell r="D929">
            <v>18</v>
          </cell>
          <cell r="E929">
            <v>1187</v>
          </cell>
          <cell r="F929">
            <v>1480</v>
          </cell>
          <cell r="G929">
            <v>1480</v>
          </cell>
          <cell r="H929">
            <v>1850</v>
          </cell>
          <cell r="I929">
            <v>1850</v>
          </cell>
          <cell r="J929" t="str">
            <v>NO</v>
          </cell>
          <cell r="K929">
            <v>0</v>
          </cell>
          <cell r="L929" t="str">
            <v/>
          </cell>
          <cell r="M929" t="str">
            <v>NF</v>
          </cell>
          <cell r="N929" t="str">
            <v/>
          </cell>
          <cell r="O929" t="str">
            <v/>
          </cell>
        </row>
        <row r="930">
          <cell r="B930">
            <v>43369</v>
          </cell>
          <cell r="C930" t="str">
            <v>TO Make-up Pro All Cover Stic...D - Porc</v>
          </cell>
          <cell r="D930">
            <v>18</v>
          </cell>
          <cell r="E930">
            <v>1187</v>
          </cell>
          <cell r="F930">
            <v>1480</v>
          </cell>
          <cell r="G930">
            <v>1480</v>
          </cell>
          <cell r="H930">
            <v>1850</v>
          </cell>
          <cell r="I930">
            <v>1850</v>
          </cell>
          <cell r="J930" t="str">
            <v>NO</v>
          </cell>
          <cell r="K930">
            <v>0</v>
          </cell>
          <cell r="L930" t="str">
            <v/>
          </cell>
          <cell r="M930" t="str">
            <v>NF</v>
          </cell>
          <cell r="N930" t="str">
            <v/>
          </cell>
          <cell r="O930" t="str">
            <v/>
          </cell>
        </row>
        <row r="931">
          <cell r="B931">
            <v>43370</v>
          </cell>
          <cell r="C931" t="str">
            <v>TO Make-up Pro All Cover Stic...- LightR</v>
          </cell>
          <cell r="D931">
            <v>18</v>
          </cell>
          <cell r="E931">
            <v>1187</v>
          </cell>
          <cell r="F931">
            <v>1480</v>
          </cell>
          <cell r="G931">
            <v>1480</v>
          </cell>
          <cell r="H931">
            <v>1850</v>
          </cell>
          <cell r="I931">
            <v>1850</v>
          </cell>
          <cell r="J931" t="str">
            <v>NO</v>
          </cell>
          <cell r="K931">
            <v>0</v>
          </cell>
          <cell r="L931" t="str">
            <v/>
          </cell>
          <cell r="M931" t="str">
            <v>NF</v>
          </cell>
          <cell r="N931" t="str">
            <v/>
          </cell>
          <cell r="O931" t="str">
            <v/>
          </cell>
        </row>
        <row r="932">
          <cell r="B932">
            <v>43371</v>
          </cell>
          <cell r="C932" t="str">
            <v>TO Make-up Pro All Cover Stic...ige Nude</v>
          </cell>
          <cell r="D932">
            <v>18</v>
          </cell>
          <cell r="E932">
            <v>1187</v>
          </cell>
          <cell r="F932">
            <v>1480</v>
          </cell>
          <cell r="G932">
            <v>1480</v>
          </cell>
          <cell r="H932">
            <v>1850</v>
          </cell>
          <cell r="I932">
            <v>1850</v>
          </cell>
          <cell r="J932" t="str">
            <v>NO</v>
          </cell>
          <cell r="K932">
            <v>0</v>
          </cell>
          <cell r="L932" t="str">
            <v/>
          </cell>
          <cell r="M932" t="str">
            <v>NF</v>
          </cell>
          <cell r="N932" t="str">
            <v/>
          </cell>
          <cell r="O932" t="str">
            <v/>
          </cell>
        </row>
        <row r="933">
          <cell r="B933">
            <v>43372</v>
          </cell>
          <cell r="C933" t="str">
            <v>TO Make-up Pro All Cover Stic... Ivory N</v>
          </cell>
          <cell r="D933">
            <v>18</v>
          </cell>
          <cell r="E933">
            <v>1187</v>
          </cell>
          <cell r="F933">
            <v>1480</v>
          </cell>
          <cell r="G933">
            <v>1480</v>
          </cell>
          <cell r="H933">
            <v>1850</v>
          </cell>
          <cell r="I933">
            <v>1850</v>
          </cell>
          <cell r="J933" t="str">
            <v>NO</v>
          </cell>
          <cell r="K933">
            <v>0</v>
          </cell>
          <cell r="L933" t="str">
            <v/>
          </cell>
          <cell r="M933" t="str">
            <v>NF</v>
          </cell>
          <cell r="N933" t="str">
            <v/>
          </cell>
          <cell r="O933" t="str">
            <v/>
          </cell>
        </row>
        <row r="934">
          <cell r="B934">
            <v>43373</v>
          </cell>
          <cell r="C934" t="str">
            <v>TO Make-up Pro All Cover Stic... Beige W</v>
          </cell>
          <cell r="D934">
            <v>18</v>
          </cell>
          <cell r="E934">
            <v>1187</v>
          </cell>
          <cell r="F934">
            <v>1480</v>
          </cell>
          <cell r="G934">
            <v>1480</v>
          </cell>
          <cell r="H934">
            <v>1850</v>
          </cell>
          <cell r="I934">
            <v>1850</v>
          </cell>
          <cell r="J934" t="str">
            <v>NO</v>
          </cell>
          <cell r="K934">
            <v>0</v>
          </cell>
          <cell r="L934" t="str">
            <v/>
          </cell>
          <cell r="M934" t="str">
            <v>NF</v>
          </cell>
          <cell r="N934" t="str">
            <v/>
          </cell>
          <cell r="O934" t="str">
            <v/>
          </cell>
        </row>
        <row r="935">
          <cell r="B935">
            <v>43416</v>
          </cell>
          <cell r="C935" t="str">
            <v>TO Make-up Pro Loose Powder.</v>
          </cell>
          <cell r="D935">
            <v>11</v>
          </cell>
          <cell r="E935">
            <v>738</v>
          </cell>
          <cell r="F935">
            <v>920</v>
          </cell>
          <cell r="G935">
            <v>920</v>
          </cell>
          <cell r="H935">
            <v>1150</v>
          </cell>
          <cell r="I935">
            <v>1150</v>
          </cell>
          <cell r="J935" t="str">
            <v>NO</v>
          </cell>
          <cell r="K935">
            <v>0</v>
          </cell>
          <cell r="L935" t="str">
            <v/>
          </cell>
          <cell r="M935" t="str">
            <v>NF</v>
          </cell>
          <cell r="N935" t="str">
            <v/>
          </cell>
          <cell r="O935" t="str">
            <v/>
          </cell>
        </row>
        <row r="936">
          <cell r="B936">
            <v>43985</v>
          </cell>
          <cell r="C936" t="str">
            <v>TO Tattoo Effect Brow Pen W.Brown</v>
          </cell>
          <cell r="D936">
            <v>11</v>
          </cell>
          <cell r="E936">
            <v>738</v>
          </cell>
          <cell r="F936">
            <v>920</v>
          </cell>
          <cell r="G936">
            <v>920</v>
          </cell>
          <cell r="H936">
            <v>1150</v>
          </cell>
          <cell r="I936">
            <v>1150</v>
          </cell>
          <cell r="J936" t="str">
            <v>NO</v>
          </cell>
          <cell r="K936">
            <v>0</v>
          </cell>
          <cell r="L936" t="str">
            <v/>
          </cell>
          <cell r="M936" t="str">
            <v>NF</v>
          </cell>
          <cell r="N936" t="str">
            <v/>
          </cell>
          <cell r="O936" t="str">
            <v/>
          </cell>
        </row>
        <row r="937">
          <cell r="B937">
            <v>43986</v>
          </cell>
          <cell r="C937" t="str">
            <v>TO Tattoo Effect Brow Pen A.Brown</v>
          </cell>
          <cell r="D937">
            <v>11</v>
          </cell>
          <cell r="E937">
            <v>738</v>
          </cell>
          <cell r="F937">
            <v>920</v>
          </cell>
          <cell r="G937">
            <v>920</v>
          </cell>
          <cell r="H937">
            <v>1150</v>
          </cell>
          <cell r="I937">
            <v>1150</v>
          </cell>
          <cell r="J937" t="str">
            <v>NO</v>
          </cell>
          <cell r="K937">
            <v>0</v>
          </cell>
          <cell r="L937" t="str">
            <v/>
          </cell>
          <cell r="M937" t="str">
            <v>NF</v>
          </cell>
          <cell r="N937" t="str">
            <v/>
          </cell>
          <cell r="O937" t="str">
            <v/>
          </cell>
        </row>
        <row r="938">
          <cell r="B938">
            <v>43987</v>
          </cell>
          <cell r="C938" t="str">
            <v>TO Tattoo Effect Brow Pen D.Brown</v>
          </cell>
          <cell r="D938">
            <v>11</v>
          </cell>
          <cell r="E938">
            <v>738</v>
          </cell>
          <cell r="F938">
            <v>920</v>
          </cell>
          <cell r="G938">
            <v>920</v>
          </cell>
          <cell r="H938">
            <v>1150</v>
          </cell>
          <cell r="I938">
            <v>1150</v>
          </cell>
          <cell r="J938" t="str">
            <v>NO</v>
          </cell>
          <cell r="K938">
            <v>0</v>
          </cell>
          <cell r="L938" t="str">
            <v/>
          </cell>
          <cell r="M938" t="str">
            <v>NF</v>
          </cell>
          <cell r="N938" t="str">
            <v/>
          </cell>
          <cell r="O938" t="str">
            <v/>
          </cell>
        </row>
        <row r="939">
          <cell r="B939">
            <v>44008</v>
          </cell>
          <cell r="C939" t="str">
            <v>TO Make-Up Pro Face Mist</v>
          </cell>
          <cell r="D939">
            <v>12</v>
          </cell>
          <cell r="E939">
            <v>802</v>
          </cell>
          <cell r="F939">
            <v>1000</v>
          </cell>
          <cell r="G939">
            <v>1000</v>
          </cell>
          <cell r="H939">
            <v>1250</v>
          </cell>
          <cell r="I939">
            <v>1250</v>
          </cell>
          <cell r="J939" t="str">
            <v>NO</v>
          </cell>
          <cell r="K939">
            <v>0</v>
          </cell>
          <cell r="L939" t="str">
            <v/>
          </cell>
          <cell r="M939" t="str">
            <v>NF</v>
          </cell>
          <cell r="N939" t="str">
            <v/>
          </cell>
          <cell r="O939" t="str">
            <v/>
          </cell>
        </row>
        <row r="940">
          <cell r="B940">
            <v>44551</v>
          </cell>
          <cell r="C940" t="str">
            <v>TO Lip Spa Lip Oil - Nude</v>
          </cell>
          <cell r="D940">
            <v>10</v>
          </cell>
          <cell r="E940">
            <v>623</v>
          </cell>
          <cell r="F940">
            <v>776</v>
          </cell>
          <cell r="G940">
            <v>776</v>
          </cell>
          <cell r="H940">
            <v>970</v>
          </cell>
          <cell r="I940">
            <v>970</v>
          </cell>
          <cell r="J940" t="str">
            <v>NO</v>
          </cell>
          <cell r="K940">
            <v>0</v>
          </cell>
          <cell r="L940" t="str">
            <v/>
          </cell>
          <cell r="M940" t="str">
            <v>NF</v>
          </cell>
          <cell r="N940" t="str">
            <v/>
          </cell>
          <cell r="O940" t="str">
            <v/>
          </cell>
        </row>
        <row r="941">
          <cell r="B941">
            <v>44552</v>
          </cell>
          <cell r="C941" t="str">
            <v>TO Lip Spa Lip Oil - Red</v>
          </cell>
          <cell r="D941">
            <v>10</v>
          </cell>
          <cell r="E941">
            <v>623</v>
          </cell>
          <cell r="F941">
            <v>776</v>
          </cell>
          <cell r="G941">
            <v>776</v>
          </cell>
          <cell r="H941">
            <v>970</v>
          </cell>
          <cell r="I941">
            <v>970</v>
          </cell>
          <cell r="J941" t="str">
            <v>NO</v>
          </cell>
          <cell r="K941">
            <v>0</v>
          </cell>
          <cell r="L941" t="str">
            <v/>
          </cell>
          <cell r="M941" t="str">
            <v>NF</v>
          </cell>
          <cell r="N941" t="str">
            <v/>
          </cell>
          <cell r="O941" t="str">
            <v/>
          </cell>
        </row>
        <row r="942">
          <cell r="B942">
            <v>44553</v>
          </cell>
          <cell r="C942" t="str">
            <v>TO Lip Spa Lip Oil -Plum</v>
          </cell>
          <cell r="D942">
            <v>10</v>
          </cell>
          <cell r="E942">
            <v>623</v>
          </cell>
          <cell r="F942">
            <v>776</v>
          </cell>
          <cell r="G942">
            <v>776</v>
          </cell>
          <cell r="H942">
            <v>970</v>
          </cell>
          <cell r="I942">
            <v>970</v>
          </cell>
          <cell r="J942" t="str">
            <v>NO</v>
          </cell>
          <cell r="K942">
            <v>0</v>
          </cell>
          <cell r="L942" t="str">
            <v/>
          </cell>
          <cell r="M942" t="str">
            <v>NF</v>
          </cell>
          <cell r="N942" t="str">
            <v/>
          </cell>
          <cell r="O942" t="str">
            <v/>
          </cell>
        </row>
        <row r="943">
          <cell r="B943">
            <v>44821</v>
          </cell>
          <cell r="C943" t="str">
            <v>GG Iconic Lip Elixir SPF 15 - VBlush</v>
          </cell>
          <cell r="D943">
            <v>12</v>
          </cell>
          <cell r="E943">
            <v>802</v>
          </cell>
          <cell r="F943">
            <v>1000</v>
          </cell>
          <cell r="G943">
            <v>1000</v>
          </cell>
          <cell r="H943">
            <v>1250</v>
          </cell>
          <cell r="I943">
            <v>1250</v>
          </cell>
          <cell r="J943" t="str">
            <v>NO</v>
          </cell>
          <cell r="K943">
            <v>0</v>
          </cell>
          <cell r="L943" t="str">
            <v/>
          </cell>
          <cell r="M943" t="str">
            <v>NF</v>
          </cell>
          <cell r="N943" t="str">
            <v/>
          </cell>
          <cell r="O943" t="str">
            <v/>
          </cell>
        </row>
        <row r="944">
          <cell r="B944">
            <v>44822</v>
          </cell>
          <cell r="C944" t="str">
            <v>GG Iconic Lip Elixir SPF 15 - NudeW</v>
          </cell>
          <cell r="D944">
            <v>12</v>
          </cell>
          <cell r="E944">
            <v>802</v>
          </cell>
          <cell r="F944">
            <v>1000</v>
          </cell>
          <cell r="G944">
            <v>1000</v>
          </cell>
          <cell r="H944">
            <v>1250</v>
          </cell>
          <cell r="I944">
            <v>1250</v>
          </cell>
          <cell r="J944" t="str">
            <v>NO</v>
          </cell>
          <cell r="K944">
            <v>0</v>
          </cell>
          <cell r="L944" t="str">
            <v/>
          </cell>
          <cell r="M944" t="str">
            <v>NF</v>
          </cell>
          <cell r="N944" t="str">
            <v/>
          </cell>
          <cell r="O944" t="str">
            <v/>
          </cell>
        </row>
        <row r="945">
          <cell r="B945">
            <v>44823</v>
          </cell>
          <cell r="C945" t="str">
            <v>GG Iconic Lip Elixir SPF 15 - DCaramel</v>
          </cell>
          <cell r="D945">
            <v>12</v>
          </cell>
          <cell r="E945">
            <v>802</v>
          </cell>
          <cell r="F945">
            <v>1000</v>
          </cell>
          <cell r="G945">
            <v>1000</v>
          </cell>
          <cell r="H945">
            <v>1250</v>
          </cell>
          <cell r="I945">
            <v>1250</v>
          </cell>
          <cell r="J945" t="str">
            <v>NO</v>
          </cell>
          <cell r="K945">
            <v>0</v>
          </cell>
          <cell r="L945" t="str">
            <v/>
          </cell>
          <cell r="M945" t="str">
            <v>NF</v>
          </cell>
          <cell r="N945" t="str">
            <v/>
          </cell>
          <cell r="O945" t="str">
            <v/>
          </cell>
        </row>
        <row r="946">
          <cell r="B946">
            <v>44824</v>
          </cell>
          <cell r="C946" t="str">
            <v>GG Iconic Lip Elixir SPF 15 -...de Coral</v>
          </cell>
          <cell r="D946">
            <v>12</v>
          </cell>
          <cell r="E946">
            <v>802</v>
          </cell>
          <cell r="F946">
            <v>1000</v>
          </cell>
          <cell r="G946">
            <v>1000</v>
          </cell>
          <cell r="H946">
            <v>1250</v>
          </cell>
          <cell r="I946">
            <v>1250</v>
          </cell>
          <cell r="J946" t="str">
            <v>NO</v>
          </cell>
          <cell r="K946">
            <v>0</v>
          </cell>
          <cell r="L946" t="str">
            <v/>
          </cell>
          <cell r="M946" t="str">
            <v>NF</v>
          </cell>
          <cell r="N946" t="str">
            <v/>
          </cell>
          <cell r="O946" t="str">
            <v/>
          </cell>
        </row>
        <row r="947">
          <cell r="B947">
            <v>44826</v>
          </cell>
          <cell r="C947" t="str">
            <v>GG Iconic Lip Elixir SPF 15 -...t Velour</v>
          </cell>
          <cell r="D947">
            <v>12</v>
          </cell>
          <cell r="E947">
            <v>802</v>
          </cell>
          <cell r="F947">
            <v>1000</v>
          </cell>
          <cell r="G947">
            <v>1000</v>
          </cell>
          <cell r="H947">
            <v>1250</v>
          </cell>
          <cell r="I947">
            <v>1250</v>
          </cell>
          <cell r="J947" t="str">
            <v>NO</v>
          </cell>
          <cell r="K947">
            <v>0</v>
          </cell>
          <cell r="L947" t="str">
            <v/>
          </cell>
          <cell r="M947" t="str">
            <v>NF</v>
          </cell>
          <cell r="N947" t="str">
            <v/>
          </cell>
          <cell r="O947" t="str">
            <v/>
          </cell>
        </row>
        <row r="948">
          <cell r="B948">
            <v>44827</v>
          </cell>
          <cell r="C948" t="str">
            <v>GG Iconic Lip Elixir SPF 15 -...ood Haze</v>
          </cell>
          <cell r="D948">
            <v>12</v>
          </cell>
          <cell r="E948">
            <v>802</v>
          </cell>
          <cell r="F948">
            <v>1000</v>
          </cell>
          <cell r="G948">
            <v>1000</v>
          </cell>
          <cell r="H948">
            <v>1250</v>
          </cell>
          <cell r="I948">
            <v>1250</v>
          </cell>
          <cell r="J948" t="str">
            <v>NO</v>
          </cell>
          <cell r="K948">
            <v>0</v>
          </cell>
          <cell r="L948" t="str">
            <v/>
          </cell>
          <cell r="M948" t="str">
            <v>NF</v>
          </cell>
          <cell r="N948" t="str">
            <v/>
          </cell>
          <cell r="O948" t="str">
            <v/>
          </cell>
        </row>
        <row r="949">
          <cell r="B949">
            <v>44828</v>
          </cell>
          <cell r="C949" t="str">
            <v>GG Iconic Lip Elixir SPF 15 -...sh Berry</v>
          </cell>
          <cell r="D949">
            <v>12</v>
          </cell>
          <cell r="E949">
            <v>802</v>
          </cell>
          <cell r="F949">
            <v>1000</v>
          </cell>
          <cell r="G949">
            <v>1000</v>
          </cell>
          <cell r="H949">
            <v>1250</v>
          </cell>
          <cell r="I949">
            <v>1250</v>
          </cell>
          <cell r="J949" t="str">
            <v>NO</v>
          </cell>
          <cell r="K949">
            <v>0</v>
          </cell>
          <cell r="L949" t="str">
            <v/>
          </cell>
          <cell r="M949" t="str">
            <v>NF</v>
          </cell>
          <cell r="N949" t="str">
            <v/>
          </cell>
          <cell r="O949" t="str">
            <v/>
          </cell>
        </row>
        <row r="950">
          <cell r="B950">
            <v>44829</v>
          </cell>
          <cell r="C950" t="str">
            <v>GG Iconic Lip Elixir SPF 15 -... Scarlet</v>
          </cell>
          <cell r="D950">
            <v>12</v>
          </cell>
          <cell r="E950">
            <v>802</v>
          </cell>
          <cell r="F950">
            <v>1000</v>
          </cell>
          <cell r="G950">
            <v>1000</v>
          </cell>
          <cell r="H950">
            <v>1250</v>
          </cell>
          <cell r="I950">
            <v>1250</v>
          </cell>
          <cell r="J950" t="str">
            <v>NO</v>
          </cell>
          <cell r="K950">
            <v>0</v>
          </cell>
          <cell r="L950" t="str">
            <v/>
          </cell>
          <cell r="M950" t="str">
            <v>NF</v>
          </cell>
          <cell r="N950" t="str">
            <v/>
          </cell>
          <cell r="O950" t="str">
            <v/>
          </cell>
        </row>
        <row r="951">
          <cell r="B951">
            <v>44830</v>
          </cell>
          <cell r="C951" t="str">
            <v>GG Iconic Lip Elixir SPF 15 -...rry Lush</v>
          </cell>
          <cell r="D951">
            <v>12</v>
          </cell>
          <cell r="E951">
            <v>802</v>
          </cell>
          <cell r="F951">
            <v>1000</v>
          </cell>
          <cell r="G951">
            <v>1000</v>
          </cell>
          <cell r="H951">
            <v>1250</v>
          </cell>
          <cell r="I951">
            <v>1250</v>
          </cell>
          <cell r="J951" t="str">
            <v>NO</v>
          </cell>
          <cell r="K951">
            <v>0</v>
          </cell>
          <cell r="L951" t="str">
            <v/>
          </cell>
          <cell r="M951" t="str">
            <v>NF</v>
          </cell>
          <cell r="N951" t="str">
            <v/>
          </cell>
          <cell r="O951" t="str">
            <v/>
          </cell>
        </row>
        <row r="952">
          <cell r="B952">
            <v>45551</v>
          </cell>
          <cell r="C952" t="str">
            <v>TO Illuskin High Dimension Effect</v>
          </cell>
          <cell r="D952">
            <v>15</v>
          </cell>
          <cell r="E952">
            <v>962</v>
          </cell>
          <cell r="F952">
            <v>1200</v>
          </cell>
          <cell r="G952">
            <v>1200</v>
          </cell>
          <cell r="H952">
            <v>1500</v>
          </cell>
          <cell r="I952">
            <v>1500</v>
          </cell>
          <cell r="J952" t="str">
            <v>NO</v>
          </cell>
          <cell r="K952">
            <v>0</v>
          </cell>
          <cell r="L952" t="str">
            <v/>
          </cell>
          <cell r="M952" t="str">
            <v>NF</v>
          </cell>
          <cell r="N952" t="str">
            <v/>
          </cell>
          <cell r="O952" t="str">
            <v/>
          </cell>
        </row>
        <row r="953">
          <cell r="B953">
            <v>45552</v>
          </cell>
          <cell r="C953" t="str">
            <v>TO Illuskin High Dimension Effect</v>
          </cell>
          <cell r="D953">
            <v>15</v>
          </cell>
          <cell r="E953">
            <v>962</v>
          </cell>
          <cell r="F953">
            <v>1200</v>
          </cell>
          <cell r="G953">
            <v>1200</v>
          </cell>
          <cell r="H953">
            <v>1500</v>
          </cell>
          <cell r="I953">
            <v>1500</v>
          </cell>
          <cell r="J953" t="str">
            <v>NO</v>
          </cell>
          <cell r="K953">
            <v>0</v>
          </cell>
          <cell r="L953" t="str">
            <v/>
          </cell>
          <cell r="M953" t="str">
            <v>NF</v>
          </cell>
          <cell r="N953" t="str">
            <v/>
          </cell>
          <cell r="O953" t="str">
            <v/>
          </cell>
        </row>
        <row r="954">
          <cell r="B954">
            <v>45556</v>
          </cell>
          <cell r="C954" t="str">
            <v>GG Eternal Glow Lipstick - NNude</v>
          </cell>
          <cell r="D954">
            <v>14</v>
          </cell>
          <cell r="E954">
            <v>898</v>
          </cell>
          <cell r="F954">
            <v>1120</v>
          </cell>
          <cell r="G954">
            <v>1120</v>
          </cell>
          <cell r="H954">
            <v>1400</v>
          </cell>
          <cell r="I954">
            <v>1400</v>
          </cell>
          <cell r="J954" t="str">
            <v>NO</v>
          </cell>
          <cell r="K954">
            <v>0</v>
          </cell>
          <cell r="L954" t="str">
            <v/>
          </cell>
          <cell r="M954" t="str">
            <v>NF</v>
          </cell>
          <cell r="N954" t="str">
            <v/>
          </cell>
          <cell r="O954" t="str">
            <v/>
          </cell>
        </row>
        <row r="955">
          <cell r="B955">
            <v>45557</v>
          </cell>
          <cell r="C955" t="str">
            <v>GG Eternal Glow Lipstick  - DCaramel</v>
          </cell>
          <cell r="D955">
            <v>14</v>
          </cell>
          <cell r="E955">
            <v>898</v>
          </cell>
          <cell r="F955">
            <v>1120</v>
          </cell>
          <cell r="G955">
            <v>1120</v>
          </cell>
          <cell r="H955">
            <v>1400</v>
          </cell>
          <cell r="I955">
            <v>1400</v>
          </cell>
          <cell r="J955" t="str">
            <v>NO</v>
          </cell>
          <cell r="K955">
            <v>0</v>
          </cell>
          <cell r="L955" t="str">
            <v/>
          </cell>
          <cell r="M955" t="str">
            <v>NF</v>
          </cell>
          <cell r="N955" t="str">
            <v/>
          </cell>
          <cell r="O955" t="str">
            <v/>
          </cell>
        </row>
        <row r="956">
          <cell r="B956">
            <v>45558</v>
          </cell>
          <cell r="C956" t="str">
            <v>GG Eternal Glow Lipstick  - LAmber</v>
          </cell>
          <cell r="D956">
            <v>14</v>
          </cell>
          <cell r="E956">
            <v>898</v>
          </cell>
          <cell r="F956">
            <v>1120</v>
          </cell>
          <cell r="G956">
            <v>1120</v>
          </cell>
          <cell r="H956">
            <v>1400</v>
          </cell>
          <cell r="I956">
            <v>1400</v>
          </cell>
          <cell r="J956" t="str">
            <v>NO</v>
          </cell>
          <cell r="K956">
            <v>0</v>
          </cell>
          <cell r="L956" t="str">
            <v/>
          </cell>
          <cell r="M956" t="str">
            <v>NF</v>
          </cell>
          <cell r="N956" t="str">
            <v/>
          </cell>
          <cell r="O956" t="str">
            <v/>
          </cell>
        </row>
        <row r="957">
          <cell r="B957">
            <v>45559</v>
          </cell>
          <cell r="C957" t="str">
            <v>GG Eternal Glow Lipstick  -RRose</v>
          </cell>
          <cell r="D957">
            <v>14</v>
          </cell>
          <cell r="E957">
            <v>898</v>
          </cell>
          <cell r="F957">
            <v>1120</v>
          </cell>
          <cell r="G957">
            <v>1120</v>
          </cell>
          <cell r="H957">
            <v>1400</v>
          </cell>
          <cell r="I957">
            <v>1400</v>
          </cell>
          <cell r="J957" t="str">
            <v>NO</v>
          </cell>
          <cell r="K957">
            <v>0</v>
          </cell>
          <cell r="L957" t="str">
            <v/>
          </cell>
          <cell r="M957" t="str">
            <v>NF</v>
          </cell>
          <cell r="N957" t="str">
            <v/>
          </cell>
          <cell r="O957" t="str">
            <v/>
          </cell>
        </row>
        <row r="958">
          <cell r="B958">
            <v>45560</v>
          </cell>
          <cell r="C958" t="str">
            <v>GG Eternal Glow Lipstick - DBlush</v>
          </cell>
          <cell r="D958">
            <v>14</v>
          </cell>
          <cell r="E958">
            <v>898</v>
          </cell>
          <cell r="F958">
            <v>1120</v>
          </cell>
          <cell r="G958">
            <v>1120</v>
          </cell>
          <cell r="H958">
            <v>1400</v>
          </cell>
          <cell r="I958">
            <v>1400</v>
          </cell>
          <cell r="J958" t="str">
            <v>NO</v>
          </cell>
          <cell r="K958">
            <v>0</v>
          </cell>
          <cell r="L958" t="str">
            <v/>
          </cell>
          <cell r="M958" t="str">
            <v>NF</v>
          </cell>
          <cell r="N958" t="str">
            <v/>
          </cell>
          <cell r="O958" t="str">
            <v/>
          </cell>
        </row>
        <row r="959">
          <cell r="B959">
            <v>45561</v>
          </cell>
          <cell r="C959" t="str">
            <v>GG Eternal Glow Lipstick  - CMauve</v>
          </cell>
          <cell r="D959">
            <v>14</v>
          </cell>
          <cell r="E959">
            <v>898</v>
          </cell>
          <cell r="F959">
            <v>1120</v>
          </cell>
          <cell r="G959">
            <v>1120</v>
          </cell>
          <cell r="H959">
            <v>1400</v>
          </cell>
          <cell r="I959">
            <v>1400</v>
          </cell>
          <cell r="J959" t="str">
            <v>NO</v>
          </cell>
          <cell r="K959">
            <v>0</v>
          </cell>
          <cell r="L959" t="str">
            <v/>
          </cell>
          <cell r="M959" t="str">
            <v>NF</v>
          </cell>
          <cell r="N959" t="str">
            <v/>
          </cell>
          <cell r="O959" t="str">
            <v/>
          </cell>
        </row>
        <row r="960">
          <cell r="B960">
            <v>45562</v>
          </cell>
          <cell r="C960" t="str">
            <v>GG Eternal Glow Lipstick - RCrimson</v>
          </cell>
          <cell r="D960">
            <v>14</v>
          </cell>
          <cell r="E960">
            <v>898</v>
          </cell>
          <cell r="F960">
            <v>1120</v>
          </cell>
          <cell r="G960">
            <v>1120</v>
          </cell>
          <cell r="H960">
            <v>1400</v>
          </cell>
          <cell r="I960">
            <v>1400</v>
          </cell>
          <cell r="J960" t="str">
            <v>NO</v>
          </cell>
          <cell r="K960">
            <v>0</v>
          </cell>
          <cell r="L960" t="str">
            <v/>
          </cell>
          <cell r="M960" t="str">
            <v>NF</v>
          </cell>
          <cell r="N960" t="str">
            <v/>
          </cell>
          <cell r="O960" t="str">
            <v/>
          </cell>
        </row>
        <row r="961">
          <cell r="B961">
            <v>45563</v>
          </cell>
          <cell r="C961" t="str">
            <v>GG Eternal Glow Lipstick - RRed</v>
          </cell>
          <cell r="D961">
            <v>14</v>
          </cell>
          <cell r="E961">
            <v>898</v>
          </cell>
          <cell r="F961">
            <v>1120</v>
          </cell>
          <cell r="G961">
            <v>1120</v>
          </cell>
          <cell r="H961">
            <v>1400</v>
          </cell>
          <cell r="I961">
            <v>1400</v>
          </cell>
          <cell r="J961" t="str">
            <v>NO</v>
          </cell>
          <cell r="K961">
            <v>0</v>
          </cell>
          <cell r="L961" t="str">
            <v/>
          </cell>
          <cell r="M961" t="str">
            <v>NF</v>
          </cell>
          <cell r="N961" t="str">
            <v/>
          </cell>
          <cell r="O961" t="str">
            <v/>
          </cell>
        </row>
        <row r="962">
          <cell r="B962">
            <v>45564</v>
          </cell>
          <cell r="C962" t="str">
            <v>GG Eternal Glow Lipstick  - FMaroon</v>
          </cell>
          <cell r="D962">
            <v>14</v>
          </cell>
          <cell r="E962">
            <v>898</v>
          </cell>
          <cell r="F962">
            <v>1120</v>
          </cell>
          <cell r="G962">
            <v>1120</v>
          </cell>
          <cell r="H962">
            <v>1400</v>
          </cell>
          <cell r="I962">
            <v>1400</v>
          </cell>
          <cell r="J962" t="str">
            <v>NO</v>
          </cell>
          <cell r="K962">
            <v>0</v>
          </cell>
          <cell r="L962" t="str">
            <v/>
          </cell>
          <cell r="M962" t="str">
            <v>NF</v>
          </cell>
          <cell r="N962" t="str">
            <v/>
          </cell>
          <cell r="O962" t="str">
            <v/>
          </cell>
        </row>
        <row r="963">
          <cell r="B963">
            <v>45565</v>
          </cell>
          <cell r="C963" t="str">
            <v>GG Eternal Glow Lipstick  - TCranberry</v>
          </cell>
          <cell r="D963">
            <v>14</v>
          </cell>
          <cell r="E963">
            <v>898</v>
          </cell>
          <cell r="F963">
            <v>1120</v>
          </cell>
          <cell r="G963">
            <v>1120</v>
          </cell>
          <cell r="H963">
            <v>1400</v>
          </cell>
          <cell r="I963">
            <v>1400</v>
          </cell>
          <cell r="J963" t="str">
            <v>NO</v>
          </cell>
          <cell r="K963">
            <v>0</v>
          </cell>
          <cell r="L963" t="str">
            <v/>
          </cell>
          <cell r="M963" t="str">
            <v>NF</v>
          </cell>
          <cell r="N963" t="str">
            <v/>
          </cell>
          <cell r="O963" t="str">
            <v/>
          </cell>
        </row>
        <row r="964">
          <cell r="B964">
            <v>45929</v>
          </cell>
          <cell r="C964" t="str">
            <v>OnColour Eye liner &amp; Eye shadow - S Rose</v>
          </cell>
          <cell r="D964">
            <v>7</v>
          </cell>
          <cell r="E964">
            <v>449</v>
          </cell>
          <cell r="F964">
            <v>560</v>
          </cell>
          <cell r="G964">
            <v>560</v>
          </cell>
          <cell r="H964">
            <v>700</v>
          </cell>
          <cell r="I964">
            <v>700</v>
          </cell>
          <cell r="J964" t="str">
            <v>NO</v>
          </cell>
          <cell r="K964">
            <v>0</v>
          </cell>
          <cell r="L964" t="str">
            <v/>
          </cell>
          <cell r="M964" t="str">
            <v>NF</v>
          </cell>
          <cell r="N964" t="str">
            <v/>
          </cell>
          <cell r="O964" t="str">
            <v/>
          </cell>
        </row>
        <row r="965">
          <cell r="B965">
            <v>45930</v>
          </cell>
          <cell r="C965" t="str">
            <v>OnColour Eye liner &amp; Eye shad... C Mauve</v>
          </cell>
          <cell r="D965">
            <v>7</v>
          </cell>
          <cell r="E965">
            <v>449</v>
          </cell>
          <cell r="F965">
            <v>560</v>
          </cell>
          <cell r="G965">
            <v>560</v>
          </cell>
          <cell r="H965">
            <v>700</v>
          </cell>
          <cell r="I965">
            <v>700</v>
          </cell>
          <cell r="J965" t="str">
            <v>NO</v>
          </cell>
          <cell r="K965">
            <v>0</v>
          </cell>
          <cell r="L965" t="str">
            <v/>
          </cell>
          <cell r="M965" t="str">
            <v>NF</v>
          </cell>
          <cell r="N965" t="str">
            <v/>
          </cell>
          <cell r="O965" t="str">
            <v/>
          </cell>
        </row>
        <row r="966">
          <cell r="B966">
            <v>45931</v>
          </cell>
          <cell r="C966" t="str">
            <v>OnColour Eye liner &amp; Eye shadow - F Nude</v>
          </cell>
          <cell r="D966">
            <v>7</v>
          </cell>
          <cell r="E966">
            <v>449</v>
          </cell>
          <cell r="F966">
            <v>560</v>
          </cell>
          <cell r="G966">
            <v>560</v>
          </cell>
          <cell r="H966">
            <v>700</v>
          </cell>
          <cell r="I966">
            <v>700</v>
          </cell>
          <cell r="J966" t="str">
            <v>NO</v>
          </cell>
          <cell r="K966">
            <v>0</v>
          </cell>
          <cell r="L966" t="str">
            <v/>
          </cell>
          <cell r="M966" t="str">
            <v>NF</v>
          </cell>
          <cell r="N966" t="str">
            <v/>
          </cell>
          <cell r="O966" t="str">
            <v/>
          </cell>
        </row>
        <row r="967">
          <cell r="B967">
            <v>45932</v>
          </cell>
          <cell r="C967" t="str">
            <v>OC Eye liner &amp; Eye shadow - T...shmallow</v>
          </cell>
          <cell r="D967">
            <v>7</v>
          </cell>
          <cell r="E967">
            <v>449</v>
          </cell>
          <cell r="F967">
            <v>560</v>
          </cell>
          <cell r="G967">
            <v>560</v>
          </cell>
          <cell r="H967">
            <v>700</v>
          </cell>
          <cell r="I967">
            <v>700</v>
          </cell>
          <cell r="J967" t="str">
            <v>NO</v>
          </cell>
          <cell r="K967">
            <v>0</v>
          </cell>
          <cell r="L967" t="str">
            <v/>
          </cell>
          <cell r="M967" t="str">
            <v>NF</v>
          </cell>
          <cell r="N967" t="str">
            <v/>
          </cell>
          <cell r="O967" t="str">
            <v/>
          </cell>
        </row>
        <row r="968">
          <cell r="B968">
            <v>45933</v>
          </cell>
          <cell r="C968" t="str">
            <v>OnColour Nail Polish - P Smores</v>
          </cell>
          <cell r="D968">
            <v>4</v>
          </cell>
          <cell r="E968">
            <v>276</v>
          </cell>
          <cell r="F968">
            <v>344</v>
          </cell>
          <cell r="G968">
            <v>344</v>
          </cell>
          <cell r="H968">
            <v>430</v>
          </cell>
          <cell r="I968">
            <v>430</v>
          </cell>
          <cell r="J968" t="str">
            <v>NO</v>
          </cell>
          <cell r="K968">
            <v>0</v>
          </cell>
          <cell r="L968" t="str">
            <v/>
          </cell>
          <cell r="M968" t="str">
            <v>NF</v>
          </cell>
          <cell r="N968" t="str">
            <v/>
          </cell>
          <cell r="O968" t="str">
            <v/>
          </cell>
        </row>
        <row r="969">
          <cell r="B969">
            <v>45934</v>
          </cell>
          <cell r="C969" t="str">
            <v>OnColour Nail polish - C Pink</v>
          </cell>
          <cell r="D969">
            <v>4</v>
          </cell>
          <cell r="E969">
            <v>276</v>
          </cell>
          <cell r="F969">
            <v>344</v>
          </cell>
          <cell r="G969">
            <v>344</v>
          </cell>
          <cell r="H969">
            <v>430</v>
          </cell>
          <cell r="I969">
            <v>430</v>
          </cell>
          <cell r="J969" t="str">
            <v>NO</v>
          </cell>
          <cell r="K969">
            <v>0</v>
          </cell>
          <cell r="L969" t="str">
            <v/>
          </cell>
          <cell r="M969" t="str">
            <v>NF</v>
          </cell>
          <cell r="N969" t="str">
            <v/>
          </cell>
          <cell r="O969" t="str">
            <v/>
          </cell>
        </row>
        <row r="970">
          <cell r="B970">
            <v>45935</v>
          </cell>
          <cell r="C970" t="str">
            <v>OnColour Nail Polish - S Coral</v>
          </cell>
          <cell r="D970">
            <v>4</v>
          </cell>
          <cell r="E970">
            <v>276</v>
          </cell>
          <cell r="F970">
            <v>344</v>
          </cell>
          <cell r="G970">
            <v>344</v>
          </cell>
          <cell r="H970">
            <v>430</v>
          </cell>
          <cell r="I970">
            <v>430</v>
          </cell>
          <cell r="J970" t="str">
            <v>NO</v>
          </cell>
          <cell r="K970">
            <v>0</v>
          </cell>
          <cell r="L970" t="str">
            <v/>
          </cell>
          <cell r="M970" t="str">
            <v>NF</v>
          </cell>
          <cell r="N970" t="str">
            <v/>
          </cell>
          <cell r="O970" t="str">
            <v/>
          </cell>
        </row>
        <row r="971">
          <cell r="B971">
            <v>45936</v>
          </cell>
          <cell r="C971" t="str">
            <v>OC Nail Polish - T Marshmallow</v>
          </cell>
          <cell r="D971">
            <v>4</v>
          </cell>
          <cell r="E971">
            <v>276</v>
          </cell>
          <cell r="F971">
            <v>344</v>
          </cell>
          <cell r="G971">
            <v>344</v>
          </cell>
          <cell r="H971">
            <v>430</v>
          </cell>
          <cell r="I971">
            <v>430</v>
          </cell>
          <cell r="J971" t="str">
            <v>NO</v>
          </cell>
          <cell r="K971">
            <v>0</v>
          </cell>
          <cell r="L971" t="str">
            <v/>
          </cell>
          <cell r="M971" t="str">
            <v>NF</v>
          </cell>
          <cell r="N971" t="str">
            <v/>
          </cell>
          <cell r="O971" t="str">
            <v/>
          </cell>
        </row>
        <row r="972">
          <cell r="B972">
            <v>46329</v>
          </cell>
          <cell r="C972" t="str">
            <v>TO Illuskin Glow Refl Fnd - Vanilla N</v>
          </cell>
          <cell r="D972">
            <v>15</v>
          </cell>
          <cell r="E972">
            <v>962</v>
          </cell>
          <cell r="F972">
            <v>1200</v>
          </cell>
          <cell r="G972">
            <v>1200</v>
          </cell>
          <cell r="H972">
            <v>1500</v>
          </cell>
          <cell r="I972">
            <v>1500</v>
          </cell>
          <cell r="J972" t="str">
            <v>NO</v>
          </cell>
          <cell r="K972">
            <v>0</v>
          </cell>
          <cell r="L972" t="str">
            <v/>
          </cell>
          <cell r="M972" t="str">
            <v>NF</v>
          </cell>
          <cell r="N972" t="str">
            <v/>
          </cell>
          <cell r="O972" t="str">
            <v/>
          </cell>
        </row>
        <row r="973">
          <cell r="B973">
            <v>46330</v>
          </cell>
          <cell r="C973" t="str">
            <v>TO Illuskin Glow Refl Fnd - Porcelain C</v>
          </cell>
          <cell r="D973">
            <v>15</v>
          </cell>
          <cell r="E973">
            <v>962</v>
          </cell>
          <cell r="F973">
            <v>1200</v>
          </cell>
          <cell r="G973">
            <v>1200</v>
          </cell>
          <cell r="H973">
            <v>1500</v>
          </cell>
          <cell r="I973">
            <v>1500</v>
          </cell>
          <cell r="J973" t="str">
            <v>NO</v>
          </cell>
          <cell r="K973">
            <v>0</v>
          </cell>
          <cell r="L973" t="str">
            <v/>
          </cell>
          <cell r="M973" t="str">
            <v>NF</v>
          </cell>
          <cell r="N973" t="str">
            <v/>
          </cell>
          <cell r="O973" t="str">
            <v/>
          </cell>
        </row>
        <row r="974">
          <cell r="B974">
            <v>46331</v>
          </cell>
          <cell r="C974" t="str">
            <v>TO Illuskin Glow Refl Fnd - Marble N</v>
          </cell>
          <cell r="D974">
            <v>15</v>
          </cell>
          <cell r="E974">
            <v>962</v>
          </cell>
          <cell r="F974">
            <v>1200</v>
          </cell>
          <cell r="G974">
            <v>1200</v>
          </cell>
          <cell r="H974">
            <v>1500</v>
          </cell>
          <cell r="I974">
            <v>1500</v>
          </cell>
          <cell r="J974" t="str">
            <v>NO</v>
          </cell>
          <cell r="K974">
            <v>0</v>
          </cell>
          <cell r="L974" t="str">
            <v/>
          </cell>
          <cell r="M974" t="str">
            <v>NF</v>
          </cell>
          <cell r="N974" t="str">
            <v/>
          </cell>
          <cell r="O974" t="str">
            <v/>
          </cell>
        </row>
        <row r="975">
          <cell r="B975">
            <v>46332</v>
          </cell>
          <cell r="C975" t="str">
            <v>TO Illuskin Glow Refl Fnd - L Ivory N</v>
          </cell>
          <cell r="D975">
            <v>15</v>
          </cell>
          <cell r="E975">
            <v>962</v>
          </cell>
          <cell r="F975">
            <v>1200</v>
          </cell>
          <cell r="G975">
            <v>1200</v>
          </cell>
          <cell r="H975">
            <v>1500</v>
          </cell>
          <cell r="I975">
            <v>1500</v>
          </cell>
          <cell r="J975" t="str">
            <v>NO</v>
          </cell>
          <cell r="K975">
            <v>0</v>
          </cell>
          <cell r="L975" t="str">
            <v/>
          </cell>
          <cell r="M975" t="str">
            <v>NF</v>
          </cell>
          <cell r="N975" t="str">
            <v/>
          </cell>
          <cell r="O975" t="str">
            <v/>
          </cell>
        </row>
        <row r="976">
          <cell r="B976">
            <v>46333</v>
          </cell>
          <cell r="C976" t="str">
            <v>TO Illuskin Glow Refl Fnd - Beige N</v>
          </cell>
          <cell r="D976">
            <v>15</v>
          </cell>
          <cell r="E976">
            <v>962</v>
          </cell>
          <cell r="F976">
            <v>1200</v>
          </cell>
          <cell r="G976">
            <v>1200</v>
          </cell>
          <cell r="H976">
            <v>1500</v>
          </cell>
          <cell r="I976">
            <v>1500</v>
          </cell>
          <cell r="J976" t="str">
            <v>NO</v>
          </cell>
          <cell r="K976">
            <v>0</v>
          </cell>
          <cell r="L976" t="str">
            <v/>
          </cell>
          <cell r="M976" t="str">
            <v>NF</v>
          </cell>
          <cell r="N976" t="str">
            <v/>
          </cell>
          <cell r="O976" t="str">
            <v/>
          </cell>
        </row>
        <row r="977">
          <cell r="B977">
            <v>46334</v>
          </cell>
          <cell r="C977" t="str">
            <v>TO Illuskin Glow Refl Fnd - Beige W</v>
          </cell>
          <cell r="D977">
            <v>15</v>
          </cell>
          <cell r="E977">
            <v>962</v>
          </cell>
          <cell r="F977">
            <v>1200</v>
          </cell>
          <cell r="G977">
            <v>1200</v>
          </cell>
          <cell r="H977">
            <v>1500</v>
          </cell>
          <cell r="I977">
            <v>1500</v>
          </cell>
          <cell r="J977" t="str">
            <v>NO</v>
          </cell>
          <cell r="K977">
            <v>0</v>
          </cell>
          <cell r="L977" t="str">
            <v/>
          </cell>
          <cell r="M977" t="str">
            <v>NF</v>
          </cell>
          <cell r="N977" t="str">
            <v/>
          </cell>
          <cell r="O977" t="str">
            <v/>
          </cell>
        </row>
        <row r="978">
          <cell r="B978">
            <v>46595</v>
          </cell>
          <cell r="C978" t="str">
            <v>TO Browcara Lift &amp; Fix</v>
          </cell>
          <cell r="D978">
            <v>9</v>
          </cell>
          <cell r="E978">
            <v>546</v>
          </cell>
          <cell r="F978">
            <v>680</v>
          </cell>
          <cell r="G978">
            <v>680</v>
          </cell>
          <cell r="H978">
            <v>850</v>
          </cell>
          <cell r="I978">
            <v>850</v>
          </cell>
          <cell r="J978" t="str">
            <v>NO</v>
          </cell>
          <cell r="K978">
            <v>0</v>
          </cell>
          <cell r="L978" t="str">
            <v/>
          </cell>
          <cell r="M978" t="str">
            <v>NF</v>
          </cell>
          <cell r="N978" t="str">
            <v/>
          </cell>
          <cell r="O978" t="str">
            <v/>
          </cell>
        </row>
        <row r="979">
          <cell r="B979">
            <v>47504</v>
          </cell>
          <cell r="C979" t="str">
            <v>TO  Colour Unlimited Eye shadow Sunset R</v>
          </cell>
          <cell r="D979">
            <v>12</v>
          </cell>
          <cell r="E979">
            <v>802</v>
          </cell>
          <cell r="F979">
            <v>1000</v>
          </cell>
          <cell r="G979">
            <v>1000</v>
          </cell>
          <cell r="H979">
            <v>1250</v>
          </cell>
          <cell r="I979">
            <v>1250</v>
          </cell>
          <cell r="J979" t="str">
            <v>NO</v>
          </cell>
          <cell r="K979">
            <v>0</v>
          </cell>
          <cell r="L979" t="str">
            <v/>
          </cell>
          <cell r="M979" t="str">
            <v>NF</v>
          </cell>
          <cell r="N979" t="str">
            <v/>
          </cell>
          <cell r="O979" t="str">
            <v/>
          </cell>
        </row>
        <row r="980">
          <cell r="B980">
            <v>47505</v>
          </cell>
          <cell r="C980" t="str">
            <v>TO Colour Unlimited Eye shadow - C Prism</v>
          </cell>
          <cell r="D980">
            <v>12</v>
          </cell>
          <cell r="E980">
            <v>802</v>
          </cell>
          <cell r="F980">
            <v>1000</v>
          </cell>
          <cell r="G980">
            <v>1000</v>
          </cell>
          <cell r="H980">
            <v>1250</v>
          </cell>
          <cell r="I980">
            <v>1250</v>
          </cell>
          <cell r="J980" t="str">
            <v>NO</v>
          </cell>
          <cell r="K980">
            <v>0</v>
          </cell>
          <cell r="L980" t="str">
            <v/>
          </cell>
          <cell r="M980" t="str">
            <v>NF</v>
          </cell>
          <cell r="N980" t="str">
            <v/>
          </cell>
          <cell r="O980" t="str">
            <v/>
          </cell>
        </row>
        <row r="981">
          <cell r="B981">
            <v>47506</v>
          </cell>
          <cell r="C981" t="str">
            <v>TO Colour Unlimited Eye shado...lections</v>
          </cell>
          <cell r="D981">
            <v>12</v>
          </cell>
          <cell r="E981">
            <v>802</v>
          </cell>
          <cell r="F981">
            <v>1000</v>
          </cell>
          <cell r="G981">
            <v>1000</v>
          </cell>
          <cell r="H981">
            <v>1250</v>
          </cell>
          <cell r="I981">
            <v>1250</v>
          </cell>
          <cell r="J981" t="str">
            <v>NO</v>
          </cell>
          <cell r="K981">
            <v>0</v>
          </cell>
          <cell r="L981" t="str">
            <v/>
          </cell>
          <cell r="M981" t="str">
            <v>NF</v>
          </cell>
          <cell r="N981" t="str">
            <v/>
          </cell>
          <cell r="O981" t="str">
            <v/>
          </cell>
        </row>
        <row r="982">
          <cell r="B982">
            <v>47507</v>
          </cell>
          <cell r="C982" t="str">
            <v>TO Wonder Liner Blushing P</v>
          </cell>
          <cell r="D982">
            <v>12</v>
          </cell>
          <cell r="E982">
            <v>802</v>
          </cell>
          <cell r="F982">
            <v>1000</v>
          </cell>
          <cell r="G982">
            <v>1000</v>
          </cell>
          <cell r="H982">
            <v>1250</v>
          </cell>
          <cell r="I982">
            <v>1250</v>
          </cell>
          <cell r="J982" t="str">
            <v>NO</v>
          </cell>
          <cell r="K982">
            <v>0</v>
          </cell>
          <cell r="L982" t="str">
            <v/>
          </cell>
          <cell r="M982" t="str">
            <v>NF</v>
          </cell>
          <cell r="N982" t="str">
            <v/>
          </cell>
          <cell r="O982" t="str">
            <v/>
          </cell>
        </row>
        <row r="983">
          <cell r="B983">
            <v>30399</v>
          </cell>
          <cell r="C983" t="str">
            <v>Miss Giordani Eau de Parfum</v>
          </cell>
          <cell r="D983">
            <v>33</v>
          </cell>
          <cell r="E983">
            <v>2117</v>
          </cell>
          <cell r="F983">
            <v>2640</v>
          </cell>
          <cell r="G983">
            <v>2640</v>
          </cell>
          <cell r="H983">
            <v>3300</v>
          </cell>
          <cell r="I983">
            <v>3300</v>
          </cell>
          <cell r="J983" t="str">
            <v>NO</v>
          </cell>
          <cell r="K983">
            <v>0</v>
          </cell>
          <cell r="L983" t="str">
            <v/>
          </cell>
          <cell r="M983" t="str">
            <v>NF</v>
          </cell>
          <cell r="N983" t="str">
            <v/>
          </cell>
          <cell r="O983" t="str">
            <v/>
          </cell>
        </row>
        <row r="984">
          <cell r="B984">
            <v>30468</v>
          </cell>
          <cell r="C984" t="str">
            <v>Be the Legend EdT</v>
          </cell>
          <cell r="D984">
            <v>22</v>
          </cell>
          <cell r="E984">
            <v>1444</v>
          </cell>
          <cell r="F984">
            <v>1800</v>
          </cell>
          <cell r="G984">
            <v>1800</v>
          </cell>
          <cell r="H984">
            <v>2250</v>
          </cell>
          <cell r="I984">
            <v>2250</v>
          </cell>
          <cell r="J984" t="str">
            <v>NO</v>
          </cell>
          <cell r="K984">
            <v>0</v>
          </cell>
          <cell r="L984" t="str">
            <v/>
          </cell>
          <cell r="M984" t="str">
            <v>NF</v>
          </cell>
          <cell r="N984" t="str">
            <v/>
          </cell>
          <cell r="O984" t="str">
            <v/>
          </cell>
        </row>
        <row r="985">
          <cell r="B985">
            <v>32438</v>
          </cell>
          <cell r="C985" t="str">
            <v>Women's Collection IWLilac EdT</v>
          </cell>
          <cell r="D985">
            <v>17</v>
          </cell>
          <cell r="E985">
            <v>1123</v>
          </cell>
          <cell r="F985">
            <v>1400</v>
          </cell>
          <cell r="G985">
            <v>1400</v>
          </cell>
          <cell r="H985">
            <v>1750</v>
          </cell>
          <cell r="I985">
            <v>1750</v>
          </cell>
          <cell r="J985" t="str">
            <v>NO</v>
          </cell>
          <cell r="K985">
            <v>0</v>
          </cell>
          <cell r="L985" t="str">
            <v/>
          </cell>
          <cell r="M985" t="str">
            <v>NF</v>
          </cell>
          <cell r="N985" t="str">
            <v/>
          </cell>
          <cell r="O985" t="str">
            <v/>
          </cell>
        </row>
        <row r="986">
          <cell r="B986">
            <v>33958</v>
          </cell>
          <cell r="C986" t="str">
            <v>Love Potion So Tempting FM</v>
          </cell>
          <cell r="D986">
            <v>14</v>
          </cell>
          <cell r="E986">
            <v>931</v>
          </cell>
          <cell r="F986">
            <v>1160</v>
          </cell>
          <cell r="G986">
            <v>1160</v>
          </cell>
          <cell r="H986">
            <v>1450</v>
          </cell>
          <cell r="I986">
            <v>1450</v>
          </cell>
          <cell r="J986" t="str">
            <v>NO</v>
          </cell>
          <cell r="K986">
            <v>0</v>
          </cell>
          <cell r="L986" t="str">
            <v/>
          </cell>
          <cell r="M986" t="str">
            <v>NF</v>
          </cell>
          <cell r="N986" t="str">
            <v/>
          </cell>
          <cell r="O986" t="str">
            <v/>
          </cell>
        </row>
        <row r="987">
          <cell r="B987">
            <v>34522</v>
          </cell>
          <cell r="C987" t="str">
            <v>Eclat Style Parfum</v>
          </cell>
          <cell r="D987">
            <v>48</v>
          </cell>
          <cell r="E987">
            <v>3080</v>
          </cell>
          <cell r="F987">
            <v>3840</v>
          </cell>
          <cell r="G987">
            <v>3840</v>
          </cell>
          <cell r="H987">
            <v>4800</v>
          </cell>
          <cell r="I987">
            <v>4800</v>
          </cell>
          <cell r="J987" t="str">
            <v>NO</v>
          </cell>
          <cell r="K987">
            <v>0</v>
          </cell>
          <cell r="L987" t="str">
            <v/>
          </cell>
          <cell r="M987" t="str">
            <v>NF</v>
          </cell>
          <cell r="N987" t="str">
            <v/>
          </cell>
          <cell r="O987" t="str">
            <v/>
          </cell>
        </row>
        <row r="988">
          <cell r="B988">
            <v>35649</v>
          </cell>
          <cell r="C988" t="str">
            <v>Eclat Amour Eau de Toilette</v>
          </cell>
          <cell r="D988">
            <v>22</v>
          </cell>
          <cell r="E988">
            <v>1444</v>
          </cell>
          <cell r="F988">
            <v>1800</v>
          </cell>
          <cell r="G988">
            <v>1800</v>
          </cell>
          <cell r="H988">
            <v>2250</v>
          </cell>
          <cell r="I988">
            <v>2250</v>
          </cell>
          <cell r="J988" t="str">
            <v>NO</v>
          </cell>
          <cell r="K988">
            <v>0</v>
          </cell>
          <cell r="L988" t="str">
            <v/>
          </cell>
          <cell r="M988" t="str">
            <v>NF</v>
          </cell>
          <cell r="N988" t="str">
            <v/>
          </cell>
          <cell r="O988" t="str">
            <v/>
          </cell>
        </row>
        <row r="989">
          <cell r="B989">
            <v>35653</v>
          </cell>
          <cell r="C989" t="str">
            <v>Infinita EDP</v>
          </cell>
          <cell r="D989">
            <v>33</v>
          </cell>
          <cell r="E989">
            <v>2117</v>
          </cell>
          <cell r="F989">
            <v>2640</v>
          </cell>
          <cell r="G989">
            <v>2640</v>
          </cell>
          <cell r="H989">
            <v>3300</v>
          </cell>
          <cell r="I989">
            <v>3300</v>
          </cell>
          <cell r="J989" t="str">
            <v>NO</v>
          </cell>
          <cell r="K989">
            <v>0</v>
          </cell>
          <cell r="L989" t="str">
            <v/>
          </cell>
          <cell r="M989" t="str">
            <v>NF</v>
          </cell>
          <cell r="N989" t="str">
            <v/>
          </cell>
          <cell r="O989" t="str">
            <v/>
          </cell>
        </row>
        <row r="990">
          <cell r="B990">
            <v>35661</v>
          </cell>
          <cell r="C990" t="str">
            <v>Volare Moments Eau de Parfum</v>
          </cell>
          <cell r="D990">
            <v>22</v>
          </cell>
          <cell r="E990">
            <v>1444</v>
          </cell>
          <cell r="F990">
            <v>1800</v>
          </cell>
          <cell r="G990">
            <v>1800</v>
          </cell>
          <cell r="H990">
            <v>2250</v>
          </cell>
          <cell r="I990">
            <v>2250</v>
          </cell>
          <cell r="J990" t="str">
            <v>NO</v>
          </cell>
          <cell r="K990">
            <v>0</v>
          </cell>
          <cell r="L990" t="str">
            <v/>
          </cell>
          <cell r="M990" t="str">
            <v>NF</v>
          </cell>
          <cell r="N990" t="str">
            <v/>
          </cell>
          <cell r="O990" t="str">
            <v/>
          </cell>
        </row>
        <row r="991">
          <cell r="B991">
            <v>35665</v>
          </cell>
          <cell r="C991" t="str">
            <v>Glacier Eau de Toilette</v>
          </cell>
          <cell r="D991">
            <v>17</v>
          </cell>
          <cell r="E991">
            <v>1123</v>
          </cell>
          <cell r="F991">
            <v>1400</v>
          </cell>
          <cell r="G991">
            <v>1400</v>
          </cell>
          <cell r="H991">
            <v>1750</v>
          </cell>
          <cell r="I991">
            <v>1750</v>
          </cell>
          <cell r="J991" t="str">
            <v>NO</v>
          </cell>
          <cell r="K991">
            <v>0</v>
          </cell>
          <cell r="L991" t="str">
            <v/>
          </cell>
          <cell r="M991" t="str">
            <v>NF</v>
          </cell>
          <cell r="N991" t="str">
            <v/>
          </cell>
          <cell r="O991" t="str">
            <v/>
          </cell>
        </row>
        <row r="992">
          <cell r="B992">
            <v>38497</v>
          </cell>
          <cell r="C992" t="str">
            <v xml:space="preserve">Divine Eau de Parfum </v>
          </cell>
          <cell r="D992">
            <v>33</v>
          </cell>
          <cell r="E992">
            <v>2117</v>
          </cell>
          <cell r="F992">
            <v>2640</v>
          </cell>
          <cell r="G992">
            <v>2640</v>
          </cell>
          <cell r="H992">
            <v>3300</v>
          </cell>
          <cell r="I992">
            <v>3300</v>
          </cell>
          <cell r="J992" t="str">
            <v>NO</v>
          </cell>
          <cell r="K992">
            <v>0</v>
          </cell>
          <cell r="L992" t="str">
            <v/>
          </cell>
          <cell r="M992" t="str">
            <v>NF</v>
          </cell>
          <cell r="N992" t="str">
            <v/>
          </cell>
          <cell r="O992" t="str">
            <v/>
          </cell>
        </row>
        <row r="993">
          <cell r="B993">
            <v>38498</v>
          </cell>
          <cell r="C993" t="str">
            <v>Divine Exclusive Eau de Parfum</v>
          </cell>
          <cell r="D993">
            <v>43</v>
          </cell>
          <cell r="E993">
            <v>2759</v>
          </cell>
          <cell r="F993">
            <v>3440</v>
          </cell>
          <cell r="G993">
            <v>3440</v>
          </cell>
          <cell r="H993">
            <v>4300</v>
          </cell>
          <cell r="I993">
            <v>4300</v>
          </cell>
          <cell r="J993" t="str">
            <v>NO</v>
          </cell>
          <cell r="K993">
            <v>0</v>
          </cell>
          <cell r="L993" t="str">
            <v/>
          </cell>
          <cell r="M993" t="str">
            <v>NF</v>
          </cell>
          <cell r="N993" t="str">
            <v/>
          </cell>
          <cell r="O993" t="str">
            <v/>
          </cell>
        </row>
        <row r="994">
          <cell r="B994">
            <v>38526</v>
          </cell>
          <cell r="C994" t="str">
            <v>Love Potion Blossom Kiss Fra Mist</v>
          </cell>
          <cell r="D994">
            <v>14</v>
          </cell>
          <cell r="E994">
            <v>931</v>
          </cell>
          <cell r="F994">
            <v>1160</v>
          </cell>
          <cell r="G994">
            <v>1160</v>
          </cell>
          <cell r="H994">
            <v>1450</v>
          </cell>
          <cell r="I994">
            <v>1450</v>
          </cell>
          <cell r="J994" t="str">
            <v>NO</v>
          </cell>
          <cell r="K994">
            <v>0</v>
          </cell>
          <cell r="L994" t="str">
            <v/>
          </cell>
          <cell r="M994" t="str">
            <v>NF</v>
          </cell>
          <cell r="N994" t="str">
            <v/>
          </cell>
          <cell r="O994" t="str">
            <v/>
          </cell>
        </row>
        <row r="995">
          <cell r="B995">
            <v>38527</v>
          </cell>
          <cell r="C995" t="str">
            <v>Ascendant Intense EDP</v>
          </cell>
          <cell r="D995">
            <v>38</v>
          </cell>
          <cell r="E995">
            <v>2438</v>
          </cell>
          <cell r="F995">
            <v>3040</v>
          </cell>
          <cell r="G995">
            <v>3040</v>
          </cell>
          <cell r="H995">
            <v>3800</v>
          </cell>
          <cell r="I995">
            <v>3800</v>
          </cell>
          <cell r="J995" t="str">
            <v>NO</v>
          </cell>
          <cell r="K995">
            <v>0</v>
          </cell>
          <cell r="L995" t="str">
            <v/>
          </cell>
          <cell r="M995" t="str">
            <v>NF</v>
          </cell>
          <cell r="N995" t="str">
            <v/>
          </cell>
          <cell r="O995" t="str">
            <v/>
          </cell>
        </row>
        <row r="996">
          <cell r="B996">
            <v>38533</v>
          </cell>
          <cell r="C996" t="str">
            <v>Giordani Gold Good as Gold EDP-WFR</v>
          </cell>
          <cell r="D996">
            <v>43</v>
          </cell>
          <cell r="E996">
            <v>2759</v>
          </cell>
          <cell r="F996">
            <v>3440</v>
          </cell>
          <cell r="G996">
            <v>3440</v>
          </cell>
          <cell r="H996">
            <v>4300</v>
          </cell>
          <cell r="I996">
            <v>4300</v>
          </cell>
          <cell r="J996" t="str">
            <v>NO</v>
          </cell>
          <cell r="K996">
            <v>0</v>
          </cell>
          <cell r="L996" t="str">
            <v/>
          </cell>
          <cell r="M996" t="str">
            <v>NF</v>
          </cell>
          <cell r="N996" t="str">
            <v/>
          </cell>
          <cell r="O996" t="str">
            <v/>
          </cell>
        </row>
        <row r="997">
          <cell r="B997">
            <v>38538</v>
          </cell>
          <cell r="C997" t="str">
            <v>Giordani Gold Man Eau de Parfum</v>
          </cell>
          <cell r="D997">
            <v>38</v>
          </cell>
          <cell r="E997">
            <v>2438</v>
          </cell>
          <cell r="F997">
            <v>3040</v>
          </cell>
          <cell r="G997">
            <v>3040</v>
          </cell>
          <cell r="H997">
            <v>3800</v>
          </cell>
          <cell r="I997">
            <v>3800</v>
          </cell>
          <cell r="J997" t="str">
            <v>NO</v>
          </cell>
          <cell r="K997">
            <v>0</v>
          </cell>
          <cell r="L997" t="str">
            <v/>
          </cell>
          <cell r="M997" t="str">
            <v>NF</v>
          </cell>
          <cell r="N997" t="str">
            <v/>
          </cell>
          <cell r="O997" t="str">
            <v/>
          </cell>
        </row>
        <row r="998">
          <cell r="B998">
            <v>42041</v>
          </cell>
          <cell r="C998" t="str">
            <v>Divine Eau de Parfum Purse Spray</v>
          </cell>
          <cell r="D998">
            <v>9</v>
          </cell>
          <cell r="E998">
            <v>609</v>
          </cell>
          <cell r="F998">
            <v>760</v>
          </cell>
          <cell r="G998">
            <v>760</v>
          </cell>
          <cell r="H998">
            <v>950</v>
          </cell>
          <cell r="I998">
            <v>950</v>
          </cell>
          <cell r="J998" t="str">
            <v>NO</v>
          </cell>
          <cell r="K998">
            <v>0</v>
          </cell>
          <cell r="L998" t="str">
            <v/>
          </cell>
          <cell r="M998" t="str">
            <v>NF</v>
          </cell>
          <cell r="N998" t="str">
            <v/>
          </cell>
          <cell r="O998" t="str">
            <v/>
          </cell>
        </row>
        <row r="999">
          <cell r="B999">
            <v>42490</v>
          </cell>
          <cell r="C999" t="str">
            <v>Ascendant Edt</v>
          </cell>
          <cell r="D999">
            <v>28</v>
          </cell>
          <cell r="E999">
            <v>1797</v>
          </cell>
          <cell r="F999">
            <v>2240</v>
          </cell>
          <cell r="G999">
            <v>2240</v>
          </cell>
          <cell r="H999">
            <v>2800</v>
          </cell>
          <cell r="I999">
            <v>2800</v>
          </cell>
          <cell r="J999" t="str">
            <v>NO</v>
          </cell>
          <cell r="K999">
            <v>0</v>
          </cell>
          <cell r="L999" t="str">
            <v/>
          </cell>
          <cell r="M999" t="str">
            <v>NF</v>
          </cell>
          <cell r="N999" t="str">
            <v/>
          </cell>
          <cell r="O999" t="str">
            <v/>
          </cell>
        </row>
        <row r="1000">
          <cell r="B1000">
            <v>42502</v>
          </cell>
          <cell r="C1000" t="str">
            <v>Elvie EDT</v>
          </cell>
          <cell r="D1000">
            <v>22</v>
          </cell>
          <cell r="E1000">
            <v>1444</v>
          </cell>
          <cell r="F1000">
            <v>1800</v>
          </cell>
          <cell r="G1000">
            <v>1800</v>
          </cell>
          <cell r="H1000">
            <v>2250</v>
          </cell>
          <cell r="I1000">
            <v>2250</v>
          </cell>
          <cell r="J1000" t="str">
            <v>NO</v>
          </cell>
          <cell r="K1000">
            <v>0</v>
          </cell>
          <cell r="L1000" t="str">
            <v/>
          </cell>
          <cell r="M1000" t="str">
            <v>NF</v>
          </cell>
          <cell r="N1000" t="str">
            <v/>
          </cell>
          <cell r="O1000" t="str">
            <v/>
          </cell>
        </row>
        <row r="1001">
          <cell r="B1001">
            <v>42507</v>
          </cell>
          <cell r="C1001" t="str">
            <v>Eclat Femme EDT</v>
          </cell>
          <cell r="D1001">
            <v>33</v>
          </cell>
          <cell r="E1001">
            <v>2117</v>
          </cell>
          <cell r="F1001">
            <v>2640</v>
          </cell>
          <cell r="G1001">
            <v>2640</v>
          </cell>
          <cell r="H1001">
            <v>3300</v>
          </cell>
          <cell r="I1001">
            <v>3300</v>
          </cell>
          <cell r="J1001" t="str">
            <v>NO</v>
          </cell>
          <cell r="K1001">
            <v>0</v>
          </cell>
          <cell r="L1001" t="str">
            <v/>
          </cell>
          <cell r="M1001" t="str">
            <v>NF</v>
          </cell>
          <cell r="N1001" t="str">
            <v/>
          </cell>
          <cell r="O1001" t="str">
            <v/>
          </cell>
        </row>
        <row r="1002">
          <cell r="B1002">
            <v>42519</v>
          </cell>
          <cell r="C1002" t="str">
            <v>Possess EDP</v>
          </cell>
          <cell r="D1002">
            <v>43</v>
          </cell>
          <cell r="E1002">
            <v>2759</v>
          </cell>
          <cell r="F1002">
            <v>3440</v>
          </cell>
          <cell r="G1002">
            <v>3440</v>
          </cell>
          <cell r="H1002">
            <v>4300</v>
          </cell>
          <cell r="I1002">
            <v>4300</v>
          </cell>
          <cell r="J1002" t="str">
            <v>NO</v>
          </cell>
          <cell r="K1002">
            <v>0</v>
          </cell>
          <cell r="L1002" t="str">
            <v/>
          </cell>
          <cell r="M1002" t="str">
            <v>NF</v>
          </cell>
          <cell r="N1002" t="str">
            <v/>
          </cell>
          <cell r="O1002" t="str">
            <v/>
          </cell>
        </row>
        <row r="1003">
          <cell r="B1003">
            <v>42520</v>
          </cell>
          <cell r="C1003" t="str">
            <v>Lucia Bright Aura Edt</v>
          </cell>
          <cell r="D1003">
            <v>22</v>
          </cell>
          <cell r="E1003">
            <v>1444</v>
          </cell>
          <cell r="F1003">
            <v>1800</v>
          </cell>
          <cell r="G1003">
            <v>1800</v>
          </cell>
          <cell r="H1003">
            <v>2250</v>
          </cell>
          <cell r="I1003">
            <v>2250</v>
          </cell>
          <cell r="J1003" t="str">
            <v>NO</v>
          </cell>
          <cell r="K1003">
            <v>0</v>
          </cell>
          <cell r="L1003" t="str">
            <v/>
          </cell>
          <cell r="M1003" t="str">
            <v>NF</v>
          </cell>
          <cell r="N1003" t="str">
            <v/>
          </cell>
          <cell r="O1003" t="str">
            <v/>
          </cell>
        </row>
        <row r="1004">
          <cell r="B1004">
            <v>42726</v>
          </cell>
          <cell r="C1004" t="str">
            <v xml:space="preserve">Debonair Eau de Toilette </v>
          </cell>
          <cell r="D1004">
            <v>33</v>
          </cell>
          <cell r="E1004">
            <v>2117</v>
          </cell>
          <cell r="F1004">
            <v>2640</v>
          </cell>
          <cell r="G1004">
            <v>2640</v>
          </cell>
          <cell r="H1004">
            <v>3300</v>
          </cell>
          <cell r="I1004">
            <v>3300</v>
          </cell>
          <cell r="J1004" t="str">
            <v>NO</v>
          </cell>
          <cell r="K1004">
            <v>0</v>
          </cell>
          <cell r="L1004" t="str">
            <v/>
          </cell>
          <cell r="M1004" t="str">
            <v>NF</v>
          </cell>
          <cell r="N1004" t="str">
            <v/>
          </cell>
          <cell r="O1004" t="str">
            <v/>
          </cell>
        </row>
        <row r="1005">
          <cell r="B1005">
            <v>42816</v>
          </cell>
          <cell r="C1005" t="str">
            <v>Glacier Rock Eau de Toilette</v>
          </cell>
          <cell r="D1005">
            <v>17</v>
          </cell>
          <cell r="E1005">
            <v>1123</v>
          </cell>
          <cell r="F1005">
            <v>1400</v>
          </cell>
          <cell r="G1005">
            <v>1400</v>
          </cell>
          <cell r="H1005">
            <v>1750</v>
          </cell>
          <cell r="I1005">
            <v>1750</v>
          </cell>
          <cell r="J1005" t="str">
            <v>NO</v>
          </cell>
          <cell r="K1005">
            <v>0</v>
          </cell>
          <cell r="L1005" t="str">
            <v/>
          </cell>
          <cell r="M1005" t="str">
            <v>NF</v>
          </cell>
          <cell r="N1005" t="str">
            <v/>
          </cell>
          <cell r="O1005" t="str">
            <v/>
          </cell>
        </row>
        <row r="1006">
          <cell r="B1006">
            <v>42837</v>
          </cell>
          <cell r="C1006" t="str">
            <v>Mister Giordani Aqua EDT</v>
          </cell>
          <cell r="D1006">
            <v>33</v>
          </cell>
          <cell r="E1006">
            <v>2117</v>
          </cell>
          <cell r="F1006">
            <v>2640</v>
          </cell>
          <cell r="G1006">
            <v>2640</v>
          </cell>
          <cell r="H1006">
            <v>3300</v>
          </cell>
          <cell r="I1006">
            <v>3300</v>
          </cell>
          <cell r="J1006" t="str">
            <v>NO</v>
          </cell>
          <cell r="K1006">
            <v>0</v>
          </cell>
          <cell r="L1006" t="str">
            <v/>
          </cell>
          <cell r="M1006" t="str">
            <v>NF</v>
          </cell>
          <cell r="N1006" t="str">
            <v/>
          </cell>
          <cell r="O1006" t="str">
            <v/>
          </cell>
        </row>
        <row r="1007">
          <cell r="B1007">
            <v>42864</v>
          </cell>
          <cell r="C1007" t="str">
            <v>Eclat Homme EdT</v>
          </cell>
          <cell r="D1007">
            <v>33</v>
          </cell>
          <cell r="E1007">
            <v>2117</v>
          </cell>
          <cell r="F1007">
            <v>2640</v>
          </cell>
          <cell r="G1007">
            <v>2640</v>
          </cell>
          <cell r="H1007">
            <v>3300</v>
          </cell>
          <cell r="I1007">
            <v>3300</v>
          </cell>
          <cell r="J1007" t="str">
            <v>NO</v>
          </cell>
          <cell r="K1007">
            <v>0</v>
          </cell>
          <cell r="L1007" t="str">
            <v/>
          </cell>
          <cell r="M1007" t="str">
            <v>NF</v>
          </cell>
          <cell r="N1007" t="str">
            <v/>
          </cell>
          <cell r="O1007" t="str">
            <v/>
          </cell>
        </row>
        <row r="1008">
          <cell r="B1008">
            <v>42968</v>
          </cell>
          <cell r="C1008" t="str">
            <v>Possess Absolute EDP</v>
          </cell>
          <cell r="D1008">
            <v>43</v>
          </cell>
          <cell r="E1008">
            <v>2759</v>
          </cell>
          <cell r="F1008">
            <v>3440</v>
          </cell>
          <cell r="G1008">
            <v>3440</v>
          </cell>
          <cell r="H1008">
            <v>4300</v>
          </cell>
          <cell r="I1008">
            <v>4300</v>
          </cell>
          <cell r="J1008" t="str">
            <v>NO</v>
          </cell>
          <cell r="K1008">
            <v>0</v>
          </cell>
          <cell r="L1008" t="str">
            <v/>
          </cell>
          <cell r="M1008" t="str">
            <v>NF</v>
          </cell>
          <cell r="N1008" t="str">
            <v/>
          </cell>
          <cell r="O1008" t="str">
            <v/>
          </cell>
        </row>
        <row r="1009">
          <cell r="B1009">
            <v>43662</v>
          </cell>
          <cell r="C1009" t="str">
            <v>Amber Elixir EDP Purse Spray</v>
          </cell>
          <cell r="D1009">
            <v>9</v>
          </cell>
          <cell r="E1009">
            <v>609</v>
          </cell>
          <cell r="F1009">
            <v>760</v>
          </cell>
          <cell r="G1009">
            <v>760</v>
          </cell>
          <cell r="H1009">
            <v>950</v>
          </cell>
          <cell r="I1009">
            <v>950</v>
          </cell>
          <cell r="J1009" t="str">
            <v>NO</v>
          </cell>
          <cell r="K1009">
            <v>0</v>
          </cell>
          <cell r="L1009" t="str">
            <v/>
          </cell>
          <cell r="M1009" t="str">
            <v>NF</v>
          </cell>
          <cell r="N1009" t="str">
            <v/>
          </cell>
          <cell r="O1009" t="str">
            <v/>
          </cell>
        </row>
        <row r="1010">
          <cell r="B1010">
            <v>43663</v>
          </cell>
          <cell r="C1010" t="str">
            <v>Possess EDP Purse Spray</v>
          </cell>
          <cell r="D1010">
            <v>9</v>
          </cell>
          <cell r="E1010">
            <v>609</v>
          </cell>
          <cell r="F1010">
            <v>760</v>
          </cell>
          <cell r="G1010">
            <v>760</v>
          </cell>
          <cell r="H1010">
            <v>950</v>
          </cell>
          <cell r="I1010">
            <v>950</v>
          </cell>
          <cell r="J1010" t="str">
            <v>NO</v>
          </cell>
          <cell r="K1010">
            <v>0</v>
          </cell>
          <cell r="L1010" t="str">
            <v/>
          </cell>
          <cell r="M1010" t="str">
            <v>NF</v>
          </cell>
          <cell r="N1010" t="str">
            <v/>
          </cell>
          <cell r="O1010" t="str">
            <v/>
          </cell>
        </row>
        <row r="1011">
          <cell r="B1011">
            <v>44288</v>
          </cell>
          <cell r="C1011" t="str">
            <v>OH! SWEET DULCE DE LECHE EDT</v>
          </cell>
          <cell r="D1011">
            <v>17</v>
          </cell>
          <cell r="E1011">
            <v>1123</v>
          </cell>
          <cell r="F1011">
            <v>1400</v>
          </cell>
          <cell r="G1011">
            <v>1400</v>
          </cell>
          <cell r="H1011">
            <v>1750</v>
          </cell>
          <cell r="I1011">
            <v>1750</v>
          </cell>
          <cell r="J1011" t="str">
            <v>NO</v>
          </cell>
          <cell r="K1011">
            <v>0</v>
          </cell>
          <cell r="L1011" t="str">
            <v/>
          </cell>
          <cell r="M1011" t="str">
            <v>NF</v>
          </cell>
          <cell r="N1011" t="str">
            <v/>
          </cell>
          <cell r="O1011" t="str">
            <v/>
          </cell>
        </row>
        <row r="1012">
          <cell r="B1012">
            <v>44307</v>
          </cell>
          <cell r="C1012" t="str">
            <v>Venture Unlimited Eau de Toilette</v>
          </cell>
          <cell r="D1012">
            <v>17</v>
          </cell>
          <cell r="E1012">
            <v>1123</v>
          </cell>
          <cell r="F1012">
            <v>1400</v>
          </cell>
          <cell r="G1012">
            <v>1400</v>
          </cell>
          <cell r="H1012">
            <v>1750</v>
          </cell>
          <cell r="I1012">
            <v>1750</v>
          </cell>
          <cell r="J1012" t="str">
            <v>NO</v>
          </cell>
          <cell r="K1012">
            <v>0</v>
          </cell>
          <cell r="L1012" t="str">
            <v/>
          </cell>
          <cell r="M1012" t="str">
            <v>NF</v>
          </cell>
          <cell r="N1012" t="str">
            <v/>
          </cell>
          <cell r="O1012" t="str">
            <v/>
          </cell>
        </row>
        <row r="1013">
          <cell r="B1013">
            <v>44308</v>
          </cell>
          <cell r="C1013" t="str">
            <v>Venture Power Eau de Toilette</v>
          </cell>
          <cell r="D1013">
            <v>17</v>
          </cell>
          <cell r="E1013">
            <v>1123</v>
          </cell>
          <cell r="F1013">
            <v>1400</v>
          </cell>
          <cell r="G1013">
            <v>1400</v>
          </cell>
          <cell r="H1013">
            <v>1750</v>
          </cell>
          <cell r="I1013">
            <v>1750</v>
          </cell>
          <cell r="J1013" t="str">
            <v>NO</v>
          </cell>
          <cell r="K1013">
            <v>0</v>
          </cell>
          <cell r="L1013" t="str">
            <v/>
          </cell>
          <cell r="M1013" t="str">
            <v>NF</v>
          </cell>
          <cell r="N1013" t="str">
            <v/>
          </cell>
          <cell r="O1013" t="str">
            <v/>
          </cell>
        </row>
        <row r="1014">
          <cell r="B1014">
            <v>44327</v>
          </cell>
          <cell r="C1014" t="str">
            <v>Women's Collection Osmanthus ...Toilette</v>
          </cell>
          <cell r="D1014">
            <v>17</v>
          </cell>
          <cell r="E1014">
            <v>1123</v>
          </cell>
          <cell r="F1014">
            <v>1400</v>
          </cell>
          <cell r="G1014">
            <v>1400</v>
          </cell>
          <cell r="H1014">
            <v>1750</v>
          </cell>
          <cell r="I1014">
            <v>1750</v>
          </cell>
          <cell r="J1014" t="str">
            <v>NO</v>
          </cell>
          <cell r="K1014">
            <v>0</v>
          </cell>
          <cell r="L1014" t="str">
            <v/>
          </cell>
          <cell r="M1014" t="str">
            <v>NF</v>
          </cell>
          <cell r="N1014" t="str">
            <v/>
          </cell>
          <cell r="O1014" t="str">
            <v/>
          </cell>
        </row>
        <row r="1015">
          <cell r="B1015">
            <v>44328</v>
          </cell>
          <cell r="C1015" t="str">
            <v>Men's Collection Wild Green E...Toilette</v>
          </cell>
          <cell r="D1015">
            <v>17</v>
          </cell>
          <cell r="E1015">
            <v>1123</v>
          </cell>
          <cell r="F1015">
            <v>1400</v>
          </cell>
          <cell r="G1015">
            <v>1400</v>
          </cell>
          <cell r="H1015">
            <v>1750</v>
          </cell>
          <cell r="I1015">
            <v>1750</v>
          </cell>
          <cell r="J1015" t="str">
            <v>NO</v>
          </cell>
          <cell r="K1015">
            <v>0</v>
          </cell>
          <cell r="L1015" t="str">
            <v/>
          </cell>
          <cell r="M1015" t="str">
            <v>NF</v>
          </cell>
          <cell r="N1015" t="str">
            <v/>
          </cell>
          <cell r="O1015" t="str">
            <v/>
          </cell>
        </row>
        <row r="1016">
          <cell r="B1016">
            <v>45357</v>
          </cell>
          <cell r="C1016" t="str">
            <v xml:space="preserve">Possess Absolute Man Eau de Parfum </v>
          </cell>
          <cell r="D1016">
            <v>43</v>
          </cell>
          <cell r="E1016">
            <v>2759</v>
          </cell>
          <cell r="F1016">
            <v>3440</v>
          </cell>
          <cell r="G1016">
            <v>3440</v>
          </cell>
          <cell r="H1016">
            <v>4300</v>
          </cell>
          <cell r="I1016">
            <v>4300</v>
          </cell>
          <cell r="J1016" t="str">
            <v>NO</v>
          </cell>
          <cell r="K1016">
            <v>0</v>
          </cell>
          <cell r="L1016" t="str">
            <v/>
          </cell>
          <cell r="M1016" t="str">
            <v>NF</v>
          </cell>
          <cell r="N1016" t="str">
            <v/>
          </cell>
          <cell r="O1016" t="str">
            <v/>
          </cell>
        </row>
        <row r="1017">
          <cell r="B1017">
            <v>45382</v>
          </cell>
          <cell r="C1017" t="str">
            <v xml:space="preserve">Venture Eau de Toilette </v>
          </cell>
          <cell r="D1017">
            <v>17</v>
          </cell>
          <cell r="E1017">
            <v>1123</v>
          </cell>
          <cell r="F1017">
            <v>1400</v>
          </cell>
          <cell r="G1017">
            <v>1400</v>
          </cell>
          <cell r="H1017">
            <v>1750</v>
          </cell>
          <cell r="I1017">
            <v>1750</v>
          </cell>
          <cell r="J1017" t="str">
            <v>NO</v>
          </cell>
          <cell r="K1017">
            <v>0</v>
          </cell>
          <cell r="L1017" t="str">
            <v/>
          </cell>
          <cell r="M1017" t="str">
            <v>NF</v>
          </cell>
          <cell r="N1017" t="str">
            <v/>
          </cell>
          <cell r="O1017" t="str">
            <v/>
          </cell>
        </row>
        <row r="1018">
          <cell r="B1018">
            <v>45890</v>
          </cell>
          <cell r="C1018" t="str">
            <v>Excite for him EDT</v>
          </cell>
          <cell r="D1018">
            <v>28</v>
          </cell>
          <cell r="E1018">
            <v>1797</v>
          </cell>
          <cell r="F1018">
            <v>2240</v>
          </cell>
          <cell r="G1018">
            <v>2240</v>
          </cell>
          <cell r="H1018">
            <v>2800</v>
          </cell>
          <cell r="I1018">
            <v>2800</v>
          </cell>
          <cell r="J1018" t="str">
            <v>NO</v>
          </cell>
          <cell r="K1018">
            <v>0</v>
          </cell>
          <cell r="L1018" t="str">
            <v/>
          </cell>
          <cell r="M1018" t="str">
            <v>NF</v>
          </cell>
          <cell r="N1018" t="str">
            <v/>
          </cell>
          <cell r="O1018" t="str">
            <v/>
          </cell>
        </row>
        <row r="1019">
          <cell r="B1019">
            <v>46062</v>
          </cell>
          <cell r="C1019" t="str">
            <v>ECLAT Amour Intensité EDT</v>
          </cell>
          <cell r="D1019">
            <v>22</v>
          </cell>
          <cell r="E1019">
            <v>1444</v>
          </cell>
          <cell r="F1019">
            <v>1800</v>
          </cell>
          <cell r="G1019">
            <v>1800</v>
          </cell>
          <cell r="H1019">
            <v>2250</v>
          </cell>
          <cell r="I1019">
            <v>2250</v>
          </cell>
          <cell r="J1019" t="str">
            <v>NO</v>
          </cell>
          <cell r="K1019">
            <v>0</v>
          </cell>
          <cell r="L1019" t="str">
            <v/>
          </cell>
          <cell r="M1019" t="str">
            <v>NF</v>
          </cell>
          <cell r="N1019" t="str">
            <v/>
          </cell>
          <cell r="O1019" t="str">
            <v/>
          </cell>
        </row>
        <row r="1020">
          <cell r="B1020">
            <v>46063</v>
          </cell>
          <cell r="C1020" t="str">
            <v xml:space="preserve">ECLAT Toujours Intensité EDT </v>
          </cell>
          <cell r="D1020">
            <v>22</v>
          </cell>
          <cell r="E1020">
            <v>1444</v>
          </cell>
          <cell r="F1020">
            <v>1800</v>
          </cell>
          <cell r="G1020">
            <v>1800</v>
          </cell>
          <cell r="H1020">
            <v>2250</v>
          </cell>
          <cell r="I1020">
            <v>2250</v>
          </cell>
          <cell r="J1020" t="str">
            <v>NO</v>
          </cell>
          <cell r="K1020">
            <v>0</v>
          </cell>
          <cell r="L1020" t="str">
            <v/>
          </cell>
          <cell r="M1020" t="str">
            <v>NF</v>
          </cell>
          <cell r="N1020" t="str">
            <v/>
          </cell>
          <cell r="O1020" t="str">
            <v/>
          </cell>
        </row>
        <row r="1021">
          <cell r="B1021">
            <v>46217</v>
          </cell>
          <cell r="C1021" t="str">
            <v>Eclat Mademoiselle Eau de Toilette</v>
          </cell>
          <cell r="D1021">
            <v>22</v>
          </cell>
          <cell r="E1021">
            <v>1444</v>
          </cell>
          <cell r="F1021">
            <v>1800</v>
          </cell>
          <cell r="G1021">
            <v>1800</v>
          </cell>
          <cell r="H1021">
            <v>2250</v>
          </cell>
          <cell r="I1021">
            <v>2250</v>
          </cell>
          <cell r="J1021" t="str">
            <v>NO</v>
          </cell>
          <cell r="K1021">
            <v>0</v>
          </cell>
          <cell r="L1021" t="str">
            <v/>
          </cell>
          <cell r="M1021" t="str">
            <v>NF</v>
          </cell>
          <cell r="N1021" t="str">
            <v/>
          </cell>
          <cell r="O1021" t="str">
            <v/>
          </cell>
        </row>
        <row r="1022">
          <cell r="B1022">
            <v>35890</v>
          </cell>
          <cell r="C1022" t="str">
            <v>Beautanicals Repairing Conditioner</v>
          </cell>
          <cell r="D1022">
            <v>10</v>
          </cell>
          <cell r="E1022">
            <v>642</v>
          </cell>
          <cell r="F1022">
            <v>800</v>
          </cell>
          <cell r="G1022">
            <v>800</v>
          </cell>
          <cell r="H1022">
            <v>1000</v>
          </cell>
          <cell r="I1022">
            <v>1000</v>
          </cell>
          <cell r="J1022" t="str">
            <v>NO</v>
          </cell>
          <cell r="K1022">
            <v>0</v>
          </cell>
          <cell r="L1022" t="str">
            <v/>
          </cell>
          <cell r="M1022" t="str">
            <v>NF</v>
          </cell>
          <cell r="N1022" t="str">
            <v/>
          </cell>
          <cell r="O1022" t="str">
            <v/>
          </cell>
        </row>
        <row r="1023">
          <cell r="B1023">
            <v>35891</v>
          </cell>
          <cell r="C1023" t="str">
            <v>Beautanicals Repairing Shampoo</v>
          </cell>
          <cell r="D1023">
            <v>10</v>
          </cell>
          <cell r="E1023">
            <v>642</v>
          </cell>
          <cell r="F1023">
            <v>800</v>
          </cell>
          <cell r="G1023">
            <v>800</v>
          </cell>
          <cell r="H1023">
            <v>1000</v>
          </cell>
          <cell r="I1023">
            <v>1000</v>
          </cell>
          <cell r="J1023" t="str">
            <v>NO</v>
          </cell>
          <cell r="K1023">
            <v>0</v>
          </cell>
          <cell r="L1023" t="str">
            <v/>
          </cell>
          <cell r="M1023" t="str">
            <v>NF</v>
          </cell>
          <cell r="N1023" t="str">
            <v/>
          </cell>
          <cell r="O1023" t="str">
            <v/>
          </cell>
        </row>
        <row r="1024">
          <cell r="B1024">
            <v>38599</v>
          </cell>
          <cell r="C1024" t="str">
            <v>Eleo Oil Infused Mask</v>
          </cell>
          <cell r="D1024">
            <v>15</v>
          </cell>
          <cell r="E1024">
            <v>962</v>
          </cell>
          <cell r="F1024">
            <v>1200</v>
          </cell>
          <cell r="G1024">
            <v>1200</v>
          </cell>
          <cell r="H1024">
            <v>1500</v>
          </cell>
          <cell r="I1024">
            <v>1500</v>
          </cell>
          <cell r="J1024" t="str">
            <v>NO</v>
          </cell>
          <cell r="K1024">
            <v>0</v>
          </cell>
          <cell r="L1024" t="str">
            <v/>
          </cell>
          <cell r="M1024" t="str">
            <v>NF</v>
          </cell>
          <cell r="N1024" t="str">
            <v/>
          </cell>
          <cell r="O1024" t="str">
            <v/>
          </cell>
        </row>
        <row r="1025">
          <cell r="B1025">
            <v>38600</v>
          </cell>
          <cell r="C1025" t="str">
            <v>Eleo Instant Nourishing Oil</v>
          </cell>
          <cell r="D1025">
            <v>19</v>
          </cell>
          <cell r="E1025">
            <v>1251</v>
          </cell>
          <cell r="F1025">
            <v>1560</v>
          </cell>
          <cell r="G1025">
            <v>1560</v>
          </cell>
          <cell r="H1025">
            <v>1950</v>
          </cell>
          <cell r="I1025">
            <v>1950</v>
          </cell>
          <cell r="J1025" t="str">
            <v>NO</v>
          </cell>
          <cell r="K1025">
            <v>0</v>
          </cell>
          <cell r="L1025" t="str">
            <v/>
          </cell>
          <cell r="M1025" t="str">
            <v>NF</v>
          </cell>
          <cell r="N1025" t="str">
            <v/>
          </cell>
          <cell r="O1025" t="str">
            <v/>
          </cell>
        </row>
        <row r="1026">
          <cell r="B1026">
            <v>38602</v>
          </cell>
          <cell r="C1026" t="str">
            <v>Eleo Repairing Overnight Hair Oil</v>
          </cell>
          <cell r="D1026">
            <v>19</v>
          </cell>
          <cell r="E1026">
            <v>1251</v>
          </cell>
          <cell r="F1026">
            <v>1560</v>
          </cell>
          <cell r="G1026">
            <v>1560</v>
          </cell>
          <cell r="H1026">
            <v>1950</v>
          </cell>
          <cell r="I1026">
            <v>1950</v>
          </cell>
          <cell r="J1026" t="str">
            <v>NO</v>
          </cell>
          <cell r="K1026">
            <v>0</v>
          </cell>
          <cell r="L1026" t="str">
            <v/>
          </cell>
          <cell r="M1026" t="str">
            <v>NF</v>
          </cell>
          <cell r="N1026" t="str">
            <v/>
          </cell>
          <cell r="O1026" t="str">
            <v/>
          </cell>
        </row>
        <row r="1027">
          <cell r="B1027">
            <v>41312</v>
          </cell>
          <cell r="C1027" t="str">
            <v xml:space="preserve">LN Hair Mask Repairing Papaya </v>
          </cell>
          <cell r="D1027">
            <v>3</v>
          </cell>
          <cell r="E1027">
            <v>186</v>
          </cell>
          <cell r="F1027">
            <v>232</v>
          </cell>
          <cell r="G1027">
            <v>232</v>
          </cell>
          <cell r="H1027">
            <v>290</v>
          </cell>
          <cell r="I1027">
            <v>290</v>
          </cell>
          <cell r="J1027" t="str">
            <v>NO</v>
          </cell>
          <cell r="K1027">
            <v>0</v>
          </cell>
          <cell r="L1027" t="str">
            <v/>
          </cell>
          <cell r="M1027" t="str">
            <v>NF</v>
          </cell>
          <cell r="N1027" t="str">
            <v/>
          </cell>
          <cell r="O1027" t="str">
            <v/>
          </cell>
        </row>
        <row r="1028">
          <cell r="B1028">
            <v>41359</v>
          </cell>
          <cell r="C1028" t="str">
            <v xml:space="preserve">LN Tea Tree &amp; Aloe Vera Shampoo </v>
          </cell>
          <cell r="D1028">
            <v>8</v>
          </cell>
          <cell r="E1028">
            <v>526</v>
          </cell>
          <cell r="F1028">
            <v>656</v>
          </cell>
          <cell r="G1028">
            <v>656</v>
          </cell>
          <cell r="H1028">
            <v>820</v>
          </cell>
          <cell r="I1028">
            <v>820</v>
          </cell>
          <cell r="J1028" t="str">
            <v>NO</v>
          </cell>
          <cell r="K1028">
            <v>0</v>
          </cell>
          <cell r="L1028" t="str">
            <v/>
          </cell>
          <cell r="M1028" t="str">
            <v>NF</v>
          </cell>
          <cell r="N1028" t="str">
            <v/>
          </cell>
          <cell r="O1028" t="str">
            <v/>
          </cell>
        </row>
        <row r="1029">
          <cell r="B1029">
            <v>41360</v>
          </cell>
          <cell r="C1029" t="str">
            <v>LN Avocado &amp; Chamomile 2-in-1</v>
          </cell>
          <cell r="D1029">
            <v>8</v>
          </cell>
          <cell r="E1029">
            <v>526</v>
          </cell>
          <cell r="F1029">
            <v>656</v>
          </cell>
          <cell r="G1029">
            <v>656</v>
          </cell>
          <cell r="H1029">
            <v>820</v>
          </cell>
          <cell r="I1029">
            <v>820</v>
          </cell>
          <cell r="J1029" t="str">
            <v>NO</v>
          </cell>
          <cell r="K1029">
            <v>0</v>
          </cell>
          <cell r="L1029" t="str">
            <v/>
          </cell>
          <cell r="M1029" t="str">
            <v>NF</v>
          </cell>
          <cell r="N1029" t="str">
            <v/>
          </cell>
          <cell r="O1029" t="str">
            <v/>
          </cell>
        </row>
        <row r="1030">
          <cell r="B1030">
            <v>43154</v>
          </cell>
          <cell r="C1030" t="str">
            <v>LN Hair Mask Nourishing Avocado</v>
          </cell>
          <cell r="D1030">
            <v>3</v>
          </cell>
          <cell r="E1030">
            <v>186</v>
          </cell>
          <cell r="F1030">
            <v>232</v>
          </cell>
          <cell r="G1030">
            <v>232</v>
          </cell>
          <cell r="H1030">
            <v>290</v>
          </cell>
          <cell r="I1030">
            <v>290</v>
          </cell>
          <cell r="J1030" t="str">
            <v>NO</v>
          </cell>
          <cell r="K1030">
            <v>0</v>
          </cell>
          <cell r="L1030" t="str">
            <v/>
          </cell>
          <cell r="M1030" t="str">
            <v>NF</v>
          </cell>
          <cell r="N1030" t="str">
            <v/>
          </cell>
          <cell r="O1030" t="str">
            <v/>
          </cell>
        </row>
        <row r="1031">
          <cell r="B1031">
            <v>43624</v>
          </cell>
          <cell r="C1031" t="str">
            <v>LN Lemon &amp; Mint conditioner</v>
          </cell>
          <cell r="D1031">
            <v>8</v>
          </cell>
          <cell r="E1031">
            <v>526</v>
          </cell>
          <cell r="F1031">
            <v>656</v>
          </cell>
          <cell r="G1031">
            <v>656</v>
          </cell>
          <cell r="H1031">
            <v>820</v>
          </cell>
          <cell r="I1031">
            <v>820</v>
          </cell>
          <cell r="J1031" t="str">
            <v>NO</v>
          </cell>
          <cell r="K1031">
            <v>0</v>
          </cell>
          <cell r="L1031" t="str">
            <v/>
          </cell>
          <cell r="M1031" t="str">
            <v>NF</v>
          </cell>
          <cell r="N1031" t="str">
            <v/>
          </cell>
          <cell r="O1031" t="str">
            <v/>
          </cell>
        </row>
        <row r="1032">
          <cell r="B1032">
            <v>46371</v>
          </cell>
          <cell r="C1032" t="str">
            <v>LN Up-Loved Leave-in Cond</v>
          </cell>
          <cell r="D1032">
            <v>8</v>
          </cell>
          <cell r="E1032">
            <v>526</v>
          </cell>
          <cell r="F1032">
            <v>656</v>
          </cell>
          <cell r="G1032">
            <v>656</v>
          </cell>
          <cell r="H1032">
            <v>820</v>
          </cell>
          <cell r="I1032">
            <v>820</v>
          </cell>
          <cell r="J1032" t="str">
            <v>NO</v>
          </cell>
          <cell r="K1032">
            <v>0</v>
          </cell>
          <cell r="L1032" t="str">
            <v/>
          </cell>
          <cell r="M1032" t="str">
            <v>NF</v>
          </cell>
          <cell r="N1032" t="str">
            <v/>
          </cell>
          <cell r="O1032" t="str">
            <v/>
          </cell>
        </row>
        <row r="1033">
          <cell r="B1033">
            <v>46383</v>
          </cell>
          <cell r="C1033" t="str">
            <v>LN Up-Loved Shampoo</v>
          </cell>
          <cell r="D1033">
            <v>8</v>
          </cell>
          <cell r="E1033">
            <v>526</v>
          </cell>
          <cell r="F1033">
            <v>656</v>
          </cell>
          <cell r="G1033">
            <v>656</v>
          </cell>
          <cell r="H1033">
            <v>820</v>
          </cell>
          <cell r="I1033">
            <v>820</v>
          </cell>
          <cell r="J1033" t="str">
            <v>NO</v>
          </cell>
          <cell r="K1033">
            <v>0</v>
          </cell>
          <cell r="L1033" t="str">
            <v/>
          </cell>
          <cell r="M1033" t="str">
            <v>NF</v>
          </cell>
          <cell r="N1033" t="str">
            <v/>
          </cell>
          <cell r="O1033" t="str">
            <v/>
          </cell>
        </row>
        <row r="1034">
          <cell r="B1034">
            <v>46497</v>
          </cell>
          <cell r="C1034" t="str">
            <v>Love Nature Tropical Blend HairMask</v>
          </cell>
          <cell r="D1034">
            <v>3</v>
          </cell>
          <cell r="E1034">
            <v>186</v>
          </cell>
          <cell r="F1034">
            <v>232</v>
          </cell>
          <cell r="G1034">
            <v>232</v>
          </cell>
          <cell r="H1034">
            <v>290</v>
          </cell>
          <cell r="I1034">
            <v>290</v>
          </cell>
          <cell r="J1034" t="str">
            <v>NO</v>
          </cell>
          <cell r="K1034">
            <v>0</v>
          </cell>
          <cell r="L1034" t="str">
            <v/>
          </cell>
          <cell r="M1034" t="str">
            <v>NF</v>
          </cell>
          <cell r="N1034" t="str">
            <v/>
          </cell>
          <cell r="O1034" t="str">
            <v/>
          </cell>
        </row>
        <row r="1035">
          <cell r="B1035">
            <v>31603</v>
          </cell>
          <cell r="C1035" t="str">
            <v>M&amp;H Gold  Liquid Hand Soap</v>
          </cell>
          <cell r="D1035">
            <v>7</v>
          </cell>
          <cell r="E1035">
            <v>481</v>
          </cell>
          <cell r="F1035">
            <v>600</v>
          </cell>
          <cell r="G1035">
            <v>600</v>
          </cell>
          <cell r="H1035">
            <v>750</v>
          </cell>
          <cell r="I1035">
            <v>750</v>
          </cell>
          <cell r="J1035" t="str">
            <v>NO</v>
          </cell>
          <cell r="K1035">
            <v>0</v>
          </cell>
          <cell r="L1035" t="str">
            <v/>
          </cell>
          <cell r="M1035" t="str">
            <v>NF</v>
          </cell>
          <cell r="N1035" t="str">
            <v/>
          </cell>
          <cell r="O1035" t="str">
            <v/>
          </cell>
        </row>
        <row r="1036">
          <cell r="B1036">
            <v>31698</v>
          </cell>
          <cell r="C1036" t="str">
            <v>Eclat Homme APD Spray</v>
          </cell>
          <cell r="D1036">
            <v>9</v>
          </cell>
          <cell r="E1036">
            <v>609</v>
          </cell>
          <cell r="F1036">
            <v>760</v>
          </cell>
          <cell r="G1036">
            <v>760</v>
          </cell>
          <cell r="H1036">
            <v>950</v>
          </cell>
          <cell r="I1036">
            <v>950</v>
          </cell>
          <cell r="J1036" t="str">
            <v>NO</v>
          </cell>
          <cell r="K1036">
            <v>0</v>
          </cell>
          <cell r="L1036" t="str">
            <v/>
          </cell>
          <cell r="M1036" t="str">
            <v>NF</v>
          </cell>
          <cell r="N1036" t="str">
            <v/>
          </cell>
          <cell r="O1036" t="str">
            <v/>
          </cell>
        </row>
        <row r="1037">
          <cell r="B1037">
            <v>33027</v>
          </cell>
          <cell r="C1037" t="str">
            <v>Feet Up ADV Cracked Heel Cream</v>
          </cell>
          <cell r="D1037">
            <v>9</v>
          </cell>
          <cell r="E1037">
            <v>577</v>
          </cell>
          <cell r="F1037">
            <v>720</v>
          </cell>
          <cell r="G1037">
            <v>720</v>
          </cell>
          <cell r="H1037">
            <v>900</v>
          </cell>
          <cell r="I1037">
            <v>900</v>
          </cell>
          <cell r="J1037" t="str">
            <v>NO</v>
          </cell>
          <cell r="K1037">
            <v>0</v>
          </cell>
          <cell r="L1037" t="str">
            <v/>
          </cell>
          <cell r="M1037" t="str">
            <v>NF</v>
          </cell>
          <cell r="N1037" t="str">
            <v/>
          </cell>
          <cell r="O1037" t="str">
            <v/>
          </cell>
        </row>
        <row r="1038">
          <cell r="B1038">
            <v>33028</v>
          </cell>
          <cell r="C1038" t="str">
            <v>Feet Up ADV Int Moisture Mask</v>
          </cell>
          <cell r="D1038">
            <v>10</v>
          </cell>
          <cell r="E1038">
            <v>642</v>
          </cell>
          <cell r="F1038">
            <v>800</v>
          </cell>
          <cell r="G1038">
            <v>800</v>
          </cell>
          <cell r="H1038">
            <v>1000</v>
          </cell>
          <cell r="I1038">
            <v>1000</v>
          </cell>
          <cell r="J1038" t="str">
            <v>NO</v>
          </cell>
          <cell r="K1038">
            <v>0</v>
          </cell>
          <cell r="L1038" t="str">
            <v/>
          </cell>
          <cell r="M1038" t="str">
            <v>NF</v>
          </cell>
          <cell r="N1038" t="str">
            <v/>
          </cell>
          <cell r="O1038" t="str">
            <v/>
          </cell>
        </row>
        <row r="1039">
          <cell r="B1039">
            <v>33033</v>
          </cell>
          <cell r="C1039" t="str">
            <v>Feet Up ADV Deep Exfoliating Cream</v>
          </cell>
          <cell r="D1039">
            <v>9</v>
          </cell>
          <cell r="E1039">
            <v>577</v>
          </cell>
          <cell r="F1039">
            <v>720</v>
          </cell>
          <cell r="G1039">
            <v>720</v>
          </cell>
          <cell r="H1039">
            <v>900</v>
          </cell>
          <cell r="I1039">
            <v>900</v>
          </cell>
          <cell r="J1039" t="str">
            <v>NO</v>
          </cell>
          <cell r="K1039">
            <v>0</v>
          </cell>
          <cell r="L1039" t="str">
            <v/>
          </cell>
          <cell r="M1039" t="str">
            <v>NF</v>
          </cell>
          <cell r="N1039" t="str">
            <v/>
          </cell>
          <cell r="O1039" t="str">
            <v/>
          </cell>
        </row>
        <row r="1040">
          <cell r="B1040">
            <v>33034</v>
          </cell>
          <cell r="C1040" t="str">
            <v>Feet Up ADV 36h APS Foot Spray</v>
          </cell>
          <cell r="D1040">
            <v>12</v>
          </cell>
          <cell r="E1040">
            <v>802</v>
          </cell>
          <cell r="F1040">
            <v>1000</v>
          </cell>
          <cell r="G1040">
            <v>1000</v>
          </cell>
          <cell r="H1040">
            <v>1250</v>
          </cell>
          <cell r="I1040">
            <v>1250</v>
          </cell>
          <cell r="J1040" t="str">
            <v>NO</v>
          </cell>
          <cell r="K1040">
            <v>0</v>
          </cell>
          <cell r="L1040" t="str">
            <v/>
          </cell>
          <cell r="M1040" t="str">
            <v>NF</v>
          </cell>
          <cell r="N1040" t="str">
            <v/>
          </cell>
          <cell r="O1040" t="str">
            <v/>
          </cell>
        </row>
        <row r="1041">
          <cell r="B1041">
            <v>33139</v>
          </cell>
          <cell r="C1041" t="str">
            <v>Activelle Comfort APD Roll-On</v>
          </cell>
          <cell r="D1041">
            <v>5</v>
          </cell>
          <cell r="E1041">
            <v>321</v>
          </cell>
          <cell r="F1041">
            <v>400</v>
          </cell>
          <cell r="G1041">
            <v>400</v>
          </cell>
          <cell r="H1041">
            <v>500</v>
          </cell>
          <cell r="I1041">
            <v>500</v>
          </cell>
          <cell r="J1041" t="str">
            <v>NO</v>
          </cell>
          <cell r="K1041">
            <v>0</v>
          </cell>
          <cell r="L1041" t="str">
            <v/>
          </cell>
          <cell r="M1041" t="str">
            <v>NF</v>
          </cell>
          <cell r="N1041" t="str">
            <v/>
          </cell>
          <cell r="O1041" t="str">
            <v/>
          </cell>
        </row>
        <row r="1042">
          <cell r="B1042">
            <v>33147</v>
          </cell>
          <cell r="C1042" t="str">
            <v>Activelle Extreme APD Spray</v>
          </cell>
          <cell r="D1042">
            <v>6</v>
          </cell>
          <cell r="E1042">
            <v>404</v>
          </cell>
          <cell r="F1042">
            <v>504</v>
          </cell>
          <cell r="G1042">
            <v>504</v>
          </cell>
          <cell r="H1042">
            <v>630</v>
          </cell>
          <cell r="I1042">
            <v>630</v>
          </cell>
          <cell r="J1042" t="str">
            <v>NO</v>
          </cell>
          <cell r="K1042">
            <v>0</v>
          </cell>
          <cell r="L1042" t="str">
            <v/>
          </cell>
          <cell r="M1042" t="str">
            <v>NF</v>
          </cell>
          <cell r="N1042" t="str">
            <v/>
          </cell>
          <cell r="O1042" t="str">
            <v/>
          </cell>
        </row>
        <row r="1043">
          <cell r="B1043">
            <v>34500</v>
          </cell>
          <cell r="C1043" t="str">
            <v>Feminelle Refreshing Intimate Wash</v>
          </cell>
          <cell r="D1043">
            <v>6</v>
          </cell>
          <cell r="E1043">
            <v>417</v>
          </cell>
          <cell r="F1043">
            <v>520</v>
          </cell>
          <cell r="G1043">
            <v>520</v>
          </cell>
          <cell r="H1043">
            <v>650</v>
          </cell>
          <cell r="I1043">
            <v>650</v>
          </cell>
          <cell r="J1043" t="str">
            <v>NO</v>
          </cell>
          <cell r="K1043">
            <v>0</v>
          </cell>
          <cell r="L1043" t="str">
            <v/>
          </cell>
          <cell r="M1043" t="str">
            <v>NF</v>
          </cell>
          <cell r="N1043" t="str">
            <v/>
          </cell>
          <cell r="O1043" t="str">
            <v/>
          </cell>
        </row>
        <row r="1044">
          <cell r="B1044">
            <v>35772</v>
          </cell>
          <cell r="C1044" t="str">
            <v>baby O' Multi-purpose Balm</v>
          </cell>
          <cell r="D1044">
            <v>5</v>
          </cell>
          <cell r="E1044">
            <v>352</v>
          </cell>
          <cell r="F1044">
            <v>439</v>
          </cell>
          <cell r="G1044">
            <v>439</v>
          </cell>
          <cell r="H1044">
            <v>549</v>
          </cell>
          <cell r="I1044">
            <v>549</v>
          </cell>
          <cell r="J1044" t="str">
            <v>NO</v>
          </cell>
          <cell r="K1044">
            <v>0</v>
          </cell>
          <cell r="L1044" t="str">
            <v/>
          </cell>
          <cell r="M1044" t="str">
            <v>NF</v>
          </cell>
          <cell r="N1044" t="str">
            <v/>
          </cell>
          <cell r="O1044" t="str">
            <v/>
          </cell>
        </row>
        <row r="1045">
          <cell r="B1045">
            <v>35773</v>
          </cell>
          <cell r="C1045" t="str">
            <v>baby O' Body Oil</v>
          </cell>
          <cell r="D1045">
            <v>8</v>
          </cell>
          <cell r="E1045">
            <v>513</v>
          </cell>
          <cell r="F1045">
            <v>639</v>
          </cell>
          <cell r="G1045">
            <v>639</v>
          </cell>
          <cell r="H1045">
            <v>799</v>
          </cell>
          <cell r="I1045">
            <v>799</v>
          </cell>
          <cell r="J1045" t="str">
            <v>NO</v>
          </cell>
          <cell r="K1045">
            <v>0</v>
          </cell>
          <cell r="L1045" t="str">
            <v/>
          </cell>
          <cell r="M1045" t="str">
            <v>NF</v>
          </cell>
          <cell r="N1045" t="str">
            <v/>
          </cell>
          <cell r="O1045" t="str">
            <v/>
          </cell>
        </row>
        <row r="1046">
          <cell r="B1046">
            <v>35775</v>
          </cell>
          <cell r="C1046" t="str">
            <v>baby O' Hair &amp; Body Wash</v>
          </cell>
          <cell r="D1046">
            <v>8</v>
          </cell>
          <cell r="E1046">
            <v>513</v>
          </cell>
          <cell r="F1046">
            <v>639</v>
          </cell>
          <cell r="G1046">
            <v>639</v>
          </cell>
          <cell r="H1046">
            <v>799</v>
          </cell>
          <cell r="I1046">
            <v>799</v>
          </cell>
          <cell r="J1046" t="str">
            <v>NO</v>
          </cell>
          <cell r="K1046">
            <v>0</v>
          </cell>
          <cell r="L1046" t="str">
            <v/>
          </cell>
          <cell r="M1046" t="str">
            <v>NF</v>
          </cell>
          <cell r="N1046" t="str">
            <v/>
          </cell>
          <cell r="O1046" t="str">
            <v/>
          </cell>
        </row>
        <row r="1047">
          <cell r="B1047">
            <v>35835</v>
          </cell>
          <cell r="C1047" t="str">
            <v>Feet Up RR Adv Oil-in-Serum</v>
          </cell>
          <cell r="D1047">
            <v>9</v>
          </cell>
          <cell r="E1047">
            <v>577</v>
          </cell>
          <cell r="F1047">
            <v>720</v>
          </cell>
          <cell r="G1047">
            <v>720</v>
          </cell>
          <cell r="H1047">
            <v>900</v>
          </cell>
          <cell r="I1047">
            <v>900</v>
          </cell>
          <cell r="J1047" t="str">
            <v>NO</v>
          </cell>
          <cell r="K1047">
            <v>0</v>
          </cell>
          <cell r="L1047" t="str">
            <v/>
          </cell>
          <cell r="M1047" t="str">
            <v>NF</v>
          </cell>
          <cell r="N1047" t="str">
            <v/>
          </cell>
          <cell r="O1047" t="str">
            <v/>
          </cell>
        </row>
        <row r="1048">
          <cell r="B1048">
            <v>35864</v>
          </cell>
          <cell r="C1048" t="str">
            <v>NovAge Men High Definition Shaving</v>
          </cell>
          <cell r="D1048">
            <v>15</v>
          </cell>
          <cell r="E1048">
            <v>994</v>
          </cell>
          <cell r="F1048">
            <v>1240</v>
          </cell>
          <cell r="G1048">
            <v>1240</v>
          </cell>
          <cell r="H1048">
            <v>1550</v>
          </cell>
          <cell r="I1048">
            <v>1550</v>
          </cell>
          <cell r="J1048" t="str">
            <v>NO</v>
          </cell>
          <cell r="K1048">
            <v>0</v>
          </cell>
          <cell r="L1048" t="str">
            <v/>
          </cell>
          <cell r="M1048" t="str">
            <v>NF</v>
          </cell>
          <cell r="N1048" t="str">
            <v/>
          </cell>
          <cell r="O1048" t="str">
            <v/>
          </cell>
        </row>
        <row r="1049">
          <cell r="B1049">
            <v>35870</v>
          </cell>
          <cell r="C1049" t="str">
            <v>NFM SubZero 2-in-1 Foam</v>
          </cell>
          <cell r="D1049">
            <v>8</v>
          </cell>
          <cell r="E1049">
            <v>513</v>
          </cell>
          <cell r="F1049">
            <v>640</v>
          </cell>
          <cell r="G1049">
            <v>640</v>
          </cell>
          <cell r="H1049">
            <v>800</v>
          </cell>
          <cell r="I1049">
            <v>800</v>
          </cell>
          <cell r="J1049" t="str">
            <v>NO</v>
          </cell>
          <cell r="K1049">
            <v>0</v>
          </cell>
          <cell r="L1049" t="str">
            <v/>
          </cell>
          <cell r="M1049" t="str">
            <v>NF</v>
          </cell>
          <cell r="N1049" t="str">
            <v/>
          </cell>
          <cell r="O1049" t="str">
            <v/>
          </cell>
        </row>
        <row r="1050">
          <cell r="B1050">
            <v>35878</v>
          </cell>
          <cell r="C1050" t="str">
            <v>NFM SubZero Hair &amp; Body Wash</v>
          </cell>
          <cell r="D1050">
            <v>8</v>
          </cell>
          <cell r="E1050">
            <v>513</v>
          </cell>
          <cell r="F1050">
            <v>640</v>
          </cell>
          <cell r="G1050">
            <v>640</v>
          </cell>
          <cell r="H1050">
            <v>800</v>
          </cell>
          <cell r="I1050">
            <v>800</v>
          </cell>
          <cell r="J1050" t="str">
            <v>NO</v>
          </cell>
          <cell r="K1050">
            <v>0</v>
          </cell>
          <cell r="L1050" t="str">
            <v/>
          </cell>
          <cell r="M1050" t="str">
            <v>NF</v>
          </cell>
          <cell r="N1050" t="str">
            <v/>
          </cell>
          <cell r="O1050" t="str">
            <v/>
          </cell>
        </row>
        <row r="1051">
          <cell r="B1051">
            <v>35887</v>
          </cell>
          <cell r="C1051" t="str">
            <v>NFM SubZero Soap Bar</v>
          </cell>
          <cell r="D1051">
            <v>3</v>
          </cell>
          <cell r="E1051">
            <v>186</v>
          </cell>
          <cell r="F1051">
            <v>232</v>
          </cell>
          <cell r="G1051">
            <v>232</v>
          </cell>
          <cell r="H1051">
            <v>290</v>
          </cell>
          <cell r="I1051">
            <v>290</v>
          </cell>
          <cell r="J1051" t="str">
            <v>NO</v>
          </cell>
          <cell r="K1051">
            <v>0</v>
          </cell>
          <cell r="L1051" t="str">
            <v/>
          </cell>
          <cell r="M1051" t="str">
            <v>NF</v>
          </cell>
          <cell r="N1051" t="str">
            <v/>
          </cell>
          <cell r="O1051" t="str">
            <v/>
          </cell>
        </row>
        <row r="1052">
          <cell r="B1052">
            <v>38873</v>
          </cell>
          <cell r="C1052" t="str">
            <v>Optifresh Sensitive Toothpaste</v>
          </cell>
          <cell r="D1052">
            <v>6</v>
          </cell>
          <cell r="E1052">
            <v>385</v>
          </cell>
          <cell r="F1052">
            <v>480</v>
          </cell>
          <cell r="G1052">
            <v>480</v>
          </cell>
          <cell r="H1052">
            <v>600</v>
          </cell>
          <cell r="I1052">
            <v>600</v>
          </cell>
          <cell r="J1052" t="str">
            <v>NO</v>
          </cell>
          <cell r="K1052">
            <v>0</v>
          </cell>
          <cell r="L1052" t="str">
            <v/>
          </cell>
          <cell r="M1052" t="str">
            <v>NF</v>
          </cell>
          <cell r="N1052" t="str">
            <v/>
          </cell>
          <cell r="O1052" t="str">
            <v/>
          </cell>
        </row>
        <row r="1053">
          <cell r="B1053">
            <v>40775</v>
          </cell>
          <cell r="C1053" t="str">
            <v>Love Nature Kids HBW Cheerful Apple</v>
          </cell>
          <cell r="D1053">
            <v>5</v>
          </cell>
          <cell r="E1053">
            <v>321</v>
          </cell>
          <cell r="F1053">
            <v>400</v>
          </cell>
          <cell r="G1053">
            <v>400</v>
          </cell>
          <cell r="H1053">
            <v>500</v>
          </cell>
          <cell r="I1053">
            <v>500</v>
          </cell>
          <cell r="J1053" t="str">
            <v>NO</v>
          </cell>
          <cell r="K1053">
            <v>0</v>
          </cell>
          <cell r="L1053" t="str">
            <v/>
          </cell>
          <cell r="M1053" t="str">
            <v>NF</v>
          </cell>
          <cell r="N1053" t="str">
            <v/>
          </cell>
          <cell r="O1053" t="str">
            <v/>
          </cell>
        </row>
        <row r="1054">
          <cell r="B1054">
            <v>40844</v>
          </cell>
          <cell r="C1054" t="str">
            <v>Love Nature Kids HBW Pla.Strawberry</v>
          </cell>
          <cell r="D1054">
            <v>5</v>
          </cell>
          <cell r="E1054">
            <v>321</v>
          </cell>
          <cell r="F1054">
            <v>400</v>
          </cell>
          <cell r="G1054">
            <v>400</v>
          </cell>
          <cell r="H1054">
            <v>500</v>
          </cell>
          <cell r="I1054">
            <v>500</v>
          </cell>
          <cell r="J1054" t="str">
            <v>NO</v>
          </cell>
          <cell r="K1054">
            <v>0</v>
          </cell>
          <cell r="L1054" t="str">
            <v/>
          </cell>
          <cell r="M1054" t="str">
            <v>NF</v>
          </cell>
          <cell r="N1054" t="str">
            <v/>
          </cell>
          <cell r="O1054" t="str">
            <v/>
          </cell>
        </row>
        <row r="1055">
          <cell r="B1055">
            <v>40845</v>
          </cell>
          <cell r="C1055" t="str">
            <v>Love Nature Kids SB Pla. Strawberry</v>
          </cell>
          <cell r="D1055">
            <v>2</v>
          </cell>
          <cell r="E1055">
            <v>147</v>
          </cell>
          <cell r="F1055">
            <v>184</v>
          </cell>
          <cell r="G1055">
            <v>184</v>
          </cell>
          <cell r="H1055">
            <v>230</v>
          </cell>
          <cell r="I1055">
            <v>230</v>
          </cell>
          <cell r="J1055" t="str">
            <v>NO</v>
          </cell>
          <cell r="K1055">
            <v>0</v>
          </cell>
          <cell r="L1055" t="str">
            <v/>
          </cell>
          <cell r="M1055" t="str">
            <v>NF</v>
          </cell>
          <cell r="N1055" t="str">
            <v/>
          </cell>
          <cell r="O1055" t="str">
            <v/>
          </cell>
        </row>
        <row r="1056">
          <cell r="B1056">
            <v>40877</v>
          </cell>
          <cell r="C1056" t="str">
            <v>Optifresh Kids Soft Toothbr</v>
          </cell>
          <cell r="D1056">
            <v>3</v>
          </cell>
          <cell r="E1056">
            <v>103</v>
          </cell>
          <cell r="F1056">
            <v>256</v>
          </cell>
          <cell r="G1056">
            <v>256</v>
          </cell>
          <cell r="H1056">
            <v>320</v>
          </cell>
          <cell r="I1056">
            <v>320</v>
          </cell>
          <cell r="J1056" t="str">
            <v>NO</v>
          </cell>
          <cell r="K1056">
            <v>0</v>
          </cell>
          <cell r="L1056" t="str">
            <v/>
          </cell>
          <cell r="M1056" t="str">
            <v>NF</v>
          </cell>
          <cell r="N1056" t="str">
            <v/>
          </cell>
          <cell r="O1056" t="str">
            <v/>
          </cell>
        </row>
        <row r="1057">
          <cell r="B1057">
            <v>41260</v>
          </cell>
          <cell r="C1057" t="str">
            <v>LN Caring Soap Bar</v>
          </cell>
          <cell r="D1057">
            <v>2</v>
          </cell>
          <cell r="E1057">
            <v>128</v>
          </cell>
          <cell r="F1057">
            <v>160</v>
          </cell>
          <cell r="G1057">
            <v>160</v>
          </cell>
          <cell r="H1057">
            <v>200</v>
          </cell>
          <cell r="I1057">
            <v>200</v>
          </cell>
          <cell r="J1057" t="str">
            <v>NO</v>
          </cell>
          <cell r="K1057">
            <v>0</v>
          </cell>
          <cell r="L1057" t="str">
            <v/>
          </cell>
          <cell r="M1057" t="str">
            <v>NF</v>
          </cell>
          <cell r="N1057" t="str">
            <v/>
          </cell>
          <cell r="O1057" t="str">
            <v/>
          </cell>
        </row>
        <row r="1058">
          <cell r="B1058">
            <v>41488</v>
          </cell>
          <cell r="C1058" t="str">
            <v>LN Nourishing Shower Cream</v>
          </cell>
          <cell r="D1058">
            <v>4</v>
          </cell>
          <cell r="E1058">
            <v>289</v>
          </cell>
          <cell r="F1058">
            <v>360</v>
          </cell>
          <cell r="G1058">
            <v>360</v>
          </cell>
          <cell r="H1058">
            <v>450</v>
          </cell>
          <cell r="I1058">
            <v>450</v>
          </cell>
          <cell r="J1058" t="str">
            <v>NO</v>
          </cell>
          <cell r="K1058">
            <v>0</v>
          </cell>
          <cell r="L1058" t="str">
            <v/>
          </cell>
          <cell r="M1058" t="str">
            <v>NF</v>
          </cell>
          <cell r="N1058" t="str">
            <v/>
          </cell>
          <cell r="O1058" t="str">
            <v/>
          </cell>
        </row>
        <row r="1059">
          <cell r="B1059">
            <v>41519</v>
          </cell>
          <cell r="C1059" t="str">
            <v>LN Caring Shower Cream</v>
          </cell>
          <cell r="D1059">
            <v>4</v>
          </cell>
          <cell r="E1059">
            <v>289</v>
          </cell>
          <cell r="F1059">
            <v>360</v>
          </cell>
          <cell r="G1059">
            <v>360</v>
          </cell>
          <cell r="H1059">
            <v>450</v>
          </cell>
          <cell r="I1059">
            <v>450</v>
          </cell>
          <cell r="J1059" t="str">
            <v>NO</v>
          </cell>
          <cell r="K1059">
            <v>0</v>
          </cell>
          <cell r="L1059" t="str">
            <v/>
          </cell>
          <cell r="M1059" t="str">
            <v>NF</v>
          </cell>
          <cell r="N1059" t="str">
            <v/>
          </cell>
          <cell r="O1059" t="str">
            <v/>
          </cell>
        </row>
        <row r="1060">
          <cell r="B1060">
            <v>42453</v>
          </cell>
          <cell r="C1060" t="str">
            <v>Optifresh Kids Soft Toothbrush - Pi</v>
          </cell>
          <cell r="D1060">
            <v>3</v>
          </cell>
          <cell r="E1060">
            <v>103</v>
          </cell>
          <cell r="F1060">
            <v>256</v>
          </cell>
          <cell r="G1060">
            <v>256</v>
          </cell>
          <cell r="H1060">
            <v>320</v>
          </cell>
          <cell r="I1060">
            <v>320</v>
          </cell>
          <cell r="J1060" t="str">
            <v>NO</v>
          </cell>
          <cell r="K1060">
            <v>0</v>
          </cell>
          <cell r="L1060" t="str">
            <v/>
          </cell>
          <cell r="M1060" t="str">
            <v>NF</v>
          </cell>
          <cell r="N1060" t="str">
            <v/>
          </cell>
          <cell r="O1060" t="str">
            <v/>
          </cell>
        </row>
        <row r="1061">
          <cell r="B1061">
            <v>42521</v>
          </cell>
          <cell r="C1061" t="str">
            <v>Possess Perfumed Body Spray</v>
          </cell>
          <cell r="D1061">
            <v>8</v>
          </cell>
          <cell r="E1061">
            <v>532</v>
          </cell>
          <cell r="F1061">
            <v>664</v>
          </cell>
          <cell r="G1061">
            <v>664</v>
          </cell>
          <cell r="H1061">
            <v>830</v>
          </cell>
          <cell r="I1061">
            <v>830</v>
          </cell>
          <cell r="J1061" t="str">
            <v>NO</v>
          </cell>
          <cell r="K1061">
            <v>0</v>
          </cell>
          <cell r="L1061" t="str">
            <v/>
          </cell>
          <cell r="M1061" t="str">
            <v>NF</v>
          </cell>
          <cell r="N1061" t="str">
            <v/>
          </cell>
          <cell r="O1061" t="str">
            <v/>
          </cell>
        </row>
        <row r="1062">
          <cell r="B1062">
            <v>43054</v>
          </cell>
          <cell r="C1062" t="str">
            <v>Feminelle Refreshing Wash Refill</v>
          </cell>
          <cell r="D1062">
            <v>4</v>
          </cell>
          <cell r="E1062">
            <v>289</v>
          </cell>
          <cell r="F1062">
            <v>360</v>
          </cell>
          <cell r="G1062">
            <v>360</v>
          </cell>
          <cell r="H1062">
            <v>450</v>
          </cell>
          <cell r="I1062">
            <v>450</v>
          </cell>
          <cell r="J1062" t="str">
            <v>NO</v>
          </cell>
          <cell r="K1062">
            <v>0</v>
          </cell>
          <cell r="L1062" t="str">
            <v/>
          </cell>
          <cell r="M1062" t="str">
            <v>NF</v>
          </cell>
          <cell r="N1062" t="str">
            <v/>
          </cell>
          <cell r="O1062" t="str">
            <v/>
          </cell>
        </row>
        <row r="1063">
          <cell r="B1063">
            <v>43111</v>
          </cell>
          <cell r="C1063" t="str">
            <v>LN Nourishing LHS</v>
          </cell>
          <cell r="D1063">
            <v>7</v>
          </cell>
          <cell r="E1063">
            <v>449</v>
          </cell>
          <cell r="F1063">
            <v>560</v>
          </cell>
          <cell r="G1063">
            <v>560</v>
          </cell>
          <cell r="H1063">
            <v>700</v>
          </cell>
          <cell r="I1063">
            <v>700</v>
          </cell>
          <cell r="J1063" t="str">
            <v>NO</v>
          </cell>
          <cell r="K1063">
            <v>0</v>
          </cell>
          <cell r="L1063" t="str">
            <v/>
          </cell>
          <cell r="M1063" t="str">
            <v>NF</v>
          </cell>
          <cell r="N1063" t="str">
            <v/>
          </cell>
          <cell r="O1063" t="str">
            <v/>
          </cell>
        </row>
        <row r="1064">
          <cell r="B1064">
            <v>43925</v>
          </cell>
          <cell r="C1064" t="str">
            <v>Activelle Even tone APD spray</v>
          </cell>
          <cell r="D1064">
            <v>6</v>
          </cell>
          <cell r="E1064">
            <v>404</v>
          </cell>
          <cell r="F1064">
            <v>504</v>
          </cell>
          <cell r="G1064">
            <v>504</v>
          </cell>
          <cell r="H1064">
            <v>630</v>
          </cell>
          <cell r="I1064">
            <v>630</v>
          </cell>
          <cell r="J1064" t="str">
            <v>NO</v>
          </cell>
          <cell r="K1064">
            <v>0</v>
          </cell>
          <cell r="L1064" t="str">
            <v/>
          </cell>
          <cell r="M1064" t="str">
            <v>NF</v>
          </cell>
          <cell r="N1064" t="str">
            <v/>
          </cell>
          <cell r="O1064" t="str">
            <v/>
          </cell>
        </row>
        <row r="1065">
          <cell r="B1065">
            <v>43926</v>
          </cell>
          <cell r="C1065" t="str">
            <v xml:space="preserve">Activelle Even tone APD roll on </v>
          </cell>
          <cell r="D1065">
            <v>5</v>
          </cell>
          <cell r="E1065">
            <v>321</v>
          </cell>
          <cell r="F1065">
            <v>400</v>
          </cell>
          <cell r="G1065">
            <v>400</v>
          </cell>
          <cell r="H1065">
            <v>500</v>
          </cell>
          <cell r="I1065">
            <v>500</v>
          </cell>
          <cell r="J1065" t="str">
            <v>NO</v>
          </cell>
          <cell r="K1065">
            <v>0</v>
          </cell>
          <cell r="L1065" t="str">
            <v/>
          </cell>
          <cell r="M1065" t="str">
            <v>NF</v>
          </cell>
          <cell r="N1065" t="str">
            <v/>
          </cell>
          <cell r="O1065" t="str">
            <v/>
          </cell>
        </row>
        <row r="1066">
          <cell r="B1066">
            <v>43929</v>
          </cell>
          <cell r="C1066" t="str">
            <v xml:space="preserve">NFM Ultimate Balance Cleansing Bar </v>
          </cell>
          <cell r="D1066">
            <v>3</v>
          </cell>
          <cell r="E1066">
            <v>186</v>
          </cell>
          <cell r="F1066">
            <v>232</v>
          </cell>
          <cell r="G1066">
            <v>232</v>
          </cell>
          <cell r="H1066">
            <v>290</v>
          </cell>
          <cell r="I1066">
            <v>290</v>
          </cell>
          <cell r="J1066" t="str">
            <v>NO</v>
          </cell>
          <cell r="K1066">
            <v>0</v>
          </cell>
          <cell r="L1066" t="str">
            <v/>
          </cell>
          <cell r="M1066" t="str">
            <v>NF</v>
          </cell>
          <cell r="N1066" t="str">
            <v/>
          </cell>
          <cell r="O1066" t="str">
            <v/>
          </cell>
        </row>
        <row r="1067">
          <cell r="B1067">
            <v>44351</v>
          </cell>
          <cell r="C1067" t="str">
            <v>Feet Up Refreshing PG&amp;K foot cream</v>
          </cell>
          <cell r="D1067">
            <v>5</v>
          </cell>
          <cell r="E1067">
            <v>353</v>
          </cell>
          <cell r="F1067">
            <v>440</v>
          </cell>
          <cell r="G1067">
            <v>440</v>
          </cell>
          <cell r="H1067">
            <v>550</v>
          </cell>
          <cell r="I1067">
            <v>550</v>
          </cell>
          <cell r="J1067" t="str">
            <v>NO</v>
          </cell>
          <cell r="K1067">
            <v>0</v>
          </cell>
          <cell r="L1067" t="str">
            <v/>
          </cell>
          <cell r="M1067" t="str">
            <v>NF</v>
          </cell>
          <cell r="N1067" t="str">
            <v/>
          </cell>
          <cell r="O1067" t="str">
            <v/>
          </cell>
        </row>
        <row r="1068">
          <cell r="B1068">
            <v>44352</v>
          </cell>
          <cell r="C1068" t="str">
            <v>Feet Up Refreshing PG&amp;K foot spray</v>
          </cell>
          <cell r="D1068">
            <v>7</v>
          </cell>
          <cell r="E1068">
            <v>481</v>
          </cell>
          <cell r="F1068">
            <v>600</v>
          </cell>
          <cell r="G1068">
            <v>600</v>
          </cell>
          <cell r="H1068">
            <v>750</v>
          </cell>
          <cell r="I1068">
            <v>750</v>
          </cell>
          <cell r="J1068" t="str">
            <v>NO</v>
          </cell>
          <cell r="K1068">
            <v>0</v>
          </cell>
          <cell r="L1068" t="str">
            <v/>
          </cell>
          <cell r="M1068" t="str">
            <v>NF</v>
          </cell>
          <cell r="N1068" t="str">
            <v/>
          </cell>
          <cell r="O1068" t="str">
            <v/>
          </cell>
        </row>
        <row r="1069">
          <cell r="B1069">
            <v>44370</v>
          </cell>
          <cell r="C1069" t="str">
            <v>The body edition Body Scrub</v>
          </cell>
          <cell r="D1069">
            <v>9</v>
          </cell>
          <cell r="E1069">
            <v>565</v>
          </cell>
          <cell r="F1069">
            <v>704</v>
          </cell>
          <cell r="G1069">
            <v>704</v>
          </cell>
          <cell r="H1069">
            <v>880</v>
          </cell>
          <cell r="I1069">
            <v>880</v>
          </cell>
          <cell r="J1069" t="str">
            <v>NO</v>
          </cell>
          <cell r="K1069">
            <v>0</v>
          </cell>
          <cell r="L1069" t="str">
            <v/>
          </cell>
          <cell r="M1069" t="str">
            <v>NF</v>
          </cell>
          <cell r="N1069" t="str">
            <v/>
          </cell>
          <cell r="O1069" t="str">
            <v/>
          </cell>
        </row>
        <row r="1070">
          <cell r="B1070">
            <v>44952</v>
          </cell>
          <cell r="C1070" t="str">
            <v>Optifresh Maximum Fresh Toothpaste</v>
          </cell>
          <cell r="D1070">
            <v>6</v>
          </cell>
          <cell r="E1070">
            <v>385</v>
          </cell>
          <cell r="F1070">
            <v>480</v>
          </cell>
          <cell r="G1070">
            <v>480</v>
          </cell>
          <cell r="H1070">
            <v>600</v>
          </cell>
          <cell r="I1070">
            <v>600</v>
          </cell>
          <cell r="J1070" t="str">
            <v>NO</v>
          </cell>
          <cell r="K1070">
            <v>0</v>
          </cell>
          <cell r="L1070" t="str">
            <v/>
          </cell>
          <cell r="M1070" t="str">
            <v>NF</v>
          </cell>
          <cell r="N1070" t="str">
            <v/>
          </cell>
          <cell r="O1070" t="str">
            <v/>
          </cell>
        </row>
        <row r="1071">
          <cell r="B1071">
            <v>44954</v>
          </cell>
          <cell r="C1071" t="str">
            <v>Optifresh Kids Toothpaste</v>
          </cell>
          <cell r="D1071">
            <v>4</v>
          </cell>
          <cell r="E1071">
            <v>269</v>
          </cell>
          <cell r="F1071">
            <v>336</v>
          </cell>
          <cell r="G1071">
            <v>336</v>
          </cell>
          <cell r="H1071">
            <v>420</v>
          </cell>
          <cell r="I1071">
            <v>420</v>
          </cell>
          <cell r="J1071" t="str">
            <v>NO</v>
          </cell>
          <cell r="K1071">
            <v>0</v>
          </cell>
          <cell r="L1071" t="str">
            <v/>
          </cell>
          <cell r="M1071" t="str">
            <v>NF</v>
          </cell>
          <cell r="N1071" t="str">
            <v/>
          </cell>
          <cell r="O1071" t="str">
            <v/>
          </cell>
        </row>
        <row r="1072">
          <cell r="B1072">
            <v>45799</v>
          </cell>
          <cell r="C1072" t="str">
            <v xml:space="preserve">Essense&amp;Co. Poppy &amp; Vanilla HBW </v>
          </cell>
          <cell r="D1072">
            <v>12</v>
          </cell>
          <cell r="E1072">
            <v>802</v>
          </cell>
          <cell r="F1072">
            <v>1000</v>
          </cell>
          <cell r="G1072">
            <v>1000</v>
          </cell>
          <cell r="H1072">
            <v>1250</v>
          </cell>
          <cell r="I1072">
            <v>1250</v>
          </cell>
          <cell r="J1072" t="str">
            <v>NO</v>
          </cell>
          <cell r="K1072">
            <v>0</v>
          </cell>
          <cell r="L1072" t="str">
            <v/>
          </cell>
          <cell r="M1072" t="str">
            <v>NF</v>
          </cell>
          <cell r="N1072" t="str">
            <v/>
          </cell>
          <cell r="O1072" t="str">
            <v/>
          </cell>
        </row>
        <row r="1073">
          <cell r="B1073">
            <v>46381</v>
          </cell>
          <cell r="C1073" t="str">
            <v>Activelle Power Move ROD</v>
          </cell>
          <cell r="D1073">
            <v>5</v>
          </cell>
          <cell r="E1073">
            <v>321</v>
          </cell>
          <cell r="F1073">
            <v>400</v>
          </cell>
          <cell r="G1073">
            <v>400</v>
          </cell>
          <cell r="H1073">
            <v>500</v>
          </cell>
          <cell r="I1073">
            <v>500</v>
          </cell>
          <cell r="J1073" t="str">
            <v>NO</v>
          </cell>
          <cell r="K1073">
            <v>0</v>
          </cell>
          <cell r="L1073" t="str">
            <v/>
          </cell>
          <cell r="M1073" t="str">
            <v>NF</v>
          </cell>
          <cell r="N1073" t="str">
            <v/>
          </cell>
          <cell r="O1073" t="str">
            <v/>
          </cell>
        </row>
        <row r="1074">
          <cell r="B1074">
            <v>46382</v>
          </cell>
          <cell r="C1074" t="str">
            <v>Activelle Power Move Spray</v>
          </cell>
          <cell r="D1074">
            <v>6</v>
          </cell>
          <cell r="E1074">
            <v>404</v>
          </cell>
          <cell r="F1074">
            <v>504</v>
          </cell>
          <cell r="G1074">
            <v>504</v>
          </cell>
          <cell r="H1074">
            <v>630</v>
          </cell>
          <cell r="I1074">
            <v>630</v>
          </cell>
          <cell r="J1074" t="str">
            <v>NO</v>
          </cell>
          <cell r="K1074">
            <v>0</v>
          </cell>
          <cell r="L1074" t="str">
            <v/>
          </cell>
          <cell r="M1074" t="str">
            <v>NF</v>
          </cell>
          <cell r="N1074" t="str">
            <v/>
          </cell>
          <cell r="O1074" t="str">
            <v/>
          </cell>
        </row>
        <row r="1075">
          <cell r="B1075">
            <v>46470</v>
          </cell>
          <cell r="C1075" t="str">
            <v>Love Nature Purifying LHS</v>
          </cell>
          <cell r="D1075">
            <v>7</v>
          </cell>
          <cell r="E1075">
            <v>449</v>
          </cell>
          <cell r="F1075">
            <v>560</v>
          </cell>
          <cell r="G1075">
            <v>560</v>
          </cell>
          <cell r="H1075">
            <v>700</v>
          </cell>
          <cell r="I1075">
            <v>700</v>
          </cell>
          <cell r="J1075" t="str">
            <v>NO</v>
          </cell>
          <cell r="K1075">
            <v>0</v>
          </cell>
          <cell r="L1075" t="str">
            <v/>
          </cell>
          <cell r="M1075" t="str">
            <v>NF</v>
          </cell>
          <cell r="N1075" t="str">
            <v/>
          </cell>
          <cell r="O1075" t="str">
            <v/>
          </cell>
        </row>
        <row r="1076">
          <cell r="B1076">
            <v>46498</v>
          </cell>
          <cell r="C1076" t="str">
            <v>Love Nature Tropical Blend SG</v>
          </cell>
          <cell r="D1076">
            <v>4</v>
          </cell>
          <cell r="E1076">
            <v>289</v>
          </cell>
          <cell r="F1076">
            <v>360</v>
          </cell>
          <cell r="G1076">
            <v>360</v>
          </cell>
          <cell r="H1076">
            <v>450</v>
          </cell>
          <cell r="I1076">
            <v>450</v>
          </cell>
          <cell r="J1076" t="str">
            <v>NO</v>
          </cell>
          <cell r="K1076">
            <v>0</v>
          </cell>
          <cell r="L1076" t="str">
            <v/>
          </cell>
          <cell r="M1076" t="str">
            <v>NF</v>
          </cell>
          <cell r="N1076" t="str">
            <v/>
          </cell>
          <cell r="O1076" t="str">
            <v/>
          </cell>
        </row>
        <row r="1077">
          <cell r="B1077">
            <v>47010</v>
          </cell>
          <cell r="C1077" t="str">
            <v>Simple Joys SG Pineapple LN</v>
          </cell>
          <cell r="D1077">
            <v>4</v>
          </cell>
          <cell r="E1077">
            <v>269</v>
          </cell>
          <cell r="F1077">
            <v>336</v>
          </cell>
          <cell r="G1077">
            <v>336</v>
          </cell>
          <cell r="H1077">
            <v>420</v>
          </cell>
          <cell r="I1077">
            <v>420</v>
          </cell>
          <cell r="J1077" t="str">
            <v>NO</v>
          </cell>
          <cell r="K1077">
            <v>0</v>
          </cell>
          <cell r="L1077" t="str">
            <v/>
          </cell>
          <cell r="M1077" t="str">
            <v>NF</v>
          </cell>
          <cell r="N1077" t="str">
            <v/>
          </cell>
          <cell r="O1077" t="str">
            <v/>
          </cell>
        </row>
        <row r="1078">
          <cell r="B1078">
            <v>47193</v>
          </cell>
          <cell r="C1078" t="str">
            <v>Simple Joys SG Strawberry LN</v>
          </cell>
          <cell r="D1078">
            <v>4</v>
          </cell>
          <cell r="E1078">
            <v>269</v>
          </cell>
          <cell r="F1078">
            <v>336</v>
          </cell>
          <cell r="G1078">
            <v>336</v>
          </cell>
          <cell r="H1078">
            <v>420</v>
          </cell>
          <cell r="I1078">
            <v>420</v>
          </cell>
          <cell r="J1078" t="str">
            <v>NO</v>
          </cell>
          <cell r="K1078">
            <v>0</v>
          </cell>
          <cell r="L1078" t="str">
            <v/>
          </cell>
          <cell r="M1078" t="str">
            <v>NF</v>
          </cell>
          <cell r="N1078" t="str">
            <v/>
          </cell>
          <cell r="O1078" t="str">
            <v/>
          </cell>
        </row>
        <row r="1079">
          <cell r="B1079">
            <v>47194</v>
          </cell>
          <cell r="C1079" t="str">
            <v>Simple Joys SG Grapefruit LN</v>
          </cell>
          <cell r="D1079">
            <v>4</v>
          </cell>
          <cell r="E1079">
            <v>269</v>
          </cell>
          <cell r="F1079">
            <v>336</v>
          </cell>
          <cell r="G1079">
            <v>336</v>
          </cell>
          <cell r="H1079">
            <v>420</v>
          </cell>
          <cell r="I1079">
            <v>420</v>
          </cell>
          <cell r="J1079" t="str">
            <v>NO</v>
          </cell>
          <cell r="K1079">
            <v>0</v>
          </cell>
          <cell r="L1079" t="str">
            <v/>
          </cell>
          <cell r="M1079" t="str">
            <v>NF</v>
          </cell>
          <cell r="N1079" t="str">
            <v/>
          </cell>
          <cell r="O1079" t="str">
            <v/>
          </cell>
        </row>
        <row r="1080">
          <cell r="B1080">
            <v>47195</v>
          </cell>
          <cell r="C1080" t="str">
            <v>Simple Joys SG Red Apple LN</v>
          </cell>
          <cell r="D1080">
            <v>4</v>
          </cell>
          <cell r="E1080">
            <v>269</v>
          </cell>
          <cell r="F1080">
            <v>336</v>
          </cell>
          <cell r="G1080">
            <v>336</v>
          </cell>
          <cell r="H1080">
            <v>420</v>
          </cell>
          <cell r="I1080">
            <v>420</v>
          </cell>
          <cell r="J1080" t="str">
            <v>NO</v>
          </cell>
          <cell r="K1080">
            <v>0</v>
          </cell>
          <cell r="L1080" t="str">
            <v/>
          </cell>
          <cell r="M1080" t="str">
            <v>NF</v>
          </cell>
          <cell r="N1080" t="str">
            <v/>
          </cell>
          <cell r="O1080" t="str">
            <v/>
          </cell>
        </row>
        <row r="1081">
          <cell r="B1081">
            <v>46068</v>
          </cell>
          <cell r="C1081" t="str">
            <v xml:space="preserve">Wellosophy Scoop </v>
          </cell>
          <cell r="D1081">
            <v>1</v>
          </cell>
          <cell r="E1081">
            <v>38</v>
          </cell>
          <cell r="F1081">
            <v>95</v>
          </cell>
          <cell r="G1081">
            <v>95</v>
          </cell>
          <cell r="H1081">
            <v>119</v>
          </cell>
          <cell r="I1081">
            <v>119</v>
          </cell>
          <cell r="J1081" t="str">
            <v>NO</v>
          </cell>
          <cell r="K1081">
            <v>0</v>
          </cell>
          <cell r="L1081" t="str">
            <v>1</v>
          </cell>
          <cell r="M1081" t="str">
            <v>CTLG-MC</v>
          </cell>
          <cell r="N1081" t="str">
            <v/>
          </cell>
          <cell r="O1081" t="str">
            <v/>
          </cell>
        </row>
        <row r="1082">
          <cell r="B1082">
            <v>46664</v>
          </cell>
          <cell r="C1082" t="str">
            <v>Wellosophy Smartshake Bottle</v>
          </cell>
          <cell r="D1082">
            <v>14</v>
          </cell>
          <cell r="E1082">
            <v>449</v>
          </cell>
          <cell r="F1082">
            <v>1119</v>
          </cell>
          <cell r="G1082">
            <v>1119</v>
          </cell>
          <cell r="H1082">
            <v>1399</v>
          </cell>
          <cell r="I1082">
            <v>1399</v>
          </cell>
          <cell r="J1082" t="str">
            <v>NO</v>
          </cell>
          <cell r="K1082">
            <v>0</v>
          </cell>
          <cell r="L1082" t="str">
            <v>1</v>
          </cell>
          <cell r="M1082" t="str">
            <v>CTLG-MC</v>
          </cell>
          <cell r="N1082" t="str">
            <v/>
          </cell>
          <cell r="O1082" t="str">
            <v/>
          </cell>
        </row>
        <row r="1083">
          <cell r="B1083">
            <v>46685</v>
          </cell>
          <cell r="C1083" t="str">
            <v>Wellosophy Quick Cooling Towel</v>
          </cell>
          <cell r="D1083">
            <v>7</v>
          </cell>
          <cell r="E1083">
            <v>224</v>
          </cell>
          <cell r="F1083">
            <v>559</v>
          </cell>
          <cell r="G1083">
            <v>559</v>
          </cell>
          <cell r="H1083">
            <v>699</v>
          </cell>
          <cell r="I1083">
            <v>699</v>
          </cell>
          <cell r="J1083" t="str">
            <v>NO</v>
          </cell>
          <cell r="K1083">
            <v>0</v>
          </cell>
          <cell r="L1083" t="str">
            <v>1</v>
          </cell>
          <cell r="M1083" t="str">
            <v>CTLG-MC</v>
          </cell>
          <cell r="N1083" t="str">
            <v/>
          </cell>
          <cell r="O1083" t="str">
            <v/>
          </cell>
        </row>
        <row r="1084">
          <cell r="B1084">
            <v>47417</v>
          </cell>
          <cell r="C1084" t="str">
            <v>Wellosophy Small Smartshake Bottle</v>
          </cell>
          <cell r="D1084">
            <v>10</v>
          </cell>
          <cell r="E1084">
            <v>321</v>
          </cell>
          <cell r="F1084">
            <v>799</v>
          </cell>
          <cell r="G1084">
            <v>799</v>
          </cell>
          <cell r="H1084">
            <v>999</v>
          </cell>
          <cell r="I1084">
            <v>999</v>
          </cell>
          <cell r="J1084" t="str">
            <v>GWP</v>
          </cell>
          <cell r="K1084">
            <v>0</v>
          </cell>
          <cell r="L1084" t="str">
            <v>1</v>
          </cell>
          <cell r="M1084" t="str">
            <v>CTLG-MC</v>
          </cell>
          <cell r="N1084" t="str">
            <v/>
          </cell>
          <cell r="O1084" t="str">
            <v/>
          </cell>
        </row>
        <row r="1085">
          <cell r="B1085">
            <v>47417</v>
          </cell>
          <cell r="C1085" t="str">
            <v>Wellosophy Small Smartshake Bottle</v>
          </cell>
          <cell r="D1085">
            <v>0</v>
          </cell>
          <cell r="E1085">
            <v>0</v>
          </cell>
          <cell r="F1085">
            <v>799</v>
          </cell>
          <cell r="G1085">
            <v>1</v>
          </cell>
          <cell r="H1085">
            <v>999</v>
          </cell>
          <cell r="I1085">
            <v>1</v>
          </cell>
          <cell r="J1085" t="str">
            <v>GWP</v>
          </cell>
          <cell r="K1085">
            <v>0.99899899899899902</v>
          </cell>
          <cell r="L1085" t="str">
            <v>1</v>
          </cell>
          <cell r="M1085" t="str">
            <v>CTLG-MC</v>
          </cell>
          <cell r="N1085" t="str">
            <v/>
          </cell>
          <cell r="O1085" t="str">
            <v/>
          </cell>
        </row>
        <row r="1086">
          <cell r="B1086">
            <v>37285</v>
          </cell>
          <cell r="C1086" t="str">
            <v>Wellosophy NBS Strawberry</v>
          </cell>
          <cell r="D1086">
            <v>52</v>
          </cell>
          <cell r="E1086">
            <v>3208</v>
          </cell>
          <cell r="F1086">
            <v>4000</v>
          </cell>
          <cell r="G1086">
            <v>4000</v>
          </cell>
          <cell r="H1086">
            <v>5000</v>
          </cell>
          <cell r="I1086">
            <v>5000</v>
          </cell>
          <cell r="J1086" t="str">
            <v>GWP</v>
          </cell>
          <cell r="K1086">
            <v>0</v>
          </cell>
          <cell r="L1086" t="str">
            <v>1</v>
          </cell>
          <cell r="M1086" t="str">
            <v>CTLG-MC</v>
          </cell>
          <cell r="N1086" t="str">
            <v/>
          </cell>
          <cell r="O1086" t="str">
            <v/>
          </cell>
        </row>
        <row r="1087">
          <cell r="B1087">
            <v>37285</v>
          </cell>
          <cell r="C1087" t="str">
            <v>Wellosophy NBS Strawberry</v>
          </cell>
          <cell r="D1087">
            <v>0</v>
          </cell>
          <cell r="E1087">
            <v>0</v>
          </cell>
          <cell r="F1087">
            <v>4000</v>
          </cell>
          <cell r="G1087">
            <v>1</v>
          </cell>
          <cell r="H1087">
            <v>5000</v>
          </cell>
          <cell r="I1087">
            <v>1</v>
          </cell>
          <cell r="J1087" t="str">
            <v>GWP</v>
          </cell>
          <cell r="K1087">
            <v>0.99980000000000002</v>
          </cell>
          <cell r="L1087" t="str">
            <v>1</v>
          </cell>
          <cell r="M1087" t="str">
            <v>CTLG-MC</v>
          </cell>
          <cell r="N1087" t="str">
            <v/>
          </cell>
          <cell r="O1087" t="str">
            <v/>
          </cell>
        </row>
        <row r="1088">
          <cell r="B1088">
            <v>38556</v>
          </cell>
          <cell r="C1088" t="str">
            <v>Wellosophy Omega 3</v>
          </cell>
          <cell r="D1088">
            <v>24</v>
          </cell>
          <cell r="E1088">
            <v>1475</v>
          </cell>
          <cell r="F1088">
            <v>1840</v>
          </cell>
          <cell r="G1088">
            <v>1840</v>
          </cell>
          <cell r="H1088">
            <v>2300</v>
          </cell>
          <cell r="I1088">
            <v>2300</v>
          </cell>
          <cell r="J1088" t="str">
            <v>GWP</v>
          </cell>
          <cell r="K1088">
            <v>0</v>
          </cell>
          <cell r="L1088" t="str">
            <v>1</v>
          </cell>
          <cell r="M1088" t="str">
            <v>CTLG-MC</v>
          </cell>
          <cell r="N1088" t="str">
            <v/>
          </cell>
          <cell r="O1088" t="str">
            <v/>
          </cell>
        </row>
        <row r="1089">
          <cell r="B1089">
            <v>38556</v>
          </cell>
          <cell r="C1089" t="str">
            <v>Wellosophy Omega 3</v>
          </cell>
          <cell r="D1089">
            <v>0</v>
          </cell>
          <cell r="E1089">
            <v>0</v>
          </cell>
          <cell r="F1089">
            <v>1840</v>
          </cell>
          <cell r="G1089">
            <v>1</v>
          </cell>
          <cell r="H1089">
            <v>2300</v>
          </cell>
          <cell r="I1089">
            <v>1</v>
          </cell>
          <cell r="J1089" t="str">
            <v>GWP</v>
          </cell>
          <cell r="K1089">
            <v>0.999565217391304</v>
          </cell>
          <cell r="L1089" t="str">
            <v>1</v>
          </cell>
          <cell r="M1089" t="str">
            <v>CTLG-MC</v>
          </cell>
          <cell r="N1089" t="str">
            <v/>
          </cell>
          <cell r="O1089" t="str">
            <v/>
          </cell>
        </row>
        <row r="1090">
          <cell r="B1090">
            <v>38557</v>
          </cell>
          <cell r="C1090" t="str">
            <v>Wellosophy Astaxanthin</v>
          </cell>
          <cell r="D1090">
            <v>29</v>
          </cell>
          <cell r="E1090">
            <v>1797</v>
          </cell>
          <cell r="F1090">
            <v>2240</v>
          </cell>
          <cell r="G1090">
            <v>2240</v>
          </cell>
          <cell r="H1090">
            <v>2800</v>
          </cell>
          <cell r="I1090">
            <v>2800</v>
          </cell>
          <cell r="J1090" t="str">
            <v>GWP</v>
          </cell>
          <cell r="K1090">
            <v>0</v>
          </cell>
          <cell r="L1090" t="str">
            <v>1</v>
          </cell>
          <cell r="M1090" t="str">
            <v>CTLG-MC</v>
          </cell>
          <cell r="N1090" t="str">
            <v/>
          </cell>
          <cell r="O1090" t="str">
            <v/>
          </cell>
        </row>
        <row r="1091">
          <cell r="B1091">
            <v>38557</v>
          </cell>
          <cell r="C1091" t="str">
            <v>Wellosophy Astaxanthin</v>
          </cell>
          <cell r="D1091">
            <v>0</v>
          </cell>
          <cell r="E1091">
            <v>0</v>
          </cell>
          <cell r="F1091">
            <v>2240</v>
          </cell>
          <cell r="G1091">
            <v>1</v>
          </cell>
          <cell r="H1091">
            <v>2800</v>
          </cell>
          <cell r="I1091">
            <v>1</v>
          </cell>
          <cell r="J1091" t="str">
            <v>GWP</v>
          </cell>
          <cell r="K1091">
            <v>0.99964285714285706</v>
          </cell>
          <cell r="L1091" t="str">
            <v>1</v>
          </cell>
          <cell r="M1091" t="str">
            <v>CTLG-MC</v>
          </cell>
          <cell r="N1091" t="str">
            <v/>
          </cell>
          <cell r="O1091" t="str">
            <v/>
          </cell>
        </row>
        <row r="1092">
          <cell r="B1092">
            <v>38558</v>
          </cell>
          <cell r="C1092" t="str">
            <v xml:space="preserve">Wellosophy MVM Man </v>
          </cell>
          <cell r="D1092">
            <v>29</v>
          </cell>
          <cell r="E1092">
            <v>1797</v>
          </cell>
          <cell r="F1092">
            <v>2240</v>
          </cell>
          <cell r="G1092">
            <v>2240</v>
          </cell>
          <cell r="H1092">
            <v>2800</v>
          </cell>
          <cell r="I1092">
            <v>2800</v>
          </cell>
          <cell r="J1092" t="str">
            <v>NO</v>
          </cell>
          <cell r="K1092">
            <v>0</v>
          </cell>
          <cell r="L1092" t="str">
            <v>1</v>
          </cell>
          <cell r="M1092" t="str">
            <v>CTLG-MC</v>
          </cell>
          <cell r="N1092" t="str">
            <v/>
          </cell>
          <cell r="O1092" t="str">
            <v/>
          </cell>
        </row>
        <row r="1093">
          <cell r="B1093">
            <v>38559</v>
          </cell>
          <cell r="C1093" t="str">
            <v>Wellosophy MVM Woman</v>
          </cell>
          <cell r="D1093">
            <v>29</v>
          </cell>
          <cell r="E1093">
            <v>1797</v>
          </cell>
          <cell r="F1093">
            <v>2240</v>
          </cell>
          <cell r="G1093">
            <v>2240</v>
          </cell>
          <cell r="H1093">
            <v>2800</v>
          </cell>
          <cell r="I1093">
            <v>2800</v>
          </cell>
          <cell r="J1093" t="str">
            <v>NO</v>
          </cell>
          <cell r="K1093">
            <v>0</v>
          </cell>
          <cell r="L1093" t="str">
            <v>1</v>
          </cell>
          <cell r="M1093" t="str">
            <v>CTLG-MC</v>
          </cell>
          <cell r="N1093" t="str">
            <v/>
          </cell>
          <cell r="O1093" t="str">
            <v/>
          </cell>
        </row>
        <row r="1094">
          <cell r="B1094">
            <v>38836</v>
          </cell>
          <cell r="C1094" t="str">
            <v>Wellosophy Wellness Pack Man</v>
          </cell>
          <cell r="D1094">
            <v>50</v>
          </cell>
          <cell r="E1094">
            <v>2887</v>
          </cell>
          <cell r="F1094">
            <v>3600</v>
          </cell>
          <cell r="G1094">
            <v>3600</v>
          </cell>
          <cell r="H1094">
            <v>4500</v>
          </cell>
          <cell r="I1094">
            <v>4500</v>
          </cell>
          <cell r="J1094" t="str">
            <v>GWP</v>
          </cell>
          <cell r="K1094">
            <v>0</v>
          </cell>
          <cell r="L1094" t="str">
            <v>1</v>
          </cell>
          <cell r="M1094" t="str">
            <v>CTLG-MC</v>
          </cell>
          <cell r="N1094" t="str">
            <v/>
          </cell>
          <cell r="O1094" t="str">
            <v/>
          </cell>
        </row>
        <row r="1095">
          <cell r="B1095">
            <v>38836</v>
          </cell>
          <cell r="C1095" t="str">
            <v>Wellosophy Wellness Pack Man</v>
          </cell>
          <cell r="D1095">
            <v>0</v>
          </cell>
          <cell r="E1095">
            <v>0</v>
          </cell>
          <cell r="F1095">
            <v>3600</v>
          </cell>
          <cell r="G1095">
            <v>1</v>
          </cell>
          <cell r="H1095">
            <v>4500</v>
          </cell>
          <cell r="I1095">
            <v>1</v>
          </cell>
          <cell r="J1095" t="str">
            <v>GWP</v>
          </cell>
          <cell r="K1095">
            <v>0.99977777777777799</v>
          </cell>
          <cell r="L1095" t="str">
            <v>1</v>
          </cell>
          <cell r="M1095" t="str">
            <v>CTLG-MC</v>
          </cell>
          <cell r="N1095" t="str">
            <v/>
          </cell>
          <cell r="O1095" t="str">
            <v/>
          </cell>
        </row>
        <row r="1096">
          <cell r="B1096">
            <v>38838</v>
          </cell>
          <cell r="C1096" t="str">
            <v>Wellosophy Wellness Pack Woman</v>
          </cell>
          <cell r="D1096">
            <v>50</v>
          </cell>
          <cell r="E1096">
            <v>2887</v>
          </cell>
          <cell r="F1096">
            <v>3600</v>
          </cell>
          <cell r="G1096">
            <v>3600</v>
          </cell>
          <cell r="H1096">
            <v>4500</v>
          </cell>
          <cell r="I1096">
            <v>4500</v>
          </cell>
          <cell r="J1096" t="str">
            <v>GWP</v>
          </cell>
          <cell r="K1096">
            <v>0</v>
          </cell>
          <cell r="L1096" t="str">
            <v>1</v>
          </cell>
          <cell r="M1096" t="str">
            <v>CTLG-MC</v>
          </cell>
          <cell r="N1096" t="str">
            <v/>
          </cell>
          <cell r="O1096" t="str">
            <v/>
          </cell>
        </row>
        <row r="1097">
          <cell r="B1097">
            <v>38838</v>
          </cell>
          <cell r="C1097" t="str">
            <v>Wellosophy Wellness Pack Woman</v>
          </cell>
          <cell r="D1097">
            <v>0</v>
          </cell>
          <cell r="E1097">
            <v>0</v>
          </cell>
          <cell r="F1097">
            <v>3600</v>
          </cell>
          <cell r="G1097">
            <v>1</v>
          </cell>
          <cell r="H1097">
            <v>4500</v>
          </cell>
          <cell r="I1097">
            <v>1</v>
          </cell>
          <cell r="J1097" t="str">
            <v>GWP</v>
          </cell>
          <cell r="K1097">
            <v>0.99977777777777799</v>
          </cell>
          <cell r="L1097" t="str">
            <v>1</v>
          </cell>
          <cell r="M1097" t="str">
            <v>CTLG-MC</v>
          </cell>
          <cell r="N1097" t="str">
            <v/>
          </cell>
          <cell r="O1097" t="str">
            <v/>
          </cell>
        </row>
        <row r="1098">
          <cell r="B1098">
            <v>45306</v>
          </cell>
          <cell r="C1098" t="str">
            <v>Wellosophy MRP Shake Vanilla</v>
          </cell>
          <cell r="D1098">
            <v>70</v>
          </cell>
          <cell r="E1098">
            <v>3850</v>
          </cell>
          <cell r="F1098">
            <v>4800</v>
          </cell>
          <cell r="G1098">
            <v>4800</v>
          </cell>
          <cell r="H1098">
            <v>6000</v>
          </cell>
          <cell r="I1098">
            <v>6000</v>
          </cell>
          <cell r="J1098" t="str">
            <v>GWP</v>
          </cell>
          <cell r="K1098">
            <v>0</v>
          </cell>
          <cell r="L1098" t="str">
            <v>1</v>
          </cell>
          <cell r="M1098" t="str">
            <v>CTLG-MC</v>
          </cell>
          <cell r="N1098" t="str">
            <v/>
          </cell>
          <cell r="O1098" t="str">
            <v/>
          </cell>
        </row>
        <row r="1099">
          <cell r="B1099">
            <v>45306</v>
          </cell>
          <cell r="C1099" t="str">
            <v>Wellosophy MRP Shake Vanilla</v>
          </cell>
          <cell r="D1099">
            <v>0</v>
          </cell>
          <cell r="E1099">
            <v>0</v>
          </cell>
          <cell r="F1099">
            <v>4800</v>
          </cell>
          <cell r="G1099">
            <v>1</v>
          </cell>
          <cell r="H1099">
            <v>6000</v>
          </cell>
          <cell r="I1099">
            <v>1</v>
          </cell>
          <cell r="J1099" t="str">
            <v>GWP</v>
          </cell>
          <cell r="K1099">
            <v>0.99983333333333302</v>
          </cell>
          <cell r="L1099" t="str">
            <v>1</v>
          </cell>
          <cell r="M1099" t="str">
            <v>CTLG-MC</v>
          </cell>
          <cell r="N1099" t="str">
            <v/>
          </cell>
          <cell r="O1099" t="str">
            <v/>
          </cell>
        </row>
        <row r="1100">
          <cell r="B1100">
            <v>45307</v>
          </cell>
          <cell r="C1100" t="str">
            <v>Wellosophy MRP Shake Chocolate</v>
          </cell>
          <cell r="D1100">
            <v>70</v>
          </cell>
          <cell r="E1100">
            <v>3850</v>
          </cell>
          <cell r="F1100">
            <v>4800</v>
          </cell>
          <cell r="G1100">
            <v>4800</v>
          </cell>
          <cell r="H1100">
            <v>6000</v>
          </cell>
          <cell r="I1100">
            <v>6000</v>
          </cell>
          <cell r="J1100" t="str">
            <v>GWP</v>
          </cell>
          <cell r="K1100">
            <v>0</v>
          </cell>
          <cell r="L1100" t="str">
            <v>1</v>
          </cell>
          <cell r="M1100" t="str">
            <v>CTLG-MC</v>
          </cell>
          <cell r="N1100" t="str">
            <v/>
          </cell>
          <cell r="O1100" t="str">
            <v/>
          </cell>
        </row>
        <row r="1101">
          <cell r="B1101">
            <v>45307</v>
          </cell>
          <cell r="C1101" t="str">
            <v>Wellosophy MRP Shake Chocolate</v>
          </cell>
          <cell r="D1101">
            <v>0</v>
          </cell>
          <cell r="E1101">
            <v>0</v>
          </cell>
          <cell r="F1101">
            <v>4800</v>
          </cell>
          <cell r="G1101">
            <v>1</v>
          </cell>
          <cell r="H1101">
            <v>6000</v>
          </cell>
          <cell r="I1101">
            <v>1</v>
          </cell>
          <cell r="J1101" t="str">
            <v>GWP</v>
          </cell>
          <cell r="K1101">
            <v>0.99983333333333302</v>
          </cell>
          <cell r="L1101" t="str">
            <v>1</v>
          </cell>
          <cell r="M1101" t="str">
            <v>CTLG-MC</v>
          </cell>
          <cell r="N1101" t="str">
            <v/>
          </cell>
          <cell r="O1101" t="str">
            <v/>
          </cell>
        </row>
        <row r="1102">
          <cell r="B1102">
            <v>37293</v>
          </cell>
          <cell r="C1102" t="str">
            <v>Wellosophy Protein Blend</v>
          </cell>
          <cell r="D1102">
            <v>52</v>
          </cell>
          <cell r="E1102">
            <v>3208</v>
          </cell>
          <cell r="F1102">
            <v>4000</v>
          </cell>
          <cell r="G1102">
            <v>4000</v>
          </cell>
          <cell r="H1102">
            <v>5000</v>
          </cell>
          <cell r="I1102">
            <v>5000</v>
          </cell>
          <cell r="J1102" t="str">
            <v>GWP</v>
          </cell>
          <cell r="K1102">
            <v>0</v>
          </cell>
          <cell r="L1102" t="str">
            <v>2</v>
          </cell>
          <cell r="M1102" t="str">
            <v>CTLG-MC</v>
          </cell>
          <cell r="N1102" t="str">
            <v/>
          </cell>
          <cell r="O1102" t="str">
            <v/>
          </cell>
        </row>
        <row r="1103">
          <cell r="B1103">
            <v>37293</v>
          </cell>
          <cell r="C1103" t="str">
            <v>Wellosophy Protein Blend</v>
          </cell>
          <cell r="D1103">
            <v>0</v>
          </cell>
          <cell r="E1103">
            <v>0</v>
          </cell>
          <cell r="F1103">
            <v>4000</v>
          </cell>
          <cell r="G1103">
            <v>1</v>
          </cell>
          <cell r="H1103">
            <v>5000</v>
          </cell>
          <cell r="I1103">
            <v>1</v>
          </cell>
          <cell r="J1103" t="str">
            <v>GWP</v>
          </cell>
          <cell r="K1103">
            <v>0.99980000000000002</v>
          </cell>
          <cell r="L1103" t="str">
            <v>2</v>
          </cell>
          <cell r="M1103" t="str">
            <v>CTLG-MC</v>
          </cell>
          <cell r="N1103" t="str">
            <v/>
          </cell>
          <cell r="O1103" t="str">
            <v/>
          </cell>
        </row>
        <row r="1104">
          <cell r="B1104">
            <v>40745</v>
          </cell>
          <cell r="C1104" t="str">
            <v>Wellosophy MRP Mushroom Soup</v>
          </cell>
          <cell r="D1104">
            <v>70</v>
          </cell>
          <cell r="E1104">
            <v>3850</v>
          </cell>
          <cell r="F1104">
            <v>4800</v>
          </cell>
          <cell r="G1104">
            <v>4800</v>
          </cell>
          <cell r="H1104">
            <v>6000</v>
          </cell>
          <cell r="I1104">
            <v>6000</v>
          </cell>
          <cell r="J1104" t="str">
            <v>GWP</v>
          </cell>
          <cell r="K1104">
            <v>0</v>
          </cell>
          <cell r="L1104" t="str">
            <v>2</v>
          </cell>
          <cell r="M1104" t="str">
            <v>CTLG-MC</v>
          </cell>
          <cell r="N1104" t="str">
            <v/>
          </cell>
          <cell r="O1104" t="str">
            <v/>
          </cell>
        </row>
        <row r="1105">
          <cell r="B1105">
            <v>40745</v>
          </cell>
          <cell r="C1105" t="str">
            <v>Wellosophy MRP Mushroom Soup</v>
          </cell>
          <cell r="D1105">
            <v>0</v>
          </cell>
          <cell r="E1105">
            <v>0</v>
          </cell>
          <cell r="F1105">
            <v>4800</v>
          </cell>
          <cell r="G1105">
            <v>1</v>
          </cell>
          <cell r="H1105">
            <v>6000</v>
          </cell>
          <cell r="I1105">
            <v>1</v>
          </cell>
          <cell r="J1105" t="str">
            <v>GWP</v>
          </cell>
          <cell r="K1105">
            <v>0.99983333333333302</v>
          </cell>
          <cell r="L1105" t="str">
            <v>2</v>
          </cell>
          <cell r="M1105" t="str">
            <v>CTLG-MC</v>
          </cell>
          <cell r="N1105" t="str">
            <v/>
          </cell>
          <cell r="O1105" t="str">
            <v/>
          </cell>
        </row>
        <row r="1106">
          <cell r="B1106">
            <v>31750</v>
          </cell>
          <cell r="C1106" t="str">
            <v>Prebiotic Fibre Drink</v>
          </cell>
          <cell r="D1106">
            <v>24</v>
          </cell>
          <cell r="E1106">
            <v>1475</v>
          </cell>
          <cell r="F1106">
            <v>1840</v>
          </cell>
          <cell r="G1106">
            <v>1840</v>
          </cell>
          <cell r="H1106">
            <v>2300</v>
          </cell>
          <cell r="I1106">
            <v>2300</v>
          </cell>
          <cell r="J1106" t="str">
            <v>NO</v>
          </cell>
          <cell r="K1106">
            <v>0</v>
          </cell>
          <cell r="L1106" t="str">
            <v>3</v>
          </cell>
          <cell r="M1106" t="str">
            <v>CTLG-MC</v>
          </cell>
          <cell r="N1106" t="str">
            <v/>
          </cell>
          <cell r="O1106" t="str">
            <v/>
          </cell>
        </row>
        <row r="1107">
          <cell r="B1107">
            <v>27996</v>
          </cell>
          <cell r="C1107" t="str">
            <v>WellnessKids Multivitamins&amp;Minerals</v>
          </cell>
          <cell r="D1107">
            <v>17</v>
          </cell>
          <cell r="E1107">
            <v>1090</v>
          </cell>
          <cell r="F1107">
            <v>1360</v>
          </cell>
          <cell r="G1107">
            <v>1360</v>
          </cell>
          <cell r="H1107">
            <v>1700</v>
          </cell>
          <cell r="I1107">
            <v>1700</v>
          </cell>
          <cell r="J1107" t="str">
            <v>GWP</v>
          </cell>
          <cell r="K1107">
            <v>0</v>
          </cell>
          <cell r="L1107" t="str">
            <v>4</v>
          </cell>
          <cell r="M1107" t="str">
            <v>CTLG-MC</v>
          </cell>
          <cell r="N1107" t="str">
            <v/>
          </cell>
          <cell r="O1107" t="str">
            <v/>
          </cell>
        </row>
        <row r="1108">
          <cell r="B1108">
            <v>27996</v>
          </cell>
          <cell r="C1108" t="str">
            <v>WellnessKids Multivitamins&amp;Minerals</v>
          </cell>
          <cell r="D1108">
            <v>0</v>
          </cell>
          <cell r="E1108">
            <v>0</v>
          </cell>
          <cell r="F1108">
            <v>1360</v>
          </cell>
          <cell r="G1108">
            <v>1</v>
          </cell>
          <cell r="H1108">
            <v>1700</v>
          </cell>
          <cell r="I1108">
            <v>1</v>
          </cell>
          <cell r="J1108" t="str">
            <v>GWP</v>
          </cell>
          <cell r="K1108">
            <v>0.999411764705882</v>
          </cell>
          <cell r="L1108" t="str">
            <v>4</v>
          </cell>
          <cell r="M1108" t="str">
            <v>CTLG-MC</v>
          </cell>
          <cell r="N1108" t="str">
            <v/>
          </cell>
          <cell r="O1108" t="str">
            <v/>
          </cell>
        </row>
        <row r="1109">
          <cell r="B1109">
            <v>22467</v>
          </cell>
          <cell r="C1109" t="str">
            <v>Wellness Kids Omega 3</v>
          </cell>
          <cell r="D1109">
            <v>24</v>
          </cell>
          <cell r="E1109">
            <v>1475</v>
          </cell>
          <cell r="F1109">
            <v>1840</v>
          </cell>
          <cell r="G1109">
            <v>1840</v>
          </cell>
          <cell r="H1109">
            <v>2300</v>
          </cell>
          <cell r="I1109">
            <v>2300</v>
          </cell>
          <cell r="J1109" t="str">
            <v>NO</v>
          </cell>
          <cell r="K1109">
            <v>0</v>
          </cell>
          <cell r="L1109" t="str">
            <v>5</v>
          </cell>
          <cell r="M1109" t="str">
            <v>CTLG-MC</v>
          </cell>
          <cell r="N1109" t="str">
            <v/>
          </cell>
          <cell r="O1109" t="str">
            <v/>
          </cell>
        </row>
        <row r="1110">
          <cell r="B1110">
            <v>29695</v>
          </cell>
          <cell r="C1110" t="str">
            <v>Natural Balance Soup asparagus</v>
          </cell>
          <cell r="D1110">
            <v>52</v>
          </cell>
          <cell r="E1110">
            <v>3208</v>
          </cell>
          <cell r="F1110">
            <v>4000</v>
          </cell>
          <cell r="G1110">
            <v>4000</v>
          </cell>
          <cell r="H1110">
            <v>5000</v>
          </cell>
          <cell r="I1110">
            <v>5000</v>
          </cell>
          <cell r="J1110" t="str">
            <v>GWP</v>
          </cell>
          <cell r="K1110">
            <v>0</v>
          </cell>
          <cell r="L1110" t="str">
            <v>7</v>
          </cell>
          <cell r="M1110" t="str">
            <v>CTLG-MC</v>
          </cell>
          <cell r="N1110" t="str">
            <v/>
          </cell>
          <cell r="O1110" t="str">
            <v/>
          </cell>
        </row>
        <row r="1111">
          <cell r="B1111">
            <v>29695</v>
          </cell>
          <cell r="C1111" t="str">
            <v>Natural Balance Soup asparagus</v>
          </cell>
          <cell r="D1111">
            <v>0</v>
          </cell>
          <cell r="E1111">
            <v>0</v>
          </cell>
          <cell r="F1111">
            <v>4000</v>
          </cell>
          <cell r="G1111">
            <v>1</v>
          </cell>
          <cell r="H1111">
            <v>5000</v>
          </cell>
          <cell r="I1111">
            <v>1</v>
          </cell>
          <cell r="J1111" t="str">
            <v>GWP</v>
          </cell>
          <cell r="K1111">
            <v>0.99980000000000002</v>
          </cell>
          <cell r="L1111" t="str">
            <v>7</v>
          </cell>
          <cell r="M1111" t="str">
            <v>CTLG-MC</v>
          </cell>
          <cell r="N1111" t="str">
            <v/>
          </cell>
          <cell r="O1111" t="str">
            <v/>
          </cell>
        </row>
        <row r="1112">
          <cell r="B1112">
            <v>45309</v>
          </cell>
          <cell r="C1112" t="str">
            <v>Wellosophy Marine Calcium &amp; Vit D</v>
          </cell>
          <cell r="D1112">
            <v>24</v>
          </cell>
          <cell r="E1112">
            <v>1475</v>
          </cell>
          <cell r="F1112">
            <v>1840</v>
          </cell>
          <cell r="G1112">
            <v>1840</v>
          </cell>
          <cell r="H1112">
            <v>2300</v>
          </cell>
          <cell r="I1112">
            <v>2300</v>
          </cell>
          <cell r="J1112" t="str">
            <v>NO</v>
          </cell>
          <cell r="K1112">
            <v>0</v>
          </cell>
          <cell r="L1112" t="str">
            <v>8</v>
          </cell>
          <cell r="M1112" t="str">
            <v>CTLG-MC</v>
          </cell>
          <cell r="N1112" t="str">
            <v/>
          </cell>
          <cell r="O1112" t="str">
            <v/>
          </cell>
        </row>
        <row r="1113">
          <cell r="B1113">
            <v>29706</v>
          </cell>
          <cell r="C1113" t="str">
            <v>Hair and Nail NutriComplex</v>
          </cell>
          <cell r="D1113">
            <v>29</v>
          </cell>
          <cell r="E1113">
            <v>1797</v>
          </cell>
          <cell r="F1113">
            <v>2240</v>
          </cell>
          <cell r="G1113">
            <v>2240</v>
          </cell>
          <cell r="H1113">
            <v>2800</v>
          </cell>
          <cell r="I1113">
            <v>2800</v>
          </cell>
          <cell r="J1113" t="str">
            <v>NO</v>
          </cell>
          <cell r="K1113">
            <v>0</v>
          </cell>
          <cell r="L1113" t="str">
            <v>10</v>
          </cell>
          <cell r="M1113" t="str">
            <v>CTLG-MC</v>
          </cell>
          <cell r="N1113" t="str">
            <v/>
          </cell>
          <cell r="O1113" t="str">
            <v/>
          </cell>
        </row>
        <row r="1114">
          <cell r="B1114">
            <v>37289</v>
          </cell>
          <cell r="C1114" t="str">
            <v>Wellosophy NBS Chocolate</v>
          </cell>
          <cell r="D1114">
            <v>52</v>
          </cell>
          <cell r="E1114">
            <v>3208</v>
          </cell>
          <cell r="F1114">
            <v>4000</v>
          </cell>
          <cell r="G1114">
            <v>4000</v>
          </cell>
          <cell r="H1114">
            <v>5000</v>
          </cell>
          <cell r="I1114">
            <v>5000</v>
          </cell>
          <cell r="J1114" t="str">
            <v>GWP</v>
          </cell>
          <cell r="K1114">
            <v>0</v>
          </cell>
          <cell r="L1114" t="str">
            <v>11</v>
          </cell>
          <cell r="M1114" t="str">
            <v>CTLG-MC</v>
          </cell>
          <cell r="N1114" t="str">
            <v/>
          </cell>
          <cell r="O1114" t="str">
            <v/>
          </cell>
        </row>
        <row r="1115">
          <cell r="B1115">
            <v>37289</v>
          </cell>
          <cell r="C1115" t="str">
            <v>Wellosophy NBS Chocolate</v>
          </cell>
          <cell r="D1115">
            <v>0</v>
          </cell>
          <cell r="E1115">
            <v>0</v>
          </cell>
          <cell r="F1115">
            <v>4000</v>
          </cell>
          <cell r="G1115">
            <v>1</v>
          </cell>
          <cell r="H1115">
            <v>5000</v>
          </cell>
          <cell r="I1115">
            <v>1</v>
          </cell>
          <cell r="J1115" t="str">
            <v>GWP</v>
          </cell>
          <cell r="K1115">
            <v>0.99980000000000002</v>
          </cell>
          <cell r="L1115" t="str">
            <v>11</v>
          </cell>
          <cell r="M1115" t="str">
            <v>CTLG-MC</v>
          </cell>
          <cell r="N1115" t="str">
            <v/>
          </cell>
          <cell r="O1115" t="str">
            <v/>
          </cell>
        </row>
        <row r="1116">
          <cell r="B1116">
            <v>37290</v>
          </cell>
          <cell r="C1116" t="str">
            <v>Wellosophy NBS Vanilla</v>
          </cell>
          <cell r="D1116">
            <v>52</v>
          </cell>
          <cell r="E1116">
            <v>3208</v>
          </cell>
          <cell r="F1116">
            <v>4000</v>
          </cell>
          <cell r="G1116">
            <v>4000</v>
          </cell>
          <cell r="H1116">
            <v>5000</v>
          </cell>
          <cell r="I1116">
            <v>5000</v>
          </cell>
          <cell r="J1116" t="str">
            <v>GWP</v>
          </cell>
          <cell r="K1116">
            <v>0</v>
          </cell>
          <cell r="L1116" t="str">
            <v>11</v>
          </cell>
          <cell r="M1116" t="str">
            <v>CTLG-MC</v>
          </cell>
          <cell r="N1116" t="str">
            <v/>
          </cell>
          <cell r="O1116" t="str">
            <v/>
          </cell>
        </row>
        <row r="1117">
          <cell r="B1117">
            <v>37290</v>
          </cell>
          <cell r="C1117" t="str">
            <v>Wellosophy NBS Vanilla</v>
          </cell>
          <cell r="D1117">
            <v>0</v>
          </cell>
          <cell r="E1117">
            <v>0</v>
          </cell>
          <cell r="F1117">
            <v>4000</v>
          </cell>
          <cell r="G1117">
            <v>1</v>
          </cell>
          <cell r="H1117">
            <v>5000</v>
          </cell>
          <cell r="I1117">
            <v>1</v>
          </cell>
          <cell r="J1117" t="str">
            <v>GWP</v>
          </cell>
          <cell r="K1117">
            <v>0.99980000000000002</v>
          </cell>
          <cell r="L1117" t="str">
            <v>11</v>
          </cell>
          <cell r="M1117" t="str">
            <v>CTLG-MC</v>
          </cell>
          <cell r="N1117" t="str">
            <v/>
          </cell>
          <cell r="O1117" t="str">
            <v/>
          </cell>
        </row>
        <row r="1118">
          <cell r="B1118">
            <v>47260</v>
          </cell>
          <cell r="C1118" t="str">
            <v>Wellosophy Daily Wellbeing Set</v>
          </cell>
          <cell r="D1118">
            <v>122</v>
          </cell>
          <cell r="E1118">
            <v>6095</v>
          </cell>
          <cell r="F1118">
            <v>7600</v>
          </cell>
          <cell r="G1118">
            <v>7600</v>
          </cell>
          <cell r="H1118">
            <v>9500</v>
          </cell>
          <cell r="I1118">
            <v>9500</v>
          </cell>
          <cell r="J1118" t="str">
            <v>NO</v>
          </cell>
          <cell r="K1118">
            <v>0</v>
          </cell>
          <cell r="L1118" t="str">
            <v>12</v>
          </cell>
          <cell r="M1118" t="str">
            <v>CTLG-MC</v>
          </cell>
          <cell r="N1118" t="str">
            <v/>
          </cell>
          <cell r="O1118" t="str">
            <v/>
          </cell>
        </row>
        <row r="1119">
          <cell r="B1119">
            <v>47269</v>
          </cell>
          <cell r="C1119" t="str">
            <v>Wellosophy Healthy Weight Loss Plus</v>
          </cell>
          <cell r="D1119">
            <v>232</v>
          </cell>
          <cell r="E1119">
            <v>10972</v>
          </cell>
          <cell r="F1119">
            <v>13680</v>
          </cell>
          <cell r="G1119">
            <v>13680</v>
          </cell>
          <cell r="H1119">
            <v>17100</v>
          </cell>
          <cell r="I1119">
            <v>17100</v>
          </cell>
          <cell r="J1119" t="str">
            <v>NO</v>
          </cell>
          <cell r="K1119">
            <v>0</v>
          </cell>
          <cell r="L1119" t="str">
            <v>12</v>
          </cell>
          <cell r="M1119" t="str">
            <v>CTLG-MC</v>
          </cell>
          <cell r="N1119" t="str">
            <v/>
          </cell>
          <cell r="O1119" t="str">
            <v/>
          </cell>
        </row>
        <row r="1120">
          <cell r="B1120">
            <v>47272</v>
          </cell>
          <cell r="C1120" t="str">
            <v>Wellosophy Healthy Weight Set</v>
          </cell>
          <cell r="D1120">
            <v>144</v>
          </cell>
          <cell r="E1120">
            <v>6737</v>
          </cell>
          <cell r="F1120">
            <v>8400</v>
          </cell>
          <cell r="G1120">
            <v>8400</v>
          </cell>
          <cell r="H1120">
            <v>10500</v>
          </cell>
          <cell r="I1120">
            <v>10500</v>
          </cell>
          <cell r="J1120" t="str">
            <v>NO</v>
          </cell>
          <cell r="K1120">
            <v>0</v>
          </cell>
          <cell r="L1120" t="str">
            <v>12</v>
          </cell>
          <cell r="M1120" t="str">
            <v>CTLG-MC</v>
          </cell>
          <cell r="N1120" t="str">
            <v/>
          </cell>
          <cell r="O1120" t="str">
            <v/>
          </cell>
        </row>
        <row r="1121">
          <cell r="B1121">
            <v>47276</v>
          </cell>
          <cell r="C1121" t="str">
            <v>Wellosophy Weight Loss Set</v>
          </cell>
          <cell r="D1121">
            <v>168</v>
          </cell>
          <cell r="E1121">
            <v>7700</v>
          </cell>
          <cell r="F1121">
            <v>9600</v>
          </cell>
          <cell r="G1121">
            <v>9600</v>
          </cell>
          <cell r="H1121">
            <v>12000</v>
          </cell>
          <cell r="I1121">
            <v>12000</v>
          </cell>
          <cell r="J1121" t="str">
            <v>NO</v>
          </cell>
          <cell r="K1121">
            <v>0</v>
          </cell>
          <cell r="L1121" t="str">
            <v>12</v>
          </cell>
          <cell r="M1121" t="str">
            <v>CTLG-MC</v>
          </cell>
          <cell r="N1121" t="str">
            <v/>
          </cell>
          <cell r="O1121" t="str">
            <v/>
          </cell>
        </row>
        <row r="1122">
          <cell r="B1122">
            <v>32629</v>
          </cell>
          <cell r="C1122" t="str">
            <v>NovAge Time Restore Eye &amp; Lip Cream</v>
          </cell>
          <cell r="D1122">
            <v>16</v>
          </cell>
          <cell r="E1122">
            <v>1026</v>
          </cell>
          <cell r="F1122">
            <v>2000</v>
          </cell>
          <cell r="G1122">
            <v>1279</v>
          </cell>
          <cell r="H1122">
            <v>2500</v>
          </cell>
          <cell r="I1122">
            <v>1599</v>
          </cell>
          <cell r="J1122" t="str">
            <v>PWP</v>
          </cell>
          <cell r="K1122">
            <v>0.3604</v>
          </cell>
          <cell r="L1122" t="str">
            <v>1</v>
          </cell>
          <cell r="M1122" t="str">
            <v>CTLG-MC</v>
          </cell>
          <cell r="N1122" t="str">
            <v/>
          </cell>
          <cell r="O1122" t="str">
            <v/>
          </cell>
        </row>
        <row r="1123">
          <cell r="B1123">
            <v>32630</v>
          </cell>
          <cell r="C1123" t="str">
            <v>NovAge Time Restore Serum</v>
          </cell>
          <cell r="D1123">
            <v>26</v>
          </cell>
          <cell r="E1123">
            <v>1668</v>
          </cell>
          <cell r="F1123">
            <v>3200</v>
          </cell>
          <cell r="G1123">
            <v>2079</v>
          </cell>
          <cell r="H1123">
            <v>4000</v>
          </cell>
          <cell r="I1123">
            <v>2599</v>
          </cell>
          <cell r="J1123" t="str">
            <v>PWP</v>
          </cell>
          <cell r="K1123">
            <v>0.35025000000000001</v>
          </cell>
          <cell r="L1123" t="str">
            <v>1</v>
          </cell>
          <cell r="M1123" t="str">
            <v>CTLG-MC</v>
          </cell>
          <cell r="N1123" t="str">
            <v/>
          </cell>
          <cell r="O1123" t="str">
            <v/>
          </cell>
        </row>
        <row r="1124">
          <cell r="B1124">
            <v>33199</v>
          </cell>
          <cell r="C1124" t="str">
            <v>NovAge Men Eye Rescue Gel</v>
          </cell>
          <cell r="D1124">
            <v>15</v>
          </cell>
          <cell r="E1124">
            <v>962</v>
          </cell>
          <cell r="F1124">
            <v>1840</v>
          </cell>
          <cell r="G1124">
            <v>1199</v>
          </cell>
          <cell r="H1124">
            <v>2300</v>
          </cell>
          <cell r="I1124">
            <v>1499</v>
          </cell>
          <cell r="J1124" t="str">
            <v>PWP</v>
          </cell>
          <cell r="K1124">
            <v>0.34826086956521701</v>
          </cell>
          <cell r="L1124" t="str">
            <v>1</v>
          </cell>
          <cell r="M1124" t="str">
            <v>CTLG-MC</v>
          </cell>
          <cell r="N1124" t="str">
            <v/>
          </cell>
          <cell r="O1124" t="str">
            <v/>
          </cell>
        </row>
        <row r="1125">
          <cell r="B1125">
            <v>33200</v>
          </cell>
          <cell r="C1125" t="str">
            <v>NovAge Men Energising &amp; Hydrating B</v>
          </cell>
          <cell r="D1125">
            <v>24</v>
          </cell>
          <cell r="E1125">
            <v>1539</v>
          </cell>
          <cell r="F1125">
            <v>2960</v>
          </cell>
          <cell r="G1125">
            <v>1919</v>
          </cell>
          <cell r="H1125">
            <v>3700</v>
          </cell>
          <cell r="I1125">
            <v>2399</v>
          </cell>
          <cell r="J1125" t="str">
            <v>PWP</v>
          </cell>
          <cell r="K1125">
            <v>0.35162162162162203</v>
          </cell>
          <cell r="L1125" t="str">
            <v>1</v>
          </cell>
          <cell r="M1125" t="str">
            <v>CTLG-MC</v>
          </cell>
          <cell r="N1125" t="str">
            <v/>
          </cell>
          <cell r="O1125" t="str">
            <v/>
          </cell>
        </row>
        <row r="1126">
          <cell r="B1126">
            <v>38390</v>
          </cell>
          <cell r="C1126" t="str">
            <v>NovAge Skinrelief Eye Cream</v>
          </cell>
          <cell r="D1126">
            <v>15</v>
          </cell>
          <cell r="E1126">
            <v>962</v>
          </cell>
          <cell r="F1126">
            <v>1840</v>
          </cell>
          <cell r="G1126">
            <v>1199</v>
          </cell>
          <cell r="H1126">
            <v>2300</v>
          </cell>
          <cell r="I1126">
            <v>1499</v>
          </cell>
          <cell r="J1126" t="str">
            <v>PWP</v>
          </cell>
          <cell r="K1126">
            <v>0.34826086956521701</v>
          </cell>
          <cell r="L1126" t="str">
            <v>1</v>
          </cell>
          <cell r="M1126" t="str">
            <v>CTLG-MC</v>
          </cell>
          <cell r="N1126" t="str">
            <v/>
          </cell>
          <cell r="O1126" t="str">
            <v/>
          </cell>
        </row>
        <row r="1127">
          <cell r="B1127">
            <v>38391</v>
          </cell>
          <cell r="C1127" t="str">
            <v>NovAge Skinrelief Serum</v>
          </cell>
          <cell r="D1127">
            <v>24</v>
          </cell>
          <cell r="E1127">
            <v>1539</v>
          </cell>
          <cell r="F1127">
            <v>2960</v>
          </cell>
          <cell r="G1127">
            <v>1919</v>
          </cell>
          <cell r="H1127">
            <v>3700</v>
          </cell>
          <cell r="I1127">
            <v>2399</v>
          </cell>
          <cell r="J1127" t="str">
            <v>PWP</v>
          </cell>
          <cell r="K1127">
            <v>0.35162162162162203</v>
          </cell>
          <cell r="L1127" t="str">
            <v>1</v>
          </cell>
          <cell r="M1127" t="str">
            <v>CTLG-MC</v>
          </cell>
          <cell r="N1127" t="str">
            <v/>
          </cell>
          <cell r="O1127" t="str">
            <v/>
          </cell>
        </row>
        <row r="1128">
          <cell r="B1128">
            <v>41033</v>
          </cell>
          <cell r="C1128" t="str">
            <v>Novage+ Bright Intense Eye Cream</v>
          </cell>
          <cell r="D1128">
            <v>16</v>
          </cell>
          <cell r="E1128">
            <v>1026</v>
          </cell>
          <cell r="F1128">
            <v>2000</v>
          </cell>
          <cell r="G1128">
            <v>1279</v>
          </cell>
          <cell r="H1128">
            <v>2500</v>
          </cell>
          <cell r="I1128">
            <v>1599</v>
          </cell>
          <cell r="J1128" t="str">
            <v>PWP</v>
          </cell>
          <cell r="K1128">
            <v>0.3604</v>
          </cell>
          <cell r="L1128" t="str">
            <v>1</v>
          </cell>
          <cell r="M1128" t="str">
            <v>CTLG-MC</v>
          </cell>
          <cell r="N1128" t="str">
            <v/>
          </cell>
          <cell r="O1128" t="str">
            <v/>
          </cell>
        </row>
        <row r="1129">
          <cell r="B1129">
            <v>41034</v>
          </cell>
          <cell r="C1129" t="str">
            <v>Novage+ Wrinkle Smooth Eye Cream</v>
          </cell>
          <cell r="D1129">
            <v>16</v>
          </cell>
          <cell r="E1129">
            <v>1026</v>
          </cell>
          <cell r="F1129">
            <v>2000</v>
          </cell>
          <cell r="G1129">
            <v>1279</v>
          </cell>
          <cell r="H1129">
            <v>2500</v>
          </cell>
          <cell r="I1129">
            <v>1599</v>
          </cell>
          <cell r="J1129" t="str">
            <v>PWP</v>
          </cell>
          <cell r="K1129">
            <v>0.3604</v>
          </cell>
          <cell r="L1129" t="str">
            <v>1</v>
          </cell>
          <cell r="M1129" t="str">
            <v>CTLG-MC</v>
          </cell>
          <cell r="N1129" t="str">
            <v/>
          </cell>
          <cell r="O1129" t="str">
            <v/>
          </cell>
        </row>
        <row r="1130">
          <cell r="B1130">
            <v>41035</v>
          </cell>
          <cell r="C1130" t="str">
            <v>Novage+ Wrinkle Smooth Serum</v>
          </cell>
          <cell r="D1130">
            <v>26</v>
          </cell>
          <cell r="E1130">
            <v>1668</v>
          </cell>
          <cell r="F1130">
            <v>3200</v>
          </cell>
          <cell r="G1130">
            <v>2079</v>
          </cell>
          <cell r="H1130">
            <v>4000</v>
          </cell>
          <cell r="I1130">
            <v>2599</v>
          </cell>
          <cell r="J1130" t="str">
            <v>PWP</v>
          </cell>
          <cell r="K1130">
            <v>0.35025000000000001</v>
          </cell>
          <cell r="L1130" t="str">
            <v>1</v>
          </cell>
          <cell r="M1130" t="str">
            <v>CTLG-MC</v>
          </cell>
          <cell r="N1130" t="str">
            <v/>
          </cell>
          <cell r="O1130" t="str">
            <v/>
          </cell>
        </row>
        <row r="1131">
          <cell r="B1131">
            <v>41037</v>
          </cell>
          <cell r="C1131" t="str">
            <v>Novage+ Lift + Firm Serum</v>
          </cell>
          <cell r="D1131">
            <v>26</v>
          </cell>
          <cell r="E1131">
            <v>1668</v>
          </cell>
          <cell r="F1131">
            <v>3200</v>
          </cell>
          <cell r="G1131">
            <v>2079</v>
          </cell>
          <cell r="H1131">
            <v>4000</v>
          </cell>
          <cell r="I1131">
            <v>2599</v>
          </cell>
          <cell r="J1131" t="str">
            <v>PWP</v>
          </cell>
          <cell r="K1131">
            <v>0.35025000000000001</v>
          </cell>
          <cell r="L1131" t="str">
            <v>1</v>
          </cell>
          <cell r="M1131" t="str">
            <v>CTLG-MC</v>
          </cell>
          <cell r="N1131" t="str">
            <v/>
          </cell>
          <cell r="O1131" t="str">
            <v/>
          </cell>
        </row>
        <row r="1132">
          <cell r="B1132">
            <v>41039</v>
          </cell>
          <cell r="C1132" t="str">
            <v>Novage+ Blemish + Age Defy Serum</v>
          </cell>
          <cell r="D1132">
            <v>26</v>
          </cell>
          <cell r="E1132">
            <v>1668</v>
          </cell>
          <cell r="F1132">
            <v>3200</v>
          </cell>
          <cell r="G1132">
            <v>2079</v>
          </cell>
          <cell r="H1132">
            <v>4000</v>
          </cell>
          <cell r="I1132">
            <v>2599</v>
          </cell>
          <cell r="J1132" t="str">
            <v>PWP</v>
          </cell>
          <cell r="K1132">
            <v>0.35025000000000001</v>
          </cell>
          <cell r="L1132" t="str">
            <v>1</v>
          </cell>
          <cell r="M1132" t="str">
            <v>CTLG-MC</v>
          </cell>
          <cell r="N1132" t="str">
            <v/>
          </cell>
          <cell r="O1132" t="str">
            <v/>
          </cell>
        </row>
        <row r="1133">
          <cell r="B1133">
            <v>41040</v>
          </cell>
          <cell r="C1133" t="str">
            <v>Novage+ Bright Intense Serum</v>
          </cell>
          <cell r="D1133">
            <v>26</v>
          </cell>
          <cell r="E1133">
            <v>1668</v>
          </cell>
          <cell r="F1133">
            <v>3200</v>
          </cell>
          <cell r="G1133">
            <v>2079</v>
          </cell>
          <cell r="H1133">
            <v>4000</v>
          </cell>
          <cell r="I1133">
            <v>2599</v>
          </cell>
          <cell r="J1133" t="str">
            <v>PWP</v>
          </cell>
          <cell r="K1133">
            <v>0.35025000000000001</v>
          </cell>
          <cell r="L1133" t="str">
            <v>1</v>
          </cell>
          <cell r="M1133" t="str">
            <v>CTLG-MC</v>
          </cell>
          <cell r="N1133" t="str">
            <v/>
          </cell>
          <cell r="O1133" t="str">
            <v/>
          </cell>
        </row>
        <row r="1134">
          <cell r="B1134">
            <v>42425</v>
          </cell>
          <cell r="C1134" t="str">
            <v>Novage+ Lift + Firm Eye Cream</v>
          </cell>
          <cell r="D1134">
            <v>16</v>
          </cell>
          <cell r="E1134">
            <v>1026</v>
          </cell>
          <cell r="F1134">
            <v>2000</v>
          </cell>
          <cell r="G1134">
            <v>1279</v>
          </cell>
          <cell r="H1134">
            <v>2500</v>
          </cell>
          <cell r="I1134">
            <v>1599</v>
          </cell>
          <cell r="J1134" t="str">
            <v>PWP</v>
          </cell>
          <cell r="K1134">
            <v>0.3604</v>
          </cell>
          <cell r="L1134" t="str">
            <v>1</v>
          </cell>
          <cell r="M1134" t="str">
            <v>CTLG-MC</v>
          </cell>
          <cell r="N1134" t="str">
            <v/>
          </cell>
          <cell r="O1134" t="str">
            <v/>
          </cell>
        </row>
        <row r="1135">
          <cell r="B1135">
            <v>29446</v>
          </cell>
          <cell r="C1135" t="str">
            <v>NovAge Men SET</v>
          </cell>
          <cell r="D1135">
            <v>85</v>
          </cell>
          <cell r="E1135">
            <v>4555</v>
          </cell>
          <cell r="F1135">
            <v>8160</v>
          </cell>
          <cell r="G1135">
            <v>5679</v>
          </cell>
          <cell r="H1135">
            <v>10200</v>
          </cell>
          <cell r="I1135">
            <v>7099</v>
          </cell>
          <cell r="J1135" t="str">
            <v>SD</v>
          </cell>
          <cell r="K1135">
            <v>0.30401960784313697</v>
          </cell>
          <cell r="L1135" t="str">
            <v>2</v>
          </cell>
          <cell r="M1135" t="str">
            <v>CTLG-MC</v>
          </cell>
          <cell r="N1135" t="str">
            <v/>
          </cell>
          <cell r="O1135" t="str">
            <v/>
          </cell>
        </row>
        <row r="1136">
          <cell r="B1136">
            <v>31774</v>
          </cell>
          <cell r="C1136" t="str">
            <v>NovAge Time Restore SET</v>
          </cell>
          <cell r="D1136">
            <v>120</v>
          </cell>
          <cell r="E1136">
            <v>6416</v>
          </cell>
          <cell r="F1136">
            <v>11440</v>
          </cell>
          <cell r="G1136">
            <v>7999</v>
          </cell>
          <cell r="H1136">
            <v>14300</v>
          </cell>
          <cell r="I1136">
            <v>9999</v>
          </cell>
          <cell r="J1136" t="str">
            <v>SD</v>
          </cell>
          <cell r="K1136">
            <v>0.30076923076923101</v>
          </cell>
          <cell r="L1136" t="str">
            <v>2</v>
          </cell>
          <cell r="M1136" t="str">
            <v>CTLG-MC</v>
          </cell>
          <cell r="N1136" t="str">
            <v/>
          </cell>
          <cell r="O1136" t="str">
            <v/>
          </cell>
        </row>
        <row r="1137">
          <cell r="B1137">
            <v>43691</v>
          </cell>
          <cell r="C1137" t="str">
            <v>Novage+ Lift + Firm Routine Rich</v>
          </cell>
          <cell r="D1137">
            <v>120</v>
          </cell>
          <cell r="E1137">
            <v>6416</v>
          </cell>
          <cell r="F1137">
            <v>11440</v>
          </cell>
          <cell r="G1137">
            <v>7999</v>
          </cell>
          <cell r="H1137">
            <v>14300</v>
          </cell>
          <cell r="I1137">
            <v>9999</v>
          </cell>
          <cell r="J1137" t="str">
            <v>SD</v>
          </cell>
          <cell r="K1137">
            <v>0.30076923076923101</v>
          </cell>
          <cell r="L1137" t="str">
            <v>2</v>
          </cell>
          <cell r="M1137" t="str">
            <v>CTLG-MC</v>
          </cell>
          <cell r="N1137" t="str">
            <v/>
          </cell>
          <cell r="O1137" t="str">
            <v/>
          </cell>
        </row>
        <row r="1138">
          <cell r="B1138">
            <v>44480</v>
          </cell>
          <cell r="C1138" t="str">
            <v>NovAge Skinrelief SET</v>
          </cell>
          <cell r="D1138">
            <v>109</v>
          </cell>
          <cell r="E1138">
            <v>5838</v>
          </cell>
          <cell r="F1138">
            <v>10400</v>
          </cell>
          <cell r="G1138">
            <v>7279</v>
          </cell>
          <cell r="H1138">
            <v>13000</v>
          </cell>
          <cell r="I1138">
            <v>9099</v>
          </cell>
          <cell r="J1138" t="str">
            <v>SD</v>
          </cell>
          <cell r="K1138">
            <v>0.30007692307692302</v>
          </cell>
          <cell r="L1138" t="str">
            <v>2</v>
          </cell>
          <cell r="M1138" t="str">
            <v>CTLG-MC</v>
          </cell>
          <cell r="N1138" t="str">
            <v/>
          </cell>
          <cell r="O1138" t="str">
            <v/>
          </cell>
        </row>
        <row r="1139">
          <cell r="B1139">
            <v>45590</v>
          </cell>
          <cell r="C1139" t="str">
            <v>Novage+ Wrinkle Smooth RoutineMixed</v>
          </cell>
          <cell r="D1139">
            <v>120</v>
          </cell>
          <cell r="E1139">
            <v>6416</v>
          </cell>
          <cell r="F1139">
            <v>11440</v>
          </cell>
          <cell r="G1139">
            <v>7999</v>
          </cell>
          <cell r="H1139">
            <v>14300</v>
          </cell>
          <cell r="I1139">
            <v>9999</v>
          </cell>
          <cell r="J1139" t="str">
            <v>SD</v>
          </cell>
          <cell r="K1139">
            <v>0.30076923076923101</v>
          </cell>
          <cell r="L1139" t="str">
            <v>2</v>
          </cell>
          <cell r="M1139" t="str">
            <v>CTLG-MC</v>
          </cell>
          <cell r="N1139" t="str">
            <v/>
          </cell>
          <cell r="O1139" t="str">
            <v/>
          </cell>
        </row>
        <row r="1140">
          <cell r="B1140">
            <v>45595</v>
          </cell>
          <cell r="C1140" t="str">
            <v>Novage+ Bright Intense RoutineMixed</v>
          </cell>
          <cell r="D1140">
            <v>120</v>
          </cell>
          <cell r="E1140">
            <v>6416</v>
          </cell>
          <cell r="F1140">
            <v>11440</v>
          </cell>
          <cell r="G1140">
            <v>7999</v>
          </cell>
          <cell r="H1140">
            <v>14300</v>
          </cell>
          <cell r="I1140">
            <v>9999</v>
          </cell>
          <cell r="J1140" t="str">
            <v>SD</v>
          </cell>
          <cell r="K1140">
            <v>0.30076923076923101</v>
          </cell>
          <cell r="L1140" t="str">
            <v>2</v>
          </cell>
          <cell r="M1140" t="str">
            <v>CTLG-MC</v>
          </cell>
          <cell r="N1140" t="str">
            <v/>
          </cell>
          <cell r="O1140" t="str">
            <v/>
          </cell>
        </row>
        <row r="1141">
          <cell r="B1141">
            <v>45608</v>
          </cell>
          <cell r="C1141" t="str">
            <v>Novage+ Blemish + Age Routine Light</v>
          </cell>
          <cell r="D1141">
            <v>120</v>
          </cell>
          <cell r="E1141">
            <v>6416</v>
          </cell>
          <cell r="F1141">
            <v>11440</v>
          </cell>
          <cell r="G1141">
            <v>7999</v>
          </cell>
          <cell r="H1141">
            <v>14300</v>
          </cell>
          <cell r="I1141">
            <v>9999</v>
          </cell>
          <cell r="J1141" t="str">
            <v>SD</v>
          </cell>
          <cell r="K1141">
            <v>0.30076923076923101</v>
          </cell>
          <cell r="L1141" t="str">
            <v>2</v>
          </cell>
          <cell r="M1141" t="str">
            <v>CTLG-MC</v>
          </cell>
          <cell r="N1141" t="str">
            <v/>
          </cell>
          <cell r="O1141" t="str">
            <v/>
          </cell>
        </row>
        <row r="1142">
          <cell r="B1142">
            <v>34612</v>
          </cell>
          <cell r="C1142" t="str">
            <v>NovAge Men Anti-Age Face Gel Sachet</v>
          </cell>
          <cell r="D1142">
            <v>0</v>
          </cell>
          <cell r="E1142">
            <v>0</v>
          </cell>
          <cell r="F1142">
            <v>35</v>
          </cell>
          <cell r="G1142">
            <v>35</v>
          </cell>
          <cell r="H1142">
            <v>35</v>
          </cell>
          <cell r="I1142">
            <v>35</v>
          </cell>
          <cell r="J1142" t="str">
            <v>NO</v>
          </cell>
          <cell r="K1142">
            <v>0</v>
          </cell>
          <cell r="L1142" t="str">
            <v>1</v>
          </cell>
          <cell r="M1142" t="str">
            <v>CTLG-MC</v>
          </cell>
          <cell r="N1142" t="str">
            <v>SAM</v>
          </cell>
          <cell r="O1142" t="str">
            <v>33201</v>
          </cell>
        </row>
        <row r="1143">
          <cell r="B1143">
            <v>34613</v>
          </cell>
          <cell r="C1143" t="str">
            <v>Energising &amp; Hydrating Booster Sach</v>
          </cell>
          <cell r="D1143">
            <v>0</v>
          </cell>
          <cell r="E1143">
            <v>0</v>
          </cell>
          <cell r="F1143">
            <v>35</v>
          </cell>
          <cell r="G1143">
            <v>35</v>
          </cell>
          <cell r="H1143">
            <v>35</v>
          </cell>
          <cell r="I1143">
            <v>35</v>
          </cell>
          <cell r="J1143" t="str">
            <v>NO</v>
          </cell>
          <cell r="K1143">
            <v>0</v>
          </cell>
          <cell r="L1143" t="str">
            <v>1</v>
          </cell>
          <cell r="M1143" t="str">
            <v>CTLG-MC</v>
          </cell>
          <cell r="N1143" t="str">
            <v>SAM</v>
          </cell>
          <cell r="O1143" t="str">
            <v>33200</v>
          </cell>
        </row>
        <row r="1144">
          <cell r="B1144">
            <v>35084</v>
          </cell>
          <cell r="C1144" t="str">
            <v>NovAge Supreme Cleansing Gel SACHET</v>
          </cell>
          <cell r="D1144">
            <v>0</v>
          </cell>
          <cell r="E1144">
            <v>0</v>
          </cell>
          <cell r="F1144">
            <v>35</v>
          </cell>
          <cell r="G1144">
            <v>35</v>
          </cell>
          <cell r="H1144">
            <v>35</v>
          </cell>
          <cell r="I1144">
            <v>35</v>
          </cell>
          <cell r="J1144" t="str">
            <v>NO</v>
          </cell>
          <cell r="K1144">
            <v>0</v>
          </cell>
          <cell r="L1144" t="str">
            <v>1</v>
          </cell>
          <cell r="M1144" t="str">
            <v>CTLG-MC</v>
          </cell>
          <cell r="N1144" t="str">
            <v>SAM</v>
          </cell>
          <cell r="O1144" t="str">
            <v>33984</v>
          </cell>
        </row>
        <row r="1145">
          <cell r="B1145">
            <v>35198</v>
          </cell>
          <cell r="C1145" t="str">
            <v>NovAge Time Restore Serum SACHET</v>
          </cell>
          <cell r="D1145">
            <v>0</v>
          </cell>
          <cell r="E1145">
            <v>0</v>
          </cell>
          <cell r="F1145">
            <v>35</v>
          </cell>
          <cell r="G1145">
            <v>35</v>
          </cell>
          <cell r="H1145">
            <v>35</v>
          </cell>
          <cell r="I1145">
            <v>35</v>
          </cell>
          <cell r="J1145" t="str">
            <v>NO</v>
          </cell>
          <cell r="K1145">
            <v>0</v>
          </cell>
          <cell r="L1145" t="str">
            <v>1</v>
          </cell>
          <cell r="M1145" t="str">
            <v>CTLG-MC</v>
          </cell>
          <cell r="N1145" t="str">
            <v>SAM</v>
          </cell>
          <cell r="O1145" t="str">
            <v>32630</v>
          </cell>
        </row>
        <row r="1146">
          <cell r="B1146">
            <v>35200</v>
          </cell>
          <cell r="C1146" t="str">
            <v>NovAge Time Restore Eye Cream SACHE</v>
          </cell>
          <cell r="D1146">
            <v>0</v>
          </cell>
          <cell r="E1146">
            <v>0</v>
          </cell>
          <cell r="F1146">
            <v>35</v>
          </cell>
          <cell r="G1146">
            <v>35</v>
          </cell>
          <cell r="H1146">
            <v>35</v>
          </cell>
          <cell r="I1146">
            <v>35</v>
          </cell>
          <cell r="J1146" t="str">
            <v>NO</v>
          </cell>
          <cell r="K1146">
            <v>0</v>
          </cell>
          <cell r="L1146" t="str">
            <v>1</v>
          </cell>
          <cell r="M1146" t="str">
            <v>CTLG-MC</v>
          </cell>
          <cell r="N1146" t="str">
            <v>SAM</v>
          </cell>
          <cell r="O1146" t="str">
            <v>32629</v>
          </cell>
        </row>
        <row r="1147">
          <cell r="B1147">
            <v>35231</v>
          </cell>
          <cell r="C1147" t="str">
            <v>NovAge Men Cleanser Sample</v>
          </cell>
          <cell r="D1147">
            <v>0</v>
          </cell>
          <cell r="E1147">
            <v>0</v>
          </cell>
          <cell r="F1147">
            <v>35</v>
          </cell>
          <cell r="G1147">
            <v>35</v>
          </cell>
          <cell r="H1147">
            <v>35</v>
          </cell>
          <cell r="I1147">
            <v>35</v>
          </cell>
          <cell r="J1147" t="str">
            <v>NO</v>
          </cell>
          <cell r="K1147">
            <v>0</v>
          </cell>
          <cell r="L1147" t="str">
            <v>1</v>
          </cell>
          <cell r="M1147" t="str">
            <v>CTLG-MC</v>
          </cell>
          <cell r="N1147" t="str">
            <v>SAM</v>
          </cell>
          <cell r="O1147" t="str">
            <v>33198</v>
          </cell>
        </row>
        <row r="1148">
          <cell r="B1148">
            <v>35232</v>
          </cell>
          <cell r="C1148" t="str">
            <v>NovAge Men Eye Rescue Gel Sachet</v>
          </cell>
          <cell r="D1148">
            <v>0</v>
          </cell>
          <cell r="E1148">
            <v>0</v>
          </cell>
          <cell r="F1148">
            <v>35</v>
          </cell>
          <cell r="G1148">
            <v>35</v>
          </cell>
          <cell r="H1148">
            <v>35</v>
          </cell>
          <cell r="I1148">
            <v>35</v>
          </cell>
          <cell r="J1148" t="str">
            <v>NO</v>
          </cell>
          <cell r="K1148">
            <v>0</v>
          </cell>
          <cell r="L1148" t="str">
            <v>1</v>
          </cell>
          <cell r="M1148" t="str">
            <v>CTLG-MC</v>
          </cell>
          <cell r="N1148" t="str">
            <v>SAM</v>
          </cell>
          <cell r="O1148" t="str">
            <v>33199</v>
          </cell>
        </row>
        <row r="1149">
          <cell r="B1149">
            <v>35332</v>
          </cell>
          <cell r="C1149" t="str">
            <v>NovAge Time Restore Day Sachet</v>
          </cell>
          <cell r="D1149">
            <v>0</v>
          </cell>
          <cell r="E1149">
            <v>0</v>
          </cell>
          <cell r="F1149">
            <v>35</v>
          </cell>
          <cell r="G1149">
            <v>35</v>
          </cell>
          <cell r="H1149">
            <v>35</v>
          </cell>
          <cell r="I1149">
            <v>35</v>
          </cell>
          <cell r="J1149" t="str">
            <v>NO</v>
          </cell>
          <cell r="K1149">
            <v>0</v>
          </cell>
          <cell r="L1149" t="str">
            <v>1</v>
          </cell>
          <cell r="M1149" t="str">
            <v>CTLG-MC</v>
          </cell>
          <cell r="N1149" t="str">
            <v>SAM</v>
          </cell>
          <cell r="O1149" t="str">
            <v>32627</v>
          </cell>
        </row>
        <row r="1150">
          <cell r="B1150">
            <v>35333</v>
          </cell>
          <cell r="C1150" t="str">
            <v>NovAge Time Restore Night Sachet</v>
          </cell>
          <cell r="D1150">
            <v>0</v>
          </cell>
          <cell r="E1150">
            <v>0</v>
          </cell>
          <cell r="F1150">
            <v>35</v>
          </cell>
          <cell r="G1150">
            <v>35</v>
          </cell>
          <cell r="H1150">
            <v>35</v>
          </cell>
          <cell r="I1150">
            <v>35</v>
          </cell>
          <cell r="J1150" t="str">
            <v>NO</v>
          </cell>
          <cell r="K1150">
            <v>0</v>
          </cell>
          <cell r="L1150" t="str">
            <v>1</v>
          </cell>
          <cell r="M1150" t="str">
            <v>CTLG-MC</v>
          </cell>
          <cell r="N1150" t="str">
            <v>SAM</v>
          </cell>
          <cell r="O1150" t="str">
            <v>32628</v>
          </cell>
        </row>
        <row r="1151">
          <cell r="B1151">
            <v>41183</v>
          </cell>
          <cell r="C1151" t="str">
            <v>NovAge Skinrelief Serum Sachet</v>
          </cell>
          <cell r="D1151">
            <v>0</v>
          </cell>
          <cell r="E1151">
            <v>0</v>
          </cell>
          <cell r="F1151">
            <v>35</v>
          </cell>
          <cell r="G1151">
            <v>35</v>
          </cell>
          <cell r="H1151">
            <v>35</v>
          </cell>
          <cell r="I1151">
            <v>35</v>
          </cell>
          <cell r="J1151" t="str">
            <v>NO</v>
          </cell>
          <cell r="K1151">
            <v>0</v>
          </cell>
          <cell r="L1151" t="str">
            <v>1</v>
          </cell>
          <cell r="M1151" t="str">
            <v>CTLG-MC</v>
          </cell>
          <cell r="N1151" t="str">
            <v>SAM</v>
          </cell>
          <cell r="O1151" t="str">
            <v>38391</v>
          </cell>
        </row>
        <row r="1152">
          <cell r="B1152">
            <v>41185</v>
          </cell>
          <cell r="C1152" t="str">
            <v>NovAge Skinrelief Day Cr SPF Sachet</v>
          </cell>
          <cell r="D1152">
            <v>0</v>
          </cell>
          <cell r="E1152">
            <v>0</v>
          </cell>
          <cell r="F1152">
            <v>35</v>
          </cell>
          <cell r="G1152">
            <v>35</v>
          </cell>
          <cell r="H1152">
            <v>35</v>
          </cell>
          <cell r="I1152">
            <v>35</v>
          </cell>
          <cell r="J1152" t="str">
            <v>NO</v>
          </cell>
          <cell r="K1152">
            <v>0</v>
          </cell>
          <cell r="L1152" t="str">
            <v>1</v>
          </cell>
          <cell r="M1152" t="str">
            <v>CTLG-MC</v>
          </cell>
          <cell r="N1152" t="str">
            <v>SAM</v>
          </cell>
          <cell r="O1152" t="str">
            <v>40794</v>
          </cell>
        </row>
        <row r="1153">
          <cell r="B1153">
            <v>41377</v>
          </cell>
          <cell r="C1153" t="str">
            <v>NovAge Skinrelief Cleanser Sachet</v>
          </cell>
          <cell r="D1153">
            <v>0</v>
          </cell>
          <cell r="E1153">
            <v>0</v>
          </cell>
          <cell r="F1153">
            <v>35</v>
          </cell>
          <cell r="G1153">
            <v>35</v>
          </cell>
          <cell r="H1153">
            <v>35</v>
          </cell>
          <cell r="I1153">
            <v>35</v>
          </cell>
          <cell r="J1153" t="str">
            <v>NO</v>
          </cell>
          <cell r="K1153">
            <v>0</v>
          </cell>
          <cell r="L1153" t="str">
            <v>1</v>
          </cell>
          <cell r="M1153" t="str">
            <v>CTLG-MC</v>
          </cell>
          <cell r="N1153" t="str">
            <v>SAM</v>
          </cell>
          <cell r="O1153" t="str">
            <v>38382</v>
          </cell>
        </row>
        <row r="1154">
          <cell r="B1154">
            <v>41378</v>
          </cell>
          <cell r="C1154" t="str">
            <v>NovAge Skinrelief NightCream Sachet</v>
          </cell>
          <cell r="D1154">
            <v>0</v>
          </cell>
          <cell r="E1154">
            <v>0</v>
          </cell>
          <cell r="F1154">
            <v>35</v>
          </cell>
          <cell r="G1154">
            <v>35</v>
          </cell>
          <cell r="H1154">
            <v>35</v>
          </cell>
          <cell r="I1154">
            <v>35</v>
          </cell>
          <cell r="J1154" t="str">
            <v>NO</v>
          </cell>
          <cell r="K1154">
            <v>0</v>
          </cell>
          <cell r="L1154" t="str">
            <v>1</v>
          </cell>
          <cell r="M1154" t="str">
            <v>CTLG-MC</v>
          </cell>
          <cell r="N1154" t="str">
            <v>SAM</v>
          </cell>
          <cell r="O1154" t="str">
            <v>38385</v>
          </cell>
        </row>
        <row r="1155">
          <cell r="B1155">
            <v>41379</v>
          </cell>
          <cell r="C1155" t="str">
            <v>NovAge Skinrelief Eye Cream Sachet</v>
          </cell>
          <cell r="D1155">
            <v>0</v>
          </cell>
          <cell r="E1155">
            <v>0</v>
          </cell>
          <cell r="F1155">
            <v>35</v>
          </cell>
          <cell r="G1155">
            <v>35</v>
          </cell>
          <cell r="H1155">
            <v>35</v>
          </cell>
          <cell r="I1155">
            <v>35</v>
          </cell>
          <cell r="J1155" t="str">
            <v>NO</v>
          </cell>
          <cell r="K1155">
            <v>0</v>
          </cell>
          <cell r="L1155" t="str">
            <v>1</v>
          </cell>
          <cell r="M1155" t="str">
            <v>CTLG-MC</v>
          </cell>
          <cell r="N1155" t="str">
            <v>SAM</v>
          </cell>
          <cell r="O1155" t="str">
            <v>38390</v>
          </cell>
        </row>
        <row r="1156">
          <cell r="B1156">
            <v>43888</v>
          </cell>
          <cell r="C1156" t="str">
            <v xml:space="preserve">Novage+ Day Cream L SPF30 Sachet </v>
          </cell>
          <cell r="D1156">
            <v>0</v>
          </cell>
          <cell r="E1156">
            <v>0</v>
          </cell>
          <cell r="F1156">
            <v>35</v>
          </cell>
          <cell r="G1156">
            <v>35</v>
          </cell>
          <cell r="H1156">
            <v>35</v>
          </cell>
          <cell r="I1156">
            <v>35</v>
          </cell>
          <cell r="J1156" t="str">
            <v>NO</v>
          </cell>
          <cell r="K1156">
            <v>0</v>
          </cell>
          <cell r="L1156" t="str">
            <v>1</v>
          </cell>
          <cell r="M1156" t="str">
            <v>CTLG-MC</v>
          </cell>
          <cell r="N1156" t="str">
            <v>SAM</v>
          </cell>
          <cell r="O1156" t="str">
            <v>41044</v>
          </cell>
        </row>
        <row r="1157">
          <cell r="B1157">
            <v>43890</v>
          </cell>
          <cell r="C1157" t="str">
            <v xml:space="preserve">Novage+ Day Cream R SPF30 Sachet </v>
          </cell>
          <cell r="D1157">
            <v>0</v>
          </cell>
          <cell r="E1157">
            <v>0</v>
          </cell>
          <cell r="F1157">
            <v>35</v>
          </cell>
          <cell r="G1157">
            <v>35</v>
          </cell>
          <cell r="H1157">
            <v>35</v>
          </cell>
          <cell r="I1157">
            <v>35</v>
          </cell>
          <cell r="J1157" t="str">
            <v>NO</v>
          </cell>
          <cell r="K1157">
            <v>0</v>
          </cell>
          <cell r="L1157" t="str">
            <v>1</v>
          </cell>
          <cell r="M1157" t="str">
            <v>CTLG-MC</v>
          </cell>
          <cell r="N1157" t="str">
            <v>SAM</v>
          </cell>
          <cell r="O1157" t="str">
            <v>41048</v>
          </cell>
        </row>
        <row r="1158">
          <cell r="B1158">
            <v>43892</v>
          </cell>
          <cell r="C1158" t="str">
            <v xml:space="preserve">Novage+ Bright Intense Eye SACHET </v>
          </cell>
          <cell r="D1158">
            <v>0</v>
          </cell>
          <cell r="E1158">
            <v>0</v>
          </cell>
          <cell r="F1158">
            <v>35</v>
          </cell>
          <cell r="G1158">
            <v>35</v>
          </cell>
          <cell r="H1158">
            <v>35</v>
          </cell>
          <cell r="I1158">
            <v>35</v>
          </cell>
          <cell r="J1158" t="str">
            <v>NO</v>
          </cell>
          <cell r="K1158">
            <v>0</v>
          </cell>
          <cell r="L1158" t="str">
            <v>1</v>
          </cell>
          <cell r="M1158" t="str">
            <v>CTLG-MC</v>
          </cell>
          <cell r="N1158" t="str">
            <v>SAM</v>
          </cell>
          <cell r="O1158" t="str">
            <v>41033</v>
          </cell>
        </row>
        <row r="1159">
          <cell r="B1159">
            <v>43893</v>
          </cell>
          <cell r="C1159" t="str">
            <v>Novage+ Wrinkle Smooth Eye Sachet</v>
          </cell>
          <cell r="D1159">
            <v>0</v>
          </cell>
          <cell r="E1159">
            <v>0</v>
          </cell>
          <cell r="F1159">
            <v>35</v>
          </cell>
          <cell r="G1159">
            <v>35</v>
          </cell>
          <cell r="H1159">
            <v>35</v>
          </cell>
          <cell r="I1159">
            <v>35</v>
          </cell>
          <cell r="J1159" t="str">
            <v>NO</v>
          </cell>
          <cell r="K1159">
            <v>0</v>
          </cell>
          <cell r="L1159" t="str">
            <v>1</v>
          </cell>
          <cell r="M1159" t="str">
            <v>CTLG-MC</v>
          </cell>
          <cell r="N1159" t="str">
            <v>SAM</v>
          </cell>
          <cell r="O1159" t="str">
            <v>41034</v>
          </cell>
        </row>
        <row r="1160">
          <cell r="B1160">
            <v>43894</v>
          </cell>
          <cell r="C1160" t="str">
            <v>Novage Lift + Firm Eye Cream Sachet</v>
          </cell>
          <cell r="D1160">
            <v>0</v>
          </cell>
          <cell r="E1160">
            <v>0</v>
          </cell>
          <cell r="F1160">
            <v>35</v>
          </cell>
          <cell r="G1160">
            <v>35</v>
          </cell>
          <cell r="H1160">
            <v>35</v>
          </cell>
          <cell r="I1160">
            <v>35</v>
          </cell>
          <cell r="J1160" t="str">
            <v>NO</v>
          </cell>
          <cell r="K1160">
            <v>0</v>
          </cell>
          <cell r="L1160" t="str">
            <v>1</v>
          </cell>
          <cell r="M1160" t="str">
            <v>CTLG-MC</v>
          </cell>
          <cell r="N1160" t="str">
            <v>SAM</v>
          </cell>
          <cell r="O1160" t="str">
            <v>42425</v>
          </cell>
        </row>
        <row r="1161">
          <cell r="B1161">
            <v>43896</v>
          </cell>
          <cell r="C1161" t="str">
            <v xml:space="preserve">Novage Lift + Firm Serum Sachet </v>
          </cell>
          <cell r="D1161">
            <v>0</v>
          </cell>
          <cell r="E1161">
            <v>0</v>
          </cell>
          <cell r="F1161">
            <v>35</v>
          </cell>
          <cell r="G1161">
            <v>35</v>
          </cell>
          <cell r="H1161">
            <v>35</v>
          </cell>
          <cell r="I1161">
            <v>35</v>
          </cell>
          <cell r="J1161" t="str">
            <v>NO</v>
          </cell>
          <cell r="K1161">
            <v>0</v>
          </cell>
          <cell r="L1161" t="str">
            <v>1</v>
          </cell>
          <cell r="M1161" t="str">
            <v>CTLG-MC</v>
          </cell>
          <cell r="N1161" t="str">
            <v>SAM</v>
          </cell>
          <cell r="O1161" t="str">
            <v>41037</v>
          </cell>
        </row>
        <row r="1162">
          <cell r="B1162">
            <v>43897</v>
          </cell>
          <cell r="C1162" t="str">
            <v>Novage+ Wrinkle Smooth Serum Sachet</v>
          </cell>
          <cell r="D1162">
            <v>0</v>
          </cell>
          <cell r="E1162">
            <v>0</v>
          </cell>
          <cell r="F1162">
            <v>35</v>
          </cell>
          <cell r="G1162">
            <v>35</v>
          </cell>
          <cell r="H1162">
            <v>35</v>
          </cell>
          <cell r="I1162">
            <v>35</v>
          </cell>
          <cell r="J1162" t="str">
            <v>NO</v>
          </cell>
          <cell r="K1162">
            <v>0</v>
          </cell>
          <cell r="L1162" t="str">
            <v>1</v>
          </cell>
          <cell r="M1162" t="str">
            <v>CTLG-MC</v>
          </cell>
          <cell r="N1162" t="str">
            <v>SAM</v>
          </cell>
          <cell r="O1162" t="str">
            <v>41035</v>
          </cell>
        </row>
        <row r="1163">
          <cell r="B1163">
            <v>43898</v>
          </cell>
          <cell r="C1163" t="str">
            <v xml:space="preserve">Novage+ Bright Intense SerumSachet </v>
          </cell>
          <cell r="D1163">
            <v>0</v>
          </cell>
          <cell r="E1163">
            <v>0</v>
          </cell>
          <cell r="F1163">
            <v>35</v>
          </cell>
          <cell r="G1163">
            <v>35</v>
          </cell>
          <cell r="H1163">
            <v>35</v>
          </cell>
          <cell r="I1163">
            <v>35</v>
          </cell>
          <cell r="J1163" t="str">
            <v>NO</v>
          </cell>
          <cell r="K1163">
            <v>0</v>
          </cell>
          <cell r="L1163" t="str">
            <v>1</v>
          </cell>
          <cell r="M1163" t="str">
            <v>CTLG-MC</v>
          </cell>
          <cell r="N1163" t="str">
            <v>SAM</v>
          </cell>
          <cell r="O1163" t="str">
            <v>41040</v>
          </cell>
        </row>
        <row r="1164">
          <cell r="B1164">
            <v>43899</v>
          </cell>
          <cell r="C1164" t="str">
            <v>Novage+ Blemish+Age DefySerumSachet</v>
          </cell>
          <cell r="D1164">
            <v>0</v>
          </cell>
          <cell r="E1164">
            <v>0</v>
          </cell>
          <cell r="F1164">
            <v>35</v>
          </cell>
          <cell r="G1164">
            <v>35</v>
          </cell>
          <cell r="H1164">
            <v>35</v>
          </cell>
          <cell r="I1164">
            <v>35</v>
          </cell>
          <cell r="J1164" t="str">
            <v>NO</v>
          </cell>
          <cell r="K1164">
            <v>0</v>
          </cell>
          <cell r="L1164" t="str">
            <v>1</v>
          </cell>
          <cell r="M1164" t="str">
            <v>CTLG-MC</v>
          </cell>
          <cell r="N1164" t="str">
            <v>SAM</v>
          </cell>
          <cell r="O1164" t="str">
            <v>41039</v>
          </cell>
        </row>
        <row r="1165">
          <cell r="B1165">
            <v>43901</v>
          </cell>
          <cell r="C1165" t="str">
            <v xml:space="preserve">Novage+ Refresh Gel CleanserSachet </v>
          </cell>
          <cell r="D1165">
            <v>0</v>
          </cell>
          <cell r="E1165">
            <v>0</v>
          </cell>
          <cell r="F1165">
            <v>35</v>
          </cell>
          <cell r="G1165">
            <v>35</v>
          </cell>
          <cell r="H1165">
            <v>35</v>
          </cell>
          <cell r="I1165">
            <v>35</v>
          </cell>
          <cell r="J1165" t="str">
            <v>NO</v>
          </cell>
          <cell r="K1165">
            <v>0</v>
          </cell>
          <cell r="L1165" t="str">
            <v>1</v>
          </cell>
          <cell r="M1165" t="str">
            <v>CTLG-MC</v>
          </cell>
          <cell r="N1165" t="str">
            <v>SAM</v>
          </cell>
          <cell r="O1165" t="str">
            <v>41029</v>
          </cell>
        </row>
        <row r="1166">
          <cell r="B1166">
            <v>43902</v>
          </cell>
          <cell r="C1166" t="str">
            <v>Novage+ Oil-to-Milk Cleanser sachet</v>
          </cell>
          <cell r="D1166">
            <v>0</v>
          </cell>
          <cell r="E1166">
            <v>0</v>
          </cell>
          <cell r="F1166">
            <v>35</v>
          </cell>
          <cell r="G1166">
            <v>35</v>
          </cell>
          <cell r="H1166">
            <v>35</v>
          </cell>
          <cell r="I1166">
            <v>35</v>
          </cell>
          <cell r="J1166" t="str">
            <v>NO</v>
          </cell>
          <cell r="K1166">
            <v>0</v>
          </cell>
          <cell r="L1166" t="str">
            <v>1</v>
          </cell>
          <cell r="M1166" t="str">
            <v>CTLG-MC</v>
          </cell>
          <cell r="N1166" t="str">
            <v>SAM</v>
          </cell>
          <cell r="O1166" t="str">
            <v>41032</v>
          </cell>
        </row>
        <row r="1167">
          <cell r="B1167">
            <v>43904</v>
          </cell>
          <cell r="C1167" t="str">
            <v xml:space="preserve">Novage+ Night Cream Light Sachet </v>
          </cell>
          <cell r="D1167">
            <v>0</v>
          </cell>
          <cell r="E1167">
            <v>0</v>
          </cell>
          <cell r="F1167">
            <v>35</v>
          </cell>
          <cell r="G1167">
            <v>35</v>
          </cell>
          <cell r="H1167">
            <v>35</v>
          </cell>
          <cell r="I1167">
            <v>35</v>
          </cell>
          <cell r="J1167" t="str">
            <v>NO</v>
          </cell>
          <cell r="K1167">
            <v>0</v>
          </cell>
          <cell r="L1167" t="str">
            <v>1</v>
          </cell>
          <cell r="M1167" t="str">
            <v>CTLG-MC</v>
          </cell>
          <cell r="N1167" t="str">
            <v>SAM</v>
          </cell>
          <cell r="O1167" t="str">
            <v>41057</v>
          </cell>
        </row>
        <row r="1168">
          <cell r="B1168">
            <v>43905</v>
          </cell>
          <cell r="C1168" t="str">
            <v xml:space="preserve">Novage+ Night Cream Rich Sachet </v>
          </cell>
          <cell r="D1168">
            <v>0</v>
          </cell>
          <cell r="E1168">
            <v>0</v>
          </cell>
          <cell r="F1168">
            <v>35</v>
          </cell>
          <cell r="G1168">
            <v>35</v>
          </cell>
          <cell r="H1168">
            <v>35</v>
          </cell>
          <cell r="I1168">
            <v>35</v>
          </cell>
          <cell r="J1168" t="str">
            <v>NO</v>
          </cell>
          <cell r="K1168">
            <v>0</v>
          </cell>
          <cell r="L1168" t="str">
            <v>1</v>
          </cell>
          <cell r="M1168" t="str">
            <v>CTLG-MC</v>
          </cell>
          <cell r="N1168" t="str">
            <v>SAM</v>
          </cell>
          <cell r="O1168" t="str">
            <v>41058</v>
          </cell>
        </row>
        <row r="1169">
          <cell r="B1169">
            <v>545710</v>
          </cell>
          <cell r="C1169" t="str">
            <v>NovAge Men sachets Set</v>
          </cell>
          <cell r="D1169">
            <v>0</v>
          </cell>
          <cell r="E1169">
            <v>0</v>
          </cell>
          <cell r="F1169">
            <v>140</v>
          </cell>
          <cell r="G1169">
            <v>140</v>
          </cell>
          <cell r="H1169">
            <v>140</v>
          </cell>
          <cell r="I1169">
            <v>140</v>
          </cell>
          <cell r="J1169" t="str">
            <v>COB</v>
          </cell>
          <cell r="K1169">
            <v>0</v>
          </cell>
          <cell r="L1169" t="str">
            <v>2</v>
          </cell>
          <cell r="M1169" t="str">
            <v>CTLG-MC</v>
          </cell>
          <cell r="N1169" t="str">
            <v/>
          </cell>
          <cell r="O1169" t="str">
            <v/>
          </cell>
        </row>
        <row r="1170">
          <cell r="B1170">
            <v>545710</v>
          </cell>
          <cell r="C1170" t="str">
            <v>NovAge Men sachets Set</v>
          </cell>
          <cell r="D1170">
            <v>0</v>
          </cell>
          <cell r="E1170">
            <v>0</v>
          </cell>
          <cell r="F1170">
            <v>140</v>
          </cell>
          <cell r="G1170">
            <v>99</v>
          </cell>
          <cell r="H1170">
            <v>140</v>
          </cell>
          <cell r="I1170">
            <v>99</v>
          </cell>
          <cell r="J1170" t="str">
            <v>COB</v>
          </cell>
          <cell r="K1170">
            <v>0.29285714285714298</v>
          </cell>
          <cell r="L1170" t="str">
            <v>2</v>
          </cell>
          <cell r="M1170" t="str">
            <v>CTLG-MC</v>
          </cell>
          <cell r="N1170" t="str">
            <v/>
          </cell>
          <cell r="O1170" t="str">
            <v/>
          </cell>
        </row>
        <row r="1171">
          <cell r="B1171">
            <v>545784</v>
          </cell>
          <cell r="C1171" t="str">
            <v>NovAge Time Restore sachets set</v>
          </cell>
          <cell r="D1171">
            <v>0</v>
          </cell>
          <cell r="E1171">
            <v>0</v>
          </cell>
          <cell r="F1171">
            <v>175</v>
          </cell>
          <cell r="G1171">
            <v>175</v>
          </cell>
          <cell r="H1171">
            <v>175</v>
          </cell>
          <cell r="I1171">
            <v>175</v>
          </cell>
          <cell r="J1171" t="str">
            <v>COB</v>
          </cell>
          <cell r="K1171">
            <v>0</v>
          </cell>
          <cell r="L1171" t="str">
            <v>2</v>
          </cell>
          <cell r="M1171" t="str">
            <v>CTLG-MC</v>
          </cell>
          <cell r="N1171" t="str">
            <v/>
          </cell>
          <cell r="O1171" t="str">
            <v/>
          </cell>
        </row>
        <row r="1172">
          <cell r="B1172">
            <v>545784</v>
          </cell>
          <cell r="C1172" t="str">
            <v>NovAge Time Restore sachets set</v>
          </cell>
          <cell r="D1172">
            <v>0</v>
          </cell>
          <cell r="E1172">
            <v>0</v>
          </cell>
          <cell r="F1172">
            <v>175</v>
          </cell>
          <cell r="G1172">
            <v>119</v>
          </cell>
          <cell r="H1172">
            <v>175</v>
          </cell>
          <cell r="I1172">
            <v>119</v>
          </cell>
          <cell r="J1172" t="str">
            <v>COB</v>
          </cell>
          <cell r="K1172">
            <v>0.32</v>
          </cell>
          <cell r="L1172" t="str">
            <v>2</v>
          </cell>
          <cell r="M1172" t="str">
            <v>CTLG-MC</v>
          </cell>
          <cell r="N1172" t="str">
            <v/>
          </cell>
          <cell r="O1172" t="str">
            <v/>
          </cell>
        </row>
        <row r="1173">
          <cell r="B1173">
            <v>548043</v>
          </cell>
          <cell r="C1173" t="str">
            <v>NovAge SKINRELIEF samples set</v>
          </cell>
          <cell r="D1173">
            <v>0</v>
          </cell>
          <cell r="E1173">
            <v>0</v>
          </cell>
          <cell r="F1173">
            <v>175</v>
          </cell>
          <cell r="G1173">
            <v>175</v>
          </cell>
          <cell r="H1173">
            <v>175</v>
          </cell>
          <cell r="I1173">
            <v>175</v>
          </cell>
          <cell r="J1173" t="str">
            <v>COB</v>
          </cell>
          <cell r="K1173">
            <v>0</v>
          </cell>
          <cell r="L1173" t="str">
            <v>2</v>
          </cell>
          <cell r="M1173" t="str">
            <v>CTLG-MC</v>
          </cell>
          <cell r="N1173" t="str">
            <v/>
          </cell>
          <cell r="O1173" t="str">
            <v/>
          </cell>
        </row>
        <row r="1174">
          <cell r="B1174">
            <v>548043</v>
          </cell>
          <cell r="C1174" t="str">
            <v>NovAge SKINRELIEF samples set</v>
          </cell>
          <cell r="D1174">
            <v>0</v>
          </cell>
          <cell r="E1174">
            <v>0</v>
          </cell>
          <cell r="F1174">
            <v>175</v>
          </cell>
          <cell r="G1174">
            <v>119</v>
          </cell>
          <cell r="H1174">
            <v>175</v>
          </cell>
          <cell r="I1174">
            <v>119</v>
          </cell>
          <cell r="J1174" t="str">
            <v>COB</v>
          </cell>
          <cell r="K1174">
            <v>0.32</v>
          </cell>
          <cell r="L1174" t="str">
            <v>2</v>
          </cell>
          <cell r="M1174" t="str">
            <v>CTLG-MC</v>
          </cell>
          <cell r="N1174" t="str">
            <v/>
          </cell>
          <cell r="O1174" t="str">
            <v/>
          </cell>
        </row>
        <row r="1175">
          <cell r="B1175">
            <v>548052</v>
          </cell>
          <cell r="C1175" t="str">
            <v>Novage+ Lift + Firm Routine R...ples set</v>
          </cell>
          <cell r="D1175">
            <v>0</v>
          </cell>
          <cell r="E1175">
            <v>0</v>
          </cell>
          <cell r="F1175">
            <v>175</v>
          </cell>
          <cell r="G1175">
            <v>175</v>
          </cell>
          <cell r="H1175">
            <v>175</v>
          </cell>
          <cell r="I1175">
            <v>175</v>
          </cell>
          <cell r="J1175" t="str">
            <v>COB</v>
          </cell>
          <cell r="K1175">
            <v>0</v>
          </cell>
          <cell r="L1175" t="str">
            <v>2</v>
          </cell>
          <cell r="M1175" t="str">
            <v>CTLG-MC</v>
          </cell>
          <cell r="N1175" t="str">
            <v/>
          </cell>
          <cell r="O1175" t="str">
            <v/>
          </cell>
        </row>
        <row r="1176">
          <cell r="B1176">
            <v>548052</v>
          </cell>
          <cell r="C1176" t="str">
            <v>Novage+ Lift + Firm Routine R...ples set</v>
          </cell>
          <cell r="D1176">
            <v>0</v>
          </cell>
          <cell r="E1176">
            <v>0</v>
          </cell>
          <cell r="F1176">
            <v>175</v>
          </cell>
          <cell r="G1176">
            <v>119</v>
          </cell>
          <cell r="H1176">
            <v>175</v>
          </cell>
          <cell r="I1176">
            <v>119</v>
          </cell>
          <cell r="J1176" t="str">
            <v>COB</v>
          </cell>
          <cell r="K1176">
            <v>0.32</v>
          </cell>
          <cell r="L1176" t="str">
            <v>2</v>
          </cell>
          <cell r="M1176" t="str">
            <v>CTLG-MC</v>
          </cell>
          <cell r="N1176" t="str">
            <v/>
          </cell>
          <cell r="O1176" t="str">
            <v/>
          </cell>
        </row>
        <row r="1177">
          <cell r="B1177">
            <v>548053</v>
          </cell>
          <cell r="C1177" t="str">
            <v>Novage+ Bright Intense Routin...ples set</v>
          </cell>
          <cell r="D1177">
            <v>0</v>
          </cell>
          <cell r="E1177">
            <v>0</v>
          </cell>
          <cell r="F1177">
            <v>175</v>
          </cell>
          <cell r="G1177">
            <v>175</v>
          </cell>
          <cell r="H1177">
            <v>175</v>
          </cell>
          <cell r="I1177">
            <v>175</v>
          </cell>
          <cell r="J1177" t="str">
            <v>COB</v>
          </cell>
          <cell r="K1177">
            <v>0</v>
          </cell>
          <cell r="L1177" t="str">
            <v>2</v>
          </cell>
          <cell r="M1177" t="str">
            <v>CTLG-MC</v>
          </cell>
          <cell r="N1177" t="str">
            <v/>
          </cell>
          <cell r="O1177" t="str">
            <v/>
          </cell>
        </row>
        <row r="1178">
          <cell r="B1178">
            <v>548053</v>
          </cell>
          <cell r="C1178" t="str">
            <v>Novage+ Bright Intense Routin...ples set</v>
          </cell>
          <cell r="D1178">
            <v>0</v>
          </cell>
          <cell r="E1178">
            <v>0</v>
          </cell>
          <cell r="F1178">
            <v>175</v>
          </cell>
          <cell r="G1178">
            <v>119</v>
          </cell>
          <cell r="H1178">
            <v>175</v>
          </cell>
          <cell r="I1178">
            <v>119</v>
          </cell>
          <cell r="J1178" t="str">
            <v>COB</v>
          </cell>
          <cell r="K1178">
            <v>0.32</v>
          </cell>
          <cell r="L1178" t="str">
            <v>2</v>
          </cell>
          <cell r="M1178" t="str">
            <v>CTLG-MC</v>
          </cell>
          <cell r="N1178" t="str">
            <v/>
          </cell>
          <cell r="O1178" t="str">
            <v/>
          </cell>
        </row>
        <row r="1179">
          <cell r="B1179">
            <v>548054</v>
          </cell>
          <cell r="C1179" t="str">
            <v>Novage+ Blemish + Age Routine...ples set</v>
          </cell>
          <cell r="D1179">
            <v>0</v>
          </cell>
          <cell r="E1179">
            <v>0</v>
          </cell>
          <cell r="F1179">
            <v>175</v>
          </cell>
          <cell r="G1179">
            <v>175</v>
          </cell>
          <cell r="H1179">
            <v>175</v>
          </cell>
          <cell r="I1179">
            <v>175</v>
          </cell>
          <cell r="J1179" t="str">
            <v>COB</v>
          </cell>
          <cell r="K1179">
            <v>0</v>
          </cell>
          <cell r="L1179" t="str">
            <v>2</v>
          </cell>
          <cell r="M1179" t="str">
            <v>CTLG-MC</v>
          </cell>
          <cell r="N1179" t="str">
            <v/>
          </cell>
          <cell r="O1179" t="str">
            <v/>
          </cell>
        </row>
        <row r="1180">
          <cell r="B1180">
            <v>548054</v>
          </cell>
          <cell r="C1180" t="str">
            <v>Novage+ Blemish + Age Routine...ples set</v>
          </cell>
          <cell r="D1180">
            <v>0</v>
          </cell>
          <cell r="E1180">
            <v>0</v>
          </cell>
          <cell r="F1180">
            <v>175</v>
          </cell>
          <cell r="G1180">
            <v>119</v>
          </cell>
          <cell r="H1180">
            <v>175</v>
          </cell>
          <cell r="I1180">
            <v>119</v>
          </cell>
          <cell r="J1180" t="str">
            <v>COB</v>
          </cell>
          <cell r="K1180">
            <v>0.32</v>
          </cell>
          <cell r="L1180" t="str">
            <v>2</v>
          </cell>
          <cell r="M1180" t="str">
            <v>CTLG-MC</v>
          </cell>
          <cell r="N1180" t="str">
            <v/>
          </cell>
          <cell r="O1180" t="str">
            <v/>
          </cell>
        </row>
        <row r="1181">
          <cell r="B1181">
            <v>548268</v>
          </cell>
          <cell r="C1181" t="str">
            <v>Novage+ Wrinkle Smooth Routin...ples set</v>
          </cell>
          <cell r="D1181">
            <v>0</v>
          </cell>
          <cell r="E1181">
            <v>0</v>
          </cell>
          <cell r="F1181">
            <v>175</v>
          </cell>
          <cell r="G1181">
            <v>119</v>
          </cell>
          <cell r="H1181">
            <v>175</v>
          </cell>
          <cell r="I1181">
            <v>119</v>
          </cell>
          <cell r="J1181" t="str">
            <v>COB</v>
          </cell>
          <cell r="K1181">
            <v>0.32</v>
          </cell>
          <cell r="L1181" t="str">
            <v>2</v>
          </cell>
          <cell r="M1181" t="str">
            <v>CTLG-MC</v>
          </cell>
          <cell r="N1181" t="str">
            <v/>
          </cell>
          <cell r="O1181" t="str">
            <v/>
          </cell>
        </row>
        <row r="1182">
          <cell r="B1182">
            <v>42843</v>
          </cell>
          <cell r="C1182" t="str">
            <v>TO CUnlimited Matte LS Sampler - NNude</v>
          </cell>
          <cell r="D1182">
            <v>0</v>
          </cell>
          <cell r="E1182">
            <v>0</v>
          </cell>
          <cell r="F1182">
            <v>35</v>
          </cell>
          <cell r="G1182">
            <v>35</v>
          </cell>
          <cell r="H1182">
            <v>35</v>
          </cell>
          <cell r="I1182">
            <v>35</v>
          </cell>
          <cell r="J1182" t="str">
            <v>NO</v>
          </cell>
          <cell r="K1182">
            <v>0</v>
          </cell>
          <cell r="L1182" t="str">
            <v/>
          </cell>
          <cell r="M1182" t="str">
            <v>S</v>
          </cell>
          <cell r="N1182" t="str">
            <v>SAM</v>
          </cell>
          <cell r="O1182" t="str">
            <v>41635</v>
          </cell>
        </row>
        <row r="1183">
          <cell r="B1183">
            <v>42844</v>
          </cell>
          <cell r="C1183" t="str">
            <v>TO CUnlimited Matte LS Sampler - IPeach</v>
          </cell>
          <cell r="D1183">
            <v>0</v>
          </cell>
          <cell r="E1183">
            <v>0</v>
          </cell>
          <cell r="F1183">
            <v>35</v>
          </cell>
          <cell r="G1183">
            <v>35</v>
          </cell>
          <cell r="H1183">
            <v>35</v>
          </cell>
          <cell r="I1183">
            <v>35</v>
          </cell>
          <cell r="J1183" t="str">
            <v>NO</v>
          </cell>
          <cell r="K1183">
            <v>0</v>
          </cell>
          <cell r="L1183" t="str">
            <v/>
          </cell>
          <cell r="M1183" t="str">
            <v>S</v>
          </cell>
          <cell r="N1183" t="str">
            <v>SAM</v>
          </cell>
          <cell r="O1183" t="str">
            <v>41636</v>
          </cell>
        </row>
        <row r="1184">
          <cell r="B1184">
            <v>42845</v>
          </cell>
          <cell r="C1184" t="str">
            <v>TO CUnlimited Matte LS Sampler - PBlush</v>
          </cell>
          <cell r="D1184">
            <v>0</v>
          </cell>
          <cell r="E1184">
            <v>0</v>
          </cell>
          <cell r="F1184">
            <v>35</v>
          </cell>
          <cell r="G1184">
            <v>35</v>
          </cell>
          <cell r="H1184">
            <v>35</v>
          </cell>
          <cell r="I1184">
            <v>35</v>
          </cell>
          <cell r="J1184" t="str">
            <v>NO</v>
          </cell>
          <cell r="K1184">
            <v>0</v>
          </cell>
          <cell r="L1184" t="str">
            <v/>
          </cell>
          <cell r="M1184" t="str">
            <v>S</v>
          </cell>
          <cell r="N1184" t="str">
            <v>SAM</v>
          </cell>
          <cell r="O1184" t="str">
            <v>41637</v>
          </cell>
        </row>
        <row r="1185">
          <cell r="B1185">
            <v>42846</v>
          </cell>
          <cell r="C1185" t="str">
            <v>TO CUnlimited Matte LS Sample...FTruffle</v>
          </cell>
          <cell r="D1185">
            <v>0</v>
          </cell>
          <cell r="E1185">
            <v>0</v>
          </cell>
          <cell r="F1185">
            <v>35</v>
          </cell>
          <cell r="G1185">
            <v>35</v>
          </cell>
          <cell r="H1185">
            <v>35</v>
          </cell>
          <cell r="I1185">
            <v>35</v>
          </cell>
          <cell r="J1185" t="str">
            <v>NO</v>
          </cell>
          <cell r="K1185">
            <v>0</v>
          </cell>
          <cell r="L1185" t="str">
            <v/>
          </cell>
          <cell r="M1185" t="str">
            <v>S</v>
          </cell>
          <cell r="N1185" t="str">
            <v>SAM</v>
          </cell>
          <cell r="O1185" t="str">
            <v>41638</v>
          </cell>
        </row>
        <row r="1186">
          <cell r="B1186">
            <v>42847</v>
          </cell>
          <cell r="C1186" t="str">
            <v>TO CUnlimited Matte LS Sampler - ERose</v>
          </cell>
          <cell r="D1186">
            <v>0</v>
          </cell>
          <cell r="E1186">
            <v>0</v>
          </cell>
          <cell r="F1186">
            <v>35</v>
          </cell>
          <cell r="G1186">
            <v>35</v>
          </cell>
          <cell r="H1186">
            <v>35</v>
          </cell>
          <cell r="I1186">
            <v>35</v>
          </cell>
          <cell r="J1186" t="str">
            <v>NO</v>
          </cell>
          <cell r="K1186">
            <v>0</v>
          </cell>
          <cell r="L1186" t="str">
            <v/>
          </cell>
          <cell r="M1186" t="str">
            <v>S</v>
          </cell>
          <cell r="N1186" t="str">
            <v>SAM</v>
          </cell>
          <cell r="O1186" t="str">
            <v>41639</v>
          </cell>
        </row>
        <row r="1187">
          <cell r="B1187">
            <v>42848</v>
          </cell>
          <cell r="C1187" t="str">
            <v>TO CUnlimited Matte LS Sampler - TMauve</v>
          </cell>
          <cell r="D1187">
            <v>0</v>
          </cell>
          <cell r="E1187">
            <v>0</v>
          </cell>
          <cell r="F1187">
            <v>35</v>
          </cell>
          <cell r="G1187">
            <v>35</v>
          </cell>
          <cell r="H1187">
            <v>35</v>
          </cell>
          <cell r="I1187">
            <v>35</v>
          </cell>
          <cell r="J1187" t="str">
            <v>NO</v>
          </cell>
          <cell r="K1187">
            <v>0</v>
          </cell>
          <cell r="L1187" t="str">
            <v/>
          </cell>
          <cell r="M1187" t="str">
            <v>S</v>
          </cell>
          <cell r="N1187" t="str">
            <v>SAM</v>
          </cell>
          <cell r="O1187" t="str">
            <v>41640</v>
          </cell>
        </row>
        <row r="1188">
          <cell r="B1188">
            <v>42849</v>
          </cell>
          <cell r="C1188" t="str">
            <v>TO CUnlimited Matte LS Sampler - CCoral</v>
          </cell>
          <cell r="D1188">
            <v>0</v>
          </cell>
          <cell r="E1188">
            <v>0</v>
          </cell>
          <cell r="F1188">
            <v>35</v>
          </cell>
          <cell r="G1188">
            <v>35</v>
          </cell>
          <cell r="H1188">
            <v>35</v>
          </cell>
          <cell r="I1188">
            <v>35</v>
          </cell>
          <cell r="J1188" t="str">
            <v>NO</v>
          </cell>
          <cell r="K1188">
            <v>0</v>
          </cell>
          <cell r="L1188" t="str">
            <v/>
          </cell>
          <cell r="M1188" t="str">
            <v>S</v>
          </cell>
          <cell r="N1188" t="str">
            <v>SAM</v>
          </cell>
          <cell r="O1188" t="str">
            <v>41641</v>
          </cell>
        </row>
        <row r="1189">
          <cell r="B1189">
            <v>42850</v>
          </cell>
          <cell r="C1189" t="str">
            <v>TO CUnlimited Matte LS Sampler - RRed</v>
          </cell>
          <cell r="D1189">
            <v>0</v>
          </cell>
          <cell r="E1189">
            <v>0</v>
          </cell>
          <cell r="F1189">
            <v>35</v>
          </cell>
          <cell r="G1189">
            <v>35</v>
          </cell>
          <cell r="H1189">
            <v>35</v>
          </cell>
          <cell r="I1189">
            <v>35</v>
          </cell>
          <cell r="J1189" t="str">
            <v>NO</v>
          </cell>
          <cell r="K1189">
            <v>0</v>
          </cell>
          <cell r="L1189" t="str">
            <v/>
          </cell>
          <cell r="M1189" t="str">
            <v>S</v>
          </cell>
          <cell r="N1189" t="str">
            <v>SAM</v>
          </cell>
          <cell r="O1189" t="str">
            <v>41642</v>
          </cell>
        </row>
        <row r="1190">
          <cell r="B1190">
            <v>42851</v>
          </cell>
          <cell r="C1190" t="str">
            <v>TO CUnlimited Matte LS Sampler - ECherry</v>
          </cell>
          <cell r="D1190">
            <v>0</v>
          </cell>
          <cell r="E1190">
            <v>0</v>
          </cell>
          <cell r="F1190">
            <v>35</v>
          </cell>
          <cell r="G1190">
            <v>35</v>
          </cell>
          <cell r="H1190">
            <v>35</v>
          </cell>
          <cell r="I1190">
            <v>35</v>
          </cell>
          <cell r="J1190" t="str">
            <v>NO</v>
          </cell>
          <cell r="K1190">
            <v>0</v>
          </cell>
          <cell r="L1190" t="str">
            <v/>
          </cell>
          <cell r="M1190" t="str">
            <v>S</v>
          </cell>
          <cell r="N1190" t="str">
            <v>SAM</v>
          </cell>
          <cell r="O1190" t="str">
            <v>41643</v>
          </cell>
        </row>
        <row r="1191">
          <cell r="B1191">
            <v>42852</v>
          </cell>
          <cell r="C1191" t="str">
            <v>TO CUnlimited Matte LS Sampler - PBerry</v>
          </cell>
          <cell r="D1191">
            <v>0</v>
          </cell>
          <cell r="E1191">
            <v>0</v>
          </cell>
          <cell r="F1191">
            <v>35</v>
          </cell>
          <cell r="G1191">
            <v>35</v>
          </cell>
          <cell r="H1191">
            <v>35</v>
          </cell>
          <cell r="I1191">
            <v>35</v>
          </cell>
          <cell r="J1191" t="str">
            <v>NO</v>
          </cell>
          <cell r="K1191">
            <v>0</v>
          </cell>
          <cell r="L1191" t="str">
            <v/>
          </cell>
          <cell r="M1191" t="str">
            <v>S</v>
          </cell>
          <cell r="N1191" t="str">
            <v>SAM</v>
          </cell>
          <cell r="O1191" t="str">
            <v>41644</v>
          </cell>
        </row>
        <row r="1192">
          <cell r="B1192">
            <v>43145</v>
          </cell>
          <cell r="C1192" t="str">
            <v>OnColour Matte Lipstick Sampl... S Peach</v>
          </cell>
          <cell r="D1192">
            <v>0</v>
          </cell>
          <cell r="E1192">
            <v>0</v>
          </cell>
          <cell r="F1192">
            <v>35</v>
          </cell>
          <cell r="G1192">
            <v>35</v>
          </cell>
          <cell r="H1192">
            <v>35</v>
          </cell>
          <cell r="I1192">
            <v>35</v>
          </cell>
          <cell r="J1192" t="str">
            <v>NO</v>
          </cell>
          <cell r="K1192">
            <v>0</v>
          </cell>
          <cell r="L1192" t="str">
            <v/>
          </cell>
          <cell r="M1192" t="str">
            <v>S</v>
          </cell>
          <cell r="N1192" t="str">
            <v>SAM</v>
          </cell>
          <cell r="O1192" t="str">
            <v>38948</v>
          </cell>
        </row>
        <row r="1193">
          <cell r="B1193">
            <v>43146</v>
          </cell>
          <cell r="C1193" t="str">
            <v>OnColour Matte Lipstick Sampl... N Beige</v>
          </cell>
          <cell r="D1193">
            <v>0</v>
          </cell>
          <cell r="E1193">
            <v>0</v>
          </cell>
          <cell r="F1193">
            <v>35</v>
          </cell>
          <cell r="G1193">
            <v>35</v>
          </cell>
          <cell r="H1193">
            <v>35</v>
          </cell>
          <cell r="I1193">
            <v>35</v>
          </cell>
          <cell r="J1193" t="str">
            <v>NO</v>
          </cell>
          <cell r="K1193">
            <v>0</v>
          </cell>
          <cell r="L1193" t="str">
            <v/>
          </cell>
          <cell r="M1193" t="str">
            <v>S</v>
          </cell>
          <cell r="N1193" t="str">
            <v>SAM</v>
          </cell>
          <cell r="O1193" t="str">
            <v>39800</v>
          </cell>
        </row>
        <row r="1194">
          <cell r="B1194">
            <v>43147</v>
          </cell>
          <cell r="C1194" t="str">
            <v>OnColour Matte Lipstick Sampler - B Rose</v>
          </cell>
          <cell r="D1194">
            <v>0</v>
          </cell>
          <cell r="E1194">
            <v>0</v>
          </cell>
          <cell r="F1194">
            <v>35</v>
          </cell>
          <cell r="G1194">
            <v>35</v>
          </cell>
          <cell r="H1194">
            <v>35</v>
          </cell>
          <cell r="I1194">
            <v>35</v>
          </cell>
          <cell r="J1194" t="str">
            <v>NO</v>
          </cell>
          <cell r="K1194">
            <v>0</v>
          </cell>
          <cell r="L1194" t="str">
            <v/>
          </cell>
          <cell r="M1194" t="str">
            <v>S</v>
          </cell>
          <cell r="N1194" t="str">
            <v>SAM</v>
          </cell>
          <cell r="O1194" t="str">
            <v>39801</v>
          </cell>
        </row>
        <row r="1195">
          <cell r="B1195">
            <v>43148</v>
          </cell>
          <cell r="C1195" t="str">
            <v>OnColour Matte Lipstick Sampl... Coral B</v>
          </cell>
          <cell r="D1195">
            <v>0</v>
          </cell>
          <cell r="E1195">
            <v>0</v>
          </cell>
          <cell r="F1195">
            <v>35</v>
          </cell>
          <cell r="G1195">
            <v>35</v>
          </cell>
          <cell r="H1195">
            <v>35</v>
          </cell>
          <cell r="I1195">
            <v>35</v>
          </cell>
          <cell r="J1195" t="str">
            <v>NO</v>
          </cell>
          <cell r="K1195">
            <v>0</v>
          </cell>
          <cell r="L1195" t="str">
            <v/>
          </cell>
          <cell r="M1195" t="str">
            <v>S</v>
          </cell>
          <cell r="N1195" t="str">
            <v>SAM</v>
          </cell>
          <cell r="O1195" t="str">
            <v>39802</v>
          </cell>
        </row>
        <row r="1196">
          <cell r="B1196">
            <v>43149</v>
          </cell>
          <cell r="C1196" t="str">
            <v>OnColour Matte Lipstick Sampler - V Pink</v>
          </cell>
          <cell r="D1196">
            <v>0</v>
          </cell>
          <cell r="E1196">
            <v>0</v>
          </cell>
          <cell r="F1196">
            <v>35</v>
          </cell>
          <cell r="G1196">
            <v>35</v>
          </cell>
          <cell r="H1196">
            <v>35</v>
          </cell>
          <cell r="I1196">
            <v>35</v>
          </cell>
          <cell r="J1196" t="str">
            <v>NO</v>
          </cell>
          <cell r="K1196">
            <v>0</v>
          </cell>
          <cell r="L1196" t="str">
            <v/>
          </cell>
          <cell r="M1196" t="str">
            <v>S</v>
          </cell>
          <cell r="N1196" t="str">
            <v>SAM</v>
          </cell>
          <cell r="O1196" t="str">
            <v>39803</v>
          </cell>
        </row>
        <row r="1197">
          <cell r="B1197">
            <v>43151</v>
          </cell>
          <cell r="C1197" t="str">
            <v>OnColour Matte Lipstick Sampler - B Plum</v>
          </cell>
          <cell r="D1197">
            <v>0</v>
          </cell>
          <cell r="E1197">
            <v>0</v>
          </cell>
          <cell r="F1197">
            <v>35</v>
          </cell>
          <cell r="G1197">
            <v>35</v>
          </cell>
          <cell r="H1197">
            <v>35</v>
          </cell>
          <cell r="I1197">
            <v>35</v>
          </cell>
          <cell r="J1197" t="str">
            <v>NO</v>
          </cell>
          <cell r="K1197">
            <v>0</v>
          </cell>
          <cell r="L1197" t="str">
            <v/>
          </cell>
          <cell r="M1197" t="str">
            <v>S</v>
          </cell>
          <cell r="N1197" t="str">
            <v>SAM</v>
          </cell>
          <cell r="O1197" t="str">
            <v>39805</v>
          </cell>
        </row>
        <row r="1198">
          <cell r="B1198">
            <v>43152</v>
          </cell>
          <cell r="C1198" t="str">
            <v>OnColour Matte Lipstick Sampler - B Red</v>
          </cell>
          <cell r="D1198">
            <v>0</v>
          </cell>
          <cell r="E1198">
            <v>0</v>
          </cell>
          <cell r="F1198">
            <v>35</v>
          </cell>
          <cell r="G1198">
            <v>35</v>
          </cell>
          <cell r="H1198">
            <v>35</v>
          </cell>
          <cell r="I1198">
            <v>35</v>
          </cell>
          <cell r="J1198" t="str">
            <v>NO</v>
          </cell>
          <cell r="K1198">
            <v>0</v>
          </cell>
          <cell r="L1198" t="str">
            <v/>
          </cell>
          <cell r="M1198" t="str">
            <v>S</v>
          </cell>
          <cell r="N1198" t="str">
            <v>SAM</v>
          </cell>
          <cell r="O1198" t="str">
            <v>39806</v>
          </cell>
        </row>
        <row r="1199">
          <cell r="B1199">
            <v>43153</v>
          </cell>
          <cell r="C1199" t="str">
            <v>OnColour Matte Lipstick Sampler - T Red</v>
          </cell>
          <cell r="D1199">
            <v>0</v>
          </cell>
          <cell r="E1199">
            <v>0</v>
          </cell>
          <cell r="F1199">
            <v>35</v>
          </cell>
          <cell r="G1199">
            <v>35</v>
          </cell>
          <cell r="H1199">
            <v>35</v>
          </cell>
          <cell r="I1199">
            <v>35</v>
          </cell>
          <cell r="J1199" t="str">
            <v>NO</v>
          </cell>
          <cell r="K1199">
            <v>0</v>
          </cell>
          <cell r="L1199" t="str">
            <v/>
          </cell>
          <cell r="M1199" t="str">
            <v>S</v>
          </cell>
          <cell r="N1199" t="str">
            <v>SAM</v>
          </cell>
          <cell r="O1199" t="str">
            <v>39807</v>
          </cell>
        </row>
        <row r="1200">
          <cell r="B1200">
            <v>43395</v>
          </cell>
          <cell r="C1200" t="str">
            <v>GG Iconic Lipstick Sampler SP... - BNude</v>
          </cell>
          <cell r="D1200">
            <v>0</v>
          </cell>
          <cell r="E1200">
            <v>0</v>
          </cell>
          <cell r="F1200">
            <v>35</v>
          </cell>
          <cell r="G1200">
            <v>35</v>
          </cell>
          <cell r="H1200">
            <v>35</v>
          </cell>
          <cell r="I1200">
            <v>35</v>
          </cell>
          <cell r="J1200" t="str">
            <v>NO</v>
          </cell>
          <cell r="K1200">
            <v>0</v>
          </cell>
          <cell r="L1200" t="str">
            <v/>
          </cell>
          <cell r="M1200" t="str">
            <v>S</v>
          </cell>
          <cell r="N1200" t="str">
            <v>SAM</v>
          </cell>
          <cell r="O1200" t="str">
            <v>42324</v>
          </cell>
        </row>
        <row r="1201">
          <cell r="B1201">
            <v>43396</v>
          </cell>
          <cell r="C1201" t="str">
            <v>GG Iconic Lipstick Sampler SP... - BRose</v>
          </cell>
          <cell r="D1201">
            <v>0</v>
          </cell>
          <cell r="E1201">
            <v>0</v>
          </cell>
          <cell r="F1201">
            <v>35</v>
          </cell>
          <cell r="G1201">
            <v>35</v>
          </cell>
          <cell r="H1201">
            <v>35</v>
          </cell>
          <cell r="I1201">
            <v>35</v>
          </cell>
          <cell r="J1201" t="str">
            <v>NO</v>
          </cell>
          <cell r="K1201">
            <v>0</v>
          </cell>
          <cell r="L1201" t="str">
            <v/>
          </cell>
          <cell r="M1201" t="str">
            <v>S</v>
          </cell>
          <cell r="N1201" t="str">
            <v>SAM</v>
          </cell>
          <cell r="O1201" t="str">
            <v>42325</v>
          </cell>
        </row>
        <row r="1202">
          <cell r="B1202">
            <v>43397</v>
          </cell>
          <cell r="C1202" t="str">
            <v>GG Iconic Lipstick Sampler SP...- PMauve</v>
          </cell>
          <cell r="D1202">
            <v>0</v>
          </cell>
          <cell r="E1202">
            <v>0</v>
          </cell>
          <cell r="F1202">
            <v>35</v>
          </cell>
          <cell r="G1202">
            <v>35</v>
          </cell>
          <cell r="H1202">
            <v>35</v>
          </cell>
          <cell r="I1202">
            <v>35</v>
          </cell>
          <cell r="J1202" t="str">
            <v>NO</v>
          </cell>
          <cell r="K1202">
            <v>0</v>
          </cell>
          <cell r="L1202" t="str">
            <v/>
          </cell>
          <cell r="M1202" t="str">
            <v>S</v>
          </cell>
          <cell r="N1202" t="str">
            <v>SAM</v>
          </cell>
          <cell r="O1202" t="str">
            <v>42326</v>
          </cell>
        </row>
        <row r="1203">
          <cell r="B1203">
            <v>43398</v>
          </cell>
          <cell r="C1203" t="str">
            <v>GG Iconic Lipstick Sampler SP... - BPink</v>
          </cell>
          <cell r="D1203">
            <v>0</v>
          </cell>
          <cell r="E1203">
            <v>0</v>
          </cell>
          <cell r="F1203">
            <v>35</v>
          </cell>
          <cell r="G1203">
            <v>35</v>
          </cell>
          <cell r="H1203">
            <v>35</v>
          </cell>
          <cell r="I1203">
            <v>35</v>
          </cell>
          <cell r="J1203" t="str">
            <v>NO</v>
          </cell>
          <cell r="K1203">
            <v>0</v>
          </cell>
          <cell r="L1203" t="str">
            <v/>
          </cell>
          <cell r="M1203" t="str">
            <v>S</v>
          </cell>
          <cell r="N1203" t="str">
            <v>SAM</v>
          </cell>
          <cell r="O1203" t="str">
            <v>42327</v>
          </cell>
        </row>
        <row r="1204">
          <cell r="B1204">
            <v>43399</v>
          </cell>
          <cell r="C1204" t="str">
            <v>GG Iconic Lipstick Sampler SP...- PCoral</v>
          </cell>
          <cell r="D1204">
            <v>0</v>
          </cell>
          <cell r="E1204">
            <v>0</v>
          </cell>
          <cell r="F1204">
            <v>35</v>
          </cell>
          <cell r="G1204">
            <v>35</v>
          </cell>
          <cell r="H1204">
            <v>35</v>
          </cell>
          <cell r="I1204">
            <v>35</v>
          </cell>
          <cell r="J1204" t="str">
            <v>NO</v>
          </cell>
          <cell r="K1204">
            <v>0</v>
          </cell>
          <cell r="L1204" t="str">
            <v/>
          </cell>
          <cell r="M1204" t="str">
            <v>S</v>
          </cell>
          <cell r="N1204" t="str">
            <v>SAM</v>
          </cell>
          <cell r="O1204" t="str">
            <v>42328</v>
          </cell>
        </row>
        <row r="1205">
          <cell r="B1205">
            <v>43400</v>
          </cell>
          <cell r="C1205" t="str">
            <v>GG Iconic Lipstick Sampler SP... RedRose</v>
          </cell>
          <cell r="D1205">
            <v>0</v>
          </cell>
          <cell r="E1205">
            <v>0</v>
          </cell>
          <cell r="F1205">
            <v>35</v>
          </cell>
          <cell r="G1205">
            <v>35</v>
          </cell>
          <cell r="H1205">
            <v>35</v>
          </cell>
          <cell r="I1205">
            <v>35</v>
          </cell>
          <cell r="J1205" t="str">
            <v>NO</v>
          </cell>
          <cell r="K1205">
            <v>0</v>
          </cell>
          <cell r="L1205" t="str">
            <v/>
          </cell>
          <cell r="M1205" t="str">
            <v>S</v>
          </cell>
          <cell r="N1205" t="str">
            <v>SAM</v>
          </cell>
          <cell r="O1205" t="str">
            <v>42329</v>
          </cell>
        </row>
        <row r="1206">
          <cell r="B1206">
            <v>43402</v>
          </cell>
          <cell r="C1206" t="str">
            <v>GG Iconic Lipstick Sampler SP...- IcoRed</v>
          </cell>
          <cell r="D1206">
            <v>0</v>
          </cell>
          <cell r="E1206">
            <v>0</v>
          </cell>
          <cell r="F1206">
            <v>35</v>
          </cell>
          <cell r="G1206">
            <v>35</v>
          </cell>
          <cell r="H1206">
            <v>35</v>
          </cell>
          <cell r="I1206">
            <v>35</v>
          </cell>
          <cell r="J1206" t="str">
            <v>NO</v>
          </cell>
          <cell r="K1206">
            <v>0</v>
          </cell>
          <cell r="L1206" t="str">
            <v/>
          </cell>
          <cell r="M1206" t="str">
            <v>S</v>
          </cell>
          <cell r="N1206" t="str">
            <v>SAM</v>
          </cell>
          <cell r="O1206" t="str">
            <v>42331</v>
          </cell>
        </row>
        <row r="1207">
          <cell r="B1207">
            <v>43403</v>
          </cell>
          <cell r="C1207" t="str">
            <v>GG Iconic Lipstick Sampler SP... - DWine</v>
          </cell>
          <cell r="D1207">
            <v>0</v>
          </cell>
          <cell r="E1207">
            <v>0</v>
          </cell>
          <cell r="F1207">
            <v>35</v>
          </cell>
          <cell r="G1207">
            <v>35</v>
          </cell>
          <cell r="H1207">
            <v>35</v>
          </cell>
          <cell r="I1207">
            <v>35</v>
          </cell>
          <cell r="J1207" t="str">
            <v>NO</v>
          </cell>
          <cell r="K1207">
            <v>0</v>
          </cell>
          <cell r="L1207" t="str">
            <v/>
          </cell>
          <cell r="M1207" t="str">
            <v>S</v>
          </cell>
          <cell r="N1207" t="str">
            <v>SAM</v>
          </cell>
          <cell r="O1207" t="str">
            <v>42332</v>
          </cell>
        </row>
        <row r="1208">
          <cell r="B1208">
            <v>44647</v>
          </cell>
          <cell r="C1208" t="str">
            <v>GG Radiant Gel CC Sachet SPF 25 - Fair</v>
          </cell>
          <cell r="D1208">
            <v>0</v>
          </cell>
          <cell r="E1208">
            <v>0</v>
          </cell>
          <cell r="F1208">
            <v>35</v>
          </cell>
          <cell r="G1208">
            <v>35</v>
          </cell>
          <cell r="H1208">
            <v>35</v>
          </cell>
          <cell r="I1208">
            <v>35</v>
          </cell>
          <cell r="J1208" t="str">
            <v>NO</v>
          </cell>
          <cell r="K1208">
            <v>0</v>
          </cell>
          <cell r="L1208" t="str">
            <v/>
          </cell>
          <cell r="M1208" t="str">
            <v>S</v>
          </cell>
          <cell r="N1208" t="str">
            <v>SAM</v>
          </cell>
          <cell r="O1208" t="str">
            <v>43214</v>
          </cell>
        </row>
        <row r="1209">
          <cell r="B1209">
            <v>44648</v>
          </cell>
          <cell r="C1209" t="str">
            <v>GG Radiant Gel CC Sachet SPF 25 - Light</v>
          </cell>
          <cell r="D1209">
            <v>0</v>
          </cell>
          <cell r="E1209">
            <v>0</v>
          </cell>
          <cell r="F1209">
            <v>35</v>
          </cell>
          <cell r="G1209">
            <v>35</v>
          </cell>
          <cell r="H1209">
            <v>35</v>
          </cell>
          <cell r="I1209">
            <v>35</v>
          </cell>
          <cell r="J1209" t="str">
            <v>NO</v>
          </cell>
          <cell r="K1209">
            <v>0</v>
          </cell>
          <cell r="L1209" t="str">
            <v/>
          </cell>
          <cell r="M1209" t="str">
            <v>S</v>
          </cell>
          <cell r="N1209" t="str">
            <v>SAM</v>
          </cell>
          <cell r="O1209" t="str">
            <v>43215</v>
          </cell>
        </row>
        <row r="1210">
          <cell r="B1210">
            <v>44649</v>
          </cell>
          <cell r="C1210" t="str">
            <v>GG Radiant Gel CC Sachet SPF 25 - Medium</v>
          </cell>
          <cell r="D1210">
            <v>0</v>
          </cell>
          <cell r="E1210">
            <v>0</v>
          </cell>
          <cell r="F1210">
            <v>35</v>
          </cell>
          <cell r="G1210">
            <v>35</v>
          </cell>
          <cell r="H1210">
            <v>35</v>
          </cell>
          <cell r="I1210">
            <v>35</v>
          </cell>
          <cell r="J1210" t="str">
            <v>NO</v>
          </cell>
          <cell r="K1210">
            <v>0</v>
          </cell>
          <cell r="L1210" t="str">
            <v/>
          </cell>
          <cell r="M1210" t="str">
            <v>S</v>
          </cell>
          <cell r="N1210" t="str">
            <v>SAM</v>
          </cell>
          <cell r="O1210" t="str">
            <v>43216</v>
          </cell>
        </row>
        <row r="1211">
          <cell r="B1211">
            <v>44650</v>
          </cell>
          <cell r="C1211" t="str">
            <v>GG Radiant Gel CC Sachet SPF 25 - Tan</v>
          </cell>
          <cell r="D1211">
            <v>0</v>
          </cell>
          <cell r="E1211">
            <v>0</v>
          </cell>
          <cell r="F1211">
            <v>35</v>
          </cell>
          <cell r="G1211">
            <v>35</v>
          </cell>
          <cell r="H1211">
            <v>35</v>
          </cell>
          <cell r="I1211">
            <v>35</v>
          </cell>
          <cell r="J1211" t="str">
            <v>NO</v>
          </cell>
          <cell r="K1211">
            <v>0</v>
          </cell>
          <cell r="L1211" t="str">
            <v/>
          </cell>
          <cell r="M1211" t="str">
            <v>S</v>
          </cell>
          <cell r="N1211" t="str">
            <v>SAM</v>
          </cell>
          <cell r="O1211" t="str">
            <v>43217</v>
          </cell>
        </row>
        <row r="1212">
          <cell r="B1212">
            <v>44847</v>
          </cell>
          <cell r="C1212" t="str">
            <v>GG Long Wear M Fnd Sachet - Vanilla N</v>
          </cell>
          <cell r="D1212">
            <v>0</v>
          </cell>
          <cell r="E1212">
            <v>0</v>
          </cell>
          <cell r="F1212">
            <v>35</v>
          </cell>
          <cell r="G1212">
            <v>35</v>
          </cell>
          <cell r="H1212">
            <v>35</v>
          </cell>
          <cell r="I1212">
            <v>35</v>
          </cell>
          <cell r="J1212" t="str">
            <v>NO</v>
          </cell>
          <cell r="K1212">
            <v>0</v>
          </cell>
          <cell r="L1212" t="str">
            <v/>
          </cell>
          <cell r="M1212" t="str">
            <v>S</v>
          </cell>
          <cell r="N1212" t="str">
            <v>SAM</v>
          </cell>
          <cell r="O1212" t="str">
            <v>42101</v>
          </cell>
        </row>
        <row r="1213">
          <cell r="B1213">
            <v>44848</v>
          </cell>
          <cell r="C1213" t="str">
            <v>GG Long Wear M Fnd Sachet - Porcelain W</v>
          </cell>
          <cell r="D1213">
            <v>0</v>
          </cell>
          <cell r="E1213">
            <v>0</v>
          </cell>
          <cell r="F1213">
            <v>35</v>
          </cell>
          <cell r="G1213">
            <v>35</v>
          </cell>
          <cell r="H1213">
            <v>35</v>
          </cell>
          <cell r="I1213">
            <v>35</v>
          </cell>
          <cell r="J1213" t="str">
            <v>NO</v>
          </cell>
          <cell r="K1213">
            <v>0</v>
          </cell>
          <cell r="L1213" t="str">
            <v/>
          </cell>
          <cell r="M1213" t="str">
            <v>S</v>
          </cell>
          <cell r="N1213" t="str">
            <v>SAM</v>
          </cell>
          <cell r="O1213" t="str">
            <v>42102</v>
          </cell>
        </row>
        <row r="1214">
          <cell r="B1214">
            <v>44849</v>
          </cell>
          <cell r="C1214" t="str">
            <v>GG Long Wear M Fnd Sachet - Marble N</v>
          </cell>
          <cell r="D1214">
            <v>0</v>
          </cell>
          <cell r="E1214">
            <v>0</v>
          </cell>
          <cell r="F1214">
            <v>35</v>
          </cell>
          <cell r="G1214">
            <v>35</v>
          </cell>
          <cell r="H1214">
            <v>35</v>
          </cell>
          <cell r="I1214">
            <v>35</v>
          </cell>
          <cell r="J1214" t="str">
            <v>NO</v>
          </cell>
          <cell r="K1214">
            <v>0</v>
          </cell>
          <cell r="L1214" t="str">
            <v/>
          </cell>
          <cell r="M1214" t="str">
            <v>S</v>
          </cell>
          <cell r="N1214" t="str">
            <v>SAM</v>
          </cell>
          <cell r="O1214" t="str">
            <v>42103</v>
          </cell>
        </row>
        <row r="1215">
          <cell r="B1215">
            <v>44850</v>
          </cell>
          <cell r="C1215" t="str">
            <v>GG Long Wear M Fnd Sachet - L Beige N</v>
          </cell>
          <cell r="D1215">
            <v>0</v>
          </cell>
          <cell r="E1215">
            <v>0</v>
          </cell>
          <cell r="F1215">
            <v>35</v>
          </cell>
          <cell r="G1215">
            <v>35</v>
          </cell>
          <cell r="H1215">
            <v>35</v>
          </cell>
          <cell r="I1215">
            <v>35</v>
          </cell>
          <cell r="J1215" t="str">
            <v>NO</v>
          </cell>
          <cell r="K1215">
            <v>0</v>
          </cell>
          <cell r="L1215" t="str">
            <v/>
          </cell>
          <cell r="M1215" t="str">
            <v>S</v>
          </cell>
          <cell r="N1215" t="str">
            <v>SAM</v>
          </cell>
          <cell r="O1215" t="str">
            <v>42104</v>
          </cell>
        </row>
        <row r="1216">
          <cell r="B1216">
            <v>44851</v>
          </cell>
          <cell r="C1216" t="str">
            <v>GG Long Wear M Fnd Sachet - S Sand</v>
          </cell>
          <cell r="D1216">
            <v>0</v>
          </cell>
          <cell r="E1216">
            <v>0</v>
          </cell>
          <cell r="F1216">
            <v>35</v>
          </cell>
          <cell r="G1216">
            <v>35</v>
          </cell>
          <cell r="H1216">
            <v>35</v>
          </cell>
          <cell r="I1216">
            <v>35</v>
          </cell>
          <cell r="J1216" t="str">
            <v>NO</v>
          </cell>
          <cell r="K1216">
            <v>0</v>
          </cell>
          <cell r="L1216" t="str">
            <v/>
          </cell>
          <cell r="M1216" t="str">
            <v>S</v>
          </cell>
          <cell r="N1216" t="str">
            <v>SAM</v>
          </cell>
          <cell r="O1216" t="str">
            <v>42105</v>
          </cell>
        </row>
        <row r="1217">
          <cell r="B1217">
            <v>44852</v>
          </cell>
          <cell r="C1217" t="str">
            <v>GG Long Wear M Fnd Sachet - L IvoryN</v>
          </cell>
          <cell r="D1217">
            <v>0</v>
          </cell>
          <cell r="E1217">
            <v>0</v>
          </cell>
          <cell r="F1217">
            <v>35</v>
          </cell>
          <cell r="G1217">
            <v>35</v>
          </cell>
          <cell r="H1217">
            <v>35</v>
          </cell>
          <cell r="I1217">
            <v>35</v>
          </cell>
          <cell r="J1217" t="str">
            <v>NO</v>
          </cell>
          <cell r="K1217">
            <v>0</v>
          </cell>
          <cell r="L1217" t="str">
            <v/>
          </cell>
          <cell r="M1217" t="str">
            <v>S</v>
          </cell>
          <cell r="N1217" t="str">
            <v>SAM</v>
          </cell>
          <cell r="O1217" t="str">
            <v>42106</v>
          </cell>
        </row>
        <row r="1218">
          <cell r="B1218">
            <v>44853</v>
          </cell>
          <cell r="C1218" t="str">
            <v>GG Long Wear M Fnd Sachet - Nat Beige</v>
          </cell>
          <cell r="D1218">
            <v>0</v>
          </cell>
          <cell r="E1218">
            <v>0</v>
          </cell>
          <cell r="F1218">
            <v>35</v>
          </cell>
          <cell r="G1218">
            <v>35</v>
          </cell>
          <cell r="H1218">
            <v>35</v>
          </cell>
          <cell r="I1218">
            <v>35</v>
          </cell>
          <cell r="J1218" t="str">
            <v>NO</v>
          </cell>
          <cell r="K1218">
            <v>0</v>
          </cell>
          <cell r="L1218" t="str">
            <v/>
          </cell>
          <cell r="M1218" t="str">
            <v>S</v>
          </cell>
          <cell r="N1218" t="str">
            <v>SAM</v>
          </cell>
          <cell r="O1218" t="str">
            <v>42107</v>
          </cell>
        </row>
        <row r="1219">
          <cell r="B1219">
            <v>44865</v>
          </cell>
          <cell r="C1219" t="str">
            <v>GG CC Cream SPF 30 Sachet - Light</v>
          </cell>
          <cell r="D1219">
            <v>0</v>
          </cell>
          <cell r="E1219">
            <v>0</v>
          </cell>
          <cell r="F1219">
            <v>35</v>
          </cell>
          <cell r="G1219">
            <v>35</v>
          </cell>
          <cell r="H1219">
            <v>35</v>
          </cell>
          <cell r="I1219">
            <v>35</v>
          </cell>
          <cell r="J1219" t="str">
            <v>NO</v>
          </cell>
          <cell r="K1219">
            <v>0</v>
          </cell>
          <cell r="L1219" t="str">
            <v/>
          </cell>
          <cell r="M1219" t="str">
            <v>S</v>
          </cell>
          <cell r="N1219" t="str">
            <v>SAM</v>
          </cell>
          <cell r="O1219" t="str">
            <v>42112</v>
          </cell>
        </row>
        <row r="1220">
          <cell r="B1220">
            <v>44866</v>
          </cell>
          <cell r="C1220" t="str">
            <v>GG CC Cream SPF 30 Sachet - Medium</v>
          </cell>
          <cell r="D1220">
            <v>0</v>
          </cell>
          <cell r="E1220">
            <v>0</v>
          </cell>
          <cell r="F1220">
            <v>35</v>
          </cell>
          <cell r="G1220">
            <v>35</v>
          </cell>
          <cell r="H1220">
            <v>35</v>
          </cell>
          <cell r="I1220">
            <v>35</v>
          </cell>
          <cell r="J1220" t="str">
            <v>NO</v>
          </cell>
          <cell r="K1220">
            <v>0</v>
          </cell>
          <cell r="L1220" t="str">
            <v/>
          </cell>
          <cell r="M1220" t="str">
            <v>S</v>
          </cell>
          <cell r="N1220" t="str">
            <v>SAM</v>
          </cell>
          <cell r="O1220" t="str">
            <v>42112</v>
          </cell>
        </row>
        <row r="1221">
          <cell r="B1221">
            <v>44869</v>
          </cell>
          <cell r="C1221" t="str">
            <v>GG AD Serum Boost Fnd Sachet ...celain W</v>
          </cell>
          <cell r="D1221">
            <v>0</v>
          </cell>
          <cell r="E1221">
            <v>0</v>
          </cell>
          <cell r="F1221">
            <v>50</v>
          </cell>
          <cell r="G1221">
            <v>50</v>
          </cell>
          <cell r="H1221">
            <v>50</v>
          </cell>
          <cell r="I1221">
            <v>50</v>
          </cell>
          <cell r="J1221" t="str">
            <v>NO</v>
          </cell>
          <cell r="K1221">
            <v>0</v>
          </cell>
          <cell r="L1221" t="str">
            <v/>
          </cell>
          <cell r="M1221" t="str">
            <v>S</v>
          </cell>
          <cell r="N1221" t="str">
            <v>SAM</v>
          </cell>
          <cell r="O1221" t="str">
            <v>42236</v>
          </cell>
        </row>
        <row r="1222">
          <cell r="B1222">
            <v>44871</v>
          </cell>
          <cell r="C1222" t="str">
            <v>GG AD Serum Boost Fnd Sachet - L Ivory N</v>
          </cell>
          <cell r="D1222">
            <v>0</v>
          </cell>
          <cell r="E1222">
            <v>0</v>
          </cell>
          <cell r="F1222">
            <v>50</v>
          </cell>
          <cell r="G1222">
            <v>50</v>
          </cell>
          <cell r="H1222">
            <v>50</v>
          </cell>
          <cell r="I1222">
            <v>50</v>
          </cell>
          <cell r="J1222" t="str">
            <v>NO</v>
          </cell>
          <cell r="K1222">
            <v>0</v>
          </cell>
          <cell r="L1222" t="str">
            <v/>
          </cell>
          <cell r="M1222" t="str">
            <v>S</v>
          </cell>
          <cell r="N1222" t="str">
            <v>SAM</v>
          </cell>
          <cell r="O1222" t="str">
            <v>42236</v>
          </cell>
        </row>
        <row r="1223">
          <cell r="B1223">
            <v>44872</v>
          </cell>
          <cell r="C1223" t="str">
            <v>GG AD Serum Boost Fnd Sachet - Beige W</v>
          </cell>
          <cell r="D1223">
            <v>0</v>
          </cell>
          <cell r="E1223">
            <v>0</v>
          </cell>
          <cell r="F1223">
            <v>50</v>
          </cell>
          <cell r="G1223">
            <v>50</v>
          </cell>
          <cell r="H1223">
            <v>50</v>
          </cell>
          <cell r="I1223">
            <v>50</v>
          </cell>
          <cell r="J1223" t="str">
            <v>NO</v>
          </cell>
          <cell r="K1223">
            <v>0</v>
          </cell>
          <cell r="L1223" t="str">
            <v/>
          </cell>
          <cell r="M1223" t="str">
            <v>S</v>
          </cell>
          <cell r="N1223" t="str">
            <v>SAM</v>
          </cell>
          <cell r="O1223" t="str">
            <v>42236</v>
          </cell>
        </row>
        <row r="1224">
          <cell r="B1224">
            <v>45267</v>
          </cell>
          <cell r="C1224" t="str">
            <v>TO A-Z Cream Hydra SPF 30 sac...air Warm</v>
          </cell>
          <cell r="D1224">
            <v>0</v>
          </cell>
          <cell r="E1224">
            <v>0</v>
          </cell>
          <cell r="F1224">
            <v>35</v>
          </cell>
          <cell r="G1224">
            <v>35</v>
          </cell>
          <cell r="H1224">
            <v>35</v>
          </cell>
          <cell r="I1224">
            <v>35</v>
          </cell>
          <cell r="J1224" t="str">
            <v>NO</v>
          </cell>
          <cell r="K1224">
            <v>0</v>
          </cell>
          <cell r="L1224" t="str">
            <v/>
          </cell>
          <cell r="M1224" t="str">
            <v>S</v>
          </cell>
          <cell r="N1224" t="str">
            <v>SAM</v>
          </cell>
          <cell r="O1224" t="str">
            <v>45113</v>
          </cell>
        </row>
        <row r="1225">
          <cell r="B1225">
            <v>45268</v>
          </cell>
          <cell r="C1225" t="str">
            <v>TO A-Z Cream Hydra SPF 30 sac...ory Warm</v>
          </cell>
          <cell r="D1225">
            <v>0</v>
          </cell>
          <cell r="E1225">
            <v>0</v>
          </cell>
          <cell r="F1225">
            <v>35</v>
          </cell>
          <cell r="G1225">
            <v>35</v>
          </cell>
          <cell r="H1225">
            <v>35</v>
          </cell>
          <cell r="I1225">
            <v>35</v>
          </cell>
          <cell r="J1225" t="str">
            <v>NO</v>
          </cell>
          <cell r="K1225">
            <v>0</v>
          </cell>
          <cell r="L1225" t="str">
            <v/>
          </cell>
          <cell r="M1225" t="str">
            <v>S</v>
          </cell>
          <cell r="N1225" t="str">
            <v>SAM</v>
          </cell>
          <cell r="O1225" t="str">
            <v>45114</v>
          </cell>
        </row>
        <row r="1226">
          <cell r="B1226">
            <v>45269</v>
          </cell>
          <cell r="C1226" t="str">
            <v>TO A-Z Cream Hydra SPF 30 sac...ral Cool</v>
          </cell>
          <cell r="D1226">
            <v>0</v>
          </cell>
          <cell r="E1226">
            <v>0</v>
          </cell>
          <cell r="F1226">
            <v>35</v>
          </cell>
          <cell r="G1226">
            <v>35</v>
          </cell>
          <cell r="H1226">
            <v>35</v>
          </cell>
          <cell r="I1226">
            <v>35</v>
          </cell>
          <cell r="J1226" t="str">
            <v>NO</v>
          </cell>
          <cell r="K1226">
            <v>0</v>
          </cell>
          <cell r="L1226" t="str">
            <v/>
          </cell>
          <cell r="M1226" t="str">
            <v>S</v>
          </cell>
          <cell r="N1226" t="str">
            <v>SAM</v>
          </cell>
          <cell r="O1226" t="str">
            <v>45115</v>
          </cell>
        </row>
        <row r="1227">
          <cell r="B1227">
            <v>45635</v>
          </cell>
          <cell r="C1227" t="str">
            <v>GG Eternal Glow Fnd Sach - Vanill</v>
          </cell>
          <cell r="D1227">
            <v>0</v>
          </cell>
          <cell r="E1227">
            <v>0</v>
          </cell>
          <cell r="F1227">
            <v>35</v>
          </cell>
          <cell r="G1227">
            <v>35</v>
          </cell>
          <cell r="H1227">
            <v>35</v>
          </cell>
          <cell r="I1227">
            <v>35</v>
          </cell>
          <cell r="J1227" t="str">
            <v>NO</v>
          </cell>
          <cell r="K1227">
            <v>0</v>
          </cell>
          <cell r="L1227" t="str">
            <v/>
          </cell>
          <cell r="M1227" t="str">
            <v>S</v>
          </cell>
          <cell r="N1227" t="str">
            <v>SAM</v>
          </cell>
          <cell r="O1227" t="str">
            <v>43243</v>
          </cell>
        </row>
        <row r="1228">
          <cell r="B1228">
            <v>45636</v>
          </cell>
          <cell r="C1228" t="str">
            <v>GG Eternal Glow Fnd Sach - Porce</v>
          </cell>
          <cell r="D1228">
            <v>0</v>
          </cell>
          <cell r="E1228">
            <v>0</v>
          </cell>
          <cell r="F1228">
            <v>35</v>
          </cell>
          <cell r="G1228">
            <v>35</v>
          </cell>
          <cell r="H1228">
            <v>35</v>
          </cell>
          <cell r="I1228">
            <v>35</v>
          </cell>
          <cell r="J1228" t="str">
            <v>NO</v>
          </cell>
          <cell r="K1228">
            <v>0</v>
          </cell>
          <cell r="L1228" t="str">
            <v/>
          </cell>
          <cell r="M1228" t="str">
            <v>S</v>
          </cell>
          <cell r="N1228" t="str">
            <v>SAM</v>
          </cell>
          <cell r="O1228" t="str">
            <v>43244</v>
          </cell>
        </row>
        <row r="1229">
          <cell r="B1229">
            <v>45637</v>
          </cell>
          <cell r="C1229" t="str">
            <v>GG Eternal Glow Fnd Sach - L Beige</v>
          </cell>
          <cell r="D1229">
            <v>0</v>
          </cell>
          <cell r="E1229">
            <v>0</v>
          </cell>
          <cell r="F1229">
            <v>35</v>
          </cell>
          <cell r="G1229">
            <v>35</v>
          </cell>
          <cell r="H1229">
            <v>35</v>
          </cell>
          <cell r="I1229">
            <v>35</v>
          </cell>
          <cell r="J1229" t="str">
            <v>NO</v>
          </cell>
          <cell r="K1229">
            <v>0</v>
          </cell>
          <cell r="L1229" t="str">
            <v/>
          </cell>
          <cell r="M1229" t="str">
            <v>S</v>
          </cell>
          <cell r="N1229" t="str">
            <v>SAM</v>
          </cell>
          <cell r="O1229" t="str">
            <v>43245</v>
          </cell>
        </row>
        <row r="1230">
          <cell r="B1230">
            <v>45638</v>
          </cell>
          <cell r="C1230" t="str">
            <v>GG Eternal Glow Fnd Sach - S Sand</v>
          </cell>
          <cell r="D1230">
            <v>0</v>
          </cell>
          <cell r="E1230">
            <v>0</v>
          </cell>
          <cell r="F1230">
            <v>35</v>
          </cell>
          <cell r="G1230">
            <v>35</v>
          </cell>
          <cell r="H1230">
            <v>35</v>
          </cell>
          <cell r="I1230">
            <v>35</v>
          </cell>
          <cell r="J1230" t="str">
            <v>NO</v>
          </cell>
          <cell r="K1230">
            <v>0</v>
          </cell>
          <cell r="L1230" t="str">
            <v/>
          </cell>
          <cell r="M1230" t="str">
            <v>S</v>
          </cell>
          <cell r="N1230" t="str">
            <v>SAM</v>
          </cell>
          <cell r="O1230" t="str">
            <v>43246</v>
          </cell>
        </row>
        <row r="1231">
          <cell r="B1231">
            <v>45639</v>
          </cell>
          <cell r="C1231" t="str">
            <v>GG Eternal Glow Fnd Sach - Ivory</v>
          </cell>
          <cell r="D1231">
            <v>0</v>
          </cell>
          <cell r="E1231">
            <v>0</v>
          </cell>
          <cell r="F1231">
            <v>35</v>
          </cell>
          <cell r="G1231">
            <v>35</v>
          </cell>
          <cell r="H1231">
            <v>35</v>
          </cell>
          <cell r="I1231">
            <v>35</v>
          </cell>
          <cell r="J1231" t="str">
            <v>NO</v>
          </cell>
          <cell r="K1231">
            <v>0</v>
          </cell>
          <cell r="L1231" t="str">
            <v/>
          </cell>
          <cell r="M1231" t="str">
            <v>S</v>
          </cell>
          <cell r="N1231" t="str">
            <v>SAM</v>
          </cell>
          <cell r="O1231" t="str">
            <v>43247</v>
          </cell>
        </row>
        <row r="1232">
          <cell r="B1232">
            <v>45640</v>
          </cell>
          <cell r="C1232" t="str">
            <v>GG Eternal Glow Fnd Sach - N Beig</v>
          </cell>
          <cell r="D1232">
            <v>0</v>
          </cell>
          <cell r="E1232">
            <v>0</v>
          </cell>
          <cell r="F1232">
            <v>35</v>
          </cell>
          <cell r="G1232">
            <v>35</v>
          </cell>
          <cell r="H1232">
            <v>35</v>
          </cell>
          <cell r="I1232">
            <v>35</v>
          </cell>
          <cell r="J1232" t="str">
            <v>NO</v>
          </cell>
          <cell r="K1232">
            <v>0</v>
          </cell>
          <cell r="L1232" t="str">
            <v/>
          </cell>
          <cell r="M1232" t="str">
            <v>S</v>
          </cell>
          <cell r="N1232" t="str">
            <v>SAM</v>
          </cell>
          <cell r="O1232" t="str">
            <v>43248</v>
          </cell>
        </row>
        <row r="1233">
          <cell r="B1233">
            <v>45641</v>
          </cell>
          <cell r="C1233" t="str">
            <v>GG Eternal Glow Fnd Sach - Beige W</v>
          </cell>
          <cell r="D1233">
            <v>0</v>
          </cell>
          <cell r="E1233">
            <v>0</v>
          </cell>
          <cell r="F1233">
            <v>35</v>
          </cell>
          <cell r="G1233">
            <v>35</v>
          </cell>
          <cell r="H1233">
            <v>35</v>
          </cell>
          <cell r="I1233">
            <v>35</v>
          </cell>
          <cell r="J1233" t="str">
            <v>NO</v>
          </cell>
          <cell r="K1233">
            <v>0</v>
          </cell>
          <cell r="L1233" t="str">
            <v/>
          </cell>
          <cell r="M1233" t="str">
            <v>S</v>
          </cell>
          <cell r="N1233" t="str">
            <v>SAM</v>
          </cell>
          <cell r="O1233" t="str">
            <v>43249</v>
          </cell>
        </row>
        <row r="1234">
          <cell r="B1234">
            <v>46335</v>
          </cell>
          <cell r="C1234" t="str">
            <v>TO Illuskin Glow Refl Fnd Sac...anilla N</v>
          </cell>
          <cell r="D1234">
            <v>0</v>
          </cell>
          <cell r="E1234">
            <v>0</v>
          </cell>
          <cell r="F1234">
            <v>50</v>
          </cell>
          <cell r="G1234">
            <v>50</v>
          </cell>
          <cell r="H1234">
            <v>50</v>
          </cell>
          <cell r="I1234">
            <v>50</v>
          </cell>
          <cell r="J1234" t="str">
            <v>NO</v>
          </cell>
          <cell r="K1234">
            <v>0</v>
          </cell>
          <cell r="L1234" t="str">
            <v/>
          </cell>
          <cell r="M1234" t="str">
            <v>S</v>
          </cell>
          <cell r="N1234" t="str">
            <v>SAM</v>
          </cell>
          <cell r="O1234" t="str">
            <v>46329</v>
          </cell>
        </row>
        <row r="1235">
          <cell r="B1235">
            <v>46338</v>
          </cell>
          <cell r="C1235" t="str">
            <v>TO Illuskin Glow Refl Fnd Sac... Ivory N</v>
          </cell>
          <cell r="D1235">
            <v>0</v>
          </cell>
          <cell r="E1235">
            <v>0</v>
          </cell>
          <cell r="F1235">
            <v>50</v>
          </cell>
          <cell r="G1235">
            <v>50</v>
          </cell>
          <cell r="H1235">
            <v>50</v>
          </cell>
          <cell r="I1235">
            <v>50</v>
          </cell>
          <cell r="J1235" t="str">
            <v>NO</v>
          </cell>
          <cell r="K1235">
            <v>0</v>
          </cell>
          <cell r="L1235" t="str">
            <v/>
          </cell>
          <cell r="M1235" t="str">
            <v>S</v>
          </cell>
          <cell r="N1235" t="str">
            <v>SAM</v>
          </cell>
          <cell r="O1235" t="str">
            <v>46329</v>
          </cell>
        </row>
        <row r="1236">
          <cell r="B1236">
            <v>46340</v>
          </cell>
          <cell r="C1236" t="str">
            <v>TO Illuskin Glow Refl Fnd Sac...ige Warm</v>
          </cell>
          <cell r="D1236">
            <v>0</v>
          </cell>
          <cell r="E1236">
            <v>0</v>
          </cell>
          <cell r="F1236">
            <v>50</v>
          </cell>
          <cell r="G1236">
            <v>50</v>
          </cell>
          <cell r="H1236">
            <v>50</v>
          </cell>
          <cell r="I1236">
            <v>50</v>
          </cell>
          <cell r="J1236" t="str">
            <v>NO</v>
          </cell>
          <cell r="K1236">
            <v>0</v>
          </cell>
          <cell r="L1236" t="str">
            <v/>
          </cell>
          <cell r="M1236" t="str">
            <v>S</v>
          </cell>
          <cell r="N1236" t="str">
            <v>SAM</v>
          </cell>
          <cell r="O1236" t="str">
            <v>46329</v>
          </cell>
        </row>
        <row r="1237">
          <cell r="B1237">
            <v>47610</v>
          </cell>
          <cell r="C1237" t="str">
            <v>TO Smart Sync LS Smple - BNude</v>
          </cell>
          <cell r="D1237">
            <v>0</v>
          </cell>
          <cell r="E1237">
            <v>0</v>
          </cell>
          <cell r="F1237">
            <v>35</v>
          </cell>
          <cell r="G1237">
            <v>35</v>
          </cell>
          <cell r="H1237">
            <v>35</v>
          </cell>
          <cell r="I1237">
            <v>35</v>
          </cell>
          <cell r="J1237" t="str">
            <v>NO</v>
          </cell>
          <cell r="K1237">
            <v>0</v>
          </cell>
          <cell r="L1237" t="str">
            <v/>
          </cell>
          <cell r="M1237" t="str">
            <v>S</v>
          </cell>
          <cell r="N1237" t="str">
            <v>SAM</v>
          </cell>
          <cell r="O1237" t="str">
            <v>46435</v>
          </cell>
        </row>
        <row r="1238">
          <cell r="B1238">
            <v>47611</v>
          </cell>
          <cell r="C1238" t="str">
            <v>TO Smart Sync LS Smple - GCaramel</v>
          </cell>
          <cell r="D1238">
            <v>0</v>
          </cell>
          <cell r="E1238">
            <v>0</v>
          </cell>
          <cell r="F1238">
            <v>35</v>
          </cell>
          <cell r="G1238">
            <v>35</v>
          </cell>
          <cell r="H1238">
            <v>35</v>
          </cell>
          <cell r="I1238">
            <v>35</v>
          </cell>
          <cell r="J1238" t="str">
            <v>NO</v>
          </cell>
          <cell r="K1238">
            <v>0</v>
          </cell>
          <cell r="L1238" t="str">
            <v/>
          </cell>
          <cell r="M1238" t="str">
            <v>S</v>
          </cell>
          <cell r="N1238" t="str">
            <v>SAM</v>
          </cell>
          <cell r="O1238" t="str">
            <v>46435</v>
          </cell>
        </row>
        <row r="1239">
          <cell r="B1239">
            <v>47612</v>
          </cell>
          <cell r="C1239" t="str">
            <v>TO Smart Sync LS Smple - WCocoa</v>
          </cell>
          <cell r="D1239">
            <v>0</v>
          </cell>
          <cell r="E1239">
            <v>0</v>
          </cell>
          <cell r="F1239">
            <v>35</v>
          </cell>
          <cell r="G1239">
            <v>35</v>
          </cell>
          <cell r="H1239">
            <v>35</v>
          </cell>
          <cell r="I1239">
            <v>35</v>
          </cell>
          <cell r="J1239" t="str">
            <v>NO</v>
          </cell>
          <cell r="K1239">
            <v>0</v>
          </cell>
          <cell r="L1239" t="str">
            <v/>
          </cell>
          <cell r="M1239" t="str">
            <v>S</v>
          </cell>
          <cell r="N1239" t="str">
            <v>SAM</v>
          </cell>
          <cell r="O1239" t="str">
            <v>46435</v>
          </cell>
        </row>
        <row r="1240">
          <cell r="B1240">
            <v>47613</v>
          </cell>
          <cell r="C1240" t="str">
            <v>TO Smart Sync LS Smple - BTerracotta</v>
          </cell>
          <cell r="D1240">
            <v>0</v>
          </cell>
          <cell r="E1240">
            <v>0</v>
          </cell>
          <cell r="F1240">
            <v>35</v>
          </cell>
          <cell r="G1240">
            <v>35</v>
          </cell>
          <cell r="H1240">
            <v>35</v>
          </cell>
          <cell r="I1240">
            <v>35</v>
          </cell>
          <cell r="J1240" t="str">
            <v>NO</v>
          </cell>
          <cell r="K1240">
            <v>0</v>
          </cell>
          <cell r="L1240" t="str">
            <v/>
          </cell>
          <cell r="M1240" t="str">
            <v>S</v>
          </cell>
          <cell r="N1240" t="str">
            <v>SAM</v>
          </cell>
          <cell r="O1240" t="str">
            <v>46435</v>
          </cell>
        </row>
        <row r="1241">
          <cell r="B1241">
            <v>47614</v>
          </cell>
          <cell r="C1241" t="str">
            <v>TO Smart Sync LS Smple - PMauve</v>
          </cell>
          <cell r="D1241">
            <v>0</v>
          </cell>
          <cell r="E1241">
            <v>0</v>
          </cell>
          <cell r="F1241">
            <v>35</v>
          </cell>
          <cell r="G1241">
            <v>35</v>
          </cell>
          <cell r="H1241">
            <v>35</v>
          </cell>
          <cell r="I1241">
            <v>35</v>
          </cell>
          <cell r="J1241" t="str">
            <v>NO</v>
          </cell>
          <cell r="K1241">
            <v>0</v>
          </cell>
          <cell r="L1241" t="str">
            <v/>
          </cell>
          <cell r="M1241" t="str">
            <v>S</v>
          </cell>
          <cell r="N1241" t="str">
            <v>SAM</v>
          </cell>
          <cell r="O1241" t="str">
            <v>46435</v>
          </cell>
        </row>
        <row r="1242">
          <cell r="B1242">
            <v>47615</v>
          </cell>
          <cell r="C1242" t="str">
            <v>TO Smart Sync LS Smple - DRose</v>
          </cell>
          <cell r="D1242">
            <v>0</v>
          </cell>
          <cell r="E1242">
            <v>0</v>
          </cell>
          <cell r="F1242">
            <v>35</v>
          </cell>
          <cell r="G1242">
            <v>35</v>
          </cell>
          <cell r="H1242">
            <v>35</v>
          </cell>
          <cell r="I1242">
            <v>35</v>
          </cell>
          <cell r="J1242" t="str">
            <v>NO</v>
          </cell>
          <cell r="K1242">
            <v>0</v>
          </cell>
          <cell r="L1242" t="str">
            <v/>
          </cell>
          <cell r="M1242" t="str">
            <v>S</v>
          </cell>
          <cell r="N1242" t="str">
            <v>SAM</v>
          </cell>
          <cell r="O1242" t="str">
            <v>46435</v>
          </cell>
        </row>
        <row r="1243">
          <cell r="B1243">
            <v>47616</v>
          </cell>
          <cell r="C1243" t="str">
            <v>TO Smart Sync LS Smple - CRosewood</v>
          </cell>
          <cell r="D1243">
            <v>0</v>
          </cell>
          <cell r="E1243">
            <v>0</v>
          </cell>
          <cell r="F1243">
            <v>35</v>
          </cell>
          <cell r="G1243">
            <v>35</v>
          </cell>
          <cell r="H1243">
            <v>35</v>
          </cell>
          <cell r="I1243">
            <v>35</v>
          </cell>
          <cell r="J1243" t="str">
            <v>NO</v>
          </cell>
          <cell r="K1243">
            <v>0</v>
          </cell>
          <cell r="L1243" t="str">
            <v/>
          </cell>
          <cell r="M1243" t="str">
            <v>S</v>
          </cell>
          <cell r="N1243" t="str">
            <v>SAM</v>
          </cell>
          <cell r="O1243" t="str">
            <v>46435</v>
          </cell>
        </row>
        <row r="1244">
          <cell r="B1244">
            <v>47617</v>
          </cell>
          <cell r="C1244" t="str">
            <v>TO Smart Sync LS Smple - SMagenta</v>
          </cell>
          <cell r="D1244">
            <v>0</v>
          </cell>
          <cell r="E1244">
            <v>0</v>
          </cell>
          <cell r="F1244">
            <v>35</v>
          </cell>
          <cell r="G1244">
            <v>35</v>
          </cell>
          <cell r="H1244">
            <v>35</v>
          </cell>
          <cell r="I1244">
            <v>35</v>
          </cell>
          <cell r="J1244" t="str">
            <v>NO</v>
          </cell>
          <cell r="K1244">
            <v>0</v>
          </cell>
          <cell r="L1244" t="str">
            <v/>
          </cell>
          <cell r="M1244" t="str">
            <v>S</v>
          </cell>
          <cell r="N1244" t="str">
            <v>SAM</v>
          </cell>
          <cell r="O1244" t="str">
            <v>46435</v>
          </cell>
        </row>
        <row r="1245">
          <cell r="B1245">
            <v>47618</v>
          </cell>
          <cell r="C1245" t="str">
            <v>TO Smart Sync LS Smple - MMocha</v>
          </cell>
          <cell r="D1245">
            <v>0</v>
          </cell>
          <cell r="E1245">
            <v>0</v>
          </cell>
          <cell r="F1245">
            <v>35</v>
          </cell>
          <cell r="G1245">
            <v>35</v>
          </cell>
          <cell r="H1245">
            <v>35</v>
          </cell>
          <cell r="I1245">
            <v>35</v>
          </cell>
          <cell r="J1245" t="str">
            <v>NO</v>
          </cell>
          <cell r="K1245">
            <v>0</v>
          </cell>
          <cell r="L1245" t="str">
            <v/>
          </cell>
          <cell r="M1245" t="str">
            <v>S</v>
          </cell>
          <cell r="N1245" t="str">
            <v>SAM</v>
          </cell>
          <cell r="O1245" t="str">
            <v>46435</v>
          </cell>
        </row>
        <row r="1246">
          <cell r="B1246">
            <v>47619</v>
          </cell>
          <cell r="C1246" t="str">
            <v>TO Smart Sync LS Smple - BSienna</v>
          </cell>
          <cell r="D1246">
            <v>0</v>
          </cell>
          <cell r="E1246">
            <v>0</v>
          </cell>
          <cell r="F1246">
            <v>35</v>
          </cell>
          <cell r="G1246">
            <v>35</v>
          </cell>
          <cell r="H1246">
            <v>35</v>
          </cell>
          <cell r="I1246">
            <v>35</v>
          </cell>
          <cell r="J1246" t="str">
            <v>NO</v>
          </cell>
          <cell r="K1246">
            <v>0</v>
          </cell>
          <cell r="L1246" t="str">
            <v/>
          </cell>
          <cell r="M1246" t="str">
            <v>S</v>
          </cell>
          <cell r="N1246" t="str">
            <v>SAM</v>
          </cell>
          <cell r="O1246" t="str">
            <v>46435</v>
          </cell>
        </row>
        <row r="1247">
          <cell r="B1247">
            <v>47620</v>
          </cell>
          <cell r="C1247" t="str">
            <v>TO Smart Sync LS Smple - DEspresso</v>
          </cell>
          <cell r="D1247">
            <v>0</v>
          </cell>
          <cell r="E1247">
            <v>0</v>
          </cell>
          <cell r="F1247">
            <v>35</v>
          </cell>
          <cell r="G1247">
            <v>35</v>
          </cell>
          <cell r="H1247">
            <v>35</v>
          </cell>
          <cell r="I1247">
            <v>35</v>
          </cell>
          <cell r="J1247" t="str">
            <v>NO</v>
          </cell>
          <cell r="K1247">
            <v>0</v>
          </cell>
          <cell r="L1247" t="str">
            <v/>
          </cell>
          <cell r="M1247" t="str">
            <v>S</v>
          </cell>
          <cell r="N1247" t="str">
            <v>SAM</v>
          </cell>
          <cell r="O1247" t="str">
            <v>46435</v>
          </cell>
        </row>
        <row r="1248">
          <cell r="B1248">
            <v>47621</v>
          </cell>
          <cell r="C1248" t="str">
            <v>TO Smart Sync LS Smple - DBerry</v>
          </cell>
          <cell r="D1248">
            <v>0</v>
          </cell>
          <cell r="E1248">
            <v>0</v>
          </cell>
          <cell r="F1248">
            <v>35</v>
          </cell>
          <cell r="G1248">
            <v>35</v>
          </cell>
          <cell r="H1248">
            <v>35</v>
          </cell>
          <cell r="I1248">
            <v>35</v>
          </cell>
          <cell r="J1248" t="str">
            <v>NO</v>
          </cell>
          <cell r="K1248">
            <v>0</v>
          </cell>
          <cell r="L1248" t="str">
            <v/>
          </cell>
          <cell r="M1248" t="str">
            <v>S</v>
          </cell>
          <cell r="N1248" t="str">
            <v>SAM</v>
          </cell>
          <cell r="O1248" t="str">
            <v>46435</v>
          </cell>
        </row>
        <row r="1249">
          <cell r="B1249">
            <v>47622</v>
          </cell>
          <cell r="C1249" t="str">
            <v>TO Smart Sync LS Smple - Smart Red</v>
          </cell>
          <cell r="D1249">
            <v>0</v>
          </cell>
          <cell r="E1249">
            <v>0</v>
          </cell>
          <cell r="F1249">
            <v>35</v>
          </cell>
          <cell r="G1249">
            <v>35</v>
          </cell>
          <cell r="H1249">
            <v>35</v>
          </cell>
          <cell r="I1249">
            <v>35</v>
          </cell>
          <cell r="J1249" t="str">
            <v>NO</v>
          </cell>
          <cell r="K1249">
            <v>0</v>
          </cell>
          <cell r="L1249" t="str">
            <v/>
          </cell>
          <cell r="M1249" t="str">
            <v>S</v>
          </cell>
          <cell r="N1249" t="str">
            <v>SAM</v>
          </cell>
          <cell r="O1249" t="str">
            <v>46435</v>
          </cell>
        </row>
        <row r="1250">
          <cell r="B1250">
            <v>47623</v>
          </cell>
          <cell r="C1250" t="str">
            <v>TO Smart Sync LS Smple - SBrick</v>
          </cell>
          <cell r="D1250">
            <v>0</v>
          </cell>
          <cell r="E1250">
            <v>0</v>
          </cell>
          <cell r="F1250">
            <v>35</v>
          </cell>
          <cell r="G1250">
            <v>35</v>
          </cell>
          <cell r="H1250">
            <v>35</v>
          </cell>
          <cell r="I1250">
            <v>35</v>
          </cell>
          <cell r="J1250" t="str">
            <v>NO</v>
          </cell>
          <cell r="K1250">
            <v>0</v>
          </cell>
          <cell r="L1250" t="str">
            <v/>
          </cell>
          <cell r="M1250" t="str">
            <v>S</v>
          </cell>
          <cell r="N1250" t="str">
            <v>SAM</v>
          </cell>
          <cell r="O1250" t="str">
            <v>46435</v>
          </cell>
        </row>
        <row r="1251">
          <cell r="B1251">
            <v>47624</v>
          </cell>
          <cell r="C1251" t="str">
            <v>TO Smart Sync LS Smple - CPlum</v>
          </cell>
          <cell r="D1251">
            <v>0</v>
          </cell>
          <cell r="E1251">
            <v>0</v>
          </cell>
          <cell r="F1251">
            <v>35</v>
          </cell>
          <cell r="G1251">
            <v>35</v>
          </cell>
          <cell r="H1251">
            <v>35</v>
          </cell>
          <cell r="I1251">
            <v>35</v>
          </cell>
          <cell r="J1251" t="str">
            <v>NO</v>
          </cell>
          <cell r="K1251">
            <v>0</v>
          </cell>
          <cell r="L1251" t="str">
            <v/>
          </cell>
          <cell r="M1251" t="str">
            <v>S</v>
          </cell>
          <cell r="N1251" t="str">
            <v>SAM</v>
          </cell>
          <cell r="O1251" t="str">
            <v>46435</v>
          </cell>
        </row>
        <row r="1252">
          <cell r="B1252">
            <v>11037</v>
          </cell>
          <cell r="C1252" t="str">
            <v>Ascendant Edt VIAL</v>
          </cell>
          <cell r="D1252">
            <v>0</v>
          </cell>
          <cell r="E1252">
            <v>0</v>
          </cell>
          <cell r="F1252">
            <v>35</v>
          </cell>
          <cell r="G1252">
            <v>35</v>
          </cell>
          <cell r="H1252">
            <v>35</v>
          </cell>
          <cell r="I1252">
            <v>35</v>
          </cell>
          <cell r="J1252" t="str">
            <v>NO</v>
          </cell>
          <cell r="K1252">
            <v>0</v>
          </cell>
          <cell r="L1252" t="str">
            <v/>
          </cell>
          <cell r="M1252" t="str">
            <v>S</v>
          </cell>
          <cell r="N1252" t="str">
            <v>SAM</v>
          </cell>
          <cell r="O1252" t="str">
            <v>10919;42490</v>
          </cell>
        </row>
        <row r="1253">
          <cell r="B1253">
            <v>11365</v>
          </cell>
          <cell r="C1253" t="str">
            <v>Amber Elixir Eau de Parfum Vial</v>
          </cell>
          <cell r="D1253">
            <v>0</v>
          </cell>
          <cell r="E1253">
            <v>0</v>
          </cell>
          <cell r="F1253">
            <v>35</v>
          </cell>
          <cell r="G1253">
            <v>35</v>
          </cell>
          <cell r="H1253">
            <v>35</v>
          </cell>
          <cell r="I1253">
            <v>35</v>
          </cell>
          <cell r="J1253" t="str">
            <v>NO</v>
          </cell>
          <cell r="K1253">
            <v>0</v>
          </cell>
          <cell r="L1253" t="str">
            <v/>
          </cell>
          <cell r="M1253" t="str">
            <v>S</v>
          </cell>
          <cell r="N1253" t="str">
            <v>SAM</v>
          </cell>
          <cell r="O1253" t="str">
            <v>11367;42495</v>
          </cell>
        </row>
        <row r="1254">
          <cell r="B1254">
            <v>22443</v>
          </cell>
          <cell r="C1254" t="str">
            <v>Love Potion EdP Vial</v>
          </cell>
          <cell r="D1254">
            <v>0</v>
          </cell>
          <cell r="E1254">
            <v>0</v>
          </cell>
          <cell r="F1254">
            <v>35</v>
          </cell>
          <cell r="G1254">
            <v>35</v>
          </cell>
          <cell r="H1254">
            <v>35</v>
          </cell>
          <cell r="I1254">
            <v>35</v>
          </cell>
          <cell r="J1254" t="str">
            <v>NO</v>
          </cell>
          <cell r="K1254">
            <v>0</v>
          </cell>
          <cell r="L1254" t="str">
            <v/>
          </cell>
          <cell r="M1254" t="str">
            <v>S</v>
          </cell>
          <cell r="N1254" t="str">
            <v>SAM</v>
          </cell>
          <cell r="O1254" t="str">
            <v>22442;42751</v>
          </cell>
        </row>
        <row r="1255">
          <cell r="B1255">
            <v>30044</v>
          </cell>
          <cell r="C1255" t="str">
            <v>Volare EDP Vial</v>
          </cell>
          <cell r="D1255">
            <v>0</v>
          </cell>
          <cell r="E1255">
            <v>0</v>
          </cell>
          <cell r="F1255">
            <v>35</v>
          </cell>
          <cell r="G1255">
            <v>35</v>
          </cell>
          <cell r="H1255">
            <v>35</v>
          </cell>
          <cell r="I1255">
            <v>35</v>
          </cell>
          <cell r="J1255" t="str">
            <v>NO</v>
          </cell>
          <cell r="K1255">
            <v>0</v>
          </cell>
          <cell r="L1255" t="str">
            <v/>
          </cell>
          <cell r="M1255" t="str">
            <v>S</v>
          </cell>
          <cell r="N1255" t="str">
            <v>SAM</v>
          </cell>
          <cell r="O1255" t="str">
            <v>30025;42514</v>
          </cell>
        </row>
        <row r="1256">
          <cell r="B1256">
            <v>30129</v>
          </cell>
          <cell r="C1256" t="str">
            <v>Eclat Femme EDT Vial</v>
          </cell>
          <cell r="D1256">
            <v>0</v>
          </cell>
          <cell r="E1256">
            <v>0</v>
          </cell>
          <cell r="F1256">
            <v>35</v>
          </cell>
          <cell r="G1256">
            <v>35</v>
          </cell>
          <cell r="H1256">
            <v>35</v>
          </cell>
          <cell r="I1256">
            <v>35</v>
          </cell>
          <cell r="J1256" t="str">
            <v>NO</v>
          </cell>
          <cell r="K1256">
            <v>0</v>
          </cell>
          <cell r="L1256" t="str">
            <v/>
          </cell>
          <cell r="M1256" t="str">
            <v>S</v>
          </cell>
          <cell r="N1256" t="str">
            <v>SAM</v>
          </cell>
          <cell r="O1256" t="str">
            <v>30128;42507</v>
          </cell>
        </row>
        <row r="1257">
          <cell r="B1257">
            <v>30321</v>
          </cell>
          <cell r="C1257" t="str">
            <v>Eclat Homme EdT Vial</v>
          </cell>
          <cell r="D1257">
            <v>0</v>
          </cell>
          <cell r="E1257">
            <v>0</v>
          </cell>
          <cell r="F1257">
            <v>35</v>
          </cell>
          <cell r="G1257">
            <v>35</v>
          </cell>
          <cell r="H1257">
            <v>35</v>
          </cell>
          <cell r="I1257">
            <v>35</v>
          </cell>
          <cell r="J1257" t="str">
            <v>NO</v>
          </cell>
          <cell r="K1257">
            <v>0</v>
          </cell>
          <cell r="L1257" t="str">
            <v/>
          </cell>
          <cell r="M1257" t="str">
            <v>S</v>
          </cell>
          <cell r="N1257" t="str">
            <v>SAM</v>
          </cell>
          <cell r="O1257" t="str">
            <v>30173;42864</v>
          </cell>
        </row>
        <row r="1258">
          <cell r="B1258">
            <v>30400</v>
          </cell>
          <cell r="C1258" t="str">
            <v>Miss Giordani EDP Vial</v>
          </cell>
          <cell r="D1258">
            <v>0</v>
          </cell>
          <cell r="E1258">
            <v>0</v>
          </cell>
          <cell r="F1258">
            <v>35</v>
          </cell>
          <cell r="G1258">
            <v>35</v>
          </cell>
          <cell r="H1258">
            <v>35</v>
          </cell>
          <cell r="I1258">
            <v>35</v>
          </cell>
          <cell r="J1258" t="str">
            <v>NO</v>
          </cell>
          <cell r="K1258">
            <v>0</v>
          </cell>
          <cell r="L1258" t="str">
            <v/>
          </cell>
          <cell r="M1258" t="str">
            <v>S</v>
          </cell>
          <cell r="N1258" t="str">
            <v>SAM</v>
          </cell>
          <cell r="O1258" t="str">
            <v>30399</v>
          </cell>
        </row>
        <row r="1259">
          <cell r="B1259">
            <v>30557</v>
          </cell>
          <cell r="C1259" t="str">
            <v>Be the Legend EdT Vial</v>
          </cell>
          <cell r="D1259">
            <v>0</v>
          </cell>
          <cell r="E1259">
            <v>0</v>
          </cell>
          <cell r="F1259">
            <v>35</v>
          </cell>
          <cell r="G1259">
            <v>35</v>
          </cell>
          <cell r="H1259">
            <v>35</v>
          </cell>
          <cell r="I1259">
            <v>35</v>
          </cell>
          <cell r="J1259" t="str">
            <v>NO</v>
          </cell>
          <cell r="K1259">
            <v>0</v>
          </cell>
          <cell r="L1259" t="str">
            <v/>
          </cell>
          <cell r="M1259" t="str">
            <v>S</v>
          </cell>
          <cell r="N1259" t="str">
            <v>SAM</v>
          </cell>
          <cell r="O1259" t="str">
            <v>30468</v>
          </cell>
        </row>
        <row r="1260">
          <cell r="B1260">
            <v>30885</v>
          </cell>
          <cell r="C1260" t="str">
            <v>Possess EDP Vial</v>
          </cell>
          <cell r="D1260">
            <v>0</v>
          </cell>
          <cell r="E1260">
            <v>0</v>
          </cell>
          <cell r="F1260">
            <v>35</v>
          </cell>
          <cell r="G1260">
            <v>35</v>
          </cell>
          <cell r="H1260">
            <v>35</v>
          </cell>
          <cell r="I1260">
            <v>35</v>
          </cell>
          <cell r="J1260" t="str">
            <v>NO</v>
          </cell>
          <cell r="K1260">
            <v>0</v>
          </cell>
          <cell r="L1260" t="str">
            <v/>
          </cell>
          <cell r="M1260" t="str">
            <v>S</v>
          </cell>
          <cell r="N1260" t="str">
            <v>SAM</v>
          </cell>
          <cell r="O1260" t="str">
            <v>30886;42519</v>
          </cell>
        </row>
        <row r="1261">
          <cell r="B1261">
            <v>31002</v>
          </cell>
          <cell r="C1261" t="str">
            <v>Men's Collection Citrus Tonic vial</v>
          </cell>
          <cell r="D1261">
            <v>0</v>
          </cell>
          <cell r="E1261">
            <v>0</v>
          </cell>
          <cell r="F1261">
            <v>35</v>
          </cell>
          <cell r="G1261">
            <v>35</v>
          </cell>
          <cell r="H1261">
            <v>35</v>
          </cell>
          <cell r="I1261">
            <v>35</v>
          </cell>
          <cell r="J1261" t="str">
            <v>NO</v>
          </cell>
          <cell r="K1261">
            <v>0</v>
          </cell>
          <cell r="L1261" t="str">
            <v/>
          </cell>
          <cell r="M1261" t="str">
            <v>S</v>
          </cell>
          <cell r="N1261" t="str">
            <v>SAM</v>
          </cell>
          <cell r="O1261" t="str">
            <v>30058</v>
          </cell>
        </row>
        <row r="1262">
          <cell r="B1262">
            <v>31003</v>
          </cell>
          <cell r="C1262" t="str">
            <v>Men's Collection Dark Wood EdT vial</v>
          </cell>
          <cell r="D1262">
            <v>0</v>
          </cell>
          <cell r="E1262">
            <v>0</v>
          </cell>
          <cell r="F1262">
            <v>35</v>
          </cell>
          <cell r="G1262">
            <v>35</v>
          </cell>
          <cell r="H1262">
            <v>35</v>
          </cell>
          <cell r="I1262">
            <v>35</v>
          </cell>
          <cell r="J1262" t="str">
            <v>NO</v>
          </cell>
          <cell r="K1262">
            <v>0</v>
          </cell>
          <cell r="L1262" t="str">
            <v/>
          </cell>
          <cell r="M1262" t="str">
            <v>S</v>
          </cell>
          <cell r="N1262" t="str">
            <v>SAM</v>
          </cell>
          <cell r="O1262" t="str">
            <v>30059;42518</v>
          </cell>
        </row>
        <row r="1263">
          <cell r="B1263">
            <v>31292</v>
          </cell>
          <cell r="C1263" t="str">
            <v>Eclat Femme Weekend EDT Vial</v>
          </cell>
          <cell r="D1263">
            <v>0</v>
          </cell>
          <cell r="E1263">
            <v>0</v>
          </cell>
          <cell r="F1263">
            <v>35</v>
          </cell>
          <cell r="G1263">
            <v>35</v>
          </cell>
          <cell r="H1263">
            <v>35</v>
          </cell>
          <cell r="I1263">
            <v>35</v>
          </cell>
          <cell r="J1263" t="str">
            <v>NO</v>
          </cell>
          <cell r="K1263">
            <v>0</v>
          </cell>
          <cell r="L1263" t="str">
            <v/>
          </cell>
          <cell r="M1263" t="str">
            <v>S</v>
          </cell>
          <cell r="N1263" t="str">
            <v>SAM</v>
          </cell>
          <cell r="O1263" t="str">
            <v>31293;42499</v>
          </cell>
        </row>
        <row r="1264">
          <cell r="B1264">
            <v>31494</v>
          </cell>
          <cell r="C1264" t="str">
            <v>Love Potion Secrets EDP Vial</v>
          </cell>
          <cell r="D1264">
            <v>0</v>
          </cell>
          <cell r="E1264">
            <v>0</v>
          </cell>
          <cell r="F1264">
            <v>35</v>
          </cell>
          <cell r="G1264">
            <v>35</v>
          </cell>
          <cell r="H1264">
            <v>35</v>
          </cell>
          <cell r="I1264">
            <v>35</v>
          </cell>
          <cell r="J1264" t="str">
            <v>NO</v>
          </cell>
          <cell r="K1264">
            <v>0</v>
          </cell>
          <cell r="L1264" t="str">
            <v/>
          </cell>
          <cell r="M1264" t="str">
            <v>S</v>
          </cell>
          <cell r="N1264" t="str">
            <v>SAM</v>
          </cell>
          <cell r="O1264" t="str">
            <v>31493;42815</v>
          </cell>
        </row>
        <row r="1265">
          <cell r="B1265">
            <v>31817</v>
          </cell>
          <cell r="C1265" t="str">
            <v>Giordani Gold Essenza Parfum Vial</v>
          </cell>
          <cell r="D1265">
            <v>0</v>
          </cell>
          <cell r="E1265">
            <v>0</v>
          </cell>
          <cell r="F1265">
            <v>35</v>
          </cell>
          <cell r="G1265">
            <v>35</v>
          </cell>
          <cell r="H1265">
            <v>35</v>
          </cell>
          <cell r="I1265">
            <v>35</v>
          </cell>
          <cell r="J1265" t="str">
            <v>NO</v>
          </cell>
          <cell r="K1265">
            <v>0</v>
          </cell>
          <cell r="L1265" t="str">
            <v/>
          </cell>
          <cell r="M1265" t="str">
            <v>S</v>
          </cell>
          <cell r="N1265" t="str">
            <v>SAM</v>
          </cell>
          <cell r="O1265" t="str">
            <v>31816;42503</v>
          </cell>
        </row>
        <row r="1266">
          <cell r="B1266">
            <v>31824</v>
          </cell>
          <cell r="C1266" t="str">
            <v>Possess Man Eau de Toilette Vial</v>
          </cell>
          <cell r="D1266">
            <v>0</v>
          </cell>
          <cell r="E1266">
            <v>0</v>
          </cell>
          <cell r="F1266">
            <v>35</v>
          </cell>
          <cell r="G1266">
            <v>35</v>
          </cell>
          <cell r="H1266">
            <v>35</v>
          </cell>
          <cell r="I1266">
            <v>35</v>
          </cell>
          <cell r="J1266" t="str">
            <v>NO</v>
          </cell>
          <cell r="K1266">
            <v>0</v>
          </cell>
          <cell r="L1266" t="str">
            <v/>
          </cell>
          <cell r="M1266" t="str">
            <v>S</v>
          </cell>
          <cell r="N1266" t="str">
            <v>SAM</v>
          </cell>
          <cell r="O1266" t="str">
            <v>31825</v>
          </cell>
        </row>
        <row r="1267">
          <cell r="B1267">
            <v>32234</v>
          </cell>
          <cell r="C1267" t="str">
            <v>Elvie EDT Vial</v>
          </cell>
          <cell r="D1267">
            <v>0</v>
          </cell>
          <cell r="E1267">
            <v>0</v>
          </cell>
          <cell r="F1267">
            <v>35</v>
          </cell>
          <cell r="G1267">
            <v>35</v>
          </cell>
          <cell r="H1267">
            <v>35</v>
          </cell>
          <cell r="I1267">
            <v>35</v>
          </cell>
          <cell r="J1267" t="str">
            <v>NO</v>
          </cell>
          <cell r="K1267">
            <v>0</v>
          </cell>
          <cell r="L1267" t="str">
            <v/>
          </cell>
          <cell r="M1267" t="str">
            <v>S</v>
          </cell>
          <cell r="N1267" t="str">
            <v>SAM</v>
          </cell>
          <cell r="O1267" t="str">
            <v>32235;42502</v>
          </cell>
        </row>
        <row r="1268">
          <cell r="B1268">
            <v>32441</v>
          </cell>
          <cell r="C1268" t="str">
            <v>Women's Collection IWLilac Edt vial</v>
          </cell>
          <cell r="D1268">
            <v>0</v>
          </cell>
          <cell r="E1268">
            <v>0</v>
          </cell>
          <cell r="F1268">
            <v>35</v>
          </cell>
          <cell r="G1268">
            <v>35</v>
          </cell>
          <cell r="H1268">
            <v>35</v>
          </cell>
          <cell r="I1268">
            <v>35</v>
          </cell>
          <cell r="J1268" t="str">
            <v>NO</v>
          </cell>
          <cell r="K1268">
            <v>0</v>
          </cell>
          <cell r="L1268" t="str">
            <v/>
          </cell>
          <cell r="M1268" t="str">
            <v>S</v>
          </cell>
          <cell r="N1268" t="str">
            <v>SAM</v>
          </cell>
          <cell r="O1268" t="str">
            <v>32438</v>
          </cell>
        </row>
        <row r="1269">
          <cell r="B1269">
            <v>32442</v>
          </cell>
          <cell r="C1269" t="str">
            <v>Women's Collection DCBloss Edt vial</v>
          </cell>
          <cell r="D1269">
            <v>0</v>
          </cell>
          <cell r="E1269">
            <v>0</v>
          </cell>
          <cell r="F1269">
            <v>35</v>
          </cell>
          <cell r="G1269">
            <v>35</v>
          </cell>
          <cell r="H1269">
            <v>35</v>
          </cell>
          <cell r="I1269">
            <v>35</v>
          </cell>
          <cell r="J1269" t="str">
            <v>NO</v>
          </cell>
          <cell r="K1269">
            <v>0</v>
          </cell>
          <cell r="L1269" t="str">
            <v/>
          </cell>
          <cell r="M1269" t="str">
            <v>S</v>
          </cell>
          <cell r="N1269" t="str">
            <v>SAM</v>
          </cell>
          <cell r="O1269" t="str">
            <v>32440;42828</v>
          </cell>
        </row>
        <row r="1270">
          <cell r="B1270">
            <v>33045</v>
          </cell>
          <cell r="C1270" t="str">
            <v>Amber Elixir Eau Crystal EDP Vial</v>
          </cell>
          <cell r="D1270">
            <v>0</v>
          </cell>
          <cell r="E1270">
            <v>0</v>
          </cell>
          <cell r="F1270">
            <v>35</v>
          </cell>
          <cell r="G1270">
            <v>35</v>
          </cell>
          <cell r="H1270">
            <v>35</v>
          </cell>
          <cell r="I1270">
            <v>35</v>
          </cell>
          <cell r="J1270" t="str">
            <v>NO</v>
          </cell>
          <cell r="K1270">
            <v>0</v>
          </cell>
          <cell r="L1270" t="str">
            <v/>
          </cell>
          <cell r="M1270" t="str">
            <v>S</v>
          </cell>
          <cell r="N1270" t="str">
            <v>SAM</v>
          </cell>
          <cell r="O1270" t="str">
            <v>33044;42865</v>
          </cell>
        </row>
        <row r="1271">
          <cell r="B1271">
            <v>33649</v>
          </cell>
          <cell r="C1271" t="str">
            <v>Possess The Secret Man Edp Vial</v>
          </cell>
          <cell r="D1271">
            <v>0</v>
          </cell>
          <cell r="E1271">
            <v>0</v>
          </cell>
          <cell r="F1271">
            <v>35</v>
          </cell>
          <cell r="G1271">
            <v>35</v>
          </cell>
          <cell r="H1271">
            <v>35</v>
          </cell>
          <cell r="I1271">
            <v>35</v>
          </cell>
          <cell r="J1271" t="str">
            <v>NO</v>
          </cell>
          <cell r="K1271">
            <v>0</v>
          </cell>
          <cell r="L1271" t="str">
            <v/>
          </cell>
          <cell r="M1271" t="str">
            <v>S</v>
          </cell>
          <cell r="N1271" t="str">
            <v>SAM</v>
          </cell>
          <cell r="O1271" t="str">
            <v>33650</v>
          </cell>
        </row>
        <row r="1272">
          <cell r="B1272">
            <v>33653</v>
          </cell>
          <cell r="C1272" t="str">
            <v>Mister Giordani Edt Vial</v>
          </cell>
          <cell r="D1272">
            <v>0</v>
          </cell>
          <cell r="E1272">
            <v>0</v>
          </cell>
          <cell r="F1272">
            <v>35</v>
          </cell>
          <cell r="G1272">
            <v>35</v>
          </cell>
          <cell r="H1272">
            <v>35</v>
          </cell>
          <cell r="I1272">
            <v>35</v>
          </cell>
          <cell r="J1272" t="str">
            <v>NO</v>
          </cell>
          <cell r="K1272">
            <v>0</v>
          </cell>
          <cell r="L1272" t="str">
            <v/>
          </cell>
          <cell r="M1272" t="str">
            <v>S</v>
          </cell>
          <cell r="N1272" t="str">
            <v>SAM</v>
          </cell>
          <cell r="O1272" t="str">
            <v>33654</v>
          </cell>
        </row>
        <row r="1273">
          <cell r="B1273">
            <v>34145</v>
          </cell>
          <cell r="C1273" t="str">
            <v>Lucia Bright Aura Edt Vial</v>
          </cell>
          <cell r="D1273">
            <v>0</v>
          </cell>
          <cell r="E1273">
            <v>0</v>
          </cell>
          <cell r="F1273">
            <v>35</v>
          </cell>
          <cell r="G1273">
            <v>35</v>
          </cell>
          <cell r="H1273">
            <v>35</v>
          </cell>
          <cell r="I1273">
            <v>35</v>
          </cell>
          <cell r="J1273" t="str">
            <v>NO</v>
          </cell>
          <cell r="K1273">
            <v>0</v>
          </cell>
          <cell r="L1273" t="str">
            <v/>
          </cell>
          <cell r="M1273" t="str">
            <v>S</v>
          </cell>
          <cell r="N1273" t="str">
            <v>SAM</v>
          </cell>
          <cell r="O1273" t="str">
            <v>33960;42520</v>
          </cell>
        </row>
        <row r="1274">
          <cell r="B1274">
            <v>34506</v>
          </cell>
          <cell r="C1274" t="str">
            <v>MAGNETISTA EDP VIAL</v>
          </cell>
          <cell r="D1274">
            <v>0</v>
          </cell>
          <cell r="E1274">
            <v>0</v>
          </cell>
          <cell r="F1274">
            <v>35</v>
          </cell>
          <cell r="G1274">
            <v>35</v>
          </cell>
          <cell r="H1274">
            <v>35</v>
          </cell>
          <cell r="I1274">
            <v>35</v>
          </cell>
          <cell r="J1274" t="str">
            <v>NO</v>
          </cell>
          <cell r="K1274">
            <v>0</v>
          </cell>
          <cell r="L1274" t="str">
            <v/>
          </cell>
          <cell r="M1274" t="str">
            <v>S</v>
          </cell>
          <cell r="N1274" t="str">
            <v>SAM</v>
          </cell>
          <cell r="O1274" t="str">
            <v>34492;42741</v>
          </cell>
        </row>
        <row r="1275">
          <cell r="B1275">
            <v>35534</v>
          </cell>
          <cell r="C1275" t="str">
            <v>So Fever Together Her EDP Vial</v>
          </cell>
          <cell r="D1275">
            <v>0</v>
          </cell>
          <cell r="E1275">
            <v>0</v>
          </cell>
          <cell r="F1275">
            <v>35</v>
          </cell>
          <cell r="G1275">
            <v>35</v>
          </cell>
          <cell r="H1275">
            <v>35</v>
          </cell>
          <cell r="I1275">
            <v>35</v>
          </cell>
          <cell r="J1275" t="str">
            <v>NO</v>
          </cell>
          <cell r="K1275">
            <v>0</v>
          </cell>
          <cell r="L1275" t="str">
            <v/>
          </cell>
          <cell r="M1275" t="str">
            <v>S</v>
          </cell>
          <cell r="N1275" t="str">
            <v>SAM</v>
          </cell>
          <cell r="O1275" t="str">
            <v>35532;42835</v>
          </cell>
        </row>
        <row r="1276">
          <cell r="B1276">
            <v>35578</v>
          </cell>
          <cell r="C1276" t="str">
            <v>Eclat Style Parfum Vial</v>
          </cell>
          <cell r="D1276">
            <v>0</v>
          </cell>
          <cell r="E1276">
            <v>0</v>
          </cell>
          <cell r="F1276">
            <v>35</v>
          </cell>
          <cell r="G1276">
            <v>35</v>
          </cell>
          <cell r="H1276">
            <v>35</v>
          </cell>
          <cell r="I1276">
            <v>35</v>
          </cell>
          <cell r="J1276" t="str">
            <v>NO</v>
          </cell>
          <cell r="K1276">
            <v>0</v>
          </cell>
          <cell r="L1276" t="str">
            <v/>
          </cell>
          <cell r="M1276" t="str">
            <v>S</v>
          </cell>
          <cell r="N1276" t="str">
            <v>SAM</v>
          </cell>
          <cell r="O1276" t="str">
            <v>34522</v>
          </cell>
        </row>
        <row r="1277">
          <cell r="B1277">
            <v>35650</v>
          </cell>
          <cell r="C1277" t="str">
            <v>Eclat Amour Eau de Toilette Vial</v>
          </cell>
          <cell r="D1277">
            <v>0</v>
          </cell>
          <cell r="E1277">
            <v>0</v>
          </cell>
          <cell r="F1277">
            <v>35</v>
          </cell>
          <cell r="G1277">
            <v>35</v>
          </cell>
          <cell r="H1277">
            <v>35</v>
          </cell>
          <cell r="I1277">
            <v>35</v>
          </cell>
          <cell r="J1277" t="str">
            <v>NO</v>
          </cell>
          <cell r="K1277">
            <v>0</v>
          </cell>
          <cell r="L1277" t="str">
            <v/>
          </cell>
          <cell r="M1277" t="str">
            <v>S</v>
          </cell>
          <cell r="N1277" t="str">
            <v>SAM</v>
          </cell>
          <cell r="O1277" t="str">
            <v>35649</v>
          </cell>
        </row>
        <row r="1278">
          <cell r="B1278">
            <v>35652</v>
          </cell>
          <cell r="C1278" t="str">
            <v>Eclat Toujours Eau de Toilette Vial</v>
          </cell>
          <cell r="D1278">
            <v>0</v>
          </cell>
          <cell r="E1278">
            <v>0</v>
          </cell>
          <cell r="F1278">
            <v>35</v>
          </cell>
          <cell r="G1278">
            <v>35</v>
          </cell>
          <cell r="H1278">
            <v>35</v>
          </cell>
          <cell r="I1278">
            <v>35</v>
          </cell>
          <cell r="J1278" t="str">
            <v>NO</v>
          </cell>
          <cell r="K1278">
            <v>0</v>
          </cell>
          <cell r="L1278" t="str">
            <v/>
          </cell>
          <cell r="M1278" t="str">
            <v>S</v>
          </cell>
          <cell r="N1278" t="str">
            <v>SAM</v>
          </cell>
          <cell r="O1278" t="str">
            <v>35651</v>
          </cell>
        </row>
        <row r="1279">
          <cell r="B1279">
            <v>35654</v>
          </cell>
          <cell r="C1279" t="str">
            <v>Infinita Eau de Parfum Vial</v>
          </cell>
          <cell r="D1279">
            <v>0</v>
          </cell>
          <cell r="E1279">
            <v>0</v>
          </cell>
          <cell r="F1279">
            <v>35</v>
          </cell>
          <cell r="G1279">
            <v>35</v>
          </cell>
          <cell r="H1279">
            <v>35</v>
          </cell>
          <cell r="I1279">
            <v>35</v>
          </cell>
          <cell r="J1279" t="str">
            <v>NO</v>
          </cell>
          <cell r="K1279">
            <v>0</v>
          </cell>
          <cell r="L1279" t="str">
            <v/>
          </cell>
          <cell r="M1279" t="str">
            <v>S</v>
          </cell>
          <cell r="N1279" t="str">
            <v>SAM</v>
          </cell>
          <cell r="O1279" t="str">
            <v>35653</v>
          </cell>
        </row>
        <row r="1280">
          <cell r="B1280">
            <v>35656</v>
          </cell>
          <cell r="C1280" t="str">
            <v xml:space="preserve">Joyce Rose Eau de Toilette Vial </v>
          </cell>
          <cell r="D1280">
            <v>0</v>
          </cell>
          <cell r="E1280">
            <v>0</v>
          </cell>
          <cell r="F1280">
            <v>35</v>
          </cell>
          <cell r="G1280">
            <v>35</v>
          </cell>
          <cell r="H1280">
            <v>35</v>
          </cell>
          <cell r="I1280">
            <v>35</v>
          </cell>
          <cell r="J1280" t="str">
            <v>NO</v>
          </cell>
          <cell r="K1280">
            <v>0</v>
          </cell>
          <cell r="L1280" t="str">
            <v/>
          </cell>
          <cell r="M1280" t="str">
            <v>S</v>
          </cell>
          <cell r="N1280" t="str">
            <v>SAM</v>
          </cell>
          <cell r="O1280" t="str">
            <v>37766</v>
          </cell>
        </row>
        <row r="1281">
          <cell r="B1281">
            <v>35658</v>
          </cell>
          <cell r="C1281" t="str">
            <v>Joyce Turquoise Eau de ToiletteVial</v>
          </cell>
          <cell r="D1281">
            <v>0</v>
          </cell>
          <cell r="E1281">
            <v>0</v>
          </cell>
          <cell r="F1281">
            <v>35</v>
          </cell>
          <cell r="G1281">
            <v>35</v>
          </cell>
          <cell r="H1281">
            <v>35</v>
          </cell>
          <cell r="I1281">
            <v>35</v>
          </cell>
          <cell r="J1281" t="str">
            <v>NO</v>
          </cell>
          <cell r="K1281">
            <v>0</v>
          </cell>
          <cell r="L1281" t="str">
            <v/>
          </cell>
          <cell r="M1281" t="str">
            <v>S</v>
          </cell>
          <cell r="N1281" t="str">
            <v>SAM</v>
          </cell>
          <cell r="O1281" t="str">
            <v>42508</v>
          </cell>
        </row>
        <row r="1282">
          <cell r="B1282">
            <v>35662</v>
          </cell>
          <cell r="C1282" t="str">
            <v xml:space="preserve">Volare Moments Eau de Parfum Vial </v>
          </cell>
          <cell r="D1282">
            <v>0</v>
          </cell>
          <cell r="E1282">
            <v>0</v>
          </cell>
          <cell r="F1282">
            <v>35</v>
          </cell>
          <cell r="G1282">
            <v>35</v>
          </cell>
          <cell r="H1282">
            <v>35</v>
          </cell>
          <cell r="I1282">
            <v>35</v>
          </cell>
          <cell r="J1282" t="str">
            <v>NO</v>
          </cell>
          <cell r="K1282">
            <v>0</v>
          </cell>
          <cell r="L1282" t="str">
            <v/>
          </cell>
          <cell r="M1282" t="str">
            <v>S</v>
          </cell>
          <cell r="N1282" t="str">
            <v>SAM</v>
          </cell>
          <cell r="O1282" t="str">
            <v>35661</v>
          </cell>
        </row>
        <row r="1283">
          <cell r="B1283">
            <v>35664</v>
          </cell>
          <cell r="C1283" t="str">
            <v>Mister Giordani Aqua EDT Vial</v>
          </cell>
          <cell r="D1283">
            <v>0</v>
          </cell>
          <cell r="E1283">
            <v>0</v>
          </cell>
          <cell r="F1283">
            <v>35</v>
          </cell>
          <cell r="G1283">
            <v>35</v>
          </cell>
          <cell r="H1283">
            <v>35</v>
          </cell>
          <cell r="I1283">
            <v>35</v>
          </cell>
          <cell r="J1283" t="str">
            <v>NO</v>
          </cell>
          <cell r="K1283">
            <v>0</v>
          </cell>
          <cell r="L1283" t="str">
            <v/>
          </cell>
          <cell r="M1283" t="str">
            <v>S</v>
          </cell>
          <cell r="N1283" t="str">
            <v>SAM</v>
          </cell>
          <cell r="O1283" t="str">
            <v>35663;42837</v>
          </cell>
        </row>
        <row r="1284">
          <cell r="B1284">
            <v>35666</v>
          </cell>
          <cell r="C1284" t="str">
            <v>Glacier Eau de Toilette Vial</v>
          </cell>
          <cell r="D1284">
            <v>0</v>
          </cell>
          <cell r="E1284">
            <v>0</v>
          </cell>
          <cell r="F1284">
            <v>35</v>
          </cell>
          <cell r="G1284">
            <v>35</v>
          </cell>
          <cell r="H1284">
            <v>35</v>
          </cell>
          <cell r="I1284">
            <v>35</v>
          </cell>
          <cell r="J1284" t="str">
            <v>NO</v>
          </cell>
          <cell r="K1284">
            <v>0</v>
          </cell>
          <cell r="L1284" t="str">
            <v/>
          </cell>
          <cell r="M1284" t="str">
            <v>S</v>
          </cell>
          <cell r="N1284" t="str">
            <v>SAM</v>
          </cell>
          <cell r="O1284" t="str">
            <v>35665</v>
          </cell>
        </row>
        <row r="1285">
          <cell r="B1285">
            <v>35668</v>
          </cell>
          <cell r="C1285" t="str">
            <v>Glacier Rock Eau de Toilette Vial</v>
          </cell>
          <cell r="D1285">
            <v>0</v>
          </cell>
          <cell r="E1285">
            <v>0</v>
          </cell>
          <cell r="F1285">
            <v>35</v>
          </cell>
          <cell r="G1285">
            <v>35</v>
          </cell>
          <cell r="H1285">
            <v>35</v>
          </cell>
          <cell r="I1285">
            <v>35</v>
          </cell>
          <cell r="J1285" t="str">
            <v>NO</v>
          </cell>
          <cell r="K1285">
            <v>0</v>
          </cell>
          <cell r="L1285" t="str">
            <v/>
          </cell>
          <cell r="M1285" t="str">
            <v>S</v>
          </cell>
          <cell r="N1285" t="str">
            <v>SAM</v>
          </cell>
          <cell r="O1285" t="str">
            <v>35667;42816</v>
          </cell>
        </row>
        <row r="1286">
          <cell r="B1286">
            <v>35670</v>
          </cell>
          <cell r="C1286" t="str">
            <v>Glacier Fire Eau de Toilette Vial</v>
          </cell>
          <cell r="D1286">
            <v>0</v>
          </cell>
          <cell r="E1286">
            <v>0</v>
          </cell>
          <cell r="F1286">
            <v>35</v>
          </cell>
          <cell r="G1286">
            <v>35</v>
          </cell>
          <cell r="H1286">
            <v>35</v>
          </cell>
          <cell r="I1286">
            <v>35</v>
          </cell>
          <cell r="J1286" t="str">
            <v>NO</v>
          </cell>
          <cell r="K1286">
            <v>0</v>
          </cell>
          <cell r="L1286" t="str">
            <v/>
          </cell>
          <cell r="M1286" t="str">
            <v>S</v>
          </cell>
          <cell r="N1286" t="str">
            <v>SAM</v>
          </cell>
          <cell r="O1286" t="str">
            <v>35669;42739</v>
          </cell>
        </row>
        <row r="1287">
          <cell r="B1287">
            <v>35674</v>
          </cell>
          <cell r="C1287" t="str">
            <v>Debonair Eau de Toilette Vial</v>
          </cell>
          <cell r="D1287">
            <v>0</v>
          </cell>
          <cell r="E1287">
            <v>0</v>
          </cell>
          <cell r="F1287">
            <v>35</v>
          </cell>
          <cell r="G1287">
            <v>35</v>
          </cell>
          <cell r="H1287">
            <v>35</v>
          </cell>
          <cell r="I1287">
            <v>35</v>
          </cell>
          <cell r="J1287" t="str">
            <v>NO</v>
          </cell>
          <cell r="K1287">
            <v>0</v>
          </cell>
          <cell r="L1287" t="str">
            <v/>
          </cell>
          <cell r="M1287" t="str">
            <v>S</v>
          </cell>
          <cell r="N1287" t="str">
            <v>SAM</v>
          </cell>
          <cell r="O1287" t="str">
            <v>35673;42726</v>
          </cell>
        </row>
        <row r="1288">
          <cell r="B1288">
            <v>35676</v>
          </cell>
          <cell r="C1288" t="str">
            <v xml:space="preserve">Joyce Jade Eau de Toilette Vial </v>
          </cell>
          <cell r="D1288">
            <v>0</v>
          </cell>
          <cell r="E1288">
            <v>0</v>
          </cell>
          <cell r="F1288">
            <v>35</v>
          </cell>
          <cell r="G1288">
            <v>35</v>
          </cell>
          <cell r="H1288">
            <v>35</v>
          </cell>
          <cell r="I1288">
            <v>35</v>
          </cell>
          <cell r="J1288" t="str">
            <v>NO</v>
          </cell>
          <cell r="K1288">
            <v>0</v>
          </cell>
          <cell r="L1288" t="str">
            <v/>
          </cell>
          <cell r="M1288" t="str">
            <v>S</v>
          </cell>
          <cell r="N1288" t="str">
            <v>SAM</v>
          </cell>
          <cell r="O1288" t="str">
            <v>37772</v>
          </cell>
        </row>
        <row r="1289">
          <cell r="B1289">
            <v>38525</v>
          </cell>
          <cell r="C1289" t="str">
            <v>Ascendant Intense EDP Vial</v>
          </cell>
          <cell r="D1289">
            <v>0</v>
          </cell>
          <cell r="E1289">
            <v>0</v>
          </cell>
          <cell r="F1289">
            <v>35</v>
          </cell>
          <cell r="G1289">
            <v>35</v>
          </cell>
          <cell r="H1289">
            <v>35</v>
          </cell>
          <cell r="I1289">
            <v>35</v>
          </cell>
          <cell r="J1289" t="str">
            <v>NO</v>
          </cell>
          <cell r="K1289">
            <v>0</v>
          </cell>
          <cell r="L1289" t="str">
            <v/>
          </cell>
          <cell r="M1289" t="str">
            <v>S</v>
          </cell>
          <cell r="N1289" t="str">
            <v>SAM</v>
          </cell>
          <cell r="O1289" t="str">
            <v>38527</v>
          </cell>
        </row>
        <row r="1290">
          <cell r="B1290">
            <v>38546</v>
          </cell>
          <cell r="C1290" t="str">
            <v xml:space="preserve">Nordic Waters for him EDP Vial </v>
          </cell>
          <cell r="D1290">
            <v>0</v>
          </cell>
          <cell r="E1290">
            <v>0</v>
          </cell>
          <cell r="F1290">
            <v>35</v>
          </cell>
          <cell r="G1290">
            <v>35</v>
          </cell>
          <cell r="H1290">
            <v>35</v>
          </cell>
          <cell r="I1290">
            <v>35</v>
          </cell>
          <cell r="J1290" t="str">
            <v>NO</v>
          </cell>
          <cell r="K1290">
            <v>0</v>
          </cell>
          <cell r="L1290" t="str">
            <v/>
          </cell>
          <cell r="M1290" t="str">
            <v>S</v>
          </cell>
          <cell r="N1290" t="str">
            <v>SAM</v>
          </cell>
          <cell r="O1290" t="str">
            <v>38550</v>
          </cell>
        </row>
        <row r="1291">
          <cell r="B1291">
            <v>38548</v>
          </cell>
          <cell r="C1291" t="str">
            <v>Nordic Waters for her EDP Vial</v>
          </cell>
          <cell r="D1291">
            <v>0</v>
          </cell>
          <cell r="E1291">
            <v>0</v>
          </cell>
          <cell r="F1291">
            <v>35</v>
          </cell>
          <cell r="G1291">
            <v>35</v>
          </cell>
          <cell r="H1291">
            <v>35</v>
          </cell>
          <cell r="I1291">
            <v>35</v>
          </cell>
          <cell r="J1291" t="str">
            <v>NO</v>
          </cell>
          <cell r="K1291">
            <v>0</v>
          </cell>
          <cell r="L1291" t="str">
            <v/>
          </cell>
          <cell r="M1291" t="str">
            <v>S</v>
          </cell>
          <cell r="N1291" t="str">
            <v>SAM</v>
          </cell>
          <cell r="O1291" t="str">
            <v>43122</v>
          </cell>
        </row>
        <row r="1292">
          <cell r="B1292">
            <v>38569</v>
          </cell>
          <cell r="C1292" t="str">
            <v>.SE Blazing Warmth EDP Vial</v>
          </cell>
          <cell r="D1292">
            <v>0</v>
          </cell>
          <cell r="E1292">
            <v>0</v>
          </cell>
          <cell r="F1292">
            <v>35</v>
          </cell>
          <cell r="G1292">
            <v>35</v>
          </cell>
          <cell r="H1292">
            <v>35</v>
          </cell>
          <cell r="I1292">
            <v>35</v>
          </cell>
          <cell r="J1292" t="str">
            <v>NO</v>
          </cell>
          <cell r="K1292">
            <v>0</v>
          </cell>
          <cell r="L1292" t="str">
            <v/>
          </cell>
          <cell r="M1292" t="str">
            <v>S</v>
          </cell>
          <cell r="N1292" t="str">
            <v>SAM</v>
          </cell>
          <cell r="O1292" t="str">
            <v>38571</v>
          </cell>
        </row>
        <row r="1293">
          <cell r="B1293">
            <v>38579</v>
          </cell>
          <cell r="C1293" t="str">
            <v xml:space="preserve">Signature for him Parfum vial </v>
          </cell>
          <cell r="D1293">
            <v>0</v>
          </cell>
          <cell r="E1293">
            <v>0</v>
          </cell>
          <cell r="F1293">
            <v>35</v>
          </cell>
          <cell r="G1293">
            <v>35</v>
          </cell>
          <cell r="H1293">
            <v>35</v>
          </cell>
          <cell r="I1293">
            <v>35</v>
          </cell>
          <cell r="J1293" t="str">
            <v>NO</v>
          </cell>
          <cell r="K1293">
            <v>0</v>
          </cell>
          <cell r="L1293" t="str">
            <v/>
          </cell>
          <cell r="M1293" t="str">
            <v>S</v>
          </cell>
          <cell r="N1293" t="str">
            <v>SAM</v>
          </cell>
          <cell r="O1293" t="str">
            <v>38587</v>
          </cell>
        </row>
        <row r="1294">
          <cell r="B1294">
            <v>38598</v>
          </cell>
          <cell r="C1294" t="str">
            <v xml:space="preserve">Signature for her Parfum vial </v>
          </cell>
          <cell r="D1294">
            <v>0</v>
          </cell>
          <cell r="E1294">
            <v>0</v>
          </cell>
          <cell r="F1294">
            <v>35</v>
          </cell>
          <cell r="G1294">
            <v>35</v>
          </cell>
          <cell r="H1294">
            <v>35</v>
          </cell>
          <cell r="I1294">
            <v>35</v>
          </cell>
          <cell r="J1294" t="str">
            <v>NO</v>
          </cell>
          <cell r="K1294">
            <v>0</v>
          </cell>
          <cell r="L1294" t="str">
            <v/>
          </cell>
          <cell r="M1294" t="str">
            <v>S</v>
          </cell>
          <cell r="N1294" t="str">
            <v>SAM</v>
          </cell>
          <cell r="O1294" t="str">
            <v>38540</v>
          </cell>
        </row>
        <row r="1295">
          <cell r="B1295">
            <v>41163</v>
          </cell>
          <cell r="C1295" t="str">
            <v>All or Nothing Parfum Vial</v>
          </cell>
          <cell r="D1295">
            <v>0</v>
          </cell>
          <cell r="E1295">
            <v>0</v>
          </cell>
          <cell r="F1295">
            <v>35</v>
          </cell>
          <cell r="G1295">
            <v>35</v>
          </cell>
          <cell r="H1295">
            <v>35</v>
          </cell>
          <cell r="I1295">
            <v>35</v>
          </cell>
          <cell r="J1295" t="str">
            <v>NO</v>
          </cell>
          <cell r="K1295">
            <v>0</v>
          </cell>
          <cell r="L1295" t="str">
            <v/>
          </cell>
          <cell r="M1295" t="str">
            <v>S</v>
          </cell>
          <cell r="N1295" t="str">
            <v>SAM</v>
          </cell>
          <cell r="O1295" t="str">
            <v>35679</v>
          </cell>
        </row>
        <row r="1296">
          <cell r="B1296">
            <v>41324</v>
          </cell>
          <cell r="C1296" t="str">
            <v>Amber Elixir Mystery EDP Vial</v>
          </cell>
          <cell r="D1296">
            <v>0</v>
          </cell>
          <cell r="E1296">
            <v>0</v>
          </cell>
          <cell r="F1296">
            <v>35</v>
          </cell>
          <cell r="G1296">
            <v>35</v>
          </cell>
          <cell r="H1296">
            <v>35</v>
          </cell>
          <cell r="I1296">
            <v>35</v>
          </cell>
          <cell r="J1296" t="str">
            <v>NO</v>
          </cell>
          <cell r="K1296">
            <v>0</v>
          </cell>
          <cell r="L1296" t="str">
            <v/>
          </cell>
          <cell r="M1296" t="str">
            <v>S</v>
          </cell>
          <cell r="N1296" t="str">
            <v>SAM</v>
          </cell>
          <cell r="O1296" t="str">
            <v>35681</v>
          </cell>
        </row>
        <row r="1297">
          <cell r="B1297">
            <v>41771</v>
          </cell>
          <cell r="C1297" t="str">
            <v>Lucia Eau De Toilette Vial</v>
          </cell>
          <cell r="D1297">
            <v>0</v>
          </cell>
          <cell r="E1297">
            <v>0</v>
          </cell>
          <cell r="F1297">
            <v>35</v>
          </cell>
          <cell r="G1297">
            <v>35</v>
          </cell>
          <cell r="H1297">
            <v>35</v>
          </cell>
          <cell r="I1297">
            <v>35</v>
          </cell>
          <cell r="J1297" t="str">
            <v>NO</v>
          </cell>
          <cell r="K1297">
            <v>0</v>
          </cell>
          <cell r="L1297" t="str">
            <v/>
          </cell>
          <cell r="M1297" t="str">
            <v>S</v>
          </cell>
          <cell r="N1297" t="str">
            <v>SAM</v>
          </cell>
          <cell r="O1297" t="str">
            <v>42785</v>
          </cell>
        </row>
        <row r="1298">
          <cell r="B1298">
            <v>42379</v>
          </cell>
          <cell r="C1298" t="str">
            <v>Eclat Nuit EDP for him Vial</v>
          </cell>
          <cell r="D1298">
            <v>0</v>
          </cell>
          <cell r="E1298">
            <v>0</v>
          </cell>
          <cell r="F1298">
            <v>35</v>
          </cell>
          <cell r="G1298">
            <v>35</v>
          </cell>
          <cell r="H1298">
            <v>35</v>
          </cell>
          <cell r="I1298">
            <v>35</v>
          </cell>
          <cell r="J1298" t="str">
            <v>NO</v>
          </cell>
          <cell r="K1298">
            <v>0</v>
          </cell>
          <cell r="L1298" t="str">
            <v/>
          </cell>
          <cell r="M1298" t="str">
            <v>S</v>
          </cell>
          <cell r="N1298" t="str">
            <v>SAM</v>
          </cell>
          <cell r="O1298" t="str">
            <v>40790</v>
          </cell>
        </row>
        <row r="1299">
          <cell r="B1299">
            <v>42400</v>
          </cell>
          <cell r="C1299" t="str">
            <v>Greater Eau de Toilette for him Via</v>
          </cell>
          <cell r="D1299">
            <v>0</v>
          </cell>
          <cell r="E1299">
            <v>0</v>
          </cell>
          <cell r="F1299">
            <v>35</v>
          </cell>
          <cell r="G1299">
            <v>35</v>
          </cell>
          <cell r="H1299">
            <v>35</v>
          </cell>
          <cell r="I1299">
            <v>35</v>
          </cell>
          <cell r="J1299" t="str">
            <v>NO</v>
          </cell>
          <cell r="K1299">
            <v>0</v>
          </cell>
          <cell r="L1299" t="str">
            <v/>
          </cell>
          <cell r="M1299" t="str">
            <v>S</v>
          </cell>
          <cell r="N1299" t="str">
            <v>SAM</v>
          </cell>
          <cell r="O1299" t="str">
            <v>38552</v>
          </cell>
        </row>
        <row r="1300">
          <cell r="B1300">
            <v>42438</v>
          </cell>
          <cell r="C1300" t="str">
            <v>Eclat Nuit EDP for her Vial</v>
          </cell>
          <cell r="D1300">
            <v>0</v>
          </cell>
          <cell r="E1300">
            <v>0</v>
          </cell>
          <cell r="F1300">
            <v>35</v>
          </cell>
          <cell r="G1300">
            <v>35</v>
          </cell>
          <cell r="H1300">
            <v>35</v>
          </cell>
          <cell r="I1300">
            <v>35</v>
          </cell>
          <cell r="J1300" t="str">
            <v>NO</v>
          </cell>
          <cell r="K1300">
            <v>0</v>
          </cell>
          <cell r="L1300" t="str">
            <v/>
          </cell>
          <cell r="M1300" t="str">
            <v>S</v>
          </cell>
          <cell r="N1300" t="str">
            <v>SAM</v>
          </cell>
          <cell r="O1300" t="str">
            <v>40788</v>
          </cell>
        </row>
        <row r="1301">
          <cell r="B1301">
            <v>42934</v>
          </cell>
          <cell r="C1301" t="str">
            <v>Signature Generation for her vial</v>
          </cell>
          <cell r="D1301">
            <v>0</v>
          </cell>
          <cell r="E1301">
            <v>0</v>
          </cell>
          <cell r="F1301">
            <v>35</v>
          </cell>
          <cell r="G1301">
            <v>35</v>
          </cell>
          <cell r="H1301">
            <v>35</v>
          </cell>
          <cell r="I1301">
            <v>35</v>
          </cell>
          <cell r="J1301" t="str">
            <v>NO</v>
          </cell>
          <cell r="K1301">
            <v>0</v>
          </cell>
          <cell r="L1301" t="str">
            <v/>
          </cell>
          <cell r="M1301" t="str">
            <v>S</v>
          </cell>
          <cell r="N1301" t="str">
            <v>SAM</v>
          </cell>
          <cell r="O1301" t="str">
            <v>40793</v>
          </cell>
        </row>
        <row r="1302">
          <cell r="B1302">
            <v>42994</v>
          </cell>
          <cell r="C1302" t="str">
            <v>Possess Absolute EDP Vial</v>
          </cell>
          <cell r="D1302">
            <v>0</v>
          </cell>
          <cell r="E1302">
            <v>0</v>
          </cell>
          <cell r="F1302">
            <v>35</v>
          </cell>
          <cell r="G1302">
            <v>35</v>
          </cell>
          <cell r="H1302">
            <v>35</v>
          </cell>
          <cell r="I1302">
            <v>35</v>
          </cell>
          <cell r="J1302" t="str">
            <v>NO</v>
          </cell>
          <cell r="K1302">
            <v>0</v>
          </cell>
          <cell r="L1302" t="str">
            <v/>
          </cell>
          <cell r="M1302" t="str">
            <v>S</v>
          </cell>
          <cell r="N1302" t="str">
            <v>SAM</v>
          </cell>
          <cell r="O1302" t="str">
            <v>42968</v>
          </cell>
        </row>
        <row r="1303">
          <cell r="B1303">
            <v>43268</v>
          </cell>
          <cell r="C1303" t="str">
            <v>Signature Generation for him vial</v>
          </cell>
          <cell r="D1303">
            <v>0</v>
          </cell>
          <cell r="E1303">
            <v>0</v>
          </cell>
          <cell r="F1303">
            <v>35</v>
          </cell>
          <cell r="G1303">
            <v>35</v>
          </cell>
          <cell r="H1303">
            <v>35</v>
          </cell>
          <cell r="I1303">
            <v>35</v>
          </cell>
          <cell r="J1303" t="str">
            <v>NO</v>
          </cell>
          <cell r="K1303">
            <v>0</v>
          </cell>
          <cell r="L1303" t="str">
            <v/>
          </cell>
          <cell r="M1303" t="str">
            <v>S</v>
          </cell>
          <cell r="N1303" t="str">
            <v>SAM</v>
          </cell>
          <cell r="O1303" t="str">
            <v>40797</v>
          </cell>
        </row>
        <row r="1304">
          <cell r="B1304">
            <v>43936</v>
          </cell>
          <cell r="C1304" t="str">
            <v>Giordani Gold Good as Gold EDP-VIAL</v>
          </cell>
          <cell r="D1304">
            <v>0</v>
          </cell>
          <cell r="E1304">
            <v>0</v>
          </cell>
          <cell r="F1304">
            <v>35</v>
          </cell>
          <cell r="G1304">
            <v>35</v>
          </cell>
          <cell r="H1304">
            <v>35</v>
          </cell>
          <cell r="I1304">
            <v>35</v>
          </cell>
          <cell r="J1304" t="str">
            <v>NO</v>
          </cell>
          <cell r="K1304">
            <v>0</v>
          </cell>
          <cell r="L1304" t="str">
            <v/>
          </cell>
          <cell r="M1304" t="str">
            <v>S</v>
          </cell>
          <cell r="N1304" t="str">
            <v>SAM</v>
          </cell>
          <cell r="O1304" t="str">
            <v>38533</v>
          </cell>
        </row>
        <row r="1305">
          <cell r="B1305">
            <v>43937</v>
          </cell>
          <cell r="C1305" t="str">
            <v>Giordani Gold Man EDP - VIAL</v>
          </cell>
          <cell r="D1305">
            <v>0</v>
          </cell>
          <cell r="E1305">
            <v>0</v>
          </cell>
          <cell r="F1305">
            <v>35</v>
          </cell>
          <cell r="G1305">
            <v>35</v>
          </cell>
          <cell r="H1305">
            <v>35</v>
          </cell>
          <cell r="I1305">
            <v>35</v>
          </cell>
          <cell r="J1305" t="str">
            <v>NO</v>
          </cell>
          <cell r="K1305">
            <v>0</v>
          </cell>
          <cell r="L1305" t="str">
            <v/>
          </cell>
          <cell r="M1305" t="str">
            <v>S</v>
          </cell>
          <cell r="N1305" t="str">
            <v>SAM</v>
          </cell>
          <cell r="O1305" t="str">
            <v>38538</v>
          </cell>
        </row>
        <row r="1306">
          <cell r="B1306">
            <v>43938</v>
          </cell>
          <cell r="C1306" t="str">
            <v>Giordani Gold Woman Eau de Parfum -</v>
          </cell>
          <cell r="D1306">
            <v>0</v>
          </cell>
          <cell r="E1306">
            <v>0</v>
          </cell>
          <cell r="F1306">
            <v>35</v>
          </cell>
          <cell r="G1306">
            <v>35</v>
          </cell>
          <cell r="H1306">
            <v>35</v>
          </cell>
          <cell r="I1306">
            <v>35</v>
          </cell>
          <cell r="J1306" t="str">
            <v>NO</v>
          </cell>
          <cell r="K1306">
            <v>0</v>
          </cell>
          <cell r="L1306" t="str">
            <v/>
          </cell>
          <cell r="M1306" t="str">
            <v>S</v>
          </cell>
          <cell r="N1306" t="str">
            <v>SAM</v>
          </cell>
          <cell r="O1306" t="str">
            <v>38531</v>
          </cell>
        </row>
        <row r="1307">
          <cell r="B1307">
            <v>43968</v>
          </cell>
          <cell r="C1307" t="str">
            <v>Greater Eau de Toilette for her Via</v>
          </cell>
          <cell r="D1307">
            <v>0</v>
          </cell>
          <cell r="E1307">
            <v>0</v>
          </cell>
          <cell r="F1307">
            <v>35</v>
          </cell>
          <cell r="G1307">
            <v>35</v>
          </cell>
          <cell r="H1307">
            <v>35</v>
          </cell>
          <cell r="I1307">
            <v>35</v>
          </cell>
          <cell r="J1307" t="str">
            <v>NO</v>
          </cell>
          <cell r="K1307">
            <v>0</v>
          </cell>
          <cell r="L1307" t="str">
            <v/>
          </cell>
          <cell r="M1307" t="str">
            <v>S</v>
          </cell>
          <cell r="N1307" t="str">
            <v>SAM</v>
          </cell>
          <cell r="O1307" t="str">
            <v>43118</v>
          </cell>
        </row>
        <row r="1308">
          <cell r="B1308">
            <v>44289</v>
          </cell>
          <cell r="C1308" t="str">
            <v>OH! SWEET DULCE DE LECHE EDT Vial</v>
          </cell>
          <cell r="D1308">
            <v>0</v>
          </cell>
          <cell r="E1308">
            <v>0</v>
          </cell>
          <cell r="F1308">
            <v>35</v>
          </cell>
          <cell r="G1308">
            <v>35</v>
          </cell>
          <cell r="H1308">
            <v>35</v>
          </cell>
          <cell r="I1308">
            <v>35</v>
          </cell>
          <cell r="J1308" t="str">
            <v>NO</v>
          </cell>
          <cell r="K1308">
            <v>0</v>
          </cell>
          <cell r="L1308" t="str">
            <v/>
          </cell>
          <cell r="M1308" t="str">
            <v>S</v>
          </cell>
          <cell r="N1308" t="str">
            <v>SAM</v>
          </cell>
          <cell r="O1308" t="str">
            <v>44288</v>
          </cell>
        </row>
        <row r="1309">
          <cell r="B1309">
            <v>44306</v>
          </cell>
          <cell r="C1309" t="str">
            <v>Love Potion Sensual Ruby EDP Vial</v>
          </cell>
          <cell r="D1309">
            <v>0</v>
          </cell>
          <cell r="E1309">
            <v>0</v>
          </cell>
          <cell r="F1309">
            <v>35</v>
          </cell>
          <cell r="G1309">
            <v>35</v>
          </cell>
          <cell r="H1309">
            <v>35</v>
          </cell>
          <cell r="I1309">
            <v>35</v>
          </cell>
          <cell r="J1309" t="str">
            <v>NO</v>
          </cell>
          <cell r="K1309">
            <v>0</v>
          </cell>
          <cell r="L1309" t="str">
            <v/>
          </cell>
          <cell r="M1309" t="str">
            <v>S</v>
          </cell>
          <cell r="N1309" t="str">
            <v>SAM</v>
          </cell>
          <cell r="O1309" t="str">
            <v>44300</v>
          </cell>
        </row>
        <row r="1310">
          <cell r="B1310">
            <v>44314</v>
          </cell>
          <cell r="C1310" t="str">
            <v>Whispers of Me EDP Vial</v>
          </cell>
          <cell r="D1310">
            <v>0</v>
          </cell>
          <cell r="E1310">
            <v>0</v>
          </cell>
          <cell r="F1310">
            <v>35</v>
          </cell>
          <cell r="G1310">
            <v>35</v>
          </cell>
          <cell r="H1310">
            <v>35</v>
          </cell>
          <cell r="I1310">
            <v>35</v>
          </cell>
          <cell r="J1310" t="str">
            <v>NO</v>
          </cell>
          <cell r="K1310">
            <v>0</v>
          </cell>
          <cell r="L1310" t="str">
            <v/>
          </cell>
          <cell r="M1310" t="str">
            <v>S</v>
          </cell>
          <cell r="N1310" t="str">
            <v>SAM</v>
          </cell>
          <cell r="O1310" t="str">
            <v>40809</v>
          </cell>
        </row>
        <row r="1311">
          <cell r="B1311">
            <v>44318</v>
          </cell>
          <cell r="C1311" t="str">
            <v>So Fever Ecstatic Her EDP Vial</v>
          </cell>
          <cell r="D1311">
            <v>0</v>
          </cell>
          <cell r="E1311">
            <v>0</v>
          </cell>
          <cell r="F1311">
            <v>35</v>
          </cell>
          <cell r="G1311">
            <v>35</v>
          </cell>
          <cell r="H1311">
            <v>35</v>
          </cell>
          <cell r="I1311">
            <v>35</v>
          </cell>
          <cell r="J1311" t="str">
            <v>NO</v>
          </cell>
          <cell r="K1311">
            <v>0</v>
          </cell>
          <cell r="L1311" t="str">
            <v/>
          </cell>
          <cell r="M1311" t="str">
            <v>S</v>
          </cell>
          <cell r="N1311" t="str">
            <v>SAM</v>
          </cell>
          <cell r="O1311" t="str">
            <v>44317</v>
          </cell>
        </row>
        <row r="1312">
          <cell r="B1312">
            <v>44323</v>
          </cell>
          <cell r="C1312" t="str">
            <v>So Fever Ecstatic Him EDT Vial</v>
          </cell>
          <cell r="D1312">
            <v>0</v>
          </cell>
          <cell r="E1312">
            <v>0</v>
          </cell>
          <cell r="F1312">
            <v>35</v>
          </cell>
          <cell r="G1312">
            <v>35</v>
          </cell>
          <cell r="H1312">
            <v>35</v>
          </cell>
          <cell r="I1312">
            <v>35</v>
          </cell>
          <cell r="J1312" t="str">
            <v>NO</v>
          </cell>
          <cell r="K1312">
            <v>0</v>
          </cell>
          <cell r="L1312" t="str">
            <v/>
          </cell>
          <cell r="M1312" t="str">
            <v>S</v>
          </cell>
          <cell r="N1312" t="str">
            <v>SAM</v>
          </cell>
          <cell r="O1312" t="str">
            <v>44319</v>
          </cell>
        </row>
        <row r="1313">
          <cell r="B1313">
            <v>45366</v>
          </cell>
          <cell r="C1313" t="str">
            <v>Possess Absolute Man EDP Vial</v>
          </cell>
          <cell r="D1313">
            <v>0</v>
          </cell>
          <cell r="E1313">
            <v>0</v>
          </cell>
          <cell r="F1313">
            <v>35</v>
          </cell>
          <cell r="G1313">
            <v>35</v>
          </cell>
          <cell r="H1313">
            <v>35</v>
          </cell>
          <cell r="I1313">
            <v>35</v>
          </cell>
          <cell r="J1313" t="str">
            <v>NO</v>
          </cell>
          <cell r="K1313">
            <v>0</v>
          </cell>
          <cell r="L1313" t="str">
            <v/>
          </cell>
          <cell r="M1313" t="str">
            <v>S</v>
          </cell>
          <cell r="N1313" t="str">
            <v>SAM</v>
          </cell>
          <cell r="O1313" t="str">
            <v>45357</v>
          </cell>
        </row>
        <row r="1314">
          <cell r="B1314">
            <v>45380</v>
          </cell>
          <cell r="C1314" t="str">
            <v>Debonair Gentlewoods EDT Vial</v>
          </cell>
          <cell r="D1314">
            <v>0</v>
          </cell>
          <cell r="E1314">
            <v>0</v>
          </cell>
          <cell r="F1314">
            <v>35</v>
          </cell>
          <cell r="G1314">
            <v>35</v>
          </cell>
          <cell r="H1314">
            <v>35</v>
          </cell>
          <cell r="I1314">
            <v>35</v>
          </cell>
          <cell r="J1314" t="str">
            <v>NO</v>
          </cell>
          <cell r="K1314">
            <v>0</v>
          </cell>
          <cell r="L1314" t="str">
            <v/>
          </cell>
          <cell r="M1314" t="str">
            <v>S</v>
          </cell>
          <cell r="N1314" t="str">
            <v>SAM</v>
          </cell>
          <cell r="O1314" t="str">
            <v>42462</v>
          </cell>
        </row>
        <row r="1315">
          <cell r="B1315">
            <v>45395</v>
          </cell>
          <cell r="C1315" t="str">
            <v>Divine Eau de Parfum VIAL</v>
          </cell>
          <cell r="D1315">
            <v>0</v>
          </cell>
          <cell r="E1315">
            <v>0</v>
          </cell>
          <cell r="F1315">
            <v>35</v>
          </cell>
          <cell r="G1315">
            <v>35</v>
          </cell>
          <cell r="H1315">
            <v>35</v>
          </cell>
          <cell r="I1315">
            <v>35</v>
          </cell>
          <cell r="J1315" t="str">
            <v>NO</v>
          </cell>
          <cell r="K1315">
            <v>0</v>
          </cell>
          <cell r="L1315" t="str">
            <v/>
          </cell>
          <cell r="M1315" t="str">
            <v>S</v>
          </cell>
          <cell r="N1315" t="str">
            <v>SAM</v>
          </cell>
          <cell r="O1315" t="str">
            <v>38497</v>
          </cell>
        </row>
        <row r="1316">
          <cell r="B1316">
            <v>45397</v>
          </cell>
          <cell r="C1316" t="str">
            <v>Divine Exclusive Eau de Parfum VIAL</v>
          </cell>
          <cell r="D1316">
            <v>0</v>
          </cell>
          <cell r="E1316">
            <v>0</v>
          </cell>
          <cell r="F1316">
            <v>35</v>
          </cell>
          <cell r="G1316">
            <v>35</v>
          </cell>
          <cell r="H1316">
            <v>35</v>
          </cell>
          <cell r="I1316">
            <v>35</v>
          </cell>
          <cell r="J1316" t="str">
            <v>NO</v>
          </cell>
          <cell r="K1316">
            <v>0</v>
          </cell>
          <cell r="L1316" t="str">
            <v/>
          </cell>
          <cell r="M1316" t="str">
            <v>S</v>
          </cell>
          <cell r="N1316" t="str">
            <v>SAM</v>
          </cell>
          <cell r="O1316" t="str">
            <v>38498</v>
          </cell>
        </row>
        <row r="1317">
          <cell r="B1317">
            <v>45880</v>
          </cell>
          <cell r="C1317" t="str">
            <v>Venture Power Eau de Toilette Vial</v>
          </cell>
          <cell r="D1317">
            <v>0</v>
          </cell>
          <cell r="E1317">
            <v>0</v>
          </cell>
          <cell r="F1317">
            <v>35</v>
          </cell>
          <cell r="G1317">
            <v>35</v>
          </cell>
          <cell r="H1317">
            <v>35</v>
          </cell>
          <cell r="I1317">
            <v>35</v>
          </cell>
          <cell r="J1317" t="str">
            <v>NO</v>
          </cell>
          <cell r="K1317">
            <v>0</v>
          </cell>
          <cell r="L1317" t="str">
            <v/>
          </cell>
          <cell r="M1317" t="str">
            <v>S</v>
          </cell>
          <cell r="N1317" t="str">
            <v>SAM</v>
          </cell>
          <cell r="O1317" t="str">
            <v>44308</v>
          </cell>
        </row>
        <row r="1318">
          <cell r="B1318">
            <v>45881</v>
          </cell>
          <cell r="C1318" t="str">
            <v>Venture Eau de Toilette Vial</v>
          </cell>
          <cell r="D1318">
            <v>0</v>
          </cell>
          <cell r="E1318">
            <v>0</v>
          </cell>
          <cell r="F1318">
            <v>35</v>
          </cell>
          <cell r="G1318">
            <v>35</v>
          </cell>
          <cell r="H1318">
            <v>35</v>
          </cell>
          <cell r="I1318">
            <v>35</v>
          </cell>
          <cell r="J1318" t="str">
            <v>NO</v>
          </cell>
          <cell r="K1318">
            <v>0</v>
          </cell>
          <cell r="L1318" t="str">
            <v/>
          </cell>
          <cell r="M1318" t="str">
            <v>S</v>
          </cell>
          <cell r="N1318" t="str">
            <v>SAM</v>
          </cell>
          <cell r="O1318" t="str">
            <v>45382</v>
          </cell>
        </row>
        <row r="1319">
          <cell r="B1319">
            <v>45882</v>
          </cell>
          <cell r="C1319" t="str">
            <v>Venture Unlimited EDT Vial</v>
          </cell>
          <cell r="D1319">
            <v>0</v>
          </cell>
          <cell r="E1319">
            <v>0</v>
          </cell>
          <cell r="F1319">
            <v>35</v>
          </cell>
          <cell r="G1319">
            <v>35</v>
          </cell>
          <cell r="H1319">
            <v>35</v>
          </cell>
          <cell r="I1319">
            <v>35</v>
          </cell>
          <cell r="J1319" t="str">
            <v>NO</v>
          </cell>
          <cell r="K1319">
            <v>0</v>
          </cell>
          <cell r="L1319" t="str">
            <v/>
          </cell>
          <cell r="M1319" t="str">
            <v>S</v>
          </cell>
          <cell r="N1319" t="str">
            <v>SAM</v>
          </cell>
          <cell r="O1319" t="str">
            <v>44307</v>
          </cell>
        </row>
        <row r="1320">
          <cell r="B1320">
            <v>45891</v>
          </cell>
          <cell r="C1320" t="str">
            <v xml:space="preserve">Excite for him EDT Vial </v>
          </cell>
          <cell r="D1320">
            <v>0</v>
          </cell>
          <cell r="E1320">
            <v>0</v>
          </cell>
          <cell r="F1320">
            <v>35</v>
          </cell>
          <cell r="G1320">
            <v>35</v>
          </cell>
          <cell r="H1320">
            <v>35</v>
          </cell>
          <cell r="I1320">
            <v>35</v>
          </cell>
          <cell r="J1320" t="str">
            <v>NO</v>
          </cell>
          <cell r="K1320">
            <v>0</v>
          </cell>
          <cell r="L1320" t="str">
            <v/>
          </cell>
          <cell r="M1320" t="str">
            <v>S</v>
          </cell>
          <cell r="N1320" t="str">
            <v>SAM</v>
          </cell>
          <cell r="O1320" t="str">
            <v>45890</v>
          </cell>
        </row>
        <row r="1321">
          <cell r="B1321">
            <v>46054</v>
          </cell>
          <cell r="C1321" t="str">
            <v>Volare Tender EDP VIAL</v>
          </cell>
          <cell r="D1321">
            <v>0</v>
          </cell>
          <cell r="E1321">
            <v>0</v>
          </cell>
          <cell r="F1321">
            <v>35</v>
          </cell>
          <cell r="G1321">
            <v>35</v>
          </cell>
          <cell r="H1321">
            <v>35</v>
          </cell>
          <cell r="I1321">
            <v>35</v>
          </cell>
          <cell r="J1321" t="str">
            <v>NO</v>
          </cell>
          <cell r="K1321">
            <v>0</v>
          </cell>
          <cell r="L1321" t="str">
            <v/>
          </cell>
          <cell r="M1321" t="str">
            <v>S</v>
          </cell>
          <cell r="N1321" t="str">
            <v>SAM</v>
          </cell>
          <cell r="O1321" t="str">
            <v>46052</v>
          </cell>
        </row>
        <row r="1322">
          <cell r="B1322">
            <v>46061</v>
          </cell>
          <cell r="C1322" t="str">
            <v>All or Nothing Amplified Parfum Via</v>
          </cell>
          <cell r="D1322">
            <v>0</v>
          </cell>
          <cell r="E1322">
            <v>0</v>
          </cell>
          <cell r="F1322">
            <v>35</v>
          </cell>
          <cell r="G1322">
            <v>35</v>
          </cell>
          <cell r="H1322">
            <v>35</v>
          </cell>
          <cell r="I1322">
            <v>35</v>
          </cell>
          <cell r="J1322" t="str">
            <v>NO</v>
          </cell>
          <cell r="K1322">
            <v>0</v>
          </cell>
          <cell r="L1322" t="str">
            <v/>
          </cell>
          <cell r="M1322" t="str">
            <v>S</v>
          </cell>
          <cell r="N1322" t="str">
            <v>SAM</v>
          </cell>
          <cell r="O1322" t="str">
            <v>46060</v>
          </cell>
        </row>
        <row r="1323">
          <cell r="B1323">
            <v>46392</v>
          </cell>
          <cell r="C1323" t="str">
            <v>ECLAT Amour Intensité EDT Vial</v>
          </cell>
          <cell r="D1323">
            <v>0</v>
          </cell>
          <cell r="E1323">
            <v>0</v>
          </cell>
          <cell r="F1323">
            <v>35</v>
          </cell>
          <cell r="G1323">
            <v>35</v>
          </cell>
          <cell r="H1323">
            <v>35</v>
          </cell>
          <cell r="I1323">
            <v>35</v>
          </cell>
          <cell r="J1323" t="str">
            <v>NO</v>
          </cell>
          <cell r="K1323">
            <v>0</v>
          </cell>
          <cell r="L1323" t="str">
            <v/>
          </cell>
          <cell r="M1323" t="str">
            <v>S</v>
          </cell>
          <cell r="N1323" t="str">
            <v>SAM</v>
          </cell>
          <cell r="O1323" t="str">
            <v>46062</v>
          </cell>
        </row>
        <row r="1324">
          <cell r="B1324">
            <v>46393</v>
          </cell>
          <cell r="C1324" t="str">
            <v>ECLAT Toujours Intensité EDT Vial</v>
          </cell>
          <cell r="D1324">
            <v>0</v>
          </cell>
          <cell r="E1324">
            <v>0</v>
          </cell>
          <cell r="F1324">
            <v>35</v>
          </cell>
          <cell r="G1324">
            <v>35</v>
          </cell>
          <cell r="H1324">
            <v>35</v>
          </cell>
          <cell r="I1324">
            <v>35</v>
          </cell>
          <cell r="J1324" t="str">
            <v>NO</v>
          </cell>
          <cell r="K1324">
            <v>0</v>
          </cell>
          <cell r="L1324" t="str">
            <v/>
          </cell>
          <cell r="M1324" t="str">
            <v>S</v>
          </cell>
          <cell r="N1324" t="str">
            <v>SAM</v>
          </cell>
          <cell r="O1324" t="str">
            <v>46063</v>
          </cell>
        </row>
        <row r="1325">
          <cell r="B1325">
            <v>46606</v>
          </cell>
          <cell r="C1325" t="str">
            <v>NW Infinite Blue for Him Vial</v>
          </cell>
          <cell r="D1325">
            <v>0</v>
          </cell>
          <cell r="E1325">
            <v>0</v>
          </cell>
          <cell r="F1325">
            <v>35</v>
          </cell>
          <cell r="G1325">
            <v>35</v>
          </cell>
          <cell r="H1325">
            <v>35</v>
          </cell>
          <cell r="I1325">
            <v>35</v>
          </cell>
          <cell r="J1325" t="str">
            <v>NO</v>
          </cell>
          <cell r="K1325">
            <v>0</v>
          </cell>
          <cell r="L1325" t="str">
            <v/>
          </cell>
          <cell r="M1325" t="str">
            <v>S</v>
          </cell>
          <cell r="N1325" t="str">
            <v>SAM</v>
          </cell>
          <cell r="O1325" t="str">
            <v>46064</v>
          </cell>
        </row>
        <row r="1326">
          <cell r="B1326">
            <v>46665</v>
          </cell>
          <cell r="C1326" t="str">
            <v xml:space="preserve">NW Infinite Blue for Her Vial </v>
          </cell>
          <cell r="D1326">
            <v>0</v>
          </cell>
          <cell r="E1326">
            <v>0</v>
          </cell>
          <cell r="F1326">
            <v>35</v>
          </cell>
          <cell r="G1326">
            <v>35</v>
          </cell>
          <cell r="H1326">
            <v>35</v>
          </cell>
          <cell r="I1326">
            <v>35</v>
          </cell>
          <cell r="J1326" t="str">
            <v>NO</v>
          </cell>
          <cell r="K1326">
            <v>0</v>
          </cell>
          <cell r="L1326" t="str">
            <v/>
          </cell>
          <cell r="M1326" t="str">
            <v>S</v>
          </cell>
          <cell r="N1326" t="str">
            <v>SAM</v>
          </cell>
          <cell r="O1326" t="str">
            <v>46648</v>
          </cell>
        </row>
        <row r="1327">
          <cell r="B1327">
            <v>46735</v>
          </cell>
          <cell r="C1327" t="str">
            <v>Miss Giordani Floral EDP Vial</v>
          </cell>
          <cell r="D1327">
            <v>0</v>
          </cell>
          <cell r="E1327">
            <v>0</v>
          </cell>
          <cell r="F1327">
            <v>35</v>
          </cell>
          <cell r="G1327">
            <v>35</v>
          </cell>
          <cell r="H1327">
            <v>35</v>
          </cell>
          <cell r="I1327">
            <v>35</v>
          </cell>
          <cell r="J1327" t="str">
            <v>NO</v>
          </cell>
          <cell r="K1327">
            <v>0</v>
          </cell>
          <cell r="L1327" t="str">
            <v/>
          </cell>
          <cell r="M1327" t="str">
            <v>S</v>
          </cell>
          <cell r="N1327" t="str">
            <v>SAM</v>
          </cell>
          <cell r="O1327" t="str">
            <v>46718</v>
          </cell>
        </row>
        <row r="1328">
          <cell r="B1328">
            <v>46573</v>
          </cell>
          <cell r="C1328" t="str">
            <v>DUOLOGI Fall Resist shampoo sachet</v>
          </cell>
          <cell r="D1328">
            <v>0</v>
          </cell>
          <cell r="E1328">
            <v>0</v>
          </cell>
          <cell r="F1328">
            <v>35</v>
          </cell>
          <cell r="G1328">
            <v>35</v>
          </cell>
          <cell r="H1328">
            <v>35</v>
          </cell>
          <cell r="I1328">
            <v>35</v>
          </cell>
          <cell r="J1328" t="str">
            <v>NO</v>
          </cell>
          <cell r="K1328">
            <v>0</v>
          </cell>
          <cell r="L1328" t="str">
            <v/>
          </cell>
          <cell r="M1328" t="str">
            <v>S</v>
          </cell>
          <cell r="N1328" t="str">
            <v>SAM</v>
          </cell>
          <cell r="O1328" t="str">
            <v>44955</v>
          </cell>
        </row>
        <row r="1329">
          <cell r="B1329">
            <v>46574</v>
          </cell>
          <cell r="C1329" t="str">
            <v>DUOLOGI Anti Flake shampoo sachet</v>
          </cell>
          <cell r="D1329">
            <v>0</v>
          </cell>
          <cell r="E1329">
            <v>0</v>
          </cell>
          <cell r="F1329">
            <v>35</v>
          </cell>
          <cell r="G1329">
            <v>35</v>
          </cell>
          <cell r="H1329">
            <v>35</v>
          </cell>
          <cell r="I1329">
            <v>35</v>
          </cell>
          <cell r="J1329" t="str">
            <v>NO</v>
          </cell>
          <cell r="K1329">
            <v>0</v>
          </cell>
          <cell r="L1329" t="str">
            <v/>
          </cell>
          <cell r="M1329" t="str">
            <v>S</v>
          </cell>
          <cell r="N1329" t="str">
            <v>SAM</v>
          </cell>
          <cell r="O1329" t="str">
            <v>44951</v>
          </cell>
        </row>
        <row r="1330">
          <cell r="B1330">
            <v>43889</v>
          </cell>
          <cell r="C1330" t="str">
            <v xml:space="preserve">Novage+ Day Cream Light Sachet </v>
          </cell>
          <cell r="D1330">
            <v>0</v>
          </cell>
          <cell r="E1330">
            <v>0</v>
          </cell>
          <cell r="F1330">
            <v>35</v>
          </cell>
          <cell r="G1330">
            <v>35</v>
          </cell>
          <cell r="H1330">
            <v>35</v>
          </cell>
          <cell r="I1330">
            <v>35</v>
          </cell>
          <cell r="J1330" t="str">
            <v>NO</v>
          </cell>
          <cell r="K1330">
            <v>0</v>
          </cell>
          <cell r="L1330" t="str">
            <v/>
          </cell>
          <cell r="M1330" t="str">
            <v>S</v>
          </cell>
          <cell r="N1330" t="str">
            <v>SAM</v>
          </cell>
          <cell r="O1330" t="str">
            <v>41043</v>
          </cell>
        </row>
        <row r="1331">
          <cell r="B1331">
            <v>43891</v>
          </cell>
          <cell r="C1331" t="str">
            <v xml:space="preserve">Novage+ Day Cream Rich Sachet </v>
          </cell>
          <cell r="D1331">
            <v>0</v>
          </cell>
          <cell r="E1331">
            <v>0</v>
          </cell>
          <cell r="F1331">
            <v>35</v>
          </cell>
          <cell r="G1331">
            <v>35</v>
          </cell>
          <cell r="H1331">
            <v>35</v>
          </cell>
          <cell r="I1331">
            <v>35</v>
          </cell>
          <cell r="J1331" t="str">
            <v>NO</v>
          </cell>
          <cell r="K1331">
            <v>0</v>
          </cell>
          <cell r="L1331" t="str">
            <v/>
          </cell>
          <cell r="M1331" t="str">
            <v>S</v>
          </cell>
          <cell r="N1331" t="str">
            <v>SAM</v>
          </cell>
          <cell r="O1331" t="str">
            <v>41047</v>
          </cell>
        </row>
        <row r="1332">
          <cell r="B1332">
            <v>45695</v>
          </cell>
          <cell r="C1332" t="str">
            <v>Waunt Dewy Gel-cream SACHET</v>
          </cell>
          <cell r="D1332">
            <v>0</v>
          </cell>
          <cell r="E1332">
            <v>0</v>
          </cell>
          <cell r="F1332">
            <v>35</v>
          </cell>
          <cell r="G1332">
            <v>35</v>
          </cell>
          <cell r="H1332">
            <v>35</v>
          </cell>
          <cell r="I1332">
            <v>35</v>
          </cell>
          <cell r="J1332" t="str">
            <v>NO</v>
          </cell>
          <cell r="K1332">
            <v>0</v>
          </cell>
          <cell r="L1332" t="str">
            <v/>
          </cell>
          <cell r="M1332" t="str">
            <v>S</v>
          </cell>
          <cell r="N1332" t="str">
            <v>SAM</v>
          </cell>
          <cell r="O1332" t="str">
            <v>41364</v>
          </cell>
        </row>
        <row r="1333">
          <cell r="B1333">
            <v>45696</v>
          </cell>
          <cell r="C1333" t="str">
            <v>Waunt Whipped Day Cream SACHET</v>
          </cell>
          <cell r="D1333">
            <v>0</v>
          </cell>
          <cell r="E1333">
            <v>0</v>
          </cell>
          <cell r="F1333">
            <v>35</v>
          </cell>
          <cell r="G1333">
            <v>35</v>
          </cell>
          <cell r="H1333">
            <v>35</v>
          </cell>
          <cell r="I1333">
            <v>35</v>
          </cell>
          <cell r="J1333" t="str">
            <v>NO</v>
          </cell>
          <cell r="K1333">
            <v>0</v>
          </cell>
          <cell r="L1333" t="str">
            <v/>
          </cell>
          <cell r="M1333" t="str">
            <v>S</v>
          </cell>
          <cell r="N1333" t="str">
            <v>SAM</v>
          </cell>
          <cell r="O1333" t="str">
            <v>41365</v>
          </cell>
        </row>
        <row r="1334">
          <cell r="B1334">
            <v>45699</v>
          </cell>
          <cell r="C1334" t="str">
            <v>Waunt Skin Retoucher SACHET</v>
          </cell>
          <cell r="D1334">
            <v>0</v>
          </cell>
          <cell r="E1334">
            <v>0</v>
          </cell>
          <cell r="F1334">
            <v>35</v>
          </cell>
          <cell r="G1334">
            <v>35</v>
          </cell>
          <cell r="H1334">
            <v>35</v>
          </cell>
          <cell r="I1334">
            <v>35</v>
          </cell>
          <cell r="J1334" t="str">
            <v>NO</v>
          </cell>
          <cell r="K1334">
            <v>0</v>
          </cell>
          <cell r="L1334" t="str">
            <v/>
          </cell>
          <cell r="M1334" t="str">
            <v>S</v>
          </cell>
          <cell r="N1334" t="str">
            <v>SAM</v>
          </cell>
          <cell r="O1334" t="str">
            <v>40670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2 КАТАЛОГ`24 (1)"/>
      <sheetName val="02 КАТАЛОГ`24 (2)"/>
      <sheetName val="02 КАТАЛОГ`24 (3)"/>
      <sheetName val="СПЕЦПРЕДЛОЖЕНИЯ"/>
      <sheetName val="NOVAGE КАТАЛОГ"/>
      <sheetName val="ЮВЕЛИРНЫЙ МИНИ-КАТАЛОГ"/>
      <sheetName val="КАТАЛОГ WELLOSOPHY"/>
    </sheetNames>
    <sheetDataSet>
      <sheetData sheetId="0"/>
      <sheetData sheetId="1">
        <row r="1">
          <cell r="A1" t="str">
            <v>ПРОБНИК</v>
          </cell>
          <cell r="B1" t="str">
            <v>ПРОДУКТ</v>
          </cell>
          <cell r="C1" t="str">
            <v>ТЕСТЕРЫ</v>
          </cell>
          <cell r="D1" t="str">
            <v>ЦЕНА</v>
          </cell>
        </row>
        <row r="2">
          <cell r="A2">
            <v>11037</v>
          </cell>
          <cell r="B2">
            <v>42490</v>
          </cell>
          <cell r="C2" t="str">
            <v>МУЖСКАЯ ТУАЛЕТНАЯ ВОДА ASCENDANT</v>
          </cell>
          <cell r="D2">
            <v>35</v>
          </cell>
        </row>
        <row r="3">
          <cell r="A3">
            <v>11365</v>
          </cell>
          <cell r="B3">
            <v>42495</v>
          </cell>
          <cell r="C3" t="str">
            <v xml:space="preserve">ПАРФЮМЕРНАЯ ВОДА AMBER ELIXIR </v>
          </cell>
          <cell r="D3">
            <v>35</v>
          </cell>
        </row>
        <row r="4">
          <cell r="A4">
            <v>22443</v>
          </cell>
          <cell r="B4">
            <v>42751</v>
          </cell>
          <cell r="C4" t="str">
            <v>ПАРФЮМЕРНАЯ ВОДА LOVE POTION</v>
          </cell>
          <cell r="D4">
            <v>35</v>
          </cell>
        </row>
        <row r="5">
          <cell r="A5">
            <v>30044</v>
          </cell>
          <cell r="B5">
            <v>42514</v>
          </cell>
          <cell r="C5" t="str">
            <v>ПАРФЮМЕРНАЯ ВОДА VOLARE</v>
          </cell>
          <cell r="D5">
            <v>35</v>
          </cell>
        </row>
        <row r="6">
          <cell r="A6">
            <v>30129</v>
          </cell>
          <cell r="B6">
            <v>42507</v>
          </cell>
          <cell r="C6" t="str">
            <v>ТУАЛЕТНАЯ ВОДА ECLAT FEMME</v>
          </cell>
          <cell r="D6">
            <v>35</v>
          </cell>
        </row>
        <row r="7">
          <cell r="A7">
            <v>30321</v>
          </cell>
          <cell r="B7">
            <v>42864</v>
          </cell>
          <cell r="C7" t="str">
            <v xml:space="preserve">ТУАЛЕТНАЯ ВОДА ECLAT HOMME </v>
          </cell>
          <cell r="D7">
            <v>35</v>
          </cell>
        </row>
        <row r="8">
          <cell r="A8">
            <v>30400</v>
          </cell>
          <cell r="B8">
            <v>30399</v>
          </cell>
          <cell r="C8" t="str">
            <v xml:space="preserve">ПАРФЮМЕРНАЯ ВОДА MISS GIORDANI </v>
          </cell>
          <cell r="D8">
            <v>35</v>
          </cell>
        </row>
        <row r="9">
          <cell r="A9">
            <v>30557</v>
          </cell>
          <cell r="B9">
            <v>30468</v>
          </cell>
          <cell r="C9" t="str">
            <v xml:space="preserve">ТУАЛЕТНАЯ ВОДА BE THE LEGEND </v>
          </cell>
          <cell r="D9">
            <v>35</v>
          </cell>
        </row>
        <row r="10">
          <cell r="A10">
            <v>30885</v>
          </cell>
          <cell r="B10">
            <v>42519</v>
          </cell>
          <cell r="C10" t="str">
            <v xml:space="preserve">ПАРФЮМЕРНАЯ ВОДА POSSESS </v>
          </cell>
          <cell r="D10">
            <v>35</v>
          </cell>
        </row>
        <row r="11">
          <cell r="A11">
            <v>31002</v>
          </cell>
          <cell r="B11">
            <v>30058</v>
          </cell>
          <cell r="C11" t="str">
            <v>ТУАЛЕТНАЯ ВОДА MEN´S COLLECTION CITRUS TONIC</v>
          </cell>
          <cell r="D11">
            <v>35</v>
          </cell>
        </row>
        <row r="12">
          <cell r="A12">
            <v>31003</v>
          </cell>
          <cell r="B12">
            <v>42518</v>
          </cell>
          <cell r="C12" t="str">
            <v>ТУАЛЕТНАЯ ВОДА MEN´S COLLECTION DARK WOOD</v>
          </cell>
          <cell r="D12">
            <v>35</v>
          </cell>
        </row>
        <row r="13">
          <cell r="A13">
            <v>31292</v>
          </cell>
          <cell r="B13">
            <v>42499</v>
          </cell>
          <cell r="C13" t="str">
            <v>ТУАЛЕТНАЯ ВОДА ECLAT FEMME WEEKEND</v>
          </cell>
          <cell r="D13">
            <v>35</v>
          </cell>
        </row>
        <row r="14">
          <cell r="A14">
            <v>31494</v>
          </cell>
          <cell r="B14">
            <v>42815</v>
          </cell>
          <cell r="C14" t="str">
            <v xml:space="preserve">ПАРФЮМЕРНАЯ ВОДА LOVE POTION SECRETS </v>
          </cell>
          <cell r="D14">
            <v>35</v>
          </cell>
        </row>
        <row r="15">
          <cell r="A15">
            <v>31496</v>
          </cell>
          <cell r="B15">
            <v>42789</v>
          </cell>
          <cell r="C15" t="str">
            <v xml:space="preserve">ПАРФЮМЕРНАЯ ВОДА VOLARE FOREVER </v>
          </cell>
          <cell r="D15">
            <v>35</v>
          </cell>
        </row>
        <row r="16">
          <cell r="A16">
            <v>31817</v>
          </cell>
          <cell r="B16">
            <v>42503</v>
          </cell>
          <cell r="C16" t="str">
            <v xml:space="preserve">ПАРФЮМЕРНАЯ ВОДА GIORDANI GOLD ESSENZA </v>
          </cell>
          <cell r="D16">
            <v>35</v>
          </cell>
        </row>
        <row r="17">
          <cell r="A17">
            <v>31824</v>
          </cell>
          <cell r="B17">
            <v>31825</v>
          </cell>
          <cell r="C17" t="str">
            <v>МУЖСКАЯ ТУАЛЕТНАЯ ВОДА POSSESS</v>
          </cell>
          <cell r="D17">
            <v>35</v>
          </cell>
        </row>
        <row r="18">
          <cell r="A18">
            <v>32234</v>
          </cell>
          <cell r="B18">
            <v>42502</v>
          </cell>
          <cell r="C18" t="str">
            <v xml:space="preserve">ТУАЛЕТНАЯ ВОДА ELVIE </v>
          </cell>
          <cell r="D18">
            <v>35</v>
          </cell>
        </row>
        <row r="19">
          <cell r="A19">
            <v>32441</v>
          </cell>
          <cell r="B19">
            <v>32438</v>
          </cell>
          <cell r="C19" t="str">
            <v xml:space="preserve">ТУАЛЕТНАЯ ВОДА WOMEN'S COLLECTION INNOCENT WHITE LILAC </v>
          </cell>
          <cell r="D19">
            <v>35</v>
          </cell>
        </row>
        <row r="20">
          <cell r="A20">
            <v>32442</v>
          </cell>
          <cell r="B20">
            <v>42828</v>
          </cell>
          <cell r="C20" t="str">
            <v>ТУАЛЕТНАЯ ВОДА WOMEN'S COLLECTION DELICATE CHERRY BLOSSOM</v>
          </cell>
          <cell r="D20">
            <v>35</v>
          </cell>
        </row>
        <row r="21">
          <cell r="A21">
            <v>33045</v>
          </cell>
          <cell r="B21">
            <v>42865</v>
          </cell>
          <cell r="C21" t="str">
            <v xml:space="preserve">ПАРФЮМЕРНАЯ ВОДА AMBER ELIXIR CRYSTAL </v>
          </cell>
          <cell r="D21">
            <v>35</v>
          </cell>
        </row>
        <row r="22">
          <cell r="A22">
            <v>33649</v>
          </cell>
          <cell r="B22">
            <v>33650</v>
          </cell>
          <cell r="C22" t="str">
            <v xml:space="preserve">ПАРФЮМЕРНАЯ ВОДА POSSESS THE SECRET MAN </v>
          </cell>
          <cell r="D22">
            <v>35</v>
          </cell>
        </row>
        <row r="23">
          <cell r="A23">
            <v>33653</v>
          </cell>
          <cell r="B23">
            <v>33654</v>
          </cell>
          <cell r="C23" t="str">
            <v xml:space="preserve">ТУАЛЕТНАЯ ВОДА MISTER GIORDANI </v>
          </cell>
          <cell r="D23">
            <v>35</v>
          </cell>
        </row>
        <row r="24">
          <cell r="A24">
            <v>34145</v>
          </cell>
          <cell r="B24">
            <v>42520</v>
          </cell>
          <cell r="C24" t="str">
            <v>ТУАЛЕТНАЯ ВОДА LUCIA BRIGHT AURA</v>
          </cell>
          <cell r="D24">
            <v>35</v>
          </cell>
        </row>
        <row r="25">
          <cell r="A25">
            <v>34506</v>
          </cell>
          <cell r="B25">
            <v>42741</v>
          </cell>
          <cell r="C25" t="str">
            <v>ТУАЛЕТНАЯ ВОДА MAGNETISTA EDP VIAL</v>
          </cell>
          <cell r="D25">
            <v>35</v>
          </cell>
        </row>
        <row r="26">
          <cell r="A26">
            <v>34612</v>
          </cell>
          <cell r="B26">
            <v>33201</v>
          </cell>
          <cell r="C26" t="str">
            <v>УВЛАЖНЯЮЩИЙ ГЕЛЬ-КРЕМ ПРОТИВ СТАРЕНИЯ КОЖИ NOVAGE MEN</v>
          </cell>
          <cell r="D26">
            <v>35</v>
          </cell>
        </row>
        <row r="27">
          <cell r="A27">
            <v>34613</v>
          </cell>
          <cell r="B27">
            <v>33200</v>
          </cell>
          <cell r="C27" t="str">
            <v>УВЛАЖНЯЮЩАЯ ЭНЕРГОСЫВОРОТКА ДЛЯ ЛИЦА NOVAGE MEN</v>
          </cell>
          <cell r="D27">
            <v>35</v>
          </cell>
        </row>
        <row r="28">
          <cell r="A28">
            <v>35084</v>
          </cell>
          <cell r="B28">
            <v>33984</v>
          </cell>
          <cell r="C28" t="str">
            <v>ОЧИЩАЮЩИЙ ГЕЛЬ-ТОНИК ДЛЯ УМЫВАНИЯ NOVAGE</v>
          </cell>
          <cell r="D28">
            <v>35</v>
          </cell>
        </row>
        <row r="29">
          <cell r="A29">
            <v>35198</v>
          </cell>
          <cell r="B29">
            <v>32630</v>
          </cell>
          <cell r="C29" t="str">
            <v>ОМОЛАЖИВАЮЩАЯ СЫВОРОТКА ДЛЯ ЛИЦА И ШЕИ NOVAGE TIME RESTORE</v>
          </cell>
          <cell r="D29">
            <v>35</v>
          </cell>
        </row>
        <row r="30">
          <cell r="A30">
            <v>35200</v>
          </cell>
          <cell r="B30">
            <v>32629</v>
          </cell>
          <cell r="C30" t="str">
            <v>ОМОЛАЖИВАЮЩИЙ КРЕМ ДЛЯ КОНТУРА ГЛАЗ И ГУБ NOVAGE TIME RESTORE</v>
          </cell>
          <cell r="D30">
            <v>35</v>
          </cell>
        </row>
        <row r="31">
          <cell r="A31">
            <v>35231</v>
          </cell>
          <cell r="B31">
            <v>33198</v>
          </cell>
          <cell r="C31" t="str">
            <v>СРЕДСТВО ДЛЯ УМЫВАНИЯ И СКРАБ 2-В-1 NOVAGE MEN</v>
          </cell>
          <cell r="D31">
            <v>35</v>
          </cell>
        </row>
        <row r="32">
          <cell r="A32">
            <v>35232</v>
          </cell>
          <cell r="B32">
            <v>33199</v>
          </cell>
          <cell r="C32" t="str">
            <v>ТОНИЗИРУЮЩИЙ ГЕЛЬ ДЛЯ КОЖИ ВОКРУГ ГЛАЗ NOVAGE MEN</v>
          </cell>
          <cell r="D32">
            <v>35</v>
          </cell>
        </row>
        <row r="33">
          <cell r="A33">
            <v>35332</v>
          </cell>
          <cell r="B33">
            <v>32627</v>
          </cell>
          <cell r="C33" t="str">
            <v>ОМОЛАЖИВАЮЩИЙ ДНЕВНОЙ КРЕМ SPF 15 NOVAGE TIME RESTORE</v>
          </cell>
          <cell r="D33">
            <v>35</v>
          </cell>
        </row>
        <row r="34">
          <cell r="A34">
            <v>35333</v>
          </cell>
          <cell r="B34">
            <v>32628</v>
          </cell>
          <cell r="C34" t="str">
            <v>ОМОЛАЖИВАЮЩИЙ НОЧНОЙ КРЕМ NOVAGE TIME RESTORE</v>
          </cell>
          <cell r="D34">
            <v>35</v>
          </cell>
        </row>
        <row r="35">
          <cell r="A35">
            <v>35533</v>
          </cell>
          <cell r="B35">
            <v>35531</v>
          </cell>
          <cell r="C35" t="str">
            <v xml:space="preserve">ТУАЛЕТНАЯ ВОДА SO FEVER TOGETHER HIM </v>
          </cell>
          <cell r="D35">
            <v>35</v>
          </cell>
        </row>
        <row r="36">
          <cell r="A36">
            <v>35534</v>
          </cell>
          <cell r="B36">
            <v>42835</v>
          </cell>
          <cell r="C36" t="str">
            <v xml:space="preserve">ТУАЛЕТНАЯ ВОДА SO FEVER TOGETHER HER </v>
          </cell>
          <cell r="D36">
            <v>35</v>
          </cell>
        </row>
        <row r="37">
          <cell r="A37">
            <v>35578</v>
          </cell>
          <cell r="B37">
            <v>34522</v>
          </cell>
          <cell r="C37" t="str">
            <v>МУЖСКАЯ ПАРФЮМЕРНАЯ ВОДА ECLAT STYLE</v>
          </cell>
          <cell r="D37">
            <v>35</v>
          </cell>
        </row>
        <row r="38">
          <cell r="A38">
            <v>35650</v>
          </cell>
          <cell r="B38">
            <v>35649</v>
          </cell>
          <cell r="C38" t="str">
            <v xml:space="preserve">ТУАЛЕТНАЯ ВОДА ECLAT AMOUR </v>
          </cell>
          <cell r="D38">
            <v>35</v>
          </cell>
        </row>
        <row r="39">
          <cell r="A39">
            <v>35652</v>
          </cell>
          <cell r="B39">
            <v>35651</v>
          </cell>
          <cell r="C39" t="str">
            <v xml:space="preserve">ТУАЛЕТНАЯ ВОДА ECLAT TOUJOURS </v>
          </cell>
          <cell r="D39">
            <v>35</v>
          </cell>
        </row>
        <row r="40">
          <cell r="A40">
            <v>35654</v>
          </cell>
          <cell r="B40">
            <v>36653</v>
          </cell>
          <cell r="C40" t="str">
            <v>ПАРФЮМЕРНАЯ ВОДА INFINITA</v>
          </cell>
          <cell r="D40">
            <v>35</v>
          </cell>
        </row>
        <row r="41">
          <cell r="A41">
            <v>35656</v>
          </cell>
          <cell r="B41">
            <v>37766</v>
          </cell>
          <cell r="C41" t="str">
            <v xml:space="preserve">ТУАЛЕТНАЯ ВОДА JOYCE ROSE </v>
          </cell>
          <cell r="D41">
            <v>35</v>
          </cell>
        </row>
        <row r="42">
          <cell r="A42">
            <v>35658</v>
          </cell>
          <cell r="B42">
            <v>42508</v>
          </cell>
          <cell r="C42" t="str">
            <v xml:space="preserve">ТУАЛЕТНАЯ ВОДА JOYCE TURQUOISE </v>
          </cell>
          <cell r="D42">
            <v>35</v>
          </cell>
        </row>
        <row r="43">
          <cell r="A43">
            <v>35662</v>
          </cell>
          <cell r="B43">
            <v>35661</v>
          </cell>
          <cell r="C43" t="str">
            <v xml:space="preserve">ПАРФЮМЕРНАЯ ВОДА VOLARE MOMENTS </v>
          </cell>
          <cell r="D43">
            <v>35</v>
          </cell>
        </row>
        <row r="44">
          <cell r="A44">
            <v>35664</v>
          </cell>
          <cell r="B44">
            <v>42837</v>
          </cell>
          <cell r="C44" t="str">
            <v>ТУАЛЕТНАЯ ВОДА MISTER GIORDANI AQUA</v>
          </cell>
          <cell r="D44">
            <v>35</v>
          </cell>
        </row>
        <row r="45">
          <cell r="A45">
            <v>35666</v>
          </cell>
          <cell r="B45">
            <v>35665</v>
          </cell>
          <cell r="C45" t="str">
            <v>ТУАЛЕТНАЯ ВОДА GLACIER</v>
          </cell>
          <cell r="D45">
            <v>35</v>
          </cell>
        </row>
        <row r="46">
          <cell r="A46">
            <v>35668</v>
          </cell>
          <cell r="B46">
            <v>42816</v>
          </cell>
          <cell r="C46" t="str">
            <v xml:space="preserve">ТУАЛЕТНАЯ ВОДА GLACIER ROCK </v>
          </cell>
          <cell r="D46">
            <v>35</v>
          </cell>
        </row>
        <row r="47">
          <cell r="A47">
            <v>35670</v>
          </cell>
          <cell r="B47">
            <v>42739</v>
          </cell>
          <cell r="C47" t="str">
            <v xml:space="preserve">ТУАЛЕТНАЯ ВОДА GLACIER FIRE </v>
          </cell>
          <cell r="D47">
            <v>35</v>
          </cell>
        </row>
        <row r="48">
          <cell r="A48">
            <v>35674</v>
          </cell>
          <cell r="B48">
            <v>42726</v>
          </cell>
          <cell r="C48" t="str">
            <v xml:space="preserve">ТУАЛЕТНАЯ ВОДА DEBONAIR </v>
          </cell>
          <cell r="D48">
            <v>35</v>
          </cell>
        </row>
        <row r="49">
          <cell r="A49">
            <v>35676</v>
          </cell>
          <cell r="B49">
            <v>37772</v>
          </cell>
          <cell r="C49" t="str">
            <v>ТУАЛЕТНАЯ ВОДА JOYCE JADE</v>
          </cell>
          <cell r="D49">
            <v>35</v>
          </cell>
        </row>
        <row r="50">
          <cell r="A50">
            <v>37703</v>
          </cell>
          <cell r="B50">
            <v>37214</v>
          </cell>
          <cell r="C50" t="str">
            <v xml:space="preserve">ТУАЛЕТНАЯ ВОДА LOVED UP FEEL GOOD </v>
          </cell>
          <cell r="D50">
            <v>35</v>
          </cell>
        </row>
        <row r="51">
          <cell r="A51">
            <v>38525</v>
          </cell>
          <cell r="B51">
            <v>38527</v>
          </cell>
          <cell r="C51" t="str">
            <v>ПАРФЮМЕРНАЯ ВОДА ASCENDANT INTENSE</v>
          </cell>
          <cell r="D51">
            <v>35</v>
          </cell>
        </row>
        <row r="52">
          <cell r="A52">
            <v>38546</v>
          </cell>
          <cell r="B52">
            <v>38550</v>
          </cell>
          <cell r="C52" t="str">
            <v xml:space="preserve">МУЖСКАЯ ПАРФЮМЕРНАЯ ВОДА NORDIC WATERS </v>
          </cell>
          <cell r="D52">
            <v>35</v>
          </cell>
        </row>
        <row r="53">
          <cell r="A53">
            <v>38548</v>
          </cell>
          <cell r="B53">
            <v>43122</v>
          </cell>
          <cell r="C53" t="str">
            <v xml:space="preserve">ЖЕНСКАЯ ПАРФЮМЕРНАЯ ВОДА NORDIC WATERS </v>
          </cell>
          <cell r="D53">
            <v>35</v>
          </cell>
        </row>
        <row r="54">
          <cell r="A54">
            <v>38569</v>
          </cell>
          <cell r="B54">
            <v>38571</v>
          </cell>
          <cell r="C54" t="str">
            <v xml:space="preserve">ТУАЛЕТНАЯ ВОДА .SE BLAZING WARMTH </v>
          </cell>
          <cell r="D54">
            <v>35</v>
          </cell>
        </row>
        <row r="55">
          <cell r="A55">
            <v>38579</v>
          </cell>
          <cell r="B55">
            <v>38587</v>
          </cell>
          <cell r="C55" t="str">
            <v xml:space="preserve">ПАРФЮМЕРНАЯ ВОДА SIGNATURE FOR HIM </v>
          </cell>
          <cell r="D55">
            <v>35</v>
          </cell>
        </row>
        <row r="56">
          <cell r="A56">
            <v>38598</v>
          </cell>
          <cell r="B56">
            <v>38540</v>
          </cell>
          <cell r="C56" t="str">
            <v>ПАРФЮМЕРНАЯ ВОДА SIGNATURE FOR HER</v>
          </cell>
          <cell r="D56">
            <v>35</v>
          </cell>
        </row>
        <row r="57">
          <cell r="A57">
            <v>39923</v>
          </cell>
          <cell r="B57">
            <v>38534</v>
          </cell>
          <cell r="C57" t="str">
            <v xml:space="preserve">ПАРФЮМЕРНАЯ ВОДА GIORDANI GOLD ESSENZA BLOSSOM </v>
          </cell>
          <cell r="D57">
            <v>35</v>
          </cell>
        </row>
        <row r="58">
          <cell r="A58">
            <v>41163</v>
          </cell>
          <cell r="B58">
            <v>35679</v>
          </cell>
          <cell r="C58" t="str">
            <v>ДУХИ ALL OR NOTHING</v>
          </cell>
          <cell r="D58">
            <v>35</v>
          </cell>
        </row>
        <row r="59">
          <cell r="A59">
            <v>41183</v>
          </cell>
          <cell r="B59" t="str">
            <v> 38391</v>
          </cell>
          <cell r="C59" t="str">
            <v xml:space="preserve">СЫВОРОТКА-КОМФОРТ ДЛЯ ЛИЦА NOVAGE SKINRELIEF PRO RESILIENT </v>
          </cell>
          <cell r="D59">
            <v>35</v>
          </cell>
        </row>
        <row r="60">
          <cell r="A60">
            <v>41185</v>
          </cell>
          <cell r="B60" t="str">
            <v> 40794</v>
          </cell>
          <cell r="C60" t="str">
            <v>ДНЕВНОЙ КРЕМ-КОМФОРТ NOVAGE SKINRELIEF PRO RESILIENT SPF 30</v>
          </cell>
          <cell r="D60">
            <v>35</v>
          </cell>
        </row>
        <row r="61">
          <cell r="A61">
            <v>41324</v>
          </cell>
          <cell r="B61">
            <v>35681</v>
          </cell>
          <cell r="C61" t="str">
            <v>ПАРФЮМЕРНАЯ ВОДА AMBER ELIXIR MYSTERY</v>
          </cell>
          <cell r="D61">
            <v>35</v>
          </cell>
        </row>
        <row r="62">
          <cell r="A62">
            <v>41377</v>
          </cell>
          <cell r="B62" t="str">
            <v>38382 </v>
          </cell>
          <cell r="C62" t="str">
            <v>ОЧИЩАЮЩАЯ ПЕНКА-КОМФОРТ ДЛЯ ЛИЦА NOVAGE SKINRELIEF PRO RESILIENT</v>
          </cell>
          <cell r="D62">
            <v>35</v>
          </cell>
        </row>
        <row r="63">
          <cell r="A63">
            <v>41378</v>
          </cell>
          <cell r="B63" t="str">
            <v>38385 </v>
          </cell>
          <cell r="C63" t="str">
            <v xml:space="preserve">НОЧНОЙ КРЕМ-КОМФОРТ NOVAGE SKINRELIEF PRO RESILIENT </v>
          </cell>
          <cell r="D63">
            <v>35</v>
          </cell>
        </row>
        <row r="64">
          <cell r="A64">
            <v>41379</v>
          </cell>
          <cell r="B64" t="str">
            <v>38390 </v>
          </cell>
          <cell r="C64" t="str">
            <v>КРЕМ-КОМФОРТ ДЛЯ КОЖИ ВОКРУГ ГЛАЗ NOVAGE SKINRELIEF PRO RESILIENT</v>
          </cell>
          <cell r="D64">
            <v>35</v>
          </cell>
        </row>
        <row r="65">
          <cell r="A65">
            <v>41771</v>
          </cell>
          <cell r="B65">
            <v>42785</v>
          </cell>
          <cell r="C65" t="str">
            <v xml:space="preserve">ТУАЛЕТНАЯ ВОДА LUCIA </v>
          </cell>
          <cell r="D65">
            <v>35</v>
          </cell>
        </row>
        <row r="66">
          <cell r="A66">
            <v>42379</v>
          </cell>
          <cell r="B66">
            <v>40790</v>
          </cell>
          <cell r="C66" t="str">
            <v>ТУАЛЕТНАЯ ВОДА ECLAT NUIT FOR HIM</v>
          </cell>
          <cell r="D66">
            <v>35</v>
          </cell>
        </row>
        <row r="67">
          <cell r="A67">
            <v>42400</v>
          </cell>
          <cell r="B67">
            <v>38552</v>
          </cell>
          <cell r="C67" t="str">
            <v>ТУАЛЕТНАЯ ВОДА GREATER FOR HIM</v>
          </cell>
          <cell r="D67">
            <v>35</v>
          </cell>
        </row>
        <row r="68">
          <cell r="A68">
            <v>42438</v>
          </cell>
          <cell r="B68">
            <v>40788</v>
          </cell>
          <cell r="C68" t="str">
            <v xml:space="preserve">ТУАЛЕТНАЯ ВОДА ECLAT NUIT FOR HER </v>
          </cell>
          <cell r="D68">
            <v>35</v>
          </cell>
        </row>
        <row r="69">
          <cell r="A69">
            <v>42843</v>
          </cell>
          <cell r="B69">
            <v>41635</v>
          </cell>
          <cell r="C69" t="str">
            <v>СТОЙКАЯ СУПЕРМАТОВАЯ ПОМАДА THE ONE COLOUR UNLIMITED - ЕСТЕСТВЕННЫЙ РОЗОВЫЙ</v>
          </cell>
          <cell r="D69">
            <v>35</v>
          </cell>
        </row>
        <row r="70">
          <cell r="A70">
            <v>42844</v>
          </cell>
          <cell r="B70">
            <v>41636</v>
          </cell>
          <cell r="C70" t="str">
            <v xml:space="preserve">                                                                                                               - РОЗОВЫЙ БЕЖ</v>
          </cell>
          <cell r="D70">
            <v>35</v>
          </cell>
        </row>
        <row r="71">
          <cell r="A71">
            <v>42845</v>
          </cell>
          <cell r="B71">
            <v>41637</v>
          </cell>
          <cell r="C71" t="str">
            <v xml:space="preserve">                                                                                                               - ТЁМНАЯ РОЗА</v>
          </cell>
          <cell r="D71">
            <v>35</v>
          </cell>
        </row>
        <row r="72">
          <cell r="A72">
            <v>42846</v>
          </cell>
          <cell r="B72">
            <v>41638</v>
          </cell>
          <cell r="C72" t="str">
            <v xml:space="preserve">                                                                                                               - ШОКОЛАДНЫЙ ТРЮФЕЛЬ</v>
          </cell>
          <cell r="D72">
            <v>35</v>
          </cell>
        </row>
        <row r="73">
          <cell r="A73">
            <v>42847</v>
          </cell>
          <cell r="B73">
            <v>41639</v>
          </cell>
          <cell r="C73" t="str">
            <v xml:space="preserve">                                                                                                               - МЯГКАЯ РОЗА</v>
          </cell>
          <cell r="D73">
            <v>35</v>
          </cell>
        </row>
        <row r="74">
          <cell r="A74">
            <v>42848</v>
          </cell>
          <cell r="B74">
            <v>41640</v>
          </cell>
          <cell r="C74" t="str">
            <v xml:space="preserve">                                                                                                               - БАРХАТНЫЙ ЛИЛОВЫЙ</v>
          </cell>
          <cell r="D74">
            <v>35</v>
          </cell>
        </row>
        <row r="75">
          <cell r="A75">
            <v>42849</v>
          </cell>
          <cell r="B75">
            <v>41641</v>
          </cell>
          <cell r="C75" t="str">
            <v xml:space="preserve">                                                                                                               - РОЗОВЫЙ КОРАЛЛ</v>
          </cell>
          <cell r="D75">
            <v>35</v>
          </cell>
        </row>
        <row r="76">
          <cell r="A76">
            <v>42850</v>
          </cell>
          <cell r="B76">
            <v>41642</v>
          </cell>
          <cell r="C76" t="str">
            <v xml:space="preserve">                                                                                                               - КРАСНЫЙ РУБИН</v>
          </cell>
          <cell r="D76">
            <v>35</v>
          </cell>
        </row>
        <row r="77">
          <cell r="A77">
            <v>42851</v>
          </cell>
          <cell r="B77">
            <v>41643</v>
          </cell>
          <cell r="C77" t="str">
            <v xml:space="preserve">                                                                                                               - ВИШНЁВЫЙ БАРХАТ</v>
          </cell>
          <cell r="D77">
            <v>35</v>
          </cell>
        </row>
        <row r="78">
          <cell r="A78">
            <v>42852</v>
          </cell>
          <cell r="B78">
            <v>41644</v>
          </cell>
          <cell r="C78" t="str">
            <v xml:space="preserve">                                                                                                               - ТЁМНЫЙ ЯГОДНЫЙ</v>
          </cell>
          <cell r="D78">
            <v>35</v>
          </cell>
        </row>
        <row r="79">
          <cell r="A79">
            <v>42934</v>
          </cell>
          <cell r="B79">
            <v>40793</v>
          </cell>
          <cell r="C79" t="str">
            <v>ТУАЛЕТНАЯ ВОДА SIGNATURE GENERATION FOR HER</v>
          </cell>
          <cell r="D79">
            <v>35</v>
          </cell>
        </row>
        <row r="80">
          <cell r="A80">
            <v>42994</v>
          </cell>
          <cell r="B80">
            <v>42968</v>
          </cell>
          <cell r="C80" t="str">
            <v xml:space="preserve">ПАРФЮМЕРНАЯ ВОДА POSSESS ABSOLUTE </v>
          </cell>
          <cell r="D80">
            <v>35</v>
          </cell>
        </row>
        <row r="81">
          <cell r="A81">
            <v>43137</v>
          </cell>
          <cell r="B81">
            <v>38805</v>
          </cell>
          <cell r="C81" t="str">
            <v>УХАЖИВАЮЩАЯ ТОНАЛЬНАЯ ОСНОВА ONCOLOUR - ФАРФОРОВЫЙ</v>
          </cell>
          <cell r="D81">
            <v>35</v>
          </cell>
        </row>
        <row r="82">
          <cell r="A82">
            <v>43138</v>
          </cell>
          <cell r="B82">
            <v>38806</v>
          </cell>
          <cell r="C82" t="str">
            <v xml:space="preserve">                                                                                  - СЛОНОВАЯ КОСТЬ</v>
          </cell>
          <cell r="D82">
            <v>35</v>
          </cell>
        </row>
        <row r="83">
          <cell r="A83">
            <v>43139</v>
          </cell>
          <cell r="B83">
            <v>38807</v>
          </cell>
          <cell r="C83" t="str">
            <v xml:space="preserve">                                                                                  - ЕСТЕСТВЕННЫЙ БЕЖ</v>
          </cell>
          <cell r="D83">
            <v>35</v>
          </cell>
        </row>
        <row r="84">
          <cell r="A84">
            <v>43145</v>
          </cell>
          <cell r="B84">
            <v>38948</v>
          </cell>
          <cell r="C84" t="str">
            <v>МАТОВАЯ ГУБНАЯ ПОМАДА ONCOLOUR - МЯГКИЙ ПЕРСИК</v>
          </cell>
          <cell r="D84">
            <v>35</v>
          </cell>
        </row>
        <row r="85">
          <cell r="A85">
            <v>43146</v>
          </cell>
          <cell r="B85">
            <v>39800</v>
          </cell>
          <cell r="C85" t="str">
            <v xml:space="preserve">                                                                    - НЮДОВЫЙ БЕЖ</v>
          </cell>
          <cell r="D85">
            <v>35</v>
          </cell>
        </row>
        <row r="86">
          <cell r="A86">
            <v>43147</v>
          </cell>
          <cell r="B86">
            <v>39801</v>
          </cell>
          <cell r="C86" t="str">
            <v xml:space="preserve">                                                                    - НЕЖНЫЙ ЛИЛОВЫЙ</v>
          </cell>
          <cell r="D86">
            <v>35</v>
          </cell>
        </row>
        <row r="87">
          <cell r="A87">
            <v>43148</v>
          </cell>
          <cell r="B87">
            <v>39802</v>
          </cell>
          <cell r="C87" t="str">
            <v xml:space="preserve">                                                                    - РОЗОВЫЙ КОРАЛЛ</v>
          </cell>
          <cell r="D87">
            <v>35</v>
          </cell>
        </row>
        <row r="88">
          <cell r="A88">
            <v>43149</v>
          </cell>
          <cell r="B88">
            <v>39803</v>
          </cell>
          <cell r="C88" t="str">
            <v xml:space="preserve">                                                                    - РОЗОВАЯ ВСПЫШКА</v>
          </cell>
          <cell r="D88">
            <v>35</v>
          </cell>
        </row>
        <row r="89">
          <cell r="A89">
            <v>43151</v>
          </cell>
          <cell r="B89">
            <v>39805</v>
          </cell>
          <cell r="C89" t="str">
            <v xml:space="preserve">                                                                    - СПЕЛАЯ СЛИВА</v>
          </cell>
          <cell r="D89">
            <v>35</v>
          </cell>
        </row>
        <row r="90">
          <cell r="A90">
            <v>43152</v>
          </cell>
          <cell r="B90">
            <v>39806</v>
          </cell>
          <cell r="C90" t="str">
            <v xml:space="preserve">                                                                    - КРАСНЫЙ БАРХАТ</v>
          </cell>
          <cell r="D90">
            <v>35</v>
          </cell>
        </row>
        <row r="91">
          <cell r="A91">
            <v>43153</v>
          </cell>
          <cell r="B91">
            <v>39807</v>
          </cell>
          <cell r="C91" t="str">
            <v xml:space="preserve">                                                                    - СТРАСТНЫЙ КРАСНЫЙ</v>
          </cell>
          <cell r="D91">
            <v>35</v>
          </cell>
        </row>
        <row r="92">
          <cell r="A92">
            <v>43160</v>
          </cell>
          <cell r="B92">
            <v>38742</v>
          </cell>
          <cell r="C92" t="str">
            <v xml:space="preserve">КРЕМОВАЯ ГУБНАЯ ПОМАДА ONCOLOUR - РОЗОВЫЙ НЮД  </v>
          </cell>
          <cell r="D92">
            <v>35</v>
          </cell>
        </row>
        <row r="93">
          <cell r="A93">
            <v>43168</v>
          </cell>
          <cell r="B93">
            <v>38750</v>
          </cell>
          <cell r="C93" t="str">
            <v xml:space="preserve">                                                                      - ГЛУБОКИЙ КРАСНЫЙ </v>
          </cell>
          <cell r="D93">
            <v>35</v>
          </cell>
        </row>
        <row r="94">
          <cell r="A94">
            <v>43169</v>
          </cell>
          <cell r="B94">
            <v>38751</v>
          </cell>
          <cell r="C94" t="str">
            <v xml:space="preserve">                                                                      - КЛЮКВЕННЫЙ КРАСНЫЙ </v>
          </cell>
          <cell r="D94">
            <v>35</v>
          </cell>
        </row>
        <row r="95">
          <cell r="A95">
            <v>43173</v>
          </cell>
          <cell r="B95">
            <v>38755</v>
          </cell>
          <cell r="C95" t="str">
            <v xml:space="preserve">                                                                      - СПЕЛЫЙ АБРИКОС </v>
          </cell>
          <cell r="D95">
            <v>35</v>
          </cell>
        </row>
        <row r="96">
          <cell r="A96">
            <v>43175</v>
          </cell>
          <cell r="B96">
            <v>38757</v>
          </cell>
          <cell r="C96" t="str">
            <v xml:space="preserve">                                                                      - ХОЛОДНЫЙ РОЗОВЫЙ</v>
          </cell>
          <cell r="D96">
            <v>35</v>
          </cell>
        </row>
        <row r="97">
          <cell r="A97">
            <v>43178</v>
          </cell>
          <cell r="B97">
            <v>38760</v>
          </cell>
          <cell r="C97" t="str">
            <v xml:space="preserve">                                                                      - РОЗОВЫЙ ПИОН </v>
          </cell>
          <cell r="D97">
            <v>35</v>
          </cell>
        </row>
        <row r="98">
          <cell r="A98">
            <v>43179</v>
          </cell>
          <cell r="B98">
            <v>38761</v>
          </cell>
          <cell r="C98" t="str">
            <v xml:space="preserve">                                                                      - ЯРКАЯ ФУКСИЯ </v>
          </cell>
          <cell r="D98">
            <v>35</v>
          </cell>
        </row>
        <row r="99">
          <cell r="A99">
            <v>43180</v>
          </cell>
          <cell r="B99">
            <v>38775</v>
          </cell>
          <cell r="C99" t="str">
            <v xml:space="preserve">                                                                      - СИРЕНЕВЫЙ КЛЕВЕР</v>
          </cell>
          <cell r="D99">
            <v>35</v>
          </cell>
        </row>
        <row r="100">
          <cell r="A100">
            <v>43181</v>
          </cell>
          <cell r="B100">
            <v>38776</v>
          </cell>
          <cell r="C100" t="str">
            <v xml:space="preserve">                                                                      - ТЕПЛЫЙ ОРЕХОВЫЙ</v>
          </cell>
          <cell r="D100">
            <v>35</v>
          </cell>
        </row>
        <row r="101">
          <cell r="A101">
            <v>43183</v>
          </cell>
          <cell r="B101">
            <v>38778</v>
          </cell>
          <cell r="C101" t="str">
            <v xml:space="preserve">                                                                      - ПЫЛЬНЫЙ ЛИЛОВЫЙ</v>
          </cell>
          <cell r="D101">
            <v>35</v>
          </cell>
        </row>
        <row r="102">
          <cell r="A102">
            <v>43268</v>
          </cell>
          <cell r="B102">
            <v>40797</v>
          </cell>
          <cell r="C102" t="str">
            <v>ТУАЛЕТНАЯ ВОДА SIGNATURE GENERATION FOR HIM</v>
          </cell>
          <cell r="D102">
            <v>35</v>
          </cell>
        </row>
        <row r="103">
          <cell r="A103">
            <v>43395</v>
          </cell>
          <cell r="B103">
            <v>42324</v>
          </cell>
          <cell r="C103" t="str">
            <v>САТИНОВАЯ ГУБНАЯ ПОМАДА GIORDANI GOLD ICONIC - КРЕМОВЫЙ БЕЖ</v>
          </cell>
          <cell r="D103">
            <v>35</v>
          </cell>
        </row>
        <row r="104">
          <cell r="A104">
            <v>43396</v>
          </cell>
          <cell r="B104">
            <v>42325</v>
          </cell>
          <cell r="C104" t="str">
            <v xml:space="preserve">                                                                                             - РОЗОВЫЙ НЮД</v>
          </cell>
          <cell r="D104">
            <v>35</v>
          </cell>
        </row>
        <row r="105">
          <cell r="A105">
            <v>43397</v>
          </cell>
          <cell r="B105">
            <v>42326</v>
          </cell>
          <cell r="C105" t="str">
            <v xml:space="preserve">                                                                                             - СЛИВОВЫЙ МАУВ</v>
          </cell>
          <cell r="D105">
            <v>35</v>
          </cell>
        </row>
        <row r="106">
          <cell r="A106">
            <v>43398</v>
          </cell>
          <cell r="B106">
            <v>42327</v>
          </cell>
          <cell r="C106" t="str">
            <v xml:space="preserve">                                                                                             - НЕЖНЫЙ ПИОН</v>
          </cell>
          <cell r="D106">
            <v>35</v>
          </cell>
        </row>
        <row r="107">
          <cell r="A107">
            <v>43399</v>
          </cell>
          <cell r="B107">
            <v>42328</v>
          </cell>
          <cell r="C107" t="str">
            <v xml:space="preserve">                                                                                             - СОЛНЕЧНЫЙ РОЗОВЫЙ</v>
          </cell>
          <cell r="D107">
            <v>35</v>
          </cell>
        </row>
        <row r="108">
          <cell r="A108">
            <v>43400</v>
          </cell>
          <cell r="B108">
            <v>42329</v>
          </cell>
          <cell r="C108" t="str">
            <v xml:space="preserve">                                                                                             - ЯРКАЯ ФУКСИЯ</v>
          </cell>
          <cell r="D108">
            <v>35</v>
          </cell>
        </row>
        <row r="109">
          <cell r="A109">
            <v>43402</v>
          </cell>
          <cell r="B109">
            <v>42331</v>
          </cell>
          <cell r="C109" t="str">
            <v xml:space="preserve">                                                                                             - КЛАССИЧЕСКИЙ КРАСНЫЙ</v>
          </cell>
          <cell r="D109">
            <v>35</v>
          </cell>
        </row>
        <row r="110">
          <cell r="A110">
            <v>43403</v>
          </cell>
          <cell r="B110">
            <v>42332</v>
          </cell>
          <cell r="C110" t="str">
            <v xml:space="preserve">                                                                                             - ГЛУБОКИЙ ВИННЫЙ</v>
          </cell>
          <cell r="D110">
            <v>35</v>
          </cell>
        </row>
        <row r="111">
          <cell r="A111">
            <v>43888</v>
          </cell>
          <cell r="B111" t="str">
            <v> 41044</v>
          </cell>
          <cell r="C111" t="str">
            <v>ЛЕГКИЙ МУЛЬТИАКТИВНЫЙ ДНЕВНОЙ КРЕМ NOVAGE+ SPF 30</v>
          </cell>
          <cell r="D111">
            <v>35</v>
          </cell>
        </row>
        <row r="112">
          <cell r="A112">
            <v>43890</v>
          </cell>
          <cell r="B112" t="str">
            <v>41048 </v>
          </cell>
          <cell r="C112" t="str">
            <v xml:space="preserve">НАСЫЩЕННЫЙ МУЛЬТИАКТИВНЫЙ ДНЕВНОЙ КРЕМ NOVAGE+ SPF 30 </v>
          </cell>
          <cell r="D112">
            <v>35</v>
          </cell>
        </row>
        <row r="113">
          <cell r="A113">
            <v>43892</v>
          </cell>
          <cell r="B113" t="str">
            <v> 41033</v>
          </cell>
          <cell r="C113" t="str">
            <v xml:space="preserve">КРЕМ ДЛЯ КОЖИ ВОКРУГ ГЛАЗ ПРОТИВ ПИГМЕНТАЦИИ NOVAGE+ BRIGHT INTENSE </v>
          </cell>
          <cell r="D113">
            <v>35</v>
          </cell>
        </row>
        <row r="114">
          <cell r="A114">
            <v>43893</v>
          </cell>
          <cell r="B114" t="str">
            <v> 41034</v>
          </cell>
          <cell r="C114" t="str">
            <v>КРЕМ ДЛЯ КОЖИ ВОКРУГ ГЛАЗ ПРОТИВ МОРЩИН NOVAGE+ WRINKLE SMOOTH</v>
          </cell>
          <cell r="D114">
            <v>35</v>
          </cell>
        </row>
        <row r="115">
          <cell r="A115">
            <v>43894</v>
          </cell>
          <cell r="B115" t="str">
            <v> 42425</v>
          </cell>
          <cell r="C115" t="str">
            <v xml:space="preserve">КРЕМ-ЛИФТИНГ ДЛЯ КОЖИ ВОКРУГ ГЛАЗ NOVAGE+ LIFT+ FIRM </v>
          </cell>
          <cell r="D115">
            <v>35</v>
          </cell>
        </row>
        <row r="116">
          <cell r="A116">
            <v>43896</v>
          </cell>
          <cell r="B116" t="str">
            <v> 41037</v>
          </cell>
          <cell r="C116" t="str">
            <v xml:space="preserve">СЫВОРОТКА-ЛИФТИНГ ДЛЯ ЛИЦА NOVAGE+ LIFT + FIRM </v>
          </cell>
          <cell r="D116">
            <v>35</v>
          </cell>
        </row>
        <row r="117">
          <cell r="A117">
            <v>43897</v>
          </cell>
          <cell r="B117" t="str">
            <v> 41035</v>
          </cell>
          <cell r="C117" t="str">
            <v xml:space="preserve">СЫВОРОТКА ДЛЯ ЛИЦА ПРОТИВ МОРЩИН NOVAGE+ WRINKLE SMOOTH </v>
          </cell>
          <cell r="D117">
            <v>35</v>
          </cell>
        </row>
        <row r="118">
          <cell r="A118">
            <v>43898</v>
          </cell>
          <cell r="B118" t="str">
            <v> 41040</v>
          </cell>
          <cell r="C118" t="str">
            <v>СЫВОРОТКА ДЛЯ ЛИЦА ПРОТИВ ПИГМЕНТАЦИИ NOVAGE+ BRIGHT INTENSE</v>
          </cell>
          <cell r="D118">
            <v>35</v>
          </cell>
        </row>
        <row r="119">
          <cell r="A119">
            <v>43899</v>
          </cell>
          <cell r="B119" t="str">
            <v>41039 </v>
          </cell>
          <cell r="C119" t="str">
            <v>АНТИВОЗРАСТНАЯ СЫВОРОТКА ДЛЯ ПРОБЛЕМНОЙ КОЖИ NOVAGE+ BLEMISH + AGE DEFY</v>
          </cell>
          <cell r="D119">
            <v>35</v>
          </cell>
        </row>
        <row r="120">
          <cell r="A120">
            <v>43901</v>
          </cell>
          <cell r="B120" t="str">
            <v> 41029</v>
          </cell>
          <cell r="C120" t="str">
            <v xml:space="preserve">ОЧИЩАЮЩИЙ ГЕЛЬ ДЛЯ ЛИЦА NOVAGE+ </v>
          </cell>
          <cell r="D120">
            <v>35</v>
          </cell>
        </row>
        <row r="121">
          <cell r="A121">
            <v>43902</v>
          </cell>
          <cell r="B121">
            <v>41032</v>
          </cell>
          <cell r="C121" t="str">
            <v>ОЧИЩАЮЩЕЕ МАСЛО ДЛЯ ЛИЦА NOVAGE+</v>
          </cell>
          <cell r="D121">
            <v>35</v>
          </cell>
        </row>
        <row r="122">
          <cell r="A122">
            <v>43904</v>
          </cell>
          <cell r="B122" t="str">
            <v>41057 </v>
          </cell>
          <cell r="C122" t="str">
            <v>ЛЁГКИЙ МУЛЬТИАКТИВНЫЙ НОЧНОЙ КРЕМ NOVAGE+</v>
          </cell>
          <cell r="D122">
            <v>35</v>
          </cell>
        </row>
        <row r="123">
          <cell r="A123">
            <v>43905</v>
          </cell>
          <cell r="B123" t="str">
            <v> 41058</v>
          </cell>
          <cell r="C123" t="str">
            <v xml:space="preserve">НАСЫЩЕННЫЙ МУЛЬТИАКТИВНЫЙ НОЧНОЙ КРЕМ NOVAGE+ </v>
          </cell>
          <cell r="D123">
            <v>35</v>
          </cell>
        </row>
        <row r="124">
          <cell r="A124">
            <v>43936</v>
          </cell>
          <cell r="B124">
            <v>38533</v>
          </cell>
          <cell r="C124" t="str">
            <v>ПАРФЮМЕРНАЯ ВОДА GIORDANI GOLD GOOD AS GOLD</v>
          </cell>
          <cell r="D124">
            <v>35</v>
          </cell>
        </row>
        <row r="125">
          <cell r="A125">
            <v>43937</v>
          </cell>
          <cell r="B125">
            <v>38538</v>
          </cell>
          <cell r="C125" t="str">
            <v xml:space="preserve">ПАРФЮМЕРНАЯ ВОДА GIORDANI GOLD MAN </v>
          </cell>
          <cell r="D125">
            <v>35</v>
          </cell>
        </row>
        <row r="126">
          <cell r="A126">
            <v>43938</v>
          </cell>
          <cell r="B126">
            <v>38531</v>
          </cell>
          <cell r="C126" t="str">
            <v xml:space="preserve">ПАРФЮМЕРНАЯ ВОДА GIORDANI GOLD WOMAN </v>
          </cell>
          <cell r="D126">
            <v>35</v>
          </cell>
        </row>
        <row r="127">
          <cell r="A127">
            <v>43965</v>
          </cell>
          <cell r="B127">
            <v>42125</v>
          </cell>
          <cell r="C127" t="str">
            <v>АДАПТИВНАЯ МАТОВАЯ ТОНАЛЬНАЯ ОСНОВА THE ONE - НЕЙТРАЛЬНЫЙ ВАНИЛЬНЫЙ</v>
          </cell>
          <cell r="D127">
            <v>35</v>
          </cell>
        </row>
        <row r="128">
          <cell r="A128">
            <v>43966</v>
          </cell>
          <cell r="B128">
            <v>42129</v>
          </cell>
          <cell r="C128" t="str">
            <v xml:space="preserve">                                                                                             - ТЁПЛЫЙ БЕЖ</v>
          </cell>
          <cell r="D128">
            <v>35</v>
          </cell>
        </row>
        <row r="129">
          <cell r="A129">
            <v>43967</v>
          </cell>
          <cell r="B129">
            <v>42131</v>
          </cell>
          <cell r="C129" t="str">
            <v xml:space="preserve">                                                                                             - ТЁПЛЫЙ БРОНЗОВЫЙ</v>
          </cell>
          <cell r="D129">
            <v>35</v>
          </cell>
        </row>
        <row r="130">
          <cell r="A130">
            <v>43968</v>
          </cell>
          <cell r="B130">
            <v>43118</v>
          </cell>
          <cell r="C130" t="str">
            <v xml:space="preserve">ТУАЛЕТНАЯ ВОДА GREATER FOR HER </v>
          </cell>
          <cell r="D130">
            <v>35</v>
          </cell>
        </row>
        <row r="131">
          <cell r="A131">
            <v>44289</v>
          </cell>
          <cell r="B131">
            <v>44288</v>
          </cell>
          <cell r="C131" t="str">
            <v>ТУАЛЕТНАЯ ВОДА OH! SWEET DULCE DE LECHE</v>
          </cell>
          <cell r="D131">
            <v>35</v>
          </cell>
        </row>
        <row r="132">
          <cell r="A132">
            <v>44306</v>
          </cell>
          <cell r="B132">
            <v>44300</v>
          </cell>
          <cell r="C132" t="str">
            <v>ПАРФЮМЕРНАЯ ВОДА LOVE POTION SENSUAL RUBY</v>
          </cell>
          <cell r="D132">
            <v>35</v>
          </cell>
        </row>
        <row r="133">
          <cell r="A133">
            <v>44318</v>
          </cell>
          <cell r="B133">
            <v>44317</v>
          </cell>
          <cell r="C133" t="str">
            <v>ПАРФЮМИРОВАННАЯ ВОДА SO FEVER ECSTATIC HER</v>
          </cell>
          <cell r="D133">
            <v>35</v>
          </cell>
        </row>
        <row r="134">
          <cell r="A134">
            <v>44323</v>
          </cell>
          <cell r="B134">
            <v>44319</v>
          </cell>
          <cell r="C134" t="str">
            <v>ПАРФЮМИРОВАННАЯ ВОДА SO FEVER ECSTATIC HIM</v>
          </cell>
          <cell r="D134">
            <v>35</v>
          </cell>
        </row>
        <row r="135">
          <cell r="A135">
            <v>44647</v>
          </cell>
          <cell r="B135">
            <v>43214</v>
          </cell>
          <cell r="C135" t="str">
            <v xml:space="preserve">УВЛАЖНЯЮЩИЙ СС-ГЕЛЬ, СОВЕРШЕНСТВУЮЩИЙ ТОН КОЖИ GIORDANI GOLD - ЕСТЕСТВЕННЫЙ </v>
          </cell>
          <cell r="D135">
            <v>35</v>
          </cell>
        </row>
        <row r="136">
          <cell r="A136">
            <v>44648</v>
          </cell>
          <cell r="B136">
            <v>43215</v>
          </cell>
          <cell r="C136" t="str">
            <v xml:space="preserve">                                                                                                                                      - СВЕТЛЫЙ </v>
          </cell>
          <cell r="D136">
            <v>35</v>
          </cell>
        </row>
        <row r="137">
          <cell r="A137">
            <v>44649</v>
          </cell>
          <cell r="B137">
            <v>43216</v>
          </cell>
          <cell r="C137" t="str">
            <v xml:space="preserve">                                                                                                                                      - НАТУРАЛЬНЫЙ </v>
          </cell>
          <cell r="D137">
            <v>35</v>
          </cell>
        </row>
        <row r="138">
          <cell r="A138">
            <v>44650</v>
          </cell>
          <cell r="B138">
            <v>43217</v>
          </cell>
          <cell r="C138" t="str">
            <v xml:space="preserve">                                                                                                                                      - ЗАГАР </v>
          </cell>
          <cell r="D138">
            <v>35</v>
          </cell>
        </row>
        <row r="139">
          <cell r="A139">
            <v>44847</v>
          </cell>
          <cell r="B139">
            <v>42101</v>
          </cell>
          <cell r="C139" t="str">
            <v>СТОЙКАЯ МИНЕРАЛЬНАЯ ТОНАЛЬНАЯ ОСНОВА GIORDANI GOLD - НЕЙТРАЛЬНЫЙ ВАНИЛЬНЫЙ</v>
          </cell>
          <cell r="D139">
            <v>35</v>
          </cell>
        </row>
        <row r="140">
          <cell r="A140">
            <v>44848</v>
          </cell>
          <cell r="B140">
            <v>42102</v>
          </cell>
          <cell r="C140" t="str">
            <v xml:space="preserve">                                                                                                            - ТЁПЛЫЙ ФАРФОРОВЫЙ </v>
          </cell>
          <cell r="D140">
            <v>35</v>
          </cell>
        </row>
        <row r="141">
          <cell r="A141">
            <v>44849</v>
          </cell>
          <cell r="B141">
            <v>42103</v>
          </cell>
          <cell r="C141" t="str">
            <v xml:space="preserve">                                                                                                            - НЕЙТРАЛЬНЫЙ МРАМОРНЫЙ</v>
          </cell>
          <cell r="D141">
            <v>35</v>
          </cell>
        </row>
        <row r="142">
          <cell r="A142">
            <v>44850</v>
          </cell>
          <cell r="B142">
            <v>42104</v>
          </cell>
          <cell r="C142" t="str">
            <v xml:space="preserve">                                                                                                            - СВЕТЛЫЙ БЕЖЕВЫЙ  </v>
          </cell>
          <cell r="D142">
            <v>35</v>
          </cell>
        </row>
        <row r="143">
          <cell r="A143">
            <v>44851</v>
          </cell>
          <cell r="B143">
            <v>42105</v>
          </cell>
          <cell r="C143" t="str">
            <v xml:space="preserve">                                                                                                            - МЯГКИЙ ПЕСОЧНЫЙ  </v>
          </cell>
          <cell r="D143">
            <v>35</v>
          </cell>
        </row>
        <row r="144">
          <cell r="A144">
            <v>44852</v>
          </cell>
          <cell r="B144">
            <v>42106</v>
          </cell>
          <cell r="C144" t="str">
            <v xml:space="preserve">                                                                                                            - СЛОНОВАЯ КОСТЬ </v>
          </cell>
          <cell r="D144">
            <v>35</v>
          </cell>
        </row>
        <row r="145">
          <cell r="A145">
            <v>44853</v>
          </cell>
          <cell r="B145">
            <v>42107</v>
          </cell>
          <cell r="C145" t="str">
            <v xml:space="preserve">                                                                                                            - ЕСТЕСТВЕННЫЙ БЕЖЕВЫЙ  </v>
          </cell>
          <cell r="D145">
            <v>35</v>
          </cell>
        </row>
        <row r="146">
          <cell r="A146">
            <v>44865</v>
          </cell>
          <cell r="B146">
            <v>42112</v>
          </cell>
          <cell r="C146" t="str">
            <v>МУЛЬТИФУНКЦИОНАЛЬНЫЙ СС-КРЕМ GG SPF 30 - СВЕТЛЫЙ</v>
          </cell>
          <cell r="D146">
            <v>35</v>
          </cell>
        </row>
        <row r="147">
          <cell r="A147">
            <v>44866</v>
          </cell>
          <cell r="B147">
            <v>42113</v>
          </cell>
          <cell r="C147" t="str">
            <v xml:space="preserve">                                                                                  - ЕСТЕСТВЕННЫЙ</v>
          </cell>
          <cell r="D147">
            <v>35</v>
          </cell>
        </row>
        <row r="148">
          <cell r="A148">
            <v>45263</v>
          </cell>
          <cell r="B148">
            <v>43460</v>
          </cell>
          <cell r="C148" t="str">
            <v>МНОГОФУНКЦИОНАЛЬНЫЙ МАТИРУЮЩИЙ КРЕМ-ТОН THE ONE TO A-Z SPF 30 - СВЕТЛЫЙ</v>
          </cell>
          <cell r="D148">
            <v>35</v>
          </cell>
        </row>
        <row r="149">
          <cell r="A149">
            <v>45264</v>
          </cell>
          <cell r="B149">
            <v>43461</v>
          </cell>
          <cell r="C149" t="str">
            <v xml:space="preserve">                                                                                                                                   - СЛОНОВАЯ КОСТЬ</v>
          </cell>
          <cell r="D149">
            <v>35</v>
          </cell>
        </row>
        <row r="150">
          <cell r="A150">
            <v>45265</v>
          </cell>
          <cell r="B150">
            <v>43462</v>
          </cell>
          <cell r="C150" t="str">
            <v xml:space="preserve">                                                                                                                                   - ЕСТЕСТВЕННЫЙ</v>
          </cell>
          <cell r="D150">
            <v>35</v>
          </cell>
        </row>
        <row r="151">
          <cell r="A151">
            <v>45266</v>
          </cell>
          <cell r="B151">
            <v>43463</v>
          </cell>
          <cell r="C151" t="str">
            <v xml:space="preserve">                                                                                                                                   - БЕЖЕВЫЙ</v>
          </cell>
          <cell r="D151">
            <v>35</v>
          </cell>
        </row>
        <row r="152">
          <cell r="A152">
            <v>45267</v>
          </cell>
          <cell r="B152">
            <v>43456</v>
          </cell>
          <cell r="C152" t="str">
            <v>МУЛЬТИФУНКЦИОНАЛЬНЫЙ КРЕМ-ТОН ДЛЯ ЛИЦА THE ONE A-Z SPF 30 - СВЕТЛЫЙ</v>
          </cell>
          <cell r="D152">
            <v>35</v>
          </cell>
        </row>
        <row r="153">
          <cell r="A153">
            <v>45268</v>
          </cell>
          <cell r="B153">
            <v>43457</v>
          </cell>
          <cell r="C153" t="str">
            <v xml:space="preserve">                                                                                                                       - СЛОНОВАЯ КОСТЬ</v>
          </cell>
          <cell r="D153">
            <v>35</v>
          </cell>
        </row>
        <row r="154">
          <cell r="A154">
            <v>45269</v>
          </cell>
          <cell r="B154">
            <v>43458</v>
          </cell>
          <cell r="C154" t="str">
            <v xml:space="preserve">                                                                                                                       - ЕСТЕСТВЕННЫЙ</v>
          </cell>
          <cell r="D154">
            <v>35</v>
          </cell>
        </row>
        <row r="155">
          <cell r="A155">
            <v>45366</v>
          </cell>
          <cell r="B155">
            <v>45357</v>
          </cell>
          <cell r="C155" t="str">
            <v>ПАРФЮМЕРНАЯ ВОДА POSSESS ABSOLUTE MAN</v>
          </cell>
          <cell r="D155">
            <v>35</v>
          </cell>
        </row>
        <row r="156">
          <cell r="A156">
            <v>45380</v>
          </cell>
          <cell r="B156">
            <v>42462</v>
          </cell>
          <cell r="C156" t="str">
            <v>ТУАЛЕТНАЯ ВОДА DEBONAIR GENTLEWOODS</v>
          </cell>
          <cell r="D156">
            <v>35</v>
          </cell>
        </row>
        <row r="157">
          <cell r="A157">
            <v>45395</v>
          </cell>
          <cell r="B157">
            <v>38497</v>
          </cell>
          <cell r="C157" t="str">
            <v>ПАРФЮМЕРНАЯ ВОДА DIVINE</v>
          </cell>
          <cell r="D157">
            <v>35</v>
          </cell>
        </row>
        <row r="158">
          <cell r="A158">
            <v>45397</v>
          </cell>
          <cell r="B158">
            <v>38498</v>
          </cell>
          <cell r="C158" t="str">
            <v xml:space="preserve">ПАРФЮМЕРНАЯ ВОДА DIVINE EXCLUSIVE </v>
          </cell>
          <cell r="D158">
            <v>35</v>
          </cell>
        </row>
        <row r="159">
          <cell r="A159">
            <v>45635</v>
          </cell>
          <cell r="B159">
            <v>43243</v>
          </cell>
          <cell r="C159" t="str">
            <v xml:space="preserve">СИЯЮЩАЯ ТОНАЛЬНАЯ ОСНОВА GIORDANI GOLD SPF 25 - НЕЙТРАЛЬНЫЙ ВАНИЛЬНЫЙ </v>
          </cell>
          <cell r="D159">
            <v>35</v>
          </cell>
        </row>
        <row r="160">
          <cell r="A160">
            <v>45636</v>
          </cell>
          <cell r="B160">
            <v>43244</v>
          </cell>
          <cell r="C160" t="str">
            <v xml:space="preserve">                                                                                                 - ТЁПЛЫЙ ФАРФОРОВЫЙ </v>
          </cell>
          <cell r="D160">
            <v>35</v>
          </cell>
        </row>
        <row r="161">
          <cell r="A161">
            <v>45637</v>
          </cell>
          <cell r="B161">
            <v>43245</v>
          </cell>
          <cell r="C161" t="str">
            <v xml:space="preserve">                                                                                                 - НЕЙТРАЛЬНЫЙ БЕЖ </v>
          </cell>
          <cell r="D161">
            <v>35</v>
          </cell>
        </row>
        <row r="162">
          <cell r="A162">
            <v>45638</v>
          </cell>
          <cell r="B162">
            <v>43246</v>
          </cell>
          <cell r="C162" t="str">
            <v xml:space="preserve">                                                                                                 - МЯГКИЙ ПЕСОЧНЫЙ </v>
          </cell>
          <cell r="D162">
            <v>35</v>
          </cell>
        </row>
        <row r="163">
          <cell r="A163">
            <v>45639</v>
          </cell>
          <cell r="B163">
            <v>43247</v>
          </cell>
          <cell r="C163" t="str">
            <v xml:space="preserve">                                                                                                 - СЛОНОВАЯ КОСТЬ </v>
          </cell>
          <cell r="D163">
            <v>35</v>
          </cell>
        </row>
        <row r="164">
          <cell r="A164">
            <v>45640</v>
          </cell>
          <cell r="B164">
            <v>43248</v>
          </cell>
          <cell r="C164" t="str">
            <v xml:space="preserve">                                                                                                 - ЕСТЕСТВЕННЫЙ БЕЖ</v>
          </cell>
          <cell r="D164">
            <v>35</v>
          </cell>
        </row>
        <row r="165">
          <cell r="A165">
            <v>45641</v>
          </cell>
          <cell r="B165">
            <v>43249</v>
          </cell>
          <cell r="C165" t="str">
            <v xml:space="preserve">                                                                                                 - ТЁПЛЫЙ БЕЖ</v>
          </cell>
          <cell r="D165">
            <v>35</v>
          </cell>
        </row>
        <row r="166">
          <cell r="A166">
            <v>45694</v>
          </cell>
          <cell r="B166">
            <v>41372</v>
          </cell>
          <cell r="C166" t="str">
            <v xml:space="preserve">МАСКА ДЛЯ ЛИЦА WAUNT «ВОССТАНАВЛИВАЮЩИЙ ЭФФЕКТ» </v>
          </cell>
          <cell r="D166">
            <v>35</v>
          </cell>
        </row>
        <row r="167">
          <cell r="A167">
            <v>45695</v>
          </cell>
          <cell r="B167">
            <v>41364</v>
          </cell>
          <cell r="C167" t="str">
            <v xml:space="preserve">КРЕМ-ГЕЛЬ ДЛЯ ЛИЦА WAUNT «ЭФФЕКТ МГНОВЕННОГО УВЛАЖНЕНИЯ» </v>
          </cell>
          <cell r="D167">
            <v>35</v>
          </cell>
        </row>
        <row r="168">
          <cell r="A168">
            <v>45696</v>
          </cell>
          <cell r="B168">
            <v>41365</v>
          </cell>
          <cell r="C168" t="str">
            <v xml:space="preserve">ДНЕВНОЙ КРЕМ WAUNT «ДЗЕН-ЭФФЕКТ» </v>
          </cell>
          <cell r="D168">
            <v>35</v>
          </cell>
        </row>
        <row r="169">
          <cell r="A169">
            <v>45699</v>
          </cell>
          <cell r="B169">
            <v>40670</v>
          </cell>
          <cell r="C169" t="str">
            <v xml:space="preserve">БАЗА ПОД МАКИЯЖ WAUNT «ВЫРАВНИВАЮЩИЙ ЭФФЕКТ» </v>
          </cell>
          <cell r="D169">
            <v>35</v>
          </cell>
        </row>
        <row r="170">
          <cell r="A170">
            <v>45880</v>
          </cell>
          <cell r="B170">
            <v>44308</v>
          </cell>
          <cell r="C170" t="str">
            <v>ТУАЛЕТНАЯ ВОДА VENTURE POWER</v>
          </cell>
          <cell r="D170">
            <v>35</v>
          </cell>
        </row>
        <row r="171">
          <cell r="A171">
            <v>45881</v>
          </cell>
          <cell r="B171">
            <v>44382</v>
          </cell>
          <cell r="C171" t="str">
            <v>ТУАЛЕТНАЯ ВОДА VENTURE</v>
          </cell>
          <cell r="D171">
            <v>35</v>
          </cell>
        </row>
        <row r="172">
          <cell r="A172">
            <v>45882</v>
          </cell>
          <cell r="B172">
            <v>44307</v>
          </cell>
          <cell r="C172" t="str">
            <v xml:space="preserve">ТУАЛЕТНАЯ ВОДА VENTURE UNLIMITED </v>
          </cell>
          <cell r="D172">
            <v>35</v>
          </cell>
        </row>
        <row r="173">
          <cell r="A173">
            <v>45891</v>
          </cell>
          <cell r="B173">
            <v>17540</v>
          </cell>
          <cell r="C173" t="str">
            <v>ТУАЛЕТНАЯ ВОДА EXCITE FOR HIM</v>
          </cell>
          <cell r="D173">
            <v>35</v>
          </cell>
        </row>
        <row r="174">
          <cell r="A174">
            <v>46061</v>
          </cell>
          <cell r="B174">
            <v>46060</v>
          </cell>
          <cell r="C174" t="str">
            <v>ДУХИ ALL OR NOTHING AMPLIFIED</v>
          </cell>
          <cell r="D174">
            <v>35</v>
          </cell>
        </row>
        <row r="175">
          <cell r="A175">
            <v>46573</v>
          </cell>
          <cell r="B175">
            <v>44955</v>
          </cell>
          <cell r="C175" t="str">
            <v>ШАМПУНЬ ПРОТИВ ВЫПАДЕНИЯ ВОЛОС DUOLOGI</v>
          </cell>
          <cell r="D175">
            <v>35</v>
          </cell>
        </row>
        <row r="176">
          <cell r="A176">
            <v>46574</v>
          </cell>
          <cell r="B176">
            <v>44951</v>
          </cell>
          <cell r="C176" t="str">
            <v>ШАМПУНЬ ПРОТИВ ПЕРХОТИ DUOLOGI</v>
          </cell>
          <cell r="D176">
            <v>35</v>
          </cell>
        </row>
        <row r="177">
          <cell r="A177">
            <v>46576</v>
          </cell>
          <cell r="B177">
            <v>44960</v>
          </cell>
          <cell r="C177" t="str">
            <v>НАСЫЩЕННЫЙ КРЕМ-КОНДИЦИОНЕР ДЛЯ ВОЛОС DUOLOGI</v>
          </cell>
          <cell r="D177">
            <v>35</v>
          </cell>
        </row>
        <row r="178">
          <cell r="A178">
            <v>44869</v>
          </cell>
          <cell r="B178">
            <v>42238</v>
          </cell>
          <cell r="C178" t="str">
            <v>АНТИВОЗРАСТНАЯ ТОН. ОСНОВА С ПРЕБИОТИЧЕСКОЙ СЫВОРОТКОЙ GIORDANI GOLD - ФАРФОРОВЫЙ (ТЁПЛЫЙ)</v>
          </cell>
          <cell r="D178">
            <v>50</v>
          </cell>
        </row>
        <row r="179">
          <cell r="A179">
            <v>44871</v>
          </cell>
          <cell r="B179">
            <v>42240</v>
          </cell>
          <cell r="C179" t="str">
            <v xml:space="preserve">                                                                                                                                                                     - СЛОНОВАЯ КОСТЬ (НЕЙТРАЛЬНЫЙ)</v>
          </cell>
          <cell r="D179">
            <v>50</v>
          </cell>
        </row>
        <row r="180">
          <cell r="A180">
            <v>44872</v>
          </cell>
          <cell r="B180">
            <v>42241</v>
          </cell>
          <cell r="C180" t="str">
            <v xml:space="preserve">                                                                                                                                                                     - БЕЖЕВЫЙ (ТЁПЛЫЙ)</v>
          </cell>
          <cell r="D180">
            <v>50</v>
          </cell>
        </row>
        <row r="181">
          <cell r="A181">
            <v>46392</v>
          </cell>
          <cell r="B181">
            <v>46062</v>
          </cell>
          <cell r="C181" t="str">
            <v xml:space="preserve">ТУАЛЕТНАЯ ВОДА ECLAT AMOUR INTENSITÉ </v>
          </cell>
          <cell r="D181">
            <v>35</v>
          </cell>
        </row>
        <row r="182">
          <cell r="A182">
            <v>46393</v>
          </cell>
          <cell r="B182">
            <v>46063</v>
          </cell>
          <cell r="C182" t="str">
            <v>ТУАЛЕТНАЯ ВОДА ECLAT TOUJOURS INTENSITÉ</v>
          </cell>
          <cell r="D182">
            <v>35</v>
          </cell>
        </row>
        <row r="183">
          <cell r="A183">
            <v>46735</v>
          </cell>
          <cell r="B183">
            <v>46718</v>
          </cell>
          <cell r="C183" t="str">
            <v xml:space="preserve">ПАРФЮМЕРНАЯ ВОДА MISS GIORDANI FLORAL </v>
          </cell>
          <cell r="D183">
            <v>35</v>
          </cell>
        </row>
        <row r="185">
          <cell r="A185" t="str">
            <v>КАТАЛОГИ</v>
          </cell>
        </row>
        <row r="186">
          <cell r="A186" t="str">
            <v>Один каталог следующего периода автоматически в первый балловый заказ текущего периода по специальной цене 32 рублей.</v>
          </cell>
        </row>
        <row r="187">
          <cell r="A187" t="str">
            <v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v>
          </cell>
        </row>
        <row r="189">
          <cell r="B189" t="str">
            <v>код</v>
          </cell>
          <cell r="C189" t="str">
            <v>наименование</v>
          </cell>
          <cell r="D189" t="str">
            <v>1 каталог, руб.</v>
          </cell>
        </row>
        <row r="190">
          <cell r="B190">
            <v>507003</v>
          </cell>
          <cell r="C190" t="str">
            <v>КАТАЛОГ № 03 2024 (19.02.2024 - 09.03.2024)</v>
          </cell>
          <cell r="D190">
            <v>65</v>
          </cell>
        </row>
        <row r="192">
          <cell r="A192" t="str">
            <v>Дополнительно  Вы можете приобрести следующие наборы каталогов Орифлэйм:</v>
          </cell>
        </row>
        <row r="194">
          <cell r="B194" t="str">
            <v>код</v>
          </cell>
          <cell r="C194" t="str">
            <v>наименование</v>
          </cell>
          <cell r="D194" t="str">
            <v>цена, руб.</v>
          </cell>
        </row>
        <row r="195">
          <cell r="B195">
            <v>546430</v>
          </cell>
          <cell r="C195" t="str">
            <v xml:space="preserve">Набор из 3 каталогов следующего периода </v>
          </cell>
          <cell r="D195">
            <v>155</v>
          </cell>
        </row>
        <row r="196">
          <cell r="B196">
            <v>546420</v>
          </cell>
          <cell r="C196" t="str">
            <v xml:space="preserve">Набор из 10 каталогов следующего периода </v>
          </cell>
          <cell r="D196">
            <v>360</v>
          </cell>
        </row>
        <row r="197">
          <cell r="B197">
            <v>546425</v>
          </cell>
          <cell r="C197" t="str">
            <v xml:space="preserve">Набор из 25 каталогов следующего периода </v>
          </cell>
          <cell r="D197">
            <v>835</v>
          </cell>
        </row>
        <row r="200">
          <cell r="B200" t="str">
            <v>код</v>
          </cell>
          <cell r="C200" t="str">
            <v>наименование</v>
          </cell>
          <cell r="D200" t="str">
            <v>1 шт.</v>
          </cell>
        </row>
        <row r="201">
          <cell r="B201">
            <v>526447</v>
          </cell>
          <cell r="C201" t="str">
            <v>Средний бумажный пакет</v>
          </cell>
          <cell r="D201">
            <v>19</v>
          </cell>
        </row>
        <row r="202">
          <cell r="B202">
            <v>526448</v>
          </cell>
          <cell r="C202" t="str">
            <v>Маленький бумажный пакет</v>
          </cell>
          <cell r="D202">
            <v>16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93"/>
  <sheetViews>
    <sheetView tabSelected="1" zoomScale="76" zoomScaleNormal="76" workbookViewId="0">
      <selection activeCell="A4" sqref="A4"/>
    </sheetView>
  </sheetViews>
  <sheetFormatPr defaultColWidth="9.15234375" defaultRowHeight="16.5" customHeight="1" x14ac:dyDescent="0.3"/>
  <cols>
    <col min="1" max="1" width="14" style="51" bestFit="1" customWidth="1"/>
    <col min="2" max="2" width="11.84375" style="2" customWidth="1"/>
    <col min="3" max="3" width="11.3828125" style="11" customWidth="1"/>
    <col min="4" max="4" width="8.53515625" style="11" customWidth="1"/>
    <col min="5" max="5" width="146.69140625" style="12" bestFit="1" customWidth="1"/>
    <col min="6" max="6" width="9.69140625" style="7" customWidth="1"/>
    <col min="7" max="7" width="10.69140625" style="36" bestFit="1" customWidth="1"/>
    <col min="8" max="8" width="10.53515625" style="36" customWidth="1"/>
    <col min="9" max="16384" width="9.15234375" style="1"/>
  </cols>
  <sheetData>
    <row r="1" spans="1:8" ht="16.5" customHeight="1" thickBot="1" x14ac:dyDescent="0.35">
      <c r="A1" s="52"/>
      <c r="B1" s="17"/>
      <c r="C1" s="15"/>
      <c r="D1" s="15"/>
      <c r="E1" s="16" t="s">
        <v>12</v>
      </c>
      <c r="F1" s="18"/>
      <c r="G1" s="34"/>
      <c r="H1" s="34"/>
    </row>
    <row r="2" spans="1:8" ht="16.5" customHeight="1" x14ac:dyDescent="0.3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9" t="s">
        <v>6</v>
      </c>
    </row>
    <row r="3" spans="1:8" ht="16.5" customHeight="1" x14ac:dyDescent="0.3">
      <c r="A3" s="62">
        <v>44316</v>
      </c>
      <c r="B3" s="65"/>
      <c r="C3" s="66" t="s">
        <v>432</v>
      </c>
      <c r="D3" s="66"/>
      <c r="E3" s="73" t="s">
        <v>715</v>
      </c>
      <c r="F3" s="67" t="s">
        <v>13</v>
      </c>
      <c r="G3" s="68" t="s">
        <v>13</v>
      </c>
      <c r="H3" s="69">
        <v>35</v>
      </c>
    </row>
    <row r="4" spans="1:8" ht="16.5" customHeight="1" x14ac:dyDescent="0.3">
      <c r="A4" s="62">
        <v>46043</v>
      </c>
      <c r="B4" s="65">
        <v>0.33377777777777801</v>
      </c>
      <c r="C4" s="66" t="s">
        <v>383</v>
      </c>
      <c r="D4" s="66"/>
      <c r="E4" s="73" t="s">
        <v>716</v>
      </c>
      <c r="F4" s="67">
        <v>15</v>
      </c>
      <c r="G4" s="68">
        <v>962</v>
      </c>
      <c r="H4" s="69">
        <v>1499</v>
      </c>
    </row>
    <row r="5" spans="1:8" ht="16.5" customHeight="1" x14ac:dyDescent="0.3">
      <c r="A5" s="62">
        <v>46044</v>
      </c>
      <c r="B5" s="65">
        <v>0.33377777777777801</v>
      </c>
      <c r="C5" s="66" t="s">
        <v>420</v>
      </c>
      <c r="D5" s="66"/>
      <c r="E5" s="73" t="s">
        <v>717</v>
      </c>
      <c r="F5" s="67">
        <v>15</v>
      </c>
      <c r="G5" s="68">
        <v>962</v>
      </c>
      <c r="H5" s="69">
        <v>1499</v>
      </c>
    </row>
    <row r="6" spans="1:8" ht="16.5" customHeight="1" x14ac:dyDescent="0.3">
      <c r="A6" s="62">
        <v>46366</v>
      </c>
      <c r="B6" s="65">
        <v>0.463076923076923</v>
      </c>
      <c r="C6" s="66" t="s">
        <v>391</v>
      </c>
      <c r="D6" s="66"/>
      <c r="E6" s="73" t="s">
        <v>718</v>
      </c>
      <c r="F6" s="67">
        <v>3</v>
      </c>
      <c r="G6" s="68">
        <v>224</v>
      </c>
      <c r="H6" s="69">
        <v>349</v>
      </c>
    </row>
    <row r="7" spans="1:8" ht="16.5" customHeight="1" x14ac:dyDescent="0.3">
      <c r="A7" s="62">
        <v>47517</v>
      </c>
      <c r="B7" s="65">
        <v>0.46216216216216199</v>
      </c>
      <c r="C7" s="66" t="s">
        <v>437</v>
      </c>
      <c r="D7" s="66"/>
      <c r="E7" s="73" t="s">
        <v>719</v>
      </c>
      <c r="F7" s="67">
        <v>2</v>
      </c>
      <c r="G7" s="68">
        <v>64</v>
      </c>
      <c r="H7" s="69">
        <v>199</v>
      </c>
    </row>
    <row r="8" spans="1:8" ht="16.5" customHeight="1" x14ac:dyDescent="0.3">
      <c r="A8" s="62">
        <v>47520</v>
      </c>
      <c r="B8" s="65">
        <v>0.44193548387096798</v>
      </c>
      <c r="C8" s="66" t="s">
        <v>461</v>
      </c>
      <c r="D8" s="66"/>
      <c r="E8" s="73" t="s">
        <v>695</v>
      </c>
      <c r="F8" s="67">
        <v>5</v>
      </c>
      <c r="G8" s="68">
        <v>167</v>
      </c>
      <c r="H8" s="69">
        <v>519</v>
      </c>
    </row>
    <row r="9" spans="1:8" ht="16.5" customHeight="1" x14ac:dyDescent="0.3">
      <c r="A9" s="62">
        <v>47522</v>
      </c>
      <c r="B9" s="65">
        <v>0.44193548387096798</v>
      </c>
      <c r="C9" s="66" t="s">
        <v>438</v>
      </c>
      <c r="D9" s="66"/>
      <c r="E9" s="73" t="s">
        <v>720</v>
      </c>
      <c r="F9" s="67">
        <v>5</v>
      </c>
      <c r="G9" s="68">
        <v>167</v>
      </c>
      <c r="H9" s="69">
        <v>519</v>
      </c>
    </row>
    <row r="10" spans="1:8" ht="16.5" customHeight="1" thickBot="1" x14ac:dyDescent="0.35">
      <c r="A10" s="153"/>
      <c r="B10" s="154"/>
      <c r="C10" s="155"/>
      <c r="D10" s="155"/>
      <c r="E10" s="156"/>
      <c r="F10" s="157"/>
      <c r="G10" s="158"/>
      <c r="H10" s="159"/>
    </row>
    <row r="11" spans="1:8" ht="16.5" customHeight="1" thickBot="1" x14ac:dyDescent="0.35">
      <c r="A11" s="38"/>
      <c r="E11" s="51" t="s">
        <v>350</v>
      </c>
      <c r="F11" s="4"/>
    </row>
    <row r="12" spans="1:8" ht="16.5" customHeight="1" x14ac:dyDescent="0.3">
      <c r="A12" s="59" t="s">
        <v>3</v>
      </c>
      <c r="B12" s="25" t="s">
        <v>9</v>
      </c>
      <c r="C12" s="26" t="s">
        <v>8</v>
      </c>
      <c r="D12" s="26" t="s">
        <v>10</v>
      </c>
      <c r="E12" s="27" t="s">
        <v>11</v>
      </c>
      <c r="F12" s="28" t="s">
        <v>4</v>
      </c>
      <c r="G12" s="35" t="s">
        <v>5</v>
      </c>
      <c r="H12" s="89" t="s">
        <v>6</v>
      </c>
    </row>
    <row r="13" spans="1:8" ht="16.5" customHeight="1" thickBot="1" x14ac:dyDescent="0.35">
      <c r="A13" s="140">
        <v>47417</v>
      </c>
      <c r="B13" s="136"/>
      <c r="C13" s="137" t="s">
        <v>480</v>
      </c>
      <c r="D13" s="80"/>
      <c r="E13" s="141" t="s">
        <v>27</v>
      </c>
      <c r="F13" s="138">
        <v>10</v>
      </c>
      <c r="G13" s="142">
        <v>321</v>
      </c>
      <c r="H13" s="139">
        <v>999</v>
      </c>
    </row>
    <row r="14" spans="1:8" ht="16.5" customHeight="1" thickBot="1" x14ac:dyDescent="0.35">
      <c r="A14" s="38"/>
      <c r="E14" s="51" t="s">
        <v>78</v>
      </c>
      <c r="F14" s="4"/>
    </row>
    <row r="15" spans="1:8" ht="16.5" customHeight="1" x14ac:dyDescent="0.3">
      <c r="A15" s="59" t="s">
        <v>3</v>
      </c>
      <c r="B15" s="25" t="s">
        <v>9</v>
      </c>
      <c r="C15" s="26" t="s">
        <v>8</v>
      </c>
      <c r="D15" s="26" t="s">
        <v>10</v>
      </c>
      <c r="E15" s="27" t="s">
        <v>11</v>
      </c>
      <c r="F15" s="28" t="s">
        <v>4</v>
      </c>
      <c r="G15" s="35" t="s">
        <v>5</v>
      </c>
      <c r="H15" s="89" t="s">
        <v>6</v>
      </c>
    </row>
    <row r="16" spans="1:8" ht="16.5" customHeight="1" x14ac:dyDescent="0.3">
      <c r="A16" s="75">
        <v>22467</v>
      </c>
      <c r="B16" s="65"/>
      <c r="C16" s="66" t="s">
        <v>385</v>
      </c>
      <c r="D16" s="8"/>
      <c r="E16" s="70" t="s">
        <v>79</v>
      </c>
      <c r="F16" s="67">
        <v>24</v>
      </c>
      <c r="G16" s="68">
        <v>1475</v>
      </c>
      <c r="H16" s="69">
        <v>2300</v>
      </c>
    </row>
    <row r="17" spans="1:8" ht="16.5" customHeight="1" x14ac:dyDescent="0.3">
      <c r="A17" s="75">
        <v>27996</v>
      </c>
      <c r="B17" s="65"/>
      <c r="C17" s="66" t="s">
        <v>385</v>
      </c>
      <c r="D17" s="8"/>
      <c r="E17" s="70" t="s">
        <v>80</v>
      </c>
      <c r="F17" s="67">
        <v>17</v>
      </c>
      <c r="G17" s="68">
        <v>1090</v>
      </c>
      <c r="H17" s="69">
        <v>1700</v>
      </c>
    </row>
    <row r="18" spans="1:8" ht="16.5" customHeight="1" x14ac:dyDescent="0.3">
      <c r="A18" s="75">
        <v>29695</v>
      </c>
      <c r="B18" s="65"/>
      <c r="C18" s="66" t="s">
        <v>404</v>
      </c>
      <c r="D18" s="8"/>
      <c r="E18" s="70" t="s">
        <v>19</v>
      </c>
      <c r="F18" s="67">
        <v>52</v>
      </c>
      <c r="G18" s="68">
        <v>3208</v>
      </c>
      <c r="H18" s="69">
        <v>5000</v>
      </c>
    </row>
    <row r="19" spans="1:8" ht="16.5" customHeight="1" x14ac:dyDescent="0.3">
      <c r="A19" s="75">
        <v>29706</v>
      </c>
      <c r="B19" s="65"/>
      <c r="C19" s="66" t="s">
        <v>404</v>
      </c>
      <c r="D19" s="66"/>
      <c r="E19" s="70" t="s">
        <v>26</v>
      </c>
      <c r="F19" s="67">
        <v>29</v>
      </c>
      <c r="G19" s="68">
        <v>1797</v>
      </c>
      <c r="H19" s="69">
        <v>2800</v>
      </c>
    </row>
    <row r="20" spans="1:8" ht="16.5" customHeight="1" x14ac:dyDescent="0.3">
      <c r="A20" s="75">
        <v>31750</v>
      </c>
      <c r="B20" s="65">
        <v>0.217826086956522</v>
      </c>
      <c r="C20" s="66" t="s">
        <v>404</v>
      </c>
      <c r="D20" s="8"/>
      <c r="E20" s="70" t="s">
        <v>34</v>
      </c>
      <c r="F20" s="67">
        <v>19</v>
      </c>
      <c r="G20" s="68">
        <v>1154</v>
      </c>
      <c r="H20" s="69">
        <v>1799</v>
      </c>
    </row>
    <row r="21" spans="1:8" ht="16.5" customHeight="1" x14ac:dyDescent="0.3">
      <c r="A21" s="85">
        <v>37285</v>
      </c>
      <c r="B21" s="65"/>
      <c r="C21" s="66" t="s">
        <v>471</v>
      </c>
      <c r="D21" s="66"/>
      <c r="E21" s="70" t="s">
        <v>73</v>
      </c>
      <c r="F21" s="67">
        <v>52</v>
      </c>
      <c r="G21" s="68">
        <v>3208</v>
      </c>
      <c r="H21" s="69">
        <v>5000</v>
      </c>
    </row>
    <row r="22" spans="1:8" ht="16.5" customHeight="1" x14ac:dyDescent="0.3">
      <c r="A22" s="85">
        <v>37289</v>
      </c>
      <c r="B22" s="65"/>
      <c r="C22" s="66" t="s">
        <v>471</v>
      </c>
      <c r="D22" s="66"/>
      <c r="E22" s="70" t="s">
        <v>74</v>
      </c>
      <c r="F22" s="67">
        <v>52</v>
      </c>
      <c r="G22" s="68">
        <v>3208</v>
      </c>
      <c r="H22" s="69">
        <v>5000</v>
      </c>
    </row>
    <row r="23" spans="1:8" ht="16.5" customHeight="1" x14ac:dyDescent="0.3">
      <c r="A23" s="85">
        <v>37290</v>
      </c>
      <c r="B23" s="65"/>
      <c r="C23" s="66" t="s">
        <v>471</v>
      </c>
      <c r="D23" s="66"/>
      <c r="E23" s="70" t="s">
        <v>75</v>
      </c>
      <c r="F23" s="67">
        <v>52</v>
      </c>
      <c r="G23" s="68">
        <v>3208</v>
      </c>
      <c r="H23" s="69">
        <v>5000</v>
      </c>
    </row>
    <row r="24" spans="1:8" ht="16.5" customHeight="1" x14ac:dyDescent="0.3">
      <c r="A24" s="85">
        <v>37293</v>
      </c>
      <c r="B24" s="65"/>
      <c r="C24" s="66" t="s">
        <v>471</v>
      </c>
      <c r="D24" s="66"/>
      <c r="E24" s="70" t="s">
        <v>20</v>
      </c>
      <c r="F24" s="67">
        <v>52</v>
      </c>
      <c r="G24" s="68">
        <v>3208</v>
      </c>
      <c r="H24" s="69">
        <v>5000</v>
      </c>
    </row>
    <row r="25" spans="1:8" ht="16.5" customHeight="1" x14ac:dyDescent="0.3">
      <c r="A25" s="85">
        <v>38556</v>
      </c>
      <c r="B25" s="65"/>
      <c r="C25" s="66" t="s">
        <v>404</v>
      </c>
      <c r="D25" s="66"/>
      <c r="E25" s="70" t="s">
        <v>25</v>
      </c>
      <c r="F25" s="67">
        <v>24</v>
      </c>
      <c r="G25" s="68">
        <v>1475</v>
      </c>
      <c r="H25" s="69">
        <v>2300</v>
      </c>
    </row>
    <row r="26" spans="1:8" ht="16.5" customHeight="1" x14ac:dyDescent="0.3">
      <c r="A26" s="85">
        <v>38557</v>
      </c>
      <c r="B26" s="65">
        <v>0.14321428571428599</v>
      </c>
      <c r="C26" s="66" t="s">
        <v>375</v>
      </c>
      <c r="D26" s="66"/>
      <c r="E26" s="70" t="s">
        <v>22</v>
      </c>
      <c r="F26" s="67">
        <v>25</v>
      </c>
      <c r="G26" s="68">
        <v>1539</v>
      </c>
      <c r="H26" s="69">
        <v>2399</v>
      </c>
    </row>
    <row r="27" spans="1:8" ht="16.5" customHeight="1" x14ac:dyDescent="0.3">
      <c r="A27" s="85">
        <v>38558</v>
      </c>
      <c r="B27" s="65"/>
      <c r="C27" s="66" t="s">
        <v>404</v>
      </c>
      <c r="D27" s="66"/>
      <c r="E27" s="70" t="s">
        <v>23</v>
      </c>
      <c r="F27" s="67">
        <v>29</v>
      </c>
      <c r="G27" s="68">
        <v>1797</v>
      </c>
      <c r="H27" s="69">
        <v>2800</v>
      </c>
    </row>
    <row r="28" spans="1:8" ht="16.5" customHeight="1" x14ac:dyDescent="0.3">
      <c r="A28" s="85">
        <v>38559</v>
      </c>
      <c r="B28" s="65"/>
      <c r="C28" s="66" t="s">
        <v>404</v>
      </c>
      <c r="D28" s="66"/>
      <c r="E28" s="70" t="s">
        <v>24</v>
      </c>
      <c r="F28" s="67">
        <v>29</v>
      </c>
      <c r="G28" s="68">
        <v>1797</v>
      </c>
      <c r="H28" s="69">
        <v>2800</v>
      </c>
    </row>
    <row r="29" spans="1:8" ht="16.5" customHeight="1" x14ac:dyDescent="0.3">
      <c r="A29" s="85">
        <v>38836</v>
      </c>
      <c r="B29" s="65"/>
      <c r="C29" s="66" t="s">
        <v>754</v>
      </c>
      <c r="D29" s="66"/>
      <c r="E29" s="70" t="s">
        <v>76</v>
      </c>
      <c r="F29" s="67">
        <v>50</v>
      </c>
      <c r="G29" s="68">
        <v>2887</v>
      </c>
      <c r="H29" s="69">
        <v>4500</v>
      </c>
    </row>
    <row r="30" spans="1:8" ht="16.5" customHeight="1" x14ac:dyDescent="0.3">
      <c r="A30" s="85">
        <v>38838</v>
      </c>
      <c r="B30" s="65"/>
      <c r="C30" s="66" t="s">
        <v>754</v>
      </c>
      <c r="D30" s="66"/>
      <c r="E30" s="70" t="s">
        <v>77</v>
      </c>
      <c r="F30" s="67">
        <v>50</v>
      </c>
      <c r="G30" s="68">
        <v>2887</v>
      </c>
      <c r="H30" s="69">
        <v>4500</v>
      </c>
    </row>
    <row r="31" spans="1:8" ht="16.5" customHeight="1" x14ac:dyDescent="0.3">
      <c r="A31" s="85">
        <v>40745</v>
      </c>
      <c r="B31" s="65"/>
      <c r="C31" s="66" t="s">
        <v>486</v>
      </c>
      <c r="D31" s="8"/>
      <c r="E31" s="70" t="s">
        <v>72</v>
      </c>
      <c r="F31" s="67">
        <v>70</v>
      </c>
      <c r="G31" s="68">
        <v>3850</v>
      </c>
      <c r="H31" s="69">
        <v>6000</v>
      </c>
    </row>
    <row r="32" spans="1:8" ht="16.5" customHeight="1" x14ac:dyDescent="0.3">
      <c r="A32" s="85">
        <v>45306</v>
      </c>
      <c r="B32" s="65"/>
      <c r="C32" s="66" t="s">
        <v>755</v>
      </c>
      <c r="D32" s="8"/>
      <c r="E32" s="70" t="s">
        <v>29</v>
      </c>
      <c r="F32" s="67">
        <v>70</v>
      </c>
      <c r="G32" s="68">
        <v>3850</v>
      </c>
      <c r="H32" s="69">
        <v>6000</v>
      </c>
    </row>
    <row r="33" spans="1:8" ht="16.5" customHeight="1" x14ac:dyDescent="0.3">
      <c r="A33" s="85">
        <v>45307</v>
      </c>
      <c r="B33" s="65"/>
      <c r="C33" s="66" t="s">
        <v>755</v>
      </c>
      <c r="D33" s="8"/>
      <c r="E33" s="70" t="s">
        <v>28</v>
      </c>
      <c r="F33" s="67">
        <v>70</v>
      </c>
      <c r="G33" s="68">
        <v>3850</v>
      </c>
      <c r="H33" s="69">
        <v>6000</v>
      </c>
    </row>
    <row r="34" spans="1:8" ht="16.5" customHeight="1" x14ac:dyDescent="0.3">
      <c r="A34" s="85">
        <v>45309</v>
      </c>
      <c r="B34" s="65"/>
      <c r="C34" s="66" t="s">
        <v>404</v>
      </c>
      <c r="D34" s="8"/>
      <c r="E34" s="123" t="s">
        <v>81</v>
      </c>
      <c r="F34" s="67">
        <v>24</v>
      </c>
      <c r="G34" s="68">
        <v>1475</v>
      </c>
      <c r="H34" s="69">
        <v>2300</v>
      </c>
    </row>
    <row r="35" spans="1:8" ht="16.5" customHeight="1" x14ac:dyDescent="0.3">
      <c r="A35" s="75">
        <v>46068</v>
      </c>
      <c r="B35" s="65"/>
      <c r="C35" s="66" t="s">
        <v>404</v>
      </c>
      <c r="D35" s="8"/>
      <c r="E35" s="70" t="s">
        <v>35</v>
      </c>
      <c r="F35" s="67">
        <v>1</v>
      </c>
      <c r="G35" s="68">
        <v>38</v>
      </c>
      <c r="H35" s="69">
        <v>119</v>
      </c>
    </row>
    <row r="36" spans="1:8" ht="16.5" customHeight="1" x14ac:dyDescent="0.3">
      <c r="A36" s="75">
        <v>46664</v>
      </c>
      <c r="B36" s="65"/>
      <c r="C36" s="66" t="s">
        <v>404</v>
      </c>
      <c r="D36" s="8"/>
      <c r="E36" s="70" t="s">
        <v>27</v>
      </c>
      <c r="F36" s="67">
        <v>14</v>
      </c>
      <c r="G36" s="68">
        <v>449</v>
      </c>
      <c r="H36" s="69">
        <v>1399</v>
      </c>
    </row>
    <row r="37" spans="1:8" ht="16.5" customHeight="1" thickBot="1" x14ac:dyDescent="0.35">
      <c r="A37" s="127">
        <v>46685</v>
      </c>
      <c r="B37" s="136"/>
      <c r="C37" s="137" t="s">
        <v>469</v>
      </c>
      <c r="D37" s="80"/>
      <c r="E37" s="141" t="s">
        <v>359</v>
      </c>
      <c r="F37" s="138">
        <v>7</v>
      </c>
      <c r="G37" s="142">
        <v>224</v>
      </c>
      <c r="H37" s="139">
        <v>699</v>
      </c>
    </row>
    <row r="38" spans="1:8" ht="16.5" customHeight="1" x14ac:dyDescent="0.3">
      <c r="E38" s="60"/>
      <c r="F38" s="4"/>
    </row>
    <row r="39" spans="1:8" ht="16.5" customHeight="1" thickBot="1" x14ac:dyDescent="0.4">
      <c r="A39" s="133"/>
      <c r="B39" s="134"/>
      <c r="C39" s="134"/>
      <c r="E39" s="4" t="s">
        <v>16</v>
      </c>
      <c r="F39" s="4"/>
    </row>
    <row r="40" spans="1:8" ht="16.5" customHeight="1" x14ac:dyDescent="0.3">
      <c r="A40" s="144" t="s">
        <v>3</v>
      </c>
      <c r="B40" s="145" t="s">
        <v>9</v>
      </c>
      <c r="C40" s="146" t="s">
        <v>8</v>
      </c>
      <c r="D40" s="146" t="s">
        <v>10</v>
      </c>
      <c r="E40" s="147" t="s">
        <v>11</v>
      </c>
      <c r="F40" s="148" t="s">
        <v>4</v>
      </c>
      <c r="G40" s="149" t="s">
        <v>5</v>
      </c>
      <c r="H40" s="150" t="s">
        <v>6</v>
      </c>
    </row>
    <row r="41" spans="1:8" ht="16.5" customHeight="1" x14ac:dyDescent="0.3">
      <c r="A41" s="75">
        <v>12760</v>
      </c>
      <c r="B41" s="151">
        <v>0.55526315789473701</v>
      </c>
      <c r="C41" s="8" t="s">
        <v>472</v>
      </c>
      <c r="D41" s="8"/>
      <c r="E41" s="123" t="s">
        <v>756</v>
      </c>
      <c r="F41" s="152">
        <v>2</v>
      </c>
      <c r="G41" s="122">
        <v>109</v>
      </c>
      <c r="H41" s="160">
        <v>169</v>
      </c>
    </row>
    <row r="42" spans="1:8" ht="16.5" customHeight="1" x14ac:dyDescent="0.3">
      <c r="A42" s="75">
        <v>13659</v>
      </c>
      <c r="B42" s="65">
        <v>0.34653846153846202</v>
      </c>
      <c r="C42" s="66" t="s">
        <v>446</v>
      </c>
      <c r="D42" s="8"/>
      <c r="E42" s="123" t="s">
        <v>497</v>
      </c>
      <c r="F42" s="67">
        <v>17</v>
      </c>
      <c r="G42" s="68">
        <v>1090</v>
      </c>
      <c r="H42" s="69">
        <v>1699</v>
      </c>
    </row>
    <row r="43" spans="1:8" ht="16.5" customHeight="1" x14ac:dyDescent="0.3">
      <c r="A43" s="75">
        <v>18437</v>
      </c>
      <c r="B43" s="65">
        <v>0.34653846153846202</v>
      </c>
      <c r="C43" s="66" t="s">
        <v>446</v>
      </c>
      <c r="D43" s="8"/>
      <c r="E43" s="123" t="s">
        <v>498</v>
      </c>
      <c r="F43" s="67">
        <v>17</v>
      </c>
      <c r="G43" s="68">
        <v>1090</v>
      </c>
      <c r="H43" s="69">
        <v>1699</v>
      </c>
    </row>
    <row r="44" spans="1:8" ht="16.5" customHeight="1" x14ac:dyDescent="0.3">
      <c r="A44" s="75">
        <v>20574</v>
      </c>
      <c r="B44" s="65">
        <v>0.502</v>
      </c>
      <c r="C44" s="66" t="s">
        <v>451</v>
      </c>
      <c r="D44" s="8"/>
      <c r="E44" s="123" t="s">
        <v>757</v>
      </c>
      <c r="F44" s="67">
        <v>2</v>
      </c>
      <c r="G44" s="68">
        <v>80</v>
      </c>
      <c r="H44" s="69">
        <v>249</v>
      </c>
    </row>
    <row r="45" spans="1:8" ht="16.5" customHeight="1" x14ac:dyDescent="0.3">
      <c r="A45" s="75">
        <v>21339</v>
      </c>
      <c r="B45" s="65"/>
      <c r="C45" s="66" t="s">
        <v>446</v>
      </c>
      <c r="D45" s="8"/>
      <c r="E45" s="123" t="s">
        <v>311</v>
      </c>
      <c r="F45" s="67">
        <v>15</v>
      </c>
      <c r="G45" s="68">
        <v>994</v>
      </c>
      <c r="H45" s="69">
        <v>1550</v>
      </c>
    </row>
    <row r="46" spans="1:8" ht="16.5" customHeight="1" x14ac:dyDescent="0.3">
      <c r="A46" s="75">
        <v>22815</v>
      </c>
      <c r="B46" s="65">
        <v>0.54842105263157903</v>
      </c>
      <c r="C46" s="66" t="s">
        <v>491</v>
      </c>
      <c r="D46" s="8"/>
      <c r="E46" s="123" t="s">
        <v>758</v>
      </c>
      <c r="F46" s="67">
        <v>4</v>
      </c>
      <c r="G46" s="68">
        <v>275</v>
      </c>
      <c r="H46" s="69">
        <v>429</v>
      </c>
    </row>
    <row r="47" spans="1:8" ht="16.5" customHeight="1" x14ac:dyDescent="0.3">
      <c r="A47" s="75">
        <v>23378</v>
      </c>
      <c r="B47" s="65">
        <v>0.246923076923077</v>
      </c>
      <c r="C47" s="66" t="s">
        <v>463</v>
      </c>
      <c r="D47" s="8"/>
      <c r="E47" s="123" t="s">
        <v>312</v>
      </c>
      <c r="F47" s="67">
        <v>10</v>
      </c>
      <c r="G47" s="68">
        <v>628</v>
      </c>
      <c r="H47" s="69">
        <v>979</v>
      </c>
    </row>
    <row r="48" spans="1:8" ht="16.5" customHeight="1" x14ac:dyDescent="0.3">
      <c r="A48" s="75">
        <v>24547</v>
      </c>
      <c r="B48" s="65">
        <v>0.38741935483870998</v>
      </c>
      <c r="C48" s="66" t="s">
        <v>491</v>
      </c>
      <c r="D48" s="8"/>
      <c r="E48" s="123" t="s">
        <v>683</v>
      </c>
      <c r="F48" s="67">
        <v>19</v>
      </c>
      <c r="G48" s="68">
        <v>1218</v>
      </c>
      <c r="H48" s="69">
        <v>1899</v>
      </c>
    </row>
    <row r="49" spans="1:8" ht="16.5" customHeight="1" x14ac:dyDescent="0.3">
      <c r="A49" s="75">
        <v>26825</v>
      </c>
      <c r="B49" s="65">
        <v>0.46216216216216199</v>
      </c>
      <c r="C49" s="66" t="s">
        <v>434</v>
      </c>
      <c r="D49" s="8"/>
      <c r="E49" s="123" t="s">
        <v>499</v>
      </c>
      <c r="F49" s="67">
        <v>2</v>
      </c>
      <c r="G49" s="68">
        <v>64</v>
      </c>
      <c r="H49" s="69">
        <v>199</v>
      </c>
    </row>
    <row r="50" spans="1:8" ht="16.5" customHeight="1" x14ac:dyDescent="0.3">
      <c r="A50" s="75">
        <v>29038</v>
      </c>
      <c r="B50" s="65">
        <v>0.45368421052631602</v>
      </c>
      <c r="C50" s="66" t="s">
        <v>438</v>
      </c>
      <c r="D50" s="8"/>
      <c r="E50" s="123" t="s">
        <v>500</v>
      </c>
      <c r="F50" s="67">
        <v>5</v>
      </c>
      <c r="G50" s="68">
        <v>167</v>
      </c>
      <c r="H50" s="69">
        <v>519</v>
      </c>
    </row>
    <row r="51" spans="1:8" ht="16.5" customHeight="1" x14ac:dyDescent="0.3">
      <c r="A51" s="75">
        <v>29043</v>
      </c>
      <c r="B51" s="65">
        <v>0.40071428571428602</v>
      </c>
      <c r="C51" s="66" t="s">
        <v>409</v>
      </c>
      <c r="D51" s="8"/>
      <c r="E51" s="123" t="s">
        <v>759</v>
      </c>
      <c r="F51" s="67">
        <v>8</v>
      </c>
      <c r="G51" s="68">
        <v>269</v>
      </c>
      <c r="H51" s="69">
        <v>839</v>
      </c>
    </row>
    <row r="52" spans="1:8" ht="16.5" customHeight="1" x14ac:dyDescent="0.3">
      <c r="A52" s="75">
        <v>29446</v>
      </c>
      <c r="B52" s="65">
        <v>0.30401960784313697</v>
      </c>
      <c r="C52" s="66" t="s">
        <v>454</v>
      </c>
      <c r="D52" s="8"/>
      <c r="E52" s="123" t="s">
        <v>82</v>
      </c>
      <c r="F52" s="67">
        <v>85</v>
      </c>
      <c r="G52" s="68">
        <v>4555</v>
      </c>
      <c r="H52" s="69">
        <v>7099</v>
      </c>
    </row>
    <row r="53" spans="1:8" ht="16.5" customHeight="1" x14ac:dyDescent="0.3">
      <c r="A53" s="75">
        <v>30058</v>
      </c>
      <c r="B53" s="65">
        <v>0.372</v>
      </c>
      <c r="C53" s="66" t="s">
        <v>421</v>
      </c>
      <c r="D53" s="8"/>
      <c r="E53" s="123" t="s">
        <v>501</v>
      </c>
      <c r="F53" s="67">
        <v>11</v>
      </c>
      <c r="G53" s="68">
        <v>705</v>
      </c>
      <c r="H53" s="69">
        <v>1099</v>
      </c>
    </row>
    <row r="54" spans="1:8" ht="16.5" customHeight="1" x14ac:dyDescent="0.3">
      <c r="A54" s="75">
        <v>30568</v>
      </c>
      <c r="B54" s="65">
        <v>0.23857142857142899</v>
      </c>
      <c r="C54" s="66" t="s">
        <v>463</v>
      </c>
      <c r="D54" s="8"/>
      <c r="E54" s="123" t="s">
        <v>313</v>
      </c>
      <c r="F54" s="67">
        <v>16</v>
      </c>
      <c r="G54" s="68">
        <v>1026</v>
      </c>
      <c r="H54" s="69">
        <v>1599</v>
      </c>
    </row>
    <row r="55" spans="1:8" ht="16.5" customHeight="1" x14ac:dyDescent="0.3">
      <c r="A55" s="75">
        <v>31606</v>
      </c>
      <c r="B55" s="65">
        <v>0.35645161290322602</v>
      </c>
      <c r="C55" s="66" t="s">
        <v>371</v>
      </c>
      <c r="D55" s="8"/>
      <c r="E55" s="123" t="s">
        <v>334</v>
      </c>
      <c r="F55" s="67">
        <v>4</v>
      </c>
      <c r="G55" s="68">
        <v>256</v>
      </c>
      <c r="H55" s="69">
        <v>399</v>
      </c>
    </row>
    <row r="56" spans="1:8" ht="16.5" customHeight="1" x14ac:dyDescent="0.3">
      <c r="A56" s="75">
        <v>31774</v>
      </c>
      <c r="B56" s="65">
        <v>0.30076923076923101</v>
      </c>
      <c r="C56" s="66" t="s">
        <v>374</v>
      </c>
      <c r="D56" s="8"/>
      <c r="E56" s="123" t="s">
        <v>83</v>
      </c>
      <c r="F56" s="67">
        <v>120</v>
      </c>
      <c r="G56" s="68">
        <v>6416</v>
      </c>
      <c r="H56" s="69">
        <v>9999</v>
      </c>
    </row>
    <row r="57" spans="1:8" ht="16.5" customHeight="1" x14ac:dyDescent="0.3">
      <c r="A57" s="75">
        <v>31825</v>
      </c>
      <c r="B57" s="65">
        <v>0.34883720930232598</v>
      </c>
      <c r="C57" s="66" t="s">
        <v>373</v>
      </c>
      <c r="D57" s="8"/>
      <c r="E57" s="123" t="s">
        <v>114</v>
      </c>
      <c r="F57" s="67">
        <v>28</v>
      </c>
      <c r="G57" s="68">
        <v>1797</v>
      </c>
      <c r="H57" s="69">
        <v>2800</v>
      </c>
    </row>
    <row r="58" spans="1:8" ht="16.5" customHeight="1" x14ac:dyDescent="0.3">
      <c r="A58" s="75">
        <v>31850</v>
      </c>
      <c r="B58" s="65">
        <v>0.40079999999999999</v>
      </c>
      <c r="C58" s="66" t="s">
        <v>408</v>
      </c>
      <c r="D58" s="8"/>
      <c r="E58" s="123" t="s">
        <v>760</v>
      </c>
      <c r="F58" s="67">
        <v>7</v>
      </c>
      <c r="G58" s="68">
        <v>480</v>
      </c>
      <c r="H58" s="69">
        <v>749</v>
      </c>
    </row>
    <row r="59" spans="1:8" ht="16.5" customHeight="1" x14ac:dyDescent="0.3">
      <c r="A59" s="75">
        <v>31851</v>
      </c>
      <c r="B59" s="65">
        <v>0.40062500000000001</v>
      </c>
      <c r="C59" s="66" t="s">
        <v>408</v>
      </c>
      <c r="D59" s="8"/>
      <c r="E59" s="123" t="s">
        <v>502</v>
      </c>
      <c r="F59" s="67">
        <v>10</v>
      </c>
      <c r="G59" s="68">
        <v>615</v>
      </c>
      <c r="H59" s="69">
        <v>959</v>
      </c>
    </row>
    <row r="60" spans="1:8" ht="16.5" customHeight="1" x14ac:dyDescent="0.3">
      <c r="A60" s="75">
        <v>32139</v>
      </c>
      <c r="B60" s="65"/>
      <c r="C60" s="66" t="s">
        <v>410</v>
      </c>
      <c r="D60" s="8"/>
      <c r="E60" s="123" t="s">
        <v>503</v>
      </c>
      <c r="F60" s="67">
        <v>9</v>
      </c>
      <c r="G60" s="68">
        <v>577</v>
      </c>
      <c r="H60" s="69">
        <v>900</v>
      </c>
    </row>
    <row r="61" spans="1:8" ht="16.5" customHeight="1" x14ac:dyDescent="0.3">
      <c r="A61" s="75">
        <v>32627</v>
      </c>
      <c r="B61" s="65">
        <v>0.25838709677419402</v>
      </c>
      <c r="C61" s="66" t="s">
        <v>374</v>
      </c>
      <c r="D61" s="8"/>
      <c r="E61" s="123" t="s">
        <v>84</v>
      </c>
      <c r="F61" s="67">
        <v>23</v>
      </c>
      <c r="G61" s="68">
        <v>1475</v>
      </c>
      <c r="H61" s="69">
        <v>2299</v>
      </c>
    </row>
    <row r="62" spans="1:8" ht="16.5" customHeight="1" x14ac:dyDescent="0.3">
      <c r="A62" s="75">
        <v>32628</v>
      </c>
      <c r="B62" s="65"/>
      <c r="C62" s="66" t="s">
        <v>374</v>
      </c>
      <c r="D62" s="8"/>
      <c r="E62" s="123" t="s">
        <v>85</v>
      </c>
      <c r="F62" s="67">
        <v>31</v>
      </c>
      <c r="G62" s="68">
        <v>1989</v>
      </c>
      <c r="H62" s="69">
        <v>3100</v>
      </c>
    </row>
    <row r="63" spans="1:8" ht="16.5" customHeight="1" x14ac:dyDescent="0.3">
      <c r="A63" s="75">
        <v>32629</v>
      </c>
      <c r="B63" s="65"/>
      <c r="C63" s="66" t="s">
        <v>374</v>
      </c>
      <c r="D63" s="8"/>
      <c r="E63" s="123" t="s">
        <v>86</v>
      </c>
      <c r="F63" s="67">
        <v>25</v>
      </c>
      <c r="G63" s="68">
        <v>1604</v>
      </c>
      <c r="H63" s="69">
        <v>2500</v>
      </c>
    </row>
    <row r="64" spans="1:8" ht="16.5" customHeight="1" x14ac:dyDescent="0.3">
      <c r="A64" s="75">
        <v>32630</v>
      </c>
      <c r="B64" s="65"/>
      <c r="C64" s="66" t="s">
        <v>374</v>
      </c>
      <c r="D64" s="8"/>
      <c r="E64" s="123" t="s">
        <v>87</v>
      </c>
      <c r="F64" s="67">
        <v>40</v>
      </c>
      <c r="G64" s="68">
        <v>2567</v>
      </c>
      <c r="H64" s="69">
        <v>4000</v>
      </c>
    </row>
    <row r="65" spans="1:8" ht="16.5" customHeight="1" x14ac:dyDescent="0.3">
      <c r="A65" s="75">
        <v>32919</v>
      </c>
      <c r="B65" s="65">
        <v>0.209767441860465</v>
      </c>
      <c r="C65" s="66" t="s">
        <v>453</v>
      </c>
      <c r="D65" s="8"/>
      <c r="E65" s="123" t="s">
        <v>761</v>
      </c>
      <c r="F65" s="67">
        <v>17</v>
      </c>
      <c r="G65" s="68">
        <v>1090</v>
      </c>
      <c r="H65" s="69">
        <v>1699</v>
      </c>
    </row>
    <row r="66" spans="1:8" ht="16.5" customHeight="1" x14ac:dyDescent="0.3">
      <c r="A66" s="75">
        <v>32920</v>
      </c>
      <c r="B66" s="65">
        <v>0.209767441860465</v>
      </c>
      <c r="C66" s="66" t="s">
        <v>453</v>
      </c>
      <c r="D66" s="8"/>
      <c r="E66" s="123" t="s">
        <v>762</v>
      </c>
      <c r="F66" s="67">
        <v>17</v>
      </c>
      <c r="G66" s="68">
        <v>1090</v>
      </c>
      <c r="H66" s="69">
        <v>1699</v>
      </c>
    </row>
    <row r="67" spans="1:8" ht="16.5" customHeight="1" x14ac:dyDescent="0.3">
      <c r="A67" s="75">
        <v>32921</v>
      </c>
      <c r="B67" s="65">
        <v>0.209767441860465</v>
      </c>
      <c r="C67" s="66" t="s">
        <v>453</v>
      </c>
      <c r="D67" s="8"/>
      <c r="E67" s="123" t="s">
        <v>763</v>
      </c>
      <c r="F67" s="67">
        <v>17</v>
      </c>
      <c r="G67" s="68">
        <v>1090</v>
      </c>
      <c r="H67" s="69">
        <v>1699</v>
      </c>
    </row>
    <row r="68" spans="1:8" ht="16.5" customHeight="1" x14ac:dyDescent="0.3">
      <c r="A68" s="75">
        <v>32922</v>
      </c>
      <c r="B68" s="65">
        <v>0.209767441860465</v>
      </c>
      <c r="C68" s="66" t="s">
        <v>453</v>
      </c>
      <c r="D68" s="8"/>
      <c r="E68" s="123" t="s">
        <v>764</v>
      </c>
      <c r="F68" s="67">
        <v>17</v>
      </c>
      <c r="G68" s="68">
        <v>1090</v>
      </c>
      <c r="H68" s="69">
        <v>1699</v>
      </c>
    </row>
    <row r="69" spans="1:8" ht="16.5" customHeight="1" x14ac:dyDescent="0.3">
      <c r="A69" s="75">
        <v>32923</v>
      </c>
      <c r="B69" s="65">
        <v>0.209767441860465</v>
      </c>
      <c r="C69" s="66" t="s">
        <v>453</v>
      </c>
      <c r="D69" s="8"/>
      <c r="E69" s="123" t="s">
        <v>765</v>
      </c>
      <c r="F69" s="67">
        <v>17</v>
      </c>
      <c r="G69" s="68">
        <v>1090</v>
      </c>
      <c r="H69" s="69">
        <v>1699</v>
      </c>
    </row>
    <row r="70" spans="1:8" ht="16.5" customHeight="1" x14ac:dyDescent="0.3">
      <c r="A70" s="75">
        <v>33142</v>
      </c>
      <c r="B70" s="65">
        <v>0.56200000000000006</v>
      </c>
      <c r="C70" s="66" t="s">
        <v>425</v>
      </c>
      <c r="D70" s="8"/>
      <c r="E70" s="123" t="s">
        <v>721</v>
      </c>
      <c r="F70" s="67">
        <v>2</v>
      </c>
      <c r="G70" s="68">
        <v>141</v>
      </c>
      <c r="H70" s="69">
        <v>219</v>
      </c>
    </row>
    <row r="71" spans="1:8" ht="16.5" customHeight="1" x14ac:dyDescent="0.3">
      <c r="A71" s="75">
        <v>33144</v>
      </c>
      <c r="B71" s="65">
        <v>0.52539682539682497</v>
      </c>
      <c r="C71" s="66" t="s">
        <v>425</v>
      </c>
      <c r="D71" s="8"/>
      <c r="E71" s="123" t="s">
        <v>722</v>
      </c>
      <c r="F71" s="67">
        <v>3</v>
      </c>
      <c r="G71" s="68">
        <v>192</v>
      </c>
      <c r="H71" s="69">
        <v>299</v>
      </c>
    </row>
    <row r="72" spans="1:8" ht="16.5" customHeight="1" x14ac:dyDescent="0.3">
      <c r="A72" s="75">
        <v>33198</v>
      </c>
      <c r="B72" s="65"/>
      <c r="C72" s="66" t="s">
        <v>454</v>
      </c>
      <c r="D72" s="8"/>
      <c r="E72" s="123" t="s">
        <v>88</v>
      </c>
      <c r="F72" s="67">
        <v>15</v>
      </c>
      <c r="G72" s="68">
        <v>962</v>
      </c>
      <c r="H72" s="69">
        <v>1500</v>
      </c>
    </row>
    <row r="73" spans="1:8" ht="16.5" customHeight="1" x14ac:dyDescent="0.3">
      <c r="A73" s="75">
        <v>33199</v>
      </c>
      <c r="B73" s="65"/>
      <c r="C73" s="66" t="s">
        <v>454</v>
      </c>
      <c r="D73" s="8"/>
      <c r="E73" s="123" t="s">
        <v>89</v>
      </c>
      <c r="F73" s="67">
        <v>23</v>
      </c>
      <c r="G73" s="68">
        <v>1475</v>
      </c>
      <c r="H73" s="69">
        <v>2300</v>
      </c>
    </row>
    <row r="74" spans="1:8" ht="16.5" customHeight="1" x14ac:dyDescent="0.3">
      <c r="A74" s="75">
        <v>33200</v>
      </c>
      <c r="B74" s="65"/>
      <c r="C74" s="66" t="s">
        <v>454</v>
      </c>
      <c r="D74" s="8"/>
      <c r="E74" s="123" t="s">
        <v>14</v>
      </c>
      <c r="F74" s="67">
        <v>37</v>
      </c>
      <c r="G74" s="68">
        <v>2374</v>
      </c>
      <c r="H74" s="69">
        <v>3700</v>
      </c>
    </row>
    <row r="75" spans="1:8" ht="16.5" customHeight="1" x14ac:dyDescent="0.3">
      <c r="A75" s="75">
        <v>33201</v>
      </c>
      <c r="B75" s="65">
        <v>0.25962962962962999</v>
      </c>
      <c r="C75" s="66" t="s">
        <v>454</v>
      </c>
      <c r="D75" s="8"/>
      <c r="E75" s="123" t="s">
        <v>15</v>
      </c>
      <c r="F75" s="67">
        <v>20</v>
      </c>
      <c r="G75" s="68">
        <v>1283</v>
      </c>
      <c r="H75" s="69">
        <v>1999</v>
      </c>
    </row>
    <row r="76" spans="1:8" ht="16.5" customHeight="1" x14ac:dyDescent="0.3">
      <c r="A76" s="75">
        <v>33447</v>
      </c>
      <c r="B76" s="65">
        <v>0.35645161290322602</v>
      </c>
      <c r="C76" s="66" t="s">
        <v>371</v>
      </c>
      <c r="D76" s="8"/>
      <c r="E76" s="123" t="s">
        <v>504</v>
      </c>
      <c r="F76" s="67">
        <v>4</v>
      </c>
      <c r="G76" s="68">
        <v>256</v>
      </c>
      <c r="H76" s="69">
        <v>399</v>
      </c>
    </row>
    <row r="77" spans="1:8" ht="16.5" customHeight="1" x14ac:dyDescent="0.3">
      <c r="A77" s="75">
        <v>33654</v>
      </c>
      <c r="B77" s="65"/>
      <c r="C77" s="66" t="s">
        <v>424</v>
      </c>
      <c r="D77" s="8"/>
      <c r="E77" s="123" t="s">
        <v>674</v>
      </c>
      <c r="F77" s="67">
        <v>33</v>
      </c>
      <c r="G77" s="68">
        <v>2117</v>
      </c>
      <c r="H77" s="69">
        <v>3300</v>
      </c>
    </row>
    <row r="78" spans="1:8" ht="16.5" customHeight="1" x14ac:dyDescent="0.3">
      <c r="A78" s="75">
        <v>33963</v>
      </c>
      <c r="B78" s="65">
        <v>0.55600000000000005</v>
      </c>
      <c r="C78" s="66" t="s">
        <v>447</v>
      </c>
      <c r="D78" s="8"/>
      <c r="E78" s="123" t="s">
        <v>723</v>
      </c>
      <c r="F78" s="67">
        <v>10</v>
      </c>
      <c r="G78" s="68">
        <v>641</v>
      </c>
      <c r="H78" s="69">
        <v>999</v>
      </c>
    </row>
    <row r="79" spans="1:8" ht="16.5" customHeight="1" x14ac:dyDescent="0.3">
      <c r="A79" s="75">
        <v>33984</v>
      </c>
      <c r="B79" s="65"/>
      <c r="C79" s="66" t="s">
        <v>374</v>
      </c>
      <c r="D79" s="8"/>
      <c r="E79" s="123" t="s">
        <v>90</v>
      </c>
      <c r="F79" s="67">
        <v>16</v>
      </c>
      <c r="G79" s="68">
        <v>1027</v>
      </c>
      <c r="H79" s="69">
        <v>1600</v>
      </c>
    </row>
    <row r="80" spans="1:8" ht="16.5" customHeight="1" x14ac:dyDescent="0.3">
      <c r="A80" s="75">
        <v>33988</v>
      </c>
      <c r="B80" s="65"/>
      <c r="C80" s="66" t="s">
        <v>378</v>
      </c>
      <c r="D80" s="8"/>
      <c r="E80" s="123" t="s">
        <v>314</v>
      </c>
      <c r="F80" s="67">
        <v>16</v>
      </c>
      <c r="G80" s="68">
        <v>1059</v>
      </c>
      <c r="H80" s="69">
        <v>1650</v>
      </c>
    </row>
    <row r="81" spans="1:8" ht="16.5" customHeight="1" x14ac:dyDescent="0.3">
      <c r="A81" s="75">
        <v>34076</v>
      </c>
      <c r="B81" s="65">
        <v>0.49365079365079401</v>
      </c>
      <c r="C81" s="66" t="s">
        <v>444</v>
      </c>
      <c r="D81" s="8"/>
      <c r="E81" s="123" t="s">
        <v>505</v>
      </c>
      <c r="F81" s="67">
        <v>3</v>
      </c>
      <c r="G81" s="68">
        <v>205</v>
      </c>
      <c r="H81" s="69">
        <v>319</v>
      </c>
    </row>
    <row r="82" spans="1:8" ht="16.5" customHeight="1" x14ac:dyDescent="0.3">
      <c r="A82" s="75">
        <v>34079</v>
      </c>
      <c r="B82" s="65">
        <v>0.49365079365079401</v>
      </c>
      <c r="C82" s="66" t="s">
        <v>427</v>
      </c>
      <c r="D82" s="8"/>
      <c r="E82" s="123" t="s">
        <v>506</v>
      </c>
      <c r="F82" s="67">
        <v>3</v>
      </c>
      <c r="G82" s="68">
        <v>205</v>
      </c>
      <c r="H82" s="69">
        <v>319</v>
      </c>
    </row>
    <row r="83" spans="1:8" ht="16.5" customHeight="1" x14ac:dyDescent="0.3">
      <c r="A83" s="75">
        <v>34498</v>
      </c>
      <c r="B83" s="65">
        <v>0.463076923076923</v>
      </c>
      <c r="C83" s="66" t="s">
        <v>431</v>
      </c>
      <c r="D83" s="8"/>
      <c r="E83" s="123" t="s">
        <v>766</v>
      </c>
      <c r="F83" s="67">
        <v>3</v>
      </c>
      <c r="G83" s="68">
        <v>224</v>
      </c>
      <c r="H83" s="69">
        <v>349</v>
      </c>
    </row>
    <row r="84" spans="1:8" ht="16.5" customHeight="1" x14ac:dyDescent="0.3">
      <c r="A84" s="75">
        <v>34647</v>
      </c>
      <c r="B84" s="65">
        <v>0.49741935483871003</v>
      </c>
      <c r="C84" s="66" t="s">
        <v>409</v>
      </c>
      <c r="D84" s="8"/>
      <c r="E84" s="123" t="s">
        <v>507</v>
      </c>
      <c r="F84" s="67">
        <v>8</v>
      </c>
      <c r="G84" s="68">
        <v>500</v>
      </c>
      <c r="H84" s="69">
        <v>779</v>
      </c>
    </row>
    <row r="85" spans="1:8" ht="16.5" customHeight="1" x14ac:dyDescent="0.3">
      <c r="A85" s="75">
        <v>34648</v>
      </c>
      <c r="B85" s="65">
        <v>0.49741935483871003</v>
      </c>
      <c r="C85" s="66" t="s">
        <v>409</v>
      </c>
      <c r="D85" s="8"/>
      <c r="E85" s="123" t="s">
        <v>508</v>
      </c>
      <c r="F85" s="67">
        <v>8</v>
      </c>
      <c r="G85" s="68">
        <v>500</v>
      </c>
      <c r="H85" s="69">
        <v>779</v>
      </c>
    </row>
    <row r="86" spans="1:8" ht="16.5" customHeight="1" x14ac:dyDescent="0.3">
      <c r="A86" s="75">
        <v>34649</v>
      </c>
      <c r="B86" s="65">
        <v>0.49741935483871003</v>
      </c>
      <c r="C86" s="66" t="s">
        <v>409</v>
      </c>
      <c r="D86" s="8"/>
      <c r="E86" s="123" t="s">
        <v>509</v>
      </c>
      <c r="F86" s="67">
        <v>8</v>
      </c>
      <c r="G86" s="68">
        <v>500</v>
      </c>
      <c r="H86" s="69">
        <v>779</v>
      </c>
    </row>
    <row r="87" spans="1:8" ht="16.5" customHeight="1" x14ac:dyDescent="0.3">
      <c r="A87" s="75">
        <v>34650</v>
      </c>
      <c r="B87" s="65">
        <v>0.49741935483871003</v>
      </c>
      <c r="C87" s="66" t="s">
        <v>409</v>
      </c>
      <c r="D87" s="8"/>
      <c r="E87" s="123" t="s">
        <v>510</v>
      </c>
      <c r="F87" s="67">
        <v>8</v>
      </c>
      <c r="G87" s="68">
        <v>500</v>
      </c>
      <c r="H87" s="69">
        <v>779</v>
      </c>
    </row>
    <row r="88" spans="1:8" ht="16.5" customHeight="1" x14ac:dyDescent="0.3">
      <c r="A88" s="75">
        <v>34819</v>
      </c>
      <c r="B88" s="65">
        <v>0.50166666666666704</v>
      </c>
      <c r="C88" s="66" t="s">
        <v>410</v>
      </c>
      <c r="D88" s="8" t="s">
        <v>1170</v>
      </c>
      <c r="E88" s="123" t="s">
        <v>303</v>
      </c>
      <c r="F88" s="67">
        <v>3</v>
      </c>
      <c r="G88" s="68">
        <v>192</v>
      </c>
      <c r="H88" s="69">
        <v>299</v>
      </c>
    </row>
    <row r="89" spans="1:8" ht="16.5" customHeight="1" x14ac:dyDescent="0.3">
      <c r="A89" s="75">
        <v>34841</v>
      </c>
      <c r="B89" s="65">
        <v>0.401666666666667</v>
      </c>
      <c r="C89" s="66" t="s">
        <v>439</v>
      </c>
      <c r="D89" s="8"/>
      <c r="E89" s="123" t="s">
        <v>511</v>
      </c>
      <c r="F89" s="67">
        <v>4</v>
      </c>
      <c r="G89" s="68">
        <v>230</v>
      </c>
      <c r="H89" s="69">
        <v>359</v>
      </c>
    </row>
    <row r="90" spans="1:8" ht="16.5" customHeight="1" x14ac:dyDescent="0.3">
      <c r="A90" s="75">
        <v>34843</v>
      </c>
      <c r="B90" s="65">
        <v>0.401666666666667</v>
      </c>
      <c r="C90" s="66" t="s">
        <v>439</v>
      </c>
      <c r="D90" s="8"/>
      <c r="E90" s="123" t="s">
        <v>512</v>
      </c>
      <c r="F90" s="67">
        <v>4</v>
      </c>
      <c r="G90" s="68">
        <v>230</v>
      </c>
      <c r="H90" s="69">
        <v>359</v>
      </c>
    </row>
    <row r="91" spans="1:8" ht="16.5" customHeight="1" x14ac:dyDescent="0.3">
      <c r="A91" s="75">
        <v>34849</v>
      </c>
      <c r="B91" s="65">
        <v>0.432307692307692</v>
      </c>
      <c r="C91" s="66" t="s">
        <v>439</v>
      </c>
      <c r="D91" s="8"/>
      <c r="E91" s="123" t="s">
        <v>513</v>
      </c>
      <c r="F91" s="67">
        <v>4</v>
      </c>
      <c r="G91" s="68">
        <v>237</v>
      </c>
      <c r="H91" s="69">
        <v>369</v>
      </c>
    </row>
    <row r="92" spans="1:8" ht="16.5" customHeight="1" x14ac:dyDescent="0.3">
      <c r="A92" s="75">
        <v>34855</v>
      </c>
      <c r="B92" s="65">
        <v>0.432307692307692</v>
      </c>
      <c r="C92" s="66" t="s">
        <v>439</v>
      </c>
      <c r="D92" s="8"/>
      <c r="E92" s="123" t="s">
        <v>514</v>
      </c>
      <c r="F92" s="67">
        <v>4</v>
      </c>
      <c r="G92" s="68">
        <v>237</v>
      </c>
      <c r="H92" s="69">
        <v>369</v>
      </c>
    </row>
    <row r="93" spans="1:8" ht="16.5" customHeight="1" x14ac:dyDescent="0.3">
      <c r="A93" s="75">
        <v>34891</v>
      </c>
      <c r="B93" s="65">
        <v>0.23857142857142899</v>
      </c>
      <c r="C93" s="66" t="s">
        <v>463</v>
      </c>
      <c r="D93" s="8"/>
      <c r="E93" s="123" t="s">
        <v>315</v>
      </c>
      <c r="F93" s="67">
        <v>16</v>
      </c>
      <c r="G93" s="68">
        <v>1026</v>
      </c>
      <c r="H93" s="69">
        <v>1599</v>
      </c>
    </row>
    <row r="94" spans="1:8" ht="16.5" customHeight="1" x14ac:dyDescent="0.3">
      <c r="A94" s="75">
        <v>34920</v>
      </c>
      <c r="B94" s="65">
        <v>0.501428571428571</v>
      </c>
      <c r="C94" s="66" t="s">
        <v>482</v>
      </c>
      <c r="D94" s="8"/>
      <c r="E94" s="123" t="s">
        <v>515</v>
      </c>
      <c r="F94" s="67">
        <v>3</v>
      </c>
      <c r="G94" s="68">
        <v>224</v>
      </c>
      <c r="H94" s="69">
        <v>349</v>
      </c>
    </row>
    <row r="95" spans="1:8" ht="16.5" customHeight="1" x14ac:dyDescent="0.3">
      <c r="A95" s="75">
        <v>35073</v>
      </c>
      <c r="B95" s="65">
        <v>0.29680000000000001</v>
      </c>
      <c r="C95" s="66" t="s">
        <v>378</v>
      </c>
      <c r="D95" s="8"/>
      <c r="E95" s="123" t="s">
        <v>316</v>
      </c>
      <c r="F95" s="67">
        <v>9</v>
      </c>
      <c r="G95" s="68">
        <v>564</v>
      </c>
      <c r="H95" s="69">
        <v>879</v>
      </c>
    </row>
    <row r="96" spans="1:8" ht="16.5" customHeight="1" x14ac:dyDescent="0.3">
      <c r="A96" s="75">
        <v>35076</v>
      </c>
      <c r="B96" s="65">
        <v>0.28607142857142898</v>
      </c>
      <c r="C96" s="66" t="s">
        <v>378</v>
      </c>
      <c r="D96" s="8"/>
      <c r="E96" s="123" t="s">
        <v>136</v>
      </c>
      <c r="F96" s="67">
        <v>20</v>
      </c>
      <c r="G96" s="68">
        <v>1283</v>
      </c>
      <c r="H96" s="69">
        <v>1999</v>
      </c>
    </row>
    <row r="97" spans="1:8" ht="16.5" customHeight="1" x14ac:dyDescent="0.3">
      <c r="A97" s="75">
        <v>35424</v>
      </c>
      <c r="B97" s="65">
        <v>0.49322033898305101</v>
      </c>
      <c r="C97" s="66" t="s">
        <v>465</v>
      </c>
      <c r="D97" s="8"/>
      <c r="E97" s="123" t="s">
        <v>516</v>
      </c>
      <c r="F97" s="67">
        <v>3</v>
      </c>
      <c r="G97" s="68">
        <v>192</v>
      </c>
      <c r="H97" s="69">
        <v>299</v>
      </c>
    </row>
    <row r="98" spans="1:8" ht="16.5" customHeight="1" x14ac:dyDescent="0.3">
      <c r="A98" s="75">
        <v>35639</v>
      </c>
      <c r="B98" s="65">
        <v>0.50151515151515103</v>
      </c>
      <c r="C98" s="66" t="s">
        <v>372</v>
      </c>
      <c r="D98" s="8"/>
      <c r="E98" s="123" t="s">
        <v>517</v>
      </c>
      <c r="F98" s="67">
        <v>3</v>
      </c>
      <c r="G98" s="68">
        <v>211</v>
      </c>
      <c r="H98" s="69">
        <v>329</v>
      </c>
    </row>
    <row r="99" spans="1:8" ht="16.5" customHeight="1" x14ac:dyDescent="0.3">
      <c r="A99" s="75">
        <v>35640</v>
      </c>
      <c r="B99" s="65">
        <v>0.50151515151515103</v>
      </c>
      <c r="C99" s="66" t="s">
        <v>372</v>
      </c>
      <c r="D99" s="8"/>
      <c r="E99" s="123" t="s">
        <v>518</v>
      </c>
      <c r="F99" s="67">
        <v>3</v>
      </c>
      <c r="G99" s="68">
        <v>211</v>
      </c>
      <c r="H99" s="69">
        <v>329</v>
      </c>
    </row>
    <row r="100" spans="1:8" ht="16.5" customHeight="1" x14ac:dyDescent="0.3">
      <c r="A100" s="75">
        <v>35641</v>
      </c>
      <c r="B100" s="65">
        <v>0.50151515151515103</v>
      </c>
      <c r="C100" s="66" t="s">
        <v>372</v>
      </c>
      <c r="D100" s="8"/>
      <c r="E100" s="123" t="s">
        <v>519</v>
      </c>
      <c r="F100" s="67">
        <v>3</v>
      </c>
      <c r="G100" s="68">
        <v>211</v>
      </c>
      <c r="H100" s="69">
        <v>329</v>
      </c>
    </row>
    <row r="101" spans="1:8" ht="16.5" customHeight="1" x14ac:dyDescent="0.3">
      <c r="A101" s="75">
        <v>35651</v>
      </c>
      <c r="B101" s="65">
        <v>0.51155555555555599</v>
      </c>
      <c r="C101" s="66" t="s">
        <v>369</v>
      </c>
      <c r="D101" s="8"/>
      <c r="E101" s="123" t="s">
        <v>675</v>
      </c>
      <c r="F101" s="67">
        <v>11</v>
      </c>
      <c r="G101" s="68">
        <v>705</v>
      </c>
      <c r="H101" s="69">
        <v>1099</v>
      </c>
    </row>
    <row r="102" spans="1:8" ht="16.5" customHeight="1" x14ac:dyDescent="0.3">
      <c r="A102" s="75">
        <v>35742</v>
      </c>
      <c r="B102" s="65">
        <v>0.35154639175257701</v>
      </c>
      <c r="C102" s="66" t="s">
        <v>767</v>
      </c>
      <c r="D102" s="8"/>
      <c r="E102" s="123" t="s">
        <v>520</v>
      </c>
      <c r="F102" s="67">
        <v>6</v>
      </c>
      <c r="G102" s="68">
        <v>403</v>
      </c>
      <c r="H102" s="69">
        <v>629</v>
      </c>
    </row>
    <row r="103" spans="1:8" ht="16.5" customHeight="1" x14ac:dyDescent="0.3">
      <c r="A103" s="75">
        <v>35759</v>
      </c>
      <c r="B103" s="65">
        <v>0.35411764705882398</v>
      </c>
      <c r="C103" s="66" t="s">
        <v>463</v>
      </c>
      <c r="D103" s="8"/>
      <c r="E103" s="123" t="s">
        <v>317</v>
      </c>
      <c r="F103" s="67">
        <v>5</v>
      </c>
      <c r="G103" s="68">
        <v>352</v>
      </c>
      <c r="H103" s="69">
        <v>549</v>
      </c>
    </row>
    <row r="104" spans="1:8" ht="16.5" customHeight="1" x14ac:dyDescent="0.3">
      <c r="A104" s="75">
        <v>35767</v>
      </c>
      <c r="B104" s="65">
        <v>0.36133333333333301</v>
      </c>
      <c r="C104" s="66" t="s">
        <v>434</v>
      </c>
      <c r="D104" s="8"/>
      <c r="E104" s="123" t="s">
        <v>724</v>
      </c>
      <c r="F104" s="67">
        <v>5</v>
      </c>
      <c r="G104" s="68">
        <v>307</v>
      </c>
      <c r="H104" s="69">
        <v>479</v>
      </c>
    </row>
    <row r="105" spans="1:8" ht="16.5" customHeight="1" x14ac:dyDescent="0.3">
      <c r="A105" s="75">
        <v>35779</v>
      </c>
      <c r="B105" s="65">
        <v>0.52066666666666706</v>
      </c>
      <c r="C105" s="66" t="s">
        <v>422</v>
      </c>
      <c r="D105" s="8"/>
      <c r="E105" s="123" t="s">
        <v>521</v>
      </c>
      <c r="F105" s="67">
        <v>7</v>
      </c>
      <c r="G105" s="68">
        <v>461</v>
      </c>
      <c r="H105" s="69">
        <v>719</v>
      </c>
    </row>
    <row r="106" spans="1:8" ht="16.5" customHeight="1" x14ac:dyDescent="0.3">
      <c r="A106" s="75">
        <v>35780</v>
      </c>
      <c r="B106" s="65">
        <v>0.52066666666666706</v>
      </c>
      <c r="C106" s="66" t="s">
        <v>422</v>
      </c>
      <c r="D106" s="8"/>
      <c r="E106" s="123" t="s">
        <v>522</v>
      </c>
      <c r="F106" s="67">
        <v>7</v>
      </c>
      <c r="G106" s="68">
        <v>461</v>
      </c>
      <c r="H106" s="69">
        <v>719</v>
      </c>
    </row>
    <row r="107" spans="1:8" ht="16.5" customHeight="1" x14ac:dyDescent="0.3">
      <c r="A107" s="75">
        <v>35781</v>
      </c>
      <c r="B107" s="65">
        <v>0.52066666666666706</v>
      </c>
      <c r="C107" s="66" t="s">
        <v>422</v>
      </c>
      <c r="D107" s="8"/>
      <c r="E107" s="123" t="s">
        <v>523</v>
      </c>
      <c r="F107" s="67">
        <v>7</v>
      </c>
      <c r="G107" s="68">
        <v>461</v>
      </c>
      <c r="H107" s="69">
        <v>719</v>
      </c>
    </row>
    <row r="108" spans="1:8" ht="16.5" customHeight="1" x14ac:dyDescent="0.3">
      <c r="A108" s="75">
        <v>35782</v>
      </c>
      <c r="B108" s="65">
        <v>0.52066666666666706</v>
      </c>
      <c r="C108" s="66" t="s">
        <v>422</v>
      </c>
      <c r="D108" s="8"/>
      <c r="E108" s="123" t="s">
        <v>524</v>
      </c>
      <c r="F108" s="67">
        <v>7</v>
      </c>
      <c r="G108" s="68">
        <v>461</v>
      </c>
      <c r="H108" s="69">
        <v>719</v>
      </c>
    </row>
    <row r="109" spans="1:8" ht="16.5" customHeight="1" x14ac:dyDescent="0.3">
      <c r="A109" s="75">
        <v>35783</v>
      </c>
      <c r="B109" s="65">
        <v>0.52066666666666706</v>
      </c>
      <c r="C109" s="66" t="s">
        <v>422</v>
      </c>
      <c r="D109" s="8"/>
      <c r="E109" s="123" t="s">
        <v>525</v>
      </c>
      <c r="F109" s="67">
        <v>7</v>
      </c>
      <c r="G109" s="68">
        <v>461</v>
      </c>
      <c r="H109" s="69">
        <v>719</v>
      </c>
    </row>
    <row r="110" spans="1:8" ht="16.5" customHeight="1" x14ac:dyDescent="0.3">
      <c r="A110" s="75">
        <v>35784</v>
      </c>
      <c r="B110" s="65">
        <v>0.52066666666666706</v>
      </c>
      <c r="C110" s="66" t="s">
        <v>422</v>
      </c>
      <c r="D110" s="8"/>
      <c r="E110" s="123" t="s">
        <v>526</v>
      </c>
      <c r="F110" s="67">
        <v>7</v>
      </c>
      <c r="G110" s="68">
        <v>461</v>
      </c>
      <c r="H110" s="69">
        <v>719</v>
      </c>
    </row>
    <row r="111" spans="1:8" ht="16.5" customHeight="1" x14ac:dyDescent="0.3">
      <c r="A111" s="75">
        <v>35785</v>
      </c>
      <c r="B111" s="65">
        <v>0.52066666666666706</v>
      </c>
      <c r="C111" s="66" t="s">
        <v>422</v>
      </c>
      <c r="D111" s="8"/>
      <c r="E111" s="123" t="s">
        <v>527</v>
      </c>
      <c r="F111" s="67">
        <v>7</v>
      </c>
      <c r="G111" s="68">
        <v>461</v>
      </c>
      <c r="H111" s="69">
        <v>719</v>
      </c>
    </row>
    <row r="112" spans="1:8" ht="16.5" customHeight="1" x14ac:dyDescent="0.3">
      <c r="A112" s="75">
        <v>35786</v>
      </c>
      <c r="B112" s="65">
        <v>0.52066666666666706</v>
      </c>
      <c r="C112" s="66" t="s">
        <v>422</v>
      </c>
      <c r="D112" s="8"/>
      <c r="E112" s="123" t="s">
        <v>528</v>
      </c>
      <c r="F112" s="67">
        <v>7</v>
      </c>
      <c r="G112" s="68">
        <v>461</v>
      </c>
      <c r="H112" s="69">
        <v>719</v>
      </c>
    </row>
    <row r="113" spans="1:8" ht="16.5" customHeight="1" x14ac:dyDescent="0.3">
      <c r="A113" s="75">
        <v>35787</v>
      </c>
      <c r="B113" s="65">
        <v>0.52066666666666706</v>
      </c>
      <c r="C113" s="66" t="s">
        <v>422</v>
      </c>
      <c r="D113" s="8"/>
      <c r="E113" s="123" t="s">
        <v>529</v>
      </c>
      <c r="F113" s="67">
        <v>7</v>
      </c>
      <c r="G113" s="68">
        <v>461</v>
      </c>
      <c r="H113" s="69">
        <v>719</v>
      </c>
    </row>
    <row r="114" spans="1:8" ht="16.5" customHeight="1" x14ac:dyDescent="0.3">
      <c r="A114" s="75">
        <v>35889</v>
      </c>
      <c r="B114" s="65">
        <v>0.36388888888888898</v>
      </c>
      <c r="C114" s="66" t="s">
        <v>407</v>
      </c>
      <c r="D114" s="8"/>
      <c r="E114" s="123" t="s">
        <v>768</v>
      </c>
      <c r="F114" s="67">
        <v>2</v>
      </c>
      <c r="G114" s="68">
        <v>147</v>
      </c>
      <c r="H114" s="69">
        <v>229</v>
      </c>
    </row>
    <row r="115" spans="1:8" ht="16.5" customHeight="1" x14ac:dyDescent="0.3">
      <c r="A115" s="75">
        <v>35892</v>
      </c>
      <c r="B115" s="65">
        <v>0.29466666666666702</v>
      </c>
      <c r="C115" s="66" t="s">
        <v>407</v>
      </c>
      <c r="D115" s="8"/>
      <c r="E115" s="123" t="s">
        <v>684</v>
      </c>
      <c r="F115" s="67">
        <v>5</v>
      </c>
      <c r="G115" s="68">
        <v>340</v>
      </c>
      <c r="H115" s="69">
        <v>529</v>
      </c>
    </row>
    <row r="116" spans="1:8" ht="16.5" customHeight="1" x14ac:dyDescent="0.3">
      <c r="A116" s="75">
        <v>35910</v>
      </c>
      <c r="B116" s="65">
        <v>0.50166666666666704</v>
      </c>
      <c r="C116" s="66" t="s">
        <v>410</v>
      </c>
      <c r="D116" s="8" t="s">
        <v>1170</v>
      </c>
      <c r="E116" s="123" t="s">
        <v>769</v>
      </c>
      <c r="F116" s="67">
        <v>3</v>
      </c>
      <c r="G116" s="68">
        <v>192</v>
      </c>
      <c r="H116" s="69">
        <v>299</v>
      </c>
    </row>
    <row r="117" spans="1:8" ht="15.65" customHeight="1" x14ac:dyDescent="0.3">
      <c r="A117" s="75">
        <v>35957</v>
      </c>
      <c r="B117" s="65">
        <v>0.35099999999999998</v>
      </c>
      <c r="C117" s="66" t="s">
        <v>394</v>
      </c>
      <c r="D117" s="8"/>
      <c r="E117" s="123" t="s">
        <v>725</v>
      </c>
      <c r="F117" s="67">
        <v>6</v>
      </c>
      <c r="G117" s="68">
        <v>417</v>
      </c>
      <c r="H117" s="69">
        <v>649</v>
      </c>
    </row>
    <row r="118" spans="1:8" ht="16.5" customHeight="1" x14ac:dyDescent="0.3">
      <c r="A118" s="75">
        <v>35958</v>
      </c>
      <c r="B118" s="65">
        <v>0.35099999999999998</v>
      </c>
      <c r="C118" s="66" t="s">
        <v>394</v>
      </c>
      <c r="D118" s="8"/>
      <c r="E118" s="123" t="s">
        <v>530</v>
      </c>
      <c r="F118" s="67">
        <v>6</v>
      </c>
      <c r="G118" s="68">
        <v>417</v>
      </c>
      <c r="H118" s="69">
        <v>649</v>
      </c>
    </row>
    <row r="119" spans="1:8" ht="16.5" customHeight="1" x14ac:dyDescent="0.3">
      <c r="A119" s="75">
        <v>35959</v>
      </c>
      <c r="B119" s="65">
        <v>0.39333333333333298</v>
      </c>
      <c r="C119" s="66" t="s">
        <v>394</v>
      </c>
      <c r="D119" s="8"/>
      <c r="E119" s="123" t="s">
        <v>531</v>
      </c>
      <c r="F119" s="67">
        <v>8</v>
      </c>
      <c r="G119" s="68">
        <v>526</v>
      </c>
      <c r="H119" s="69">
        <v>819</v>
      </c>
    </row>
    <row r="120" spans="1:8" ht="16.5" customHeight="1" x14ac:dyDescent="0.3">
      <c r="A120" s="75">
        <v>36126</v>
      </c>
      <c r="B120" s="65">
        <v>0.33393939393939398</v>
      </c>
      <c r="C120" s="66" t="s">
        <v>475</v>
      </c>
      <c r="D120" s="8"/>
      <c r="E120" s="123" t="s">
        <v>726</v>
      </c>
      <c r="F120" s="67">
        <v>11</v>
      </c>
      <c r="G120" s="68">
        <v>705</v>
      </c>
      <c r="H120" s="69">
        <v>1099</v>
      </c>
    </row>
    <row r="121" spans="1:8" ht="16.5" customHeight="1" x14ac:dyDescent="0.3">
      <c r="A121" s="75">
        <v>36152</v>
      </c>
      <c r="B121" s="65">
        <v>0.55526315789473701</v>
      </c>
      <c r="C121" s="66" t="s">
        <v>472</v>
      </c>
      <c r="D121" s="8"/>
      <c r="E121" s="123" t="s">
        <v>532</v>
      </c>
      <c r="F121" s="67">
        <v>2</v>
      </c>
      <c r="G121" s="68">
        <v>109</v>
      </c>
      <c r="H121" s="69">
        <v>169</v>
      </c>
    </row>
    <row r="122" spans="1:8" ht="16.5" customHeight="1" x14ac:dyDescent="0.3">
      <c r="A122" s="75">
        <v>36153</v>
      </c>
      <c r="B122" s="65">
        <v>0.55526315789473701</v>
      </c>
      <c r="C122" s="66" t="s">
        <v>472</v>
      </c>
      <c r="D122" s="8"/>
      <c r="E122" s="123" t="s">
        <v>533</v>
      </c>
      <c r="F122" s="67">
        <v>2</v>
      </c>
      <c r="G122" s="68">
        <v>109</v>
      </c>
      <c r="H122" s="69">
        <v>169</v>
      </c>
    </row>
    <row r="123" spans="1:8" ht="16.5" customHeight="1" x14ac:dyDescent="0.3">
      <c r="A123" s="75">
        <v>36547</v>
      </c>
      <c r="B123" s="65">
        <v>0.56200000000000006</v>
      </c>
      <c r="C123" s="66" t="s">
        <v>452</v>
      </c>
      <c r="D123" s="8"/>
      <c r="E123" s="123" t="s">
        <v>534</v>
      </c>
      <c r="F123" s="67">
        <v>2</v>
      </c>
      <c r="G123" s="68">
        <v>141</v>
      </c>
      <c r="H123" s="69">
        <v>219</v>
      </c>
    </row>
    <row r="124" spans="1:8" ht="16.5" customHeight="1" x14ac:dyDescent="0.3">
      <c r="A124" s="75">
        <v>36548</v>
      </c>
      <c r="B124" s="65">
        <v>0.56200000000000006</v>
      </c>
      <c r="C124" s="66" t="s">
        <v>452</v>
      </c>
      <c r="D124" s="8"/>
      <c r="E124" s="123" t="s">
        <v>535</v>
      </c>
      <c r="F124" s="67">
        <v>2</v>
      </c>
      <c r="G124" s="68">
        <v>141</v>
      </c>
      <c r="H124" s="69">
        <v>219</v>
      </c>
    </row>
    <row r="125" spans="1:8" ht="16.5" customHeight="1" x14ac:dyDescent="0.3">
      <c r="A125" s="75">
        <v>36550</v>
      </c>
      <c r="B125" s="65">
        <v>0.56200000000000006</v>
      </c>
      <c r="C125" s="66" t="s">
        <v>452</v>
      </c>
      <c r="D125" s="8"/>
      <c r="E125" s="123" t="s">
        <v>536</v>
      </c>
      <c r="F125" s="67">
        <v>2</v>
      </c>
      <c r="G125" s="68">
        <v>141</v>
      </c>
      <c r="H125" s="69">
        <v>219</v>
      </c>
    </row>
    <row r="126" spans="1:8" ht="16.5" customHeight="1" x14ac:dyDescent="0.3">
      <c r="A126" s="75">
        <v>36551</v>
      </c>
      <c r="B126" s="65">
        <v>0.56200000000000006</v>
      </c>
      <c r="C126" s="66" t="s">
        <v>452</v>
      </c>
      <c r="D126" s="8"/>
      <c r="E126" s="123" t="s">
        <v>537</v>
      </c>
      <c r="F126" s="67">
        <v>2</v>
      </c>
      <c r="G126" s="68">
        <v>141</v>
      </c>
      <c r="H126" s="69">
        <v>219</v>
      </c>
    </row>
    <row r="127" spans="1:8" ht="16.5" customHeight="1" x14ac:dyDescent="0.3">
      <c r="A127" s="75">
        <v>36552</v>
      </c>
      <c r="B127" s="65">
        <v>0.56200000000000006</v>
      </c>
      <c r="C127" s="66" t="s">
        <v>452</v>
      </c>
      <c r="D127" s="8"/>
      <c r="E127" s="123" t="s">
        <v>538</v>
      </c>
      <c r="F127" s="67">
        <v>2</v>
      </c>
      <c r="G127" s="68">
        <v>141</v>
      </c>
      <c r="H127" s="69">
        <v>219</v>
      </c>
    </row>
    <row r="128" spans="1:8" ht="16.5" customHeight="1" x14ac:dyDescent="0.3">
      <c r="A128" s="75">
        <v>36553</v>
      </c>
      <c r="B128" s="65">
        <v>0.56200000000000006</v>
      </c>
      <c r="C128" s="66" t="s">
        <v>452</v>
      </c>
      <c r="D128" s="8"/>
      <c r="E128" s="123" t="s">
        <v>539</v>
      </c>
      <c r="F128" s="67">
        <v>2</v>
      </c>
      <c r="G128" s="68">
        <v>141</v>
      </c>
      <c r="H128" s="69">
        <v>219</v>
      </c>
    </row>
    <row r="129" spans="1:8" ht="16.5" customHeight="1" x14ac:dyDescent="0.3">
      <c r="A129" s="75">
        <v>37607</v>
      </c>
      <c r="B129" s="65">
        <v>0.44193548387096798</v>
      </c>
      <c r="C129" s="66" t="s">
        <v>378</v>
      </c>
      <c r="D129" s="8"/>
      <c r="E129" s="123" t="s">
        <v>540</v>
      </c>
      <c r="F129" s="67">
        <v>5</v>
      </c>
      <c r="G129" s="68">
        <v>167</v>
      </c>
      <c r="H129" s="69">
        <v>519</v>
      </c>
    </row>
    <row r="130" spans="1:8" ht="16.5" customHeight="1" x14ac:dyDescent="0.3">
      <c r="A130" s="75">
        <v>37738</v>
      </c>
      <c r="B130" s="65">
        <v>0.49680000000000002</v>
      </c>
      <c r="C130" s="66" t="s">
        <v>380</v>
      </c>
      <c r="D130" s="8"/>
      <c r="E130" s="123" t="s">
        <v>541</v>
      </c>
      <c r="F130" s="67">
        <v>6</v>
      </c>
      <c r="G130" s="68">
        <v>403</v>
      </c>
      <c r="H130" s="69">
        <v>629</v>
      </c>
    </row>
    <row r="131" spans="1:8" ht="16.5" customHeight="1" x14ac:dyDescent="0.3">
      <c r="A131" s="75">
        <v>37739</v>
      </c>
      <c r="B131" s="65">
        <v>0.49680000000000002</v>
      </c>
      <c r="C131" s="66" t="s">
        <v>380</v>
      </c>
      <c r="D131" s="8"/>
      <c r="E131" s="123" t="s">
        <v>542</v>
      </c>
      <c r="F131" s="67">
        <v>6</v>
      </c>
      <c r="G131" s="68">
        <v>403</v>
      </c>
      <c r="H131" s="69">
        <v>629</v>
      </c>
    </row>
    <row r="132" spans="1:8" ht="16.5" customHeight="1" x14ac:dyDescent="0.3">
      <c r="A132" s="75">
        <v>37740</v>
      </c>
      <c r="B132" s="65">
        <v>0.49680000000000002</v>
      </c>
      <c r="C132" s="66" t="s">
        <v>380</v>
      </c>
      <c r="D132" s="8"/>
      <c r="E132" s="123" t="s">
        <v>543</v>
      </c>
      <c r="F132" s="67">
        <v>6</v>
      </c>
      <c r="G132" s="68">
        <v>403</v>
      </c>
      <c r="H132" s="69">
        <v>629</v>
      </c>
    </row>
    <row r="133" spans="1:8" ht="16.5" customHeight="1" x14ac:dyDescent="0.3">
      <c r="A133" s="75">
        <v>37766</v>
      </c>
      <c r="B133" s="65"/>
      <c r="C133" s="66" t="s">
        <v>443</v>
      </c>
      <c r="D133" s="8"/>
      <c r="E133" s="123" t="s">
        <v>363</v>
      </c>
      <c r="F133" s="67">
        <v>14</v>
      </c>
      <c r="G133" s="68">
        <v>931</v>
      </c>
      <c r="H133" s="69">
        <v>1450</v>
      </c>
    </row>
    <row r="134" spans="1:8" ht="16.5" customHeight="1" x14ac:dyDescent="0.3">
      <c r="A134" s="75">
        <v>37772</v>
      </c>
      <c r="B134" s="65">
        <v>0.40068965517241401</v>
      </c>
      <c r="C134" s="66" t="s">
        <v>443</v>
      </c>
      <c r="D134" s="8"/>
      <c r="E134" s="123" t="s">
        <v>544</v>
      </c>
      <c r="F134" s="67">
        <v>9</v>
      </c>
      <c r="G134" s="68">
        <v>557</v>
      </c>
      <c r="H134" s="69">
        <v>869</v>
      </c>
    </row>
    <row r="135" spans="1:8" ht="16.5" customHeight="1" x14ac:dyDescent="0.3">
      <c r="A135" s="75">
        <v>38336</v>
      </c>
      <c r="B135" s="65">
        <v>0.44146341463414601</v>
      </c>
      <c r="C135" s="66" t="s">
        <v>395</v>
      </c>
      <c r="D135" s="8"/>
      <c r="E135" s="123" t="s">
        <v>545</v>
      </c>
      <c r="F135" s="67">
        <v>2</v>
      </c>
      <c r="G135" s="68">
        <v>74</v>
      </c>
      <c r="H135" s="69">
        <v>229</v>
      </c>
    </row>
    <row r="136" spans="1:8" ht="16.5" customHeight="1" x14ac:dyDescent="0.3">
      <c r="A136" s="75">
        <v>38382</v>
      </c>
      <c r="B136" s="65"/>
      <c r="C136" s="66" t="s">
        <v>376</v>
      </c>
      <c r="D136" s="8"/>
      <c r="E136" s="123" t="s">
        <v>91</v>
      </c>
      <c r="F136" s="67">
        <v>16</v>
      </c>
      <c r="G136" s="68">
        <v>1027</v>
      </c>
      <c r="H136" s="69">
        <v>1600</v>
      </c>
    </row>
    <row r="137" spans="1:8" ht="16.5" customHeight="1" x14ac:dyDescent="0.3">
      <c r="A137" s="75">
        <v>38385</v>
      </c>
      <c r="B137" s="65"/>
      <c r="C137" s="66" t="s">
        <v>376</v>
      </c>
      <c r="D137" s="8"/>
      <c r="E137" s="123" t="s">
        <v>92</v>
      </c>
      <c r="F137" s="67">
        <v>27</v>
      </c>
      <c r="G137" s="68">
        <v>1732</v>
      </c>
      <c r="H137" s="69">
        <v>2700</v>
      </c>
    </row>
    <row r="138" spans="1:8" ht="16.5" customHeight="1" x14ac:dyDescent="0.3">
      <c r="A138" s="75">
        <v>38390</v>
      </c>
      <c r="B138" s="65"/>
      <c r="C138" s="66" t="s">
        <v>376</v>
      </c>
      <c r="D138" s="8"/>
      <c r="E138" s="123" t="s">
        <v>93</v>
      </c>
      <c r="F138" s="67">
        <v>23</v>
      </c>
      <c r="G138" s="68">
        <v>1475</v>
      </c>
      <c r="H138" s="69">
        <v>2300</v>
      </c>
    </row>
    <row r="139" spans="1:8" ht="16.5" customHeight="1" x14ac:dyDescent="0.3">
      <c r="A139" s="75">
        <v>38391</v>
      </c>
      <c r="B139" s="65"/>
      <c r="C139" s="66" t="s">
        <v>376</v>
      </c>
      <c r="D139" s="8"/>
      <c r="E139" s="123" t="s">
        <v>94</v>
      </c>
      <c r="F139" s="67">
        <v>37</v>
      </c>
      <c r="G139" s="68">
        <v>2374</v>
      </c>
      <c r="H139" s="69">
        <v>3700</v>
      </c>
    </row>
    <row r="140" spans="1:8" ht="16.5" customHeight="1" x14ac:dyDescent="0.3">
      <c r="A140" s="75">
        <v>38508</v>
      </c>
      <c r="B140" s="65">
        <v>0.545757575757576</v>
      </c>
      <c r="C140" s="66" t="s">
        <v>447</v>
      </c>
      <c r="D140" s="8"/>
      <c r="E140" s="123" t="s">
        <v>727</v>
      </c>
      <c r="F140" s="67">
        <v>15</v>
      </c>
      <c r="G140" s="68">
        <v>962</v>
      </c>
      <c r="H140" s="69">
        <v>1499</v>
      </c>
    </row>
    <row r="141" spans="1:8" ht="16.5" customHeight="1" x14ac:dyDescent="0.3">
      <c r="A141" s="75">
        <v>38509</v>
      </c>
      <c r="B141" s="65">
        <v>0.57606060606060605</v>
      </c>
      <c r="C141" s="66" t="s">
        <v>447</v>
      </c>
      <c r="D141" s="8"/>
      <c r="E141" s="123" t="s">
        <v>728</v>
      </c>
      <c r="F141" s="67">
        <v>14</v>
      </c>
      <c r="G141" s="68">
        <v>898</v>
      </c>
      <c r="H141" s="69">
        <v>1399</v>
      </c>
    </row>
    <row r="142" spans="1:8" ht="16.5" customHeight="1" x14ac:dyDescent="0.3">
      <c r="A142" s="75">
        <v>38540</v>
      </c>
      <c r="B142" s="65">
        <v>0.39583333333333298</v>
      </c>
      <c r="C142" s="66" t="s">
        <v>770</v>
      </c>
      <c r="D142" s="8"/>
      <c r="E142" s="123" t="s">
        <v>546</v>
      </c>
      <c r="F142" s="67">
        <v>29</v>
      </c>
      <c r="G142" s="68">
        <v>1860</v>
      </c>
      <c r="H142" s="69">
        <v>2900</v>
      </c>
    </row>
    <row r="143" spans="1:8" ht="16.5" customHeight="1" x14ac:dyDescent="0.3">
      <c r="A143" s="75">
        <v>38550</v>
      </c>
      <c r="B143" s="65">
        <v>0.545757575757576</v>
      </c>
      <c r="C143" s="66" t="s">
        <v>494</v>
      </c>
      <c r="D143" s="8"/>
      <c r="E143" s="123" t="s">
        <v>685</v>
      </c>
      <c r="F143" s="67">
        <v>15</v>
      </c>
      <c r="G143" s="68">
        <v>962</v>
      </c>
      <c r="H143" s="69">
        <v>1499</v>
      </c>
    </row>
    <row r="144" spans="1:8" ht="16.5" customHeight="1" x14ac:dyDescent="0.3">
      <c r="A144" s="75">
        <v>38552</v>
      </c>
      <c r="B144" s="65">
        <v>0.39321428571428602</v>
      </c>
      <c r="C144" s="66" t="s">
        <v>386</v>
      </c>
      <c r="D144" s="8"/>
      <c r="E144" s="123" t="s">
        <v>686</v>
      </c>
      <c r="F144" s="67">
        <v>17</v>
      </c>
      <c r="G144" s="68">
        <v>1090</v>
      </c>
      <c r="H144" s="69">
        <v>1699</v>
      </c>
    </row>
    <row r="145" spans="1:8" ht="16.5" customHeight="1" x14ac:dyDescent="0.3">
      <c r="A145" s="75">
        <v>38575</v>
      </c>
      <c r="B145" s="65">
        <v>0.50026315789473697</v>
      </c>
      <c r="C145" s="66" t="s">
        <v>447</v>
      </c>
      <c r="D145" s="8"/>
      <c r="E145" s="123" t="s">
        <v>729</v>
      </c>
      <c r="F145" s="67">
        <v>19</v>
      </c>
      <c r="G145" s="68">
        <v>1218</v>
      </c>
      <c r="H145" s="69">
        <v>1899</v>
      </c>
    </row>
    <row r="146" spans="1:8" ht="16.5" customHeight="1" x14ac:dyDescent="0.3">
      <c r="A146" s="75">
        <v>38585</v>
      </c>
      <c r="B146" s="65">
        <v>0.45071428571428601</v>
      </c>
      <c r="C146" s="66" t="s">
        <v>490</v>
      </c>
      <c r="D146" s="8"/>
      <c r="E146" s="123" t="s">
        <v>318</v>
      </c>
      <c r="F146" s="67">
        <v>8</v>
      </c>
      <c r="G146" s="68">
        <v>494</v>
      </c>
      <c r="H146" s="69">
        <v>769</v>
      </c>
    </row>
    <row r="147" spans="1:8" ht="16.5" customHeight="1" x14ac:dyDescent="0.3">
      <c r="A147" s="75">
        <v>38587</v>
      </c>
      <c r="B147" s="65">
        <v>0.39583333333333298</v>
      </c>
      <c r="C147" s="66" t="s">
        <v>771</v>
      </c>
      <c r="D147" s="8"/>
      <c r="E147" s="123" t="s">
        <v>546</v>
      </c>
      <c r="F147" s="67">
        <v>29</v>
      </c>
      <c r="G147" s="68">
        <v>1860</v>
      </c>
      <c r="H147" s="69">
        <v>2900</v>
      </c>
    </row>
    <row r="148" spans="1:8" ht="16.5" customHeight="1" x14ac:dyDescent="0.3">
      <c r="A148" s="75">
        <v>38597</v>
      </c>
      <c r="B148" s="65">
        <v>0.45071428571428601</v>
      </c>
      <c r="C148" s="66" t="s">
        <v>490</v>
      </c>
      <c r="D148" s="8"/>
      <c r="E148" s="123" t="s">
        <v>319</v>
      </c>
      <c r="F148" s="67">
        <v>8</v>
      </c>
      <c r="G148" s="68">
        <v>494</v>
      </c>
      <c r="H148" s="69">
        <v>769</v>
      </c>
    </row>
    <row r="149" spans="1:8" ht="16.5" customHeight="1" x14ac:dyDescent="0.3">
      <c r="A149" s="75">
        <v>38601</v>
      </c>
      <c r="B149" s="65"/>
      <c r="C149" s="66" t="s">
        <v>424</v>
      </c>
      <c r="D149" s="8"/>
      <c r="E149" s="123" t="s">
        <v>772</v>
      </c>
      <c r="F149" s="67">
        <v>19</v>
      </c>
      <c r="G149" s="68">
        <v>1251</v>
      </c>
      <c r="H149" s="69">
        <v>1950</v>
      </c>
    </row>
    <row r="150" spans="1:8" ht="16.5" customHeight="1" x14ac:dyDescent="0.3">
      <c r="A150" s="75">
        <v>38722</v>
      </c>
      <c r="B150" s="65">
        <v>0.44823529411764701</v>
      </c>
      <c r="C150" s="66" t="s">
        <v>467</v>
      </c>
      <c r="D150" s="8"/>
      <c r="E150" s="123" t="s">
        <v>547</v>
      </c>
      <c r="F150" s="67">
        <v>5</v>
      </c>
      <c r="G150" s="68">
        <v>301</v>
      </c>
      <c r="H150" s="69">
        <v>469</v>
      </c>
    </row>
    <row r="151" spans="1:8" ht="16.5" customHeight="1" x14ac:dyDescent="0.3">
      <c r="A151" s="75">
        <v>38874</v>
      </c>
      <c r="B151" s="65">
        <v>0.35166666666666702</v>
      </c>
      <c r="C151" s="66" t="s">
        <v>481</v>
      </c>
      <c r="D151" s="8"/>
      <c r="E151" s="123" t="s">
        <v>773</v>
      </c>
      <c r="F151" s="67">
        <v>4</v>
      </c>
      <c r="G151" s="68">
        <v>249</v>
      </c>
      <c r="H151" s="69">
        <v>389</v>
      </c>
    </row>
    <row r="152" spans="1:8" ht="16.5" customHeight="1" x14ac:dyDescent="0.3">
      <c r="A152" s="75">
        <v>38883</v>
      </c>
      <c r="B152" s="65">
        <v>0.29529411764705898</v>
      </c>
      <c r="C152" s="66" t="s">
        <v>449</v>
      </c>
      <c r="D152" s="8"/>
      <c r="E152" s="123" t="s">
        <v>305</v>
      </c>
      <c r="F152" s="67">
        <v>6</v>
      </c>
      <c r="G152" s="68">
        <v>384</v>
      </c>
      <c r="H152" s="69">
        <v>599</v>
      </c>
    </row>
    <row r="153" spans="1:8" ht="16.5" customHeight="1" x14ac:dyDescent="0.3">
      <c r="A153" s="75">
        <v>38884</v>
      </c>
      <c r="B153" s="65">
        <v>0.29529411764705898</v>
      </c>
      <c r="C153" s="66" t="s">
        <v>449</v>
      </c>
      <c r="D153" s="8"/>
      <c r="E153" s="123" t="s">
        <v>306</v>
      </c>
      <c r="F153" s="67">
        <v>6</v>
      </c>
      <c r="G153" s="68">
        <v>384</v>
      </c>
      <c r="H153" s="69">
        <v>599</v>
      </c>
    </row>
    <row r="154" spans="1:8" ht="16.5" customHeight="1" x14ac:dyDescent="0.3">
      <c r="A154" s="75">
        <v>38885</v>
      </c>
      <c r="B154" s="65">
        <v>0.29529411764705898</v>
      </c>
      <c r="C154" s="66" t="s">
        <v>449</v>
      </c>
      <c r="D154" s="8"/>
      <c r="E154" s="123" t="s">
        <v>307</v>
      </c>
      <c r="F154" s="67">
        <v>6</v>
      </c>
      <c r="G154" s="68">
        <v>384</v>
      </c>
      <c r="H154" s="69">
        <v>599</v>
      </c>
    </row>
    <row r="155" spans="1:8" ht="16.5" customHeight="1" x14ac:dyDescent="0.3">
      <c r="A155" s="75">
        <v>38948</v>
      </c>
      <c r="B155" s="65">
        <v>0.52291666666666703</v>
      </c>
      <c r="C155" s="66" t="s">
        <v>488</v>
      </c>
      <c r="D155" s="8"/>
      <c r="E155" s="123" t="s">
        <v>548</v>
      </c>
      <c r="F155" s="67">
        <v>2</v>
      </c>
      <c r="G155" s="68">
        <v>147</v>
      </c>
      <c r="H155" s="69">
        <v>229</v>
      </c>
    </row>
    <row r="156" spans="1:8" ht="16.5" customHeight="1" x14ac:dyDescent="0.3">
      <c r="A156" s="75">
        <v>39292</v>
      </c>
      <c r="B156" s="65">
        <v>0.49322033898305101</v>
      </c>
      <c r="C156" s="66" t="s">
        <v>466</v>
      </c>
      <c r="D156" s="8"/>
      <c r="E156" s="123" t="s">
        <v>774</v>
      </c>
      <c r="F156" s="67">
        <v>3</v>
      </c>
      <c r="G156" s="68">
        <v>192</v>
      </c>
      <c r="H156" s="69">
        <v>299</v>
      </c>
    </row>
    <row r="157" spans="1:8" ht="16.5" customHeight="1" x14ac:dyDescent="0.3">
      <c r="A157" s="75">
        <v>39377</v>
      </c>
      <c r="B157" s="65">
        <v>0.45250000000000001</v>
      </c>
      <c r="C157" s="66" t="s">
        <v>418</v>
      </c>
      <c r="D157" s="8"/>
      <c r="E157" s="123" t="s">
        <v>775</v>
      </c>
      <c r="F157" s="67">
        <v>2</v>
      </c>
      <c r="G157" s="68">
        <v>141</v>
      </c>
      <c r="H157" s="69">
        <v>219</v>
      </c>
    </row>
    <row r="158" spans="1:8" ht="16.5" customHeight="1" x14ac:dyDescent="0.3">
      <c r="A158" s="75">
        <v>39393</v>
      </c>
      <c r="B158" s="65">
        <v>0.45250000000000001</v>
      </c>
      <c r="C158" s="66" t="s">
        <v>418</v>
      </c>
      <c r="D158" s="8"/>
      <c r="E158" s="123" t="s">
        <v>776</v>
      </c>
      <c r="F158" s="67">
        <v>2</v>
      </c>
      <c r="G158" s="68">
        <v>141</v>
      </c>
      <c r="H158" s="69">
        <v>219</v>
      </c>
    </row>
    <row r="159" spans="1:8" ht="16.5" customHeight="1" x14ac:dyDescent="0.3">
      <c r="A159" s="75">
        <v>39426</v>
      </c>
      <c r="B159" s="65">
        <v>0.45250000000000001</v>
      </c>
      <c r="C159" s="66" t="s">
        <v>418</v>
      </c>
      <c r="D159" s="8"/>
      <c r="E159" s="123" t="s">
        <v>777</v>
      </c>
      <c r="F159" s="67">
        <v>2</v>
      </c>
      <c r="G159" s="68">
        <v>141</v>
      </c>
      <c r="H159" s="69">
        <v>219</v>
      </c>
    </row>
    <row r="160" spans="1:8" ht="16.5" customHeight="1" x14ac:dyDescent="0.3">
      <c r="A160" s="75">
        <v>39800</v>
      </c>
      <c r="B160" s="65">
        <v>0.52291666666666703</v>
      </c>
      <c r="C160" s="66" t="s">
        <v>488</v>
      </c>
      <c r="D160" s="8"/>
      <c r="E160" s="123" t="s">
        <v>852</v>
      </c>
      <c r="F160" s="67">
        <v>2</v>
      </c>
      <c r="G160" s="68">
        <v>147</v>
      </c>
      <c r="H160" s="69">
        <v>229</v>
      </c>
    </row>
    <row r="161" spans="1:8" ht="16.5" customHeight="1" x14ac:dyDescent="0.3">
      <c r="A161" s="75">
        <v>39801</v>
      </c>
      <c r="B161" s="65">
        <v>0.52291666666666703</v>
      </c>
      <c r="C161" s="66" t="s">
        <v>488</v>
      </c>
      <c r="D161" s="8"/>
      <c r="E161" s="123" t="s">
        <v>549</v>
      </c>
      <c r="F161" s="67">
        <v>2</v>
      </c>
      <c r="G161" s="68">
        <v>147</v>
      </c>
      <c r="H161" s="69">
        <v>229</v>
      </c>
    </row>
    <row r="162" spans="1:8" ht="16.5" customHeight="1" x14ac:dyDescent="0.3">
      <c r="A162" s="75">
        <v>39802</v>
      </c>
      <c r="B162" s="65">
        <v>0.52291666666666703</v>
      </c>
      <c r="C162" s="66" t="s">
        <v>488</v>
      </c>
      <c r="D162" s="8"/>
      <c r="E162" s="123" t="s">
        <v>550</v>
      </c>
      <c r="F162" s="67">
        <v>2</v>
      </c>
      <c r="G162" s="68">
        <v>147</v>
      </c>
      <c r="H162" s="69">
        <v>229</v>
      </c>
    </row>
    <row r="163" spans="1:8" ht="16.5" customHeight="1" x14ac:dyDescent="0.3">
      <c r="A163" s="75">
        <v>39803</v>
      </c>
      <c r="B163" s="65">
        <v>0.52291666666666703</v>
      </c>
      <c r="C163" s="66" t="s">
        <v>488</v>
      </c>
      <c r="D163" s="8"/>
      <c r="E163" s="123" t="s">
        <v>551</v>
      </c>
      <c r="F163" s="67">
        <v>2</v>
      </c>
      <c r="G163" s="68">
        <v>147</v>
      </c>
      <c r="H163" s="69">
        <v>229</v>
      </c>
    </row>
    <row r="164" spans="1:8" ht="16.5" customHeight="1" x14ac:dyDescent="0.3">
      <c r="A164" s="75">
        <v>39805</v>
      </c>
      <c r="B164" s="65">
        <v>0.52291666666666703</v>
      </c>
      <c r="C164" s="66" t="s">
        <v>488</v>
      </c>
      <c r="D164" s="8"/>
      <c r="E164" s="123" t="s">
        <v>552</v>
      </c>
      <c r="F164" s="67">
        <v>2</v>
      </c>
      <c r="G164" s="68">
        <v>147</v>
      </c>
      <c r="H164" s="69">
        <v>229</v>
      </c>
    </row>
    <row r="165" spans="1:8" ht="16.5" customHeight="1" x14ac:dyDescent="0.3">
      <c r="A165" s="75">
        <v>39806</v>
      </c>
      <c r="B165" s="65">
        <v>0.52291666666666703</v>
      </c>
      <c r="C165" s="66" t="s">
        <v>488</v>
      </c>
      <c r="D165" s="8"/>
      <c r="E165" s="123" t="s">
        <v>553</v>
      </c>
      <c r="F165" s="67">
        <v>2</v>
      </c>
      <c r="G165" s="68">
        <v>147</v>
      </c>
      <c r="H165" s="69">
        <v>229</v>
      </c>
    </row>
    <row r="166" spans="1:8" ht="16.5" customHeight="1" x14ac:dyDescent="0.3">
      <c r="A166" s="75">
        <v>39807</v>
      </c>
      <c r="B166" s="65">
        <v>0.52291666666666703</v>
      </c>
      <c r="C166" s="66" t="s">
        <v>488</v>
      </c>
      <c r="D166" s="8"/>
      <c r="E166" s="123" t="s">
        <v>554</v>
      </c>
      <c r="F166" s="67">
        <v>2</v>
      </c>
      <c r="G166" s="68">
        <v>147</v>
      </c>
      <c r="H166" s="69">
        <v>229</v>
      </c>
    </row>
    <row r="167" spans="1:8" ht="16.5" customHeight="1" x14ac:dyDescent="0.3">
      <c r="A167" s="75">
        <v>40672</v>
      </c>
      <c r="B167" s="65">
        <v>0.60124999999999995</v>
      </c>
      <c r="C167" s="66" t="s">
        <v>416</v>
      </c>
      <c r="D167" s="8"/>
      <c r="E167" s="123" t="s">
        <v>555</v>
      </c>
      <c r="F167" s="67">
        <v>3</v>
      </c>
      <c r="G167" s="68">
        <v>205</v>
      </c>
      <c r="H167" s="69">
        <v>319</v>
      </c>
    </row>
    <row r="168" spans="1:8" ht="16.5" customHeight="1" x14ac:dyDescent="0.3">
      <c r="A168" s="75">
        <v>40697</v>
      </c>
      <c r="B168" s="65">
        <v>0.60124999999999995</v>
      </c>
      <c r="C168" s="66" t="s">
        <v>416</v>
      </c>
      <c r="D168" s="8"/>
      <c r="E168" s="123" t="s">
        <v>556</v>
      </c>
      <c r="F168" s="67">
        <v>3</v>
      </c>
      <c r="G168" s="68">
        <v>205</v>
      </c>
      <c r="H168" s="69">
        <v>319</v>
      </c>
    </row>
    <row r="169" spans="1:8" ht="16.5" customHeight="1" x14ac:dyDescent="0.3">
      <c r="A169" s="75">
        <v>40794</v>
      </c>
      <c r="B169" s="65">
        <v>0.25962962962962999</v>
      </c>
      <c r="C169" s="66" t="s">
        <v>376</v>
      </c>
      <c r="D169" s="8"/>
      <c r="E169" s="123" t="s">
        <v>95</v>
      </c>
      <c r="F169" s="67">
        <v>20</v>
      </c>
      <c r="G169" s="68">
        <v>1283</v>
      </c>
      <c r="H169" s="69">
        <v>1999</v>
      </c>
    </row>
    <row r="170" spans="1:8" ht="16.5" customHeight="1" x14ac:dyDescent="0.3">
      <c r="A170" s="75">
        <v>40809</v>
      </c>
      <c r="B170" s="65">
        <v>0.485151515151515</v>
      </c>
      <c r="C170" s="66" t="s">
        <v>419</v>
      </c>
      <c r="D170" s="8"/>
      <c r="E170" s="123" t="s">
        <v>351</v>
      </c>
      <c r="F170" s="67">
        <v>17</v>
      </c>
      <c r="G170" s="68">
        <v>1090</v>
      </c>
      <c r="H170" s="69">
        <v>1699</v>
      </c>
    </row>
    <row r="171" spans="1:8" ht="16.5" customHeight="1" x14ac:dyDescent="0.3">
      <c r="A171" s="75">
        <v>40842</v>
      </c>
      <c r="B171" s="65">
        <v>0.44035087719298199</v>
      </c>
      <c r="C171" s="66" t="s">
        <v>464</v>
      </c>
      <c r="D171" s="8"/>
      <c r="E171" s="123" t="s">
        <v>360</v>
      </c>
      <c r="F171" s="67">
        <v>3</v>
      </c>
      <c r="G171" s="68">
        <v>205</v>
      </c>
      <c r="H171" s="69">
        <v>319</v>
      </c>
    </row>
    <row r="172" spans="1:8" ht="16.5" customHeight="1" x14ac:dyDescent="0.3">
      <c r="A172" s="75">
        <v>40872</v>
      </c>
      <c r="B172" s="65"/>
      <c r="C172" s="66" t="s">
        <v>378</v>
      </c>
      <c r="D172" s="8"/>
      <c r="E172" s="123" t="s">
        <v>320</v>
      </c>
      <c r="F172" s="67">
        <v>28</v>
      </c>
      <c r="G172" s="68">
        <v>1797</v>
      </c>
      <c r="H172" s="69">
        <v>2800</v>
      </c>
    </row>
    <row r="173" spans="1:8" ht="16.5" customHeight="1" x14ac:dyDescent="0.3">
      <c r="A173" s="75">
        <v>40880</v>
      </c>
      <c r="B173" s="65"/>
      <c r="C173" s="66" t="s">
        <v>379</v>
      </c>
      <c r="D173" s="8"/>
      <c r="E173" s="123" t="s">
        <v>321</v>
      </c>
      <c r="F173" s="67">
        <v>40</v>
      </c>
      <c r="G173" s="68">
        <v>2567</v>
      </c>
      <c r="H173" s="69">
        <v>4000</v>
      </c>
    </row>
    <row r="174" spans="1:8" ht="16.5" customHeight="1" x14ac:dyDescent="0.3">
      <c r="A174" s="75">
        <v>41029</v>
      </c>
      <c r="B174" s="65"/>
      <c r="C174" s="66" t="s">
        <v>489</v>
      </c>
      <c r="D174" s="8"/>
      <c r="E174" s="123" t="s">
        <v>96</v>
      </c>
      <c r="F174" s="67">
        <v>16</v>
      </c>
      <c r="G174" s="68">
        <v>1027</v>
      </c>
      <c r="H174" s="69">
        <v>1600</v>
      </c>
    </row>
    <row r="175" spans="1:8" ht="16.5" customHeight="1" x14ac:dyDescent="0.3">
      <c r="A175" s="75">
        <v>41033</v>
      </c>
      <c r="B175" s="65"/>
      <c r="C175" s="66" t="s">
        <v>477</v>
      </c>
      <c r="D175" s="8"/>
      <c r="E175" s="123" t="s">
        <v>97</v>
      </c>
      <c r="F175" s="67">
        <v>25</v>
      </c>
      <c r="G175" s="68">
        <v>1604</v>
      </c>
      <c r="H175" s="69">
        <v>2500</v>
      </c>
    </row>
    <row r="176" spans="1:8" ht="16.5" customHeight="1" x14ac:dyDescent="0.3">
      <c r="A176" s="75">
        <v>41034</v>
      </c>
      <c r="B176" s="65"/>
      <c r="C176" s="66" t="s">
        <v>477</v>
      </c>
      <c r="D176" s="8"/>
      <c r="E176" s="123" t="s">
        <v>98</v>
      </c>
      <c r="F176" s="67">
        <v>25</v>
      </c>
      <c r="G176" s="68">
        <v>1604</v>
      </c>
      <c r="H176" s="69">
        <v>2500</v>
      </c>
    </row>
    <row r="177" spans="1:8" ht="16.5" customHeight="1" x14ac:dyDescent="0.3">
      <c r="A177" s="75">
        <v>41035</v>
      </c>
      <c r="B177" s="65"/>
      <c r="C177" s="66" t="s">
        <v>401</v>
      </c>
      <c r="D177" s="8"/>
      <c r="E177" s="123" t="s">
        <v>99</v>
      </c>
      <c r="F177" s="67">
        <v>40</v>
      </c>
      <c r="G177" s="68">
        <v>2567</v>
      </c>
      <c r="H177" s="69">
        <v>4000</v>
      </c>
    </row>
    <row r="178" spans="1:8" ht="16.5" customHeight="1" x14ac:dyDescent="0.3">
      <c r="A178" s="75">
        <v>41037</v>
      </c>
      <c r="B178" s="65"/>
      <c r="C178" s="66" t="s">
        <v>401</v>
      </c>
      <c r="D178" s="8"/>
      <c r="E178" s="123" t="s">
        <v>100</v>
      </c>
      <c r="F178" s="67">
        <v>40</v>
      </c>
      <c r="G178" s="68">
        <v>2567</v>
      </c>
      <c r="H178" s="69">
        <v>4000</v>
      </c>
    </row>
    <row r="179" spans="1:8" ht="16.5" customHeight="1" x14ac:dyDescent="0.3">
      <c r="A179" s="75">
        <v>41039</v>
      </c>
      <c r="B179" s="65"/>
      <c r="C179" s="66" t="s">
        <v>401</v>
      </c>
      <c r="D179" s="8"/>
      <c r="E179" s="123" t="s">
        <v>101</v>
      </c>
      <c r="F179" s="67">
        <v>40</v>
      </c>
      <c r="G179" s="68">
        <v>2567</v>
      </c>
      <c r="H179" s="69">
        <v>4000</v>
      </c>
    </row>
    <row r="180" spans="1:8" ht="16.5" customHeight="1" x14ac:dyDescent="0.3">
      <c r="A180" s="75">
        <v>41040</v>
      </c>
      <c r="B180" s="65"/>
      <c r="C180" s="66" t="s">
        <v>401</v>
      </c>
      <c r="D180" s="8"/>
      <c r="E180" s="123" t="s">
        <v>102</v>
      </c>
      <c r="F180" s="67">
        <v>40</v>
      </c>
      <c r="G180" s="68">
        <v>2567</v>
      </c>
      <c r="H180" s="69">
        <v>4000</v>
      </c>
    </row>
    <row r="181" spans="1:8" ht="16.5" customHeight="1" x14ac:dyDescent="0.3">
      <c r="A181" s="75">
        <v>41043</v>
      </c>
      <c r="B181" s="65">
        <v>0.25838709677419402</v>
      </c>
      <c r="C181" s="66" t="s">
        <v>778</v>
      </c>
      <c r="D181" s="8"/>
      <c r="E181" s="123" t="s">
        <v>322</v>
      </c>
      <c r="F181" s="67">
        <v>23</v>
      </c>
      <c r="G181" s="68">
        <v>1475</v>
      </c>
      <c r="H181" s="69">
        <v>2299</v>
      </c>
    </row>
    <row r="182" spans="1:8" ht="16.5" customHeight="1" x14ac:dyDescent="0.3">
      <c r="A182" s="75">
        <v>41044</v>
      </c>
      <c r="B182" s="65">
        <v>0.25838709677419402</v>
      </c>
      <c r="C182" s="66" t="s">
        <v>778</v>
      </c>
      <c r="D182" s="8"/>
      <c r="E182" s="123" t="s">
        <v>103</v>
      </c>
      <c r="F182" s="67">
        <v>23</v>
      </c>
      <c r="G182" s="68">
        <v>1475</v>
      </c>
      <c r="H182" s="69">
        <v>2299</v>
      </c>
    </row>
    <row r="183" spans="1:8" ht="16.5" customHeight="1" x14ac:dyDescent="0.3">
      <c r="A183" s="75">
        <v>41047</v>
      </c>
      <c r="B183" s="65">
        <v>0.25838709677419402</v>
      </c>
      <c r="C183" s="66" t="s">
        <v>778</v>
      </c>
      <c r="D183" s="8"/>
      <c r="E183" s="123" t="s">
        <v>323</v>
      </c>
      <c r="F183" s="67">
        <v>23</v>
      </c>
      <c r="G183" s="68">
        <v>1475</v>
      </c>
      <c r="H183" s="69">
        <v>2299</v>
      </c>
    </row>
    <row r="184" spans="1:8" ht="16.5" customHeight="1" x14ac:dyDescent="0.3">
      <c r="A184" s="75">
        <v>41048</v>
      </c>
      <c r="B184" s="65">
        <v>0.25838709677419402</v>
      </c>
      <c r="C184" s="66" t="s">
        <v>778</v>
      </c>
      <c r="D184" s="8"/>
      <c r="E184" s="123" t="s">
        <v>104</v>
      </c>
      <c r="F184" s="67">
        <v>23</v>
      </c>
      <c r="G184" s="68">
        <v>1475</v>
      </c>
      <c r="H184" s="69">
        <v>2299</v>
      </c>
    </row>
    <row r="185" spans="1:8" ht="16.5" customHeight="1" x14ac:dyDescent="0.3">
      <c r="A185" s="75">
        <v>41057</v>
      </c>
      <c r="B185" s="65"/>
      <c r="C185" s="66" t="s">
        <v>377</v>
      </c>
      <c r="D185" s="8"/>
      <c r="E185" s="123" t="s">
        <v>105</v>
      </c>
      <c r="F185" s="67">
        <v>31</v>
      </c>
      <c r="G185" s="68">
        <v>1989</v>
      </c>
      <c r="H185" s="69">
        <v>3100</v>
      </c>
    </row>
    <row r="186" spans="1:8" ht="16.5" customHeight="1" x14ac:dyDescent="0.3">
      <c r="A186" s="75">
        <v>41058</v>
      </c>
      <c r="B186" s="65"/>
      <c r="C186" s="66" t="s">
        <v>377</v>
      </c>
      <c r="D186" s="8"/>
      <c r="E186" s="123" t="s">
        <v>106</v>
      </c>
      <c r="F186" s="67">
        <v>31</v>
      </c>
      <c r="G186" s="68">
        <v>1989</v>
      </c>
      <c r="H186" s="69">
        <v>3100</v>
      </c>
    </row>
    <row r="187" spans="1:8" ht="16.5" customHeight="1" x14ac:dyDescent="0.3">
      <c r="A187" s="75">
        <v>41059</v>
      </c>
      <c r="B187" s="65">
        <v>0.39173913043478298</v>
      </c>
      <c r="C187" s="66" t="s">
        <v>417</v>
      </c>
      <c r="D187" s="8"/>
      <c r="E187" s="123" t="s">
        <v>324</v>
      </c>
      <c r="F187" s="67">
        <v>14</v>
      </c>
      <c r="G187" s="68">
        <v>898</v>
      </c>
      <c r="H187" s="69">
        <v>1399</v>
      </c>
    </row>
    <row r="188" spans="1:8" ht="16.5" customHeight="1" x14ac:dyDescent="0.3">
      <c r="A188" s="75">
        <v>41102</v>
      </c>
      <c r="B188" s="65">
        <v>0.29512195121951201</v>
      </c>
      <c r="C188" s="66" t="s">
        <v>779</v>
      </c>
      <c r="D188" s="8"/>
      <c r="E188" s="123" t="s">
        <v>780</v>
      </c>
      <c r="F188" s="67">
        <v>3</v>
      </c>
      <c r="G188" s="68">
        <v>186</v>
      </c>
      <c r="H188" s="69">
        <v>289</v>
      </c>
    </row>
    <row r="189" spans="1:8" ht="16.5" customHeight="1" x14ac:dyDescent="0.3">
      <c r="A189" s="75">
        <v>41107</v>
      </c>
      <c r="B189" s="65">
        <v>0.18812499999999999</v>
      </c>
      <c r="C189" s="66" t="s">
        <v>474</v>
      </c>
      <c r="D189" s="8"/>
      <c r="E189" s="123" t="s">
        <v>557</v>
      </c>
      <c r="F189" s="67">
        <v>13</v>
      </c>
      <c r="G189" s="68">
        <v>833</v>
      </c>
      <c r="H189" s="69">
        <v>1299</v>
      </c>
    </row>
    <row r="190" spans="1:8" ht="16.5" customHeight="1" x14ac:dyDescent="0.3">
      <c r="A190" s="75">
        <v>41108</v>
      </c>
      <c r="B190" s="65">
        <v>0.18812499999999999</v>
      </c>
      <c r="C190" s="66" t="s">
        <v>474</v>
      </c>
      <c r="D190" s="8"/>
      <c r="E190" s="123" t="s">
        <v>558</v>
      </c>
      <c r="F190" s="67">
        <v>13</v>
      </c>
      <c r="G190" s="68">
        <v>833</v>
      </c>
      <c r="H190" s="69">
        <v>1299</v>
      </c>
    </row>
    <row r="191" spans="1:8" ht="16.5" customHeight="1" x14ac:dyDescent="0.3">
      <c r="A191" s="75">
        <v>41121</v>
      </c>
      <c r="B191" s="65">
        <v>0.40039999999999998</v>
      </c>
      <c r="C191" s="66" t="s">
        <v>409</v>
      </c>
      <c r="D191" s="8"/>
      <c r="E191" s="123" t="s">
        <v>139</v>
      </c>
      <c r="F191" s="67">
        <v>15</v>
      </c>
      <c r="G191" s="68">
        <v>481</v>
      </c>
      <c r="H191" s="69">
        <v>1499</v>
      </c>
    </row>
    <row r="192" spans="1:8" ht="16.5" customHeight="1" x14ac:dyDescent="0.3">
      <c r="A192" s="75">
        <v>41187</v>
      </c>
      <c r="B192" s="65">
        <v>0.34727272727272701</v>
      </c>
      <c r="C192" s="66" t="s">
        <v>468</v>
      </c>
      <c r="D192" s="8"/>
      <c r="E192" s="123" t="s">
        <v>781</v>
      </c>
      <c r="F192" s="67">
        <v>4</v>
      </c>
      <c r="G192" s="68">
        <v>230</v>
      </c>
      <c r="H192" s="69">
        <v>359</v>
      </c>
    </row>
    <row r="193" spans="1:8" ht="16.2" customHeight="1" x14ac:dyDescent="0.3">
      <c r="A193" s="75">
        <v>41188</v>
      </c>
      <c r="B193" s="65">
        <v>0.34727272727272701</v>
      </c>
      <c r="C193" s="66" t="s">
        <v>468</v>
      </c>
      <c r="D193" s="8"/>
      <c r="E193" s="123" t="s">
        <v>782</v>
      </c>
      <c r="F193" s="67">
        <v>4</v>
      </c>
      <c r="G193" s="68">
        <v>230</v>
      </c>
      <c r="H193" s="69">
        <v>359</v>
      </c>
    </row>
    <row r="194" spans="1:8" ht="16.5" customHeight="1" x14ac:dyDescent="0.3">
      <c r="A194" s="75">
        <v>41189</v>
      </c>
      <c r="B194" s="65">
        <v>0.34727272727272701</v>
      </c>
      <c r="C194" s="66" t="s">
        <v>468</v>
      </c>
      <c r="D194" s="8"/>
      <c r="E194" s="123" t="s">
        <v>783</v>
      </c>
      <c r="F194" s="67">
        <v>4</v>
      </c>
      <c r="G194" s="68">
        <v>230</v>
      </c>
      <c r="H194" s="69">
        <v>359</v>
      </c>
    </row>
    <row r="195" spans="1:8" ht="16.5" customHeight="1" x14ac:dyDescent="0.3">
      <c r="A195" s="75">
        <v>41190</v>
      </c>
      <c r="B195" s="65">
        <v>0.34727272727272701</v>
      </c>
      <c r="C195" s="66" t="s">
        <v>468</v>
      </c>
      <c r="D195" s="8"/>
      <c r="E195" s="123" t="s">
        <v>784</v>
      </c>
      <c r="F195" s="67">
        <v>4</v>
      </c>
      <c r="G195" s="68">
        <v>230</v>
      </c>
      <c r="H195" s="69">
        <v>359</v>
      </c>
    </row>
    <row r="196" spans="1:8" ht="16.5" customHeight="1" x14ac:dyDescent="0.3">
      <c r="A196" s="75">
        <v>41191</v>
      </c>
      <c r="B196" s="65">
        <v>0.34727272727272701</v>
      </c>
      <c r="C196" s="66" t="s">
        <v>468</v>
      </c>
      <c r="D196" s="8"/>
      <c r="E196" s="123" t="s">
        <v>785</v>
      </c>
      <c r="F196" s="67">
        <v>4</v>
      </c>
      <c r="G196" s="68">
        <v>230</v>
      </c>
      <c r="H196" s="69">
        <v>359</v>
      </c>
    </row>
    <row r="197" spans="1:8" ht="16.5" customHeight="1" x14ac:dyDescent="0.3">
      <c r="A197" s="75">
        <v>41192</v>
      </c>
      <c r="B197" s="65">
        <v>0.34727272727272701</v>
      </c>
      <c r="C197" s="66" t="s">
        <v>468</v>
      </c>
      <c r="D197" s="8"/>
      <c r="E197" s="123" t="s">
        <v>786</v>
      </c>
      <c r="F197" s="67">
        <v>4</v>
      </c>
      <c r="G197" s="68">
        <v>230</v>
      </c>
      <c r="H197" s="69">
        <v>359</v>
      </c>
    </row>
    <row r="198" spans="1:8" ht="16.5" customHeight="1" x14ac:dyDescent="0.3">
      <c r="A198" s="75">
        <v>41195</v>
      </c>
      <c r="B198" s="65">
        <v>0.34727272727272701</v>
      </c>
      <c r="C198" s="66" t="s">
        <v>468</v>
      </c>
      <c r="D198" s="8"/>
      <c r="E198" s="123" t="s">
        <v>787</v>
      </c>
      <c r="F198" s="67">
        <v>4</v>
      </c>
      <c r="G198" s="68">
        <v>230</v>
      </c>
      <c r="H198" s="69">
        <v>359</v>
      </c>
    </row>
    <row r="199" spans="1:8" ht="16.5" customHeight="1" x14ac:dyDescent="0.3">
      <c r="A199" s="75">
        <v>41196</v>
      </c>
      <c r="B199" s="65">
        <v>0.34727272727272701</v>
      </c>
      <c r="C199" s="66" t="s">
        <v>468</v>
      </c>
      <c r="D199" s="8"/>
      <c r="E199" s="123" t="s">
        <v>788</v>
      </c>
      <c r="F199" s="67">
        <v>4</v>
      </c>
      <c r="G199" s="68">
        <v>230</v>
      </c>
      <c r="H199" s="69">
        <v>359</v>
      </c>
    </row>
    <row r="200" spans="1:8" ht="16.5" customHeight="1" x14ac:dyDescent="0.3">
      <c r="A200" s="75">
        <v>41244</v>
      </c>
      <c r="B200" s="65">
        <v>0.442</v>
      </c>
      <c r="C200" s="66" t="s">
        <v>395</v>
      </c>
      <c r="D200" s="8"/>
      <c r="E200" s="123" t="s">
        <v>559</v>
      </c>
      <c r="F200" s="67">
        <v>3</v>
      </c>
      <c r="G200" s="68">
        <v>90</v>
      </c>
      <c r="H200" s="69">
        <v>279</v>
      </c>
    </row>
    <row r="201" spans="1:8" ht="16.5" customHeight="1" x14ac:dyDescent="0.3">
      <c r="A201" s="75">
        <v>41247</v>
      </c>
      <c r="B201" s="65">
        <v>0.442</v>
      </c>
      <c r="C201" s="66" t="s">
        <v>395</v>
      </c>
      <c r="D201" s="8"/>
      <c r="E201" s="123" t="s">
        <v>560</v>
      </c>
      <c r="F201" s="67">
        <v>3</v>
      </c>
      <c r="G201" s="68">
        <v>90</v>
      </c>
      <c r="H201" s="69">
        <v>279</v>
      </c>
    </row>
    <row r="202" spans="1:8" ht="16.5" customHeight="1" x14ac:dyDescent="0.3">
      <c r="A202" s="75">
        <v>41249</v>
      </c>
      <c r="B202" s="65">
        <v>0.442</v>
      </c>
      <c r="C202" s="66" t="s">
        <v>395</v>
      </c>
      <c r="D202" s="8"/>
      <c r="E202" s="123" t="s">
        <v>561</v>
      </c>
      <c r="F202" s="67">
        <v>3</v>
      </c>
      <c r="G202" s="68">
        <v>90</v>
      </c>
      <c r="H202" s="69">
        <v>279</v>
      </c>
    </row>
    <row r="203" spans="1:8" ht="16.5" customHeight="1" x14ac:dyDescent="0.3">
      <c r="A203" s="75">
        <v>41264</v>
      </c>
      <c r="B203" s="65">
        <v>0.29111111111111099</v>
      </c>
      <c r="C203" s="66" t="s">
        <v>387</v>
      </c>
      <c r="D203" s="8"/>
      <c r="E203" s="123" t="s">
        <v>362</v>
      </c>
      <c r="F203" s="67">
        <v>3</v>
      </c>
      <c r="G203" s="68">
        <v>205</v>
      </c>
      <c r="H203" s="69">
        <v>319</v>
      </c>
    </row>
    <row r="204" spans="1:8" ht="16.5" customHeight="1" x14ac:dyDescent="0.3">
      <c r="A204" s="75">
        <v>41265</v>
      </c>
      <c r="B204" s="65">
        <v>0.36133333333333301</v>
      </c>
      <c r="C204" s="66" t="s">
        <v>387</v>
      </c>
      <c r="D204" s="8"/>
      <c r="E204" s="123" t="s">
        <v>789</v>
      </c>
      <c r="F204" s="67">
        <v>5</v>
      </c>
      <c r="G204" s="68">
        <v>307</v>
      </c>
      <c r="H204" s="69">
        <v>479</v>
      </c>
    </row>
    <row r="205" spans="1:8" ht="16.5" customHeight="1" x14ac:dyDescent="0.3">
      <c r="A205" s="75">
        <v>41277</v>
      </c>
      <c r="B205" s="65">
        <v>0.35499999999999998</v>
      </c>
      <c r="C205" s="66" t="s">
        <v>473</v>
      </c>
      <c r="D205" s="8"/>
      <c r="E205" s="123" t="s">
        <v>562</v>
      </c>
      <c r="F205" s="67">
        <v>1</v>
      </c>
      <c r="G205" s="68">
        <v>83</v>
      </c>
      <c r="H205" s="69">
        <v>129</v>
      </c>
    </row>
    <row r="206" spans="1:8" ht="16.5" customHeight="1" x14ac:dyDescent="0.3">
      <c r="A206" s="75">
        <v>41281</v>
      </c>
      <c r="B206" s="65">
        <v>0.505</v>
      </c>
      <c r="C206" s="66" t="s">
        <v>458</v>
      </c>
      <c r="D206" s="8"/>
      <c r="E206" s="123" t="s">
        <v>563</v>
      </c>
      <c r="F206" s="67">
        <v>1</v>
      </c>
      <c r="G206" s="68">
        <v>64</v>
      </c>
      <c r="H206" s="69">
        <v>99</v>
      </c>
    </row>
    <row r="207" spans="1:8" ht="16.5" customHeight="1" x14ac:dyDescent="0.3">
      <c r="A207" s="75">
        <v>41283</v>
      </c>
      <c r="B207" s="65">
        <v>0.30083333333333301</v>
      </c>
      <c r="C207" s="66" t="s">
        <v>779</v>
      </c>
      <c r="D207" s="8"/>
      <c r="E207" s="123" t="s">
        <v>564</v>
      </c>
      <c r="F207" s="67">
        <v>8</v>
      </c>
      <c r="G207" s="68">
        <v>538</v>
      </c>
      <c r="H207" s="69">
        <v>839</v>
      </c>
    </row>
    <row r="208" spans="1:8" ht="16.5" customHeight="1" x14ac:dyDescent="0.3">
      <c r="A208" s="75">
        <v>41292</v>
      </c>
      <c r="B208" s="65">
        <v>0.45243902439024403</v>
      </c>
      <c r="C208" s="66" t="s">
        <v>390</v>
      </c>
      <c r="D208" s="8"/>
      <c r="E208" s="123" t="s">
        <v>790</v>
      </c>
      <c r="F208" s="67">
        <v>4</v>
      </c>
      <c r="G208" s="68">
        <v>288</v>
      </c>
      <c r="H208" s="69">
        <v>449</v>
      </c>
    </row>
    <row r="209" spans="1:8" ht="16.5" customHeight="1" x14ac:dyDescent="0.3">
      <c r="A209" s="75">
        <v>41295</v>
      </c>
      <c r="B209" s="65">
        <v>0.45243902439024403</v>
      </c>
      <c r="C209" s="66" t="s">
        <v>389</v>
      </c>
      <c r="D209" s="8"/>
      <c r="E209" s="123" t="s">
        <v>565</v>
      </c>
      <c r="F209" s="67">
        <v>4</v>
      </c>
      <c r="G209" s="68">
        <v>288</v>
      </c>
      <c r="H209" s="69">
        <v>449</v>
      </c>
    </row>
    <row r="210" spans="1:8" ht="16.5" customHeight="1" x14ac:dyDescent="0.3">
      <c r="A210" s="75">
        <v>41298</v>
      </c>
      <c r="B210" s="65">
        <v>0.45304347826086999</v>
      </c>
      <c r="C210" s="66" t="s">
        <v>390</v>
      </c>
      <c r="D210" s="8"/>
      <c r="E210" s="123" t="s">
        <v>791</v>
      </c>
      <c r="F210" s="67">
        <v>6</v>
      </c>
      <c r="G210" s="68">
        <v>403</v>
      </c>
      <c r="H210" s="69">
        <v>629</v>
      </c>
    </row>
    <row r="211" spans="1:8" ht="16.5" customHeight="1" x14ac:dyDescent="0.3">
      <c r="A211" s="75">
        <v>41303</v>
      </c>
      <c r="B211" s="65">
        <v>0.56200000000000006</v>
      </c>
      <c r="C211" s="66" t="s">
        <v>425</v>
      </c>
      <c r="D211" s="8"/>
      <c r="E211" s="123" t="s">
        <v>730</v>
      </c>
      <c r="F211" s="67">
        <v>2</v>
      </c>
      <c r="G211" s="68">
        <v>141</v>
      </c>
      <c r="H211" s="69">
        <v>219</v>
      </c>
    </row>
    <row r="212" spans="1:8" ht="16.5" customHeight="1" x14ac:dyDescent="0.3">
      <c r="A212" s="75">
        <v>41308</v>
      </c>
      <c r="B212" s="65">
        <v>0.50277777777777799</v>
      </c>
      <c r="C212" s="66" t="s">
        <v>389</v>
      </c>
      <c r="D212" s="8"/>
      <c r="E212" s="123" t="s">
        <v>566</v>
      </c>
      <c r="F212" s="67">
        <v>2</v>
      </c>
      <c r="G212" s="68">
        <v>115</v>
      </c>
      <c r="H212" s="69">
        <v>179</v>
      </c>
    </row>
    <row r="213" spans="1:8" ht="16.5" customHeight="1" x14ac:dyDescent="0.3">
      <c r="A213" s="75">
        <v>41311</v>
      </c>
      <c r="B213" s="65">
        <v>0.52539682539682497</v>
      </c>
      <c r="C213" s="66" t="s">
        <v>425</v>
      </c>
      <c r="D213" s="8"/>
      <c r="E213" s="123" t="s">
        <v>567</v>
      </c>
      <c r="F213" s="67">
        <v>3</v>
      </c>
      <c r="G213" s="68">
        <v>192</v>
      </c>
      <c r="H213" s="69">
        <v>299</v>
      </c>
    </row>
    <row r="214" spans="1:8" ht="16.2" customHeight="1" x14ac:dyDescent="0.3">
      <c r="A214" s="75">
        <v>41341</v>
      </c>
      <c r="B214" s="65">
        <v>0.44146341463414601</v>
      </c>
      <c r="C214" s="66" t="s">
        <v>400</v>
      </c>
      <c r="D214" s="8"/>
      <c r="E214" s="123" t="s">
        <v>344</v>
      </c>
      <c r="F214" s="67">
        <v>2</v>
      </c>
      <c r="G214" s="68">
        <v>147</v>
      </c>
      <c r="H214" s="69">
        <v>229</v>
      </c>
    </row>
    <row r="215" spans="1:8" ht="16.5" customHeight="1" x14ac:dyDescent="0.3">
      <c r="A215" s="75">
        <v>41354</v>
      </c>
      <c r="B215" s="65">
        <v>0.45243902439024403</v>
      </c>
      <c r="C215" s="66" t="s">
        <v>456</v>
      </c>
      <c r="D215" s="8"/>
      <c r="E215" s="123" t="s">
        <v>792</v>
      </c>
      <c r="F215" s="67">
        <v>4</v>
      </c>
      <c r="G215" s="68">
        <v>288</v>
      </c>
      <c r="H215" s="69">
        <v>449</v>
      </c>
    </row>
    <row r="216" spans="1:8" ht="16.5" customHeight="1" x14ac:dyDescent="0.3">
      <c r="A216" s="75">
        <v>41355</v>
      </c>
      <c r="B216" s="65"/>
      <c r="C216" s="66" t="s">
        <v>424</v>
      </c>
      <c r="D216" s="8"/>
      <c r="E216" s="123" t="s">
        <v>793</v>
      </c>
      <c r="F216" s="67">
        <v>19</v>
      </c>
      <c r="G216" s="68">
        <v>1251</v>
      </c>
      <c r="H216" s="69">
        <v>1950</v>
      </c>
    </row>
    <row r="217" spans="1:8" ht="16.5" customHeight="1" x14ac:dyDescent="0.3">
      <c r="A217" s="75">
        <v>41363</v>
      </c>
      <c r="B217" s="65">
        <v>0.27833333333333299</v>
      </c>
      <c r="C217" s="66" t="s">
        <v>460</v>
      </c>
      <c r="D217" s="8"/>
      <c r="E217" s="123" t="s">
        <v>794</v>
      </c>
      <c r="F217" s="67">
        <v>13</v>
      </c>
      <c r="G217" s="68">
        <v>833</v>
      </c>
      <c r="H217" s="69">
        <v>1299</v>
      </c>
    </row>
    <row r="218" spans="1:8" ht="16.5" customHeight="1" x14ac:dyDescent="0.3">
      <c r="A218" s="75">
        <v>41365</v>
      </c>
      <c r="B218" s="65">
        <v>0.27833333333333299</v>
      </c>
      <c r="C218" s="66" t="s">
        <v>397</v>
      </c>
      <c r="D218" s="8"/>
      <c r="E218" s="123" t="s">
        <v>795</v>
      </c>
      <c r="F218" s="67">
        <v>13</v>
      </c>
      <c r="G218" s="68">
        <v>833</v>
      </c>
      <c r="H218" s="69">
        <v>1299</v>
      </c>
    </row>
    <row r="219" spans="1:8" ht="16.5" customHeight="1" x14ac:dyDescent="0.3">
      <c r="A219" s="75">
        <v>41387</v>
      </c>
      <c r="B219" s="65">
        <v>0.50055555555555598</v>
      </c>
      <c r="C219" s="66" t="s">
        <v>397</v>
      </c>
      <c r="D219" s="8"/>
      <c r="E219" s="123" t="s">
        <v>687</v>
      </c>
      <c r="F219" s="67">
        <v>9</v>
      </c>
      <c r="G219" s="68">
        <v>577</v>
      </c>
      <c r="H219" s="69">
        <v>899</v>
      </c>
    </row>
    <row r="220" spans="1:8" ht="16.5" customHeight="1" x14ac:dyDescent="0.3">
      <c r="A220" s="75">
        <v>41408</v>
      </c>
      <c r="B220" s="65">
        <v>0.353333333333333</v>
      </c>
      <c r="C220" s="66" t="s">
        <v>411</v>
      </c>
      <c r="D220" s="8"/>
      <c r="E220" s="123" t="s">
        <v>568</v>
      </c>
      <c r="F220" s="67">
        <v>7</v>
      </c>
      <c r="G220" s="68">
        <v>436</v>
      </c>
      <c r="H220" s="69">
        <v>679</v>
      </c>
    </row>
    <row r="221" spans="1:8" ht="16.5" customHeight="1" x14ac:dyDescent="0.3">
      <c r="A221" s="75">
        <v>41437</v>
      </c>
      <c r="B221" s="65"/>
      <c r="C221" s="66" t="s">
        <v>424</v>
      </c>
      <c r="D221" s="8"/>
      <c r="E221" s="123" t="s">
        <v>796</v>
      </c>
      <c r="F221" s="67">
        <v>13</v>
      </c>
      <c r="G221" s="68">
        <v>834</v>
      </c>
      <c r="H221" s="69">
        <v>1300</v>
      </c>
    </row>
    <row r="222" spans="1:8" ht="16.5" customHeight="1" x14ac:dyDescent="0.3">
      <c r="A222" s="75">
        <v>41471</v>
      </c>
      <c r="B222" s="65">
        <v>0.34727272727272701</v>
      </c>
      <c r="C222" s="66" t="s">
        <v>468</v>
      </c>
      <c r="D222" s="8"/>
      <c r="E222" s="123" t="s">
        <v>797</v>
      </c>
      <c r="F222" s="67">
        <v>4</v>
      </c>
      <c r="G222" s="68">
        <v>230</v>
      </c>
      <c r="H222" s="69">
        <v>359</v>
      </c>
    </row>
    <row r="223" spans="1:8" ht="16.5" customHeight="1" x14ac:dyDescent="0.3">
      <c r="A223" s="75">
        <v>41472</v>
      </c>
      <c r="B223" s="65">
        <v>0.34727272727272701</v>
      </c>
      <c r="C223" s="66" t="s">
        <v>468</v>
      </c>
      <c r="D223" s="8"/>
      <c r="E223" s="123" t="s">
        <v>798</v>
      </c>
      <c r="F223" s="67">
        <v>4</v>
      </c>
      <c r="G223" s="68">
        <v>230</v>
      </c>
      <c r="H223" s="69">
        <v>359</v>
      </c>
    </row>
    <row r="224" spans="1:8" ht="16.5" customHeight="1" x14ac:dyDescent="0.3">
      <c r="A224" s="75">
        <v>41473</v>
      </c>
      <c r="B224" s="65">
        <v>0.34727272727272701</v>
      </c>
      <c r="C224" s="66" t="s">
        <v>468</v>
      </c>
      <c r="D224" s="8"/>
      <c r="E224" s="123" t="s">
        <v>799</v>
      </c>
      <c r="F224" s="67">
        <v>4</v>
      </c>
      <c r="G224" s="68">
        <v>230</v>
      </c>
      <c r="H224" s="69">
        <v>359</v>
      </c>
    </row>
    <row r="225" spans="1:8" ht="16.2" customHeight="1" x14ac:dyDescent="0.3">
      <c r="A225" s="75">
        <v>41474</v>
      </c>
      <c r="B225" s="65">
        <v>0.34727272727272701</v>
      </c>
      <c r="C225" s="66" t="s">
        <v>468</v>
      </c>
      <c r="D225" s="8"/>
      <c r="E225" s="123" t="s">
        <v>800</v>
      </c>
      <c r="F225" s="67">
        <v>4</v>
      </c>
      <c r="G225" s="68">
        <v>230</v>
      </c>
      <c r="H225" s="69">
        <v>359</v>
      </c>
    </row>
    <row r="226" spans="1:8" ht="16.5" customHeight="1" x14ac:dyDescent="0.3">
      <c r="A226" s="75">
        <v>41489</v>
      </c>
      <c r="B226" s="65">
        <v>0.35499999999999998</v>
      </c>
      <c r="C226" s="66" t="s">
        <v>387</v>
      </c>
      <c r="D226" s="8"/>
      <c r="E226" s="123" t="s">
        <v>569</v>
      </c>
      <c r="F226" s="67">
        <v>1</v>
      </c>
      <c r="G226" s="68">
        <v>83</v>
      </c>
      <c r="H226" s="69">
        <v>129</v>
      </c>
    </row>
    <row r="227" spans="1:8" ht="16.5" customHeight="1" x14ac:dyDescent="0.3">
      <c r="A227" s="75">
        <v>41493</v>
      </c>
      <c r="B227" s="65">
        <v>0.30199999999999999</v>
      </c>
      <c r="C227" s="66" t="s">
        <v>473</v>
      </c>
      <c r="D227" s="8"/>
      <c r="E227" s="123" t="s">
        <v>801</v>
      </c>
      <c r="F227" s="67">
        <v>3</v>
      </c>
      <c r="G227" s="68">
        <v>224</v>
      </c>
      <c r="H227" s="69">
        <v>349</v>
      </c>
    </row>
    <row r="228" spans="1:8" ht="16.5" customHeight="1" x14ac:dyDescent="0.3">
      <c r="A228" s="75">
        <v>41496</v>
      </c>
      <c r="B228" s="65">
        <v>0.35340909090909101</v>
      </c>
      <c r="C228" s="66" t="s">
        <v>473</v>
      </c>
      <c r="D228" s="8"/>
      <c r="E228" s="123" t="s">
        <v>802</v>
      </c>
      <c r="F228" s="67">
        <v>6</v>
      </c>
      <c r="G228" s="68">
        <v>365</v>
      </c>
      <c r="H228" s="69">
        <v>569</v>
      </c>
    </row>
    <row r="229" spans="1:8" ht="16.5" customHeight="1" x14ac:dyDescent="0.3">
      <c r="A229" s="75">
        <v>41505</v>
      </c>
      <c r="B229" s="65">
        <v>0.45679999999999998</v>
      </c>
      <c r="C229" s="66" t="s">
        <v>473</v>
      </c>
      <c r="D229" s="8"/>
      <c r="E229" s="123" t="s">
        <v>570</v>
      </c>
      <c r="F229" s="67">
        <v>7</v>
      </c>
      <c r="G229" s="68">
        <v>436</v>
      </c>
      <c r="H229" s="69">
        <v>679</v>
      </c>
    </row>
    <row r="230" spans="1:8" ht="16.5" customHeight="1" x14ac:dyDescent="0.3">
      <c r="A230" s="75">
        <v>41533</v>
      </c>
      <c r="B230" s="65">
        <v>0.54742268041237097</v>
      </c>
      <c r="C230" s="66" t="s">
        <v>428</v>
      </c>
      <c r="D230" s="8"/>
      <c r="E230" s="123" t="s">
        <v>803</v>
      </c>
      <c r="F230" s="67">
        <v>4</v>
      </c>
      <c r="G230" s="68">
        <v>282</v>
      </c>
      <c r="H230" s="69">
        <v>439</v>
      </c>
    </row>
    <row r="231" spans="1:8" ht="16.5" customHeight="1" x14ac:dyDescent="0.3">
      <c r="A231" s="75">
        <v>41542</v>
      </c>
      <c r="B231" s="65">
        <v>0.49365079365079401</v>
      </c>
      <c r="C231" s="66" t="s">
        <v>427</v>
      </c>
      <c r="D231" s="8"/>
      <c r="E231" s="123" t="s">
        <v>571</v>
      </c>
      <c r="F231" s="67">
        <v>3</v>
      </c>
      <c r="G231" s="68">
        <v>205</v>
      </c>
      <c r="H231" s="69">
        <v>319</v>
      </c>
    </row>
    <row r="232" spans="1:8" ht="16.5" customHeight="1" x14ac:dyDescent="0.3">
      <c r="A232" s="75">
        <v>41560</v>
      </c>
      <c r="B232" s="65">
        <v>0.39032258064516101</v>
      </c>
      <c r="C232" s="66" t="s">
        <v>496</v>
      </c>
      <c r="D232" s="8"/>
      <c r="E232" s="123" t="s">
        <v>572</v>
      </c>
      <c r="F232" s="67">
        <v>2</v>
      </c>
      <c r="G232" s="68">
        <v>61</v>
      </c>
      <c r="H232" s="69">
        <v>189</v>
      </c>
    </row>
    <row r="233" spans="1:8" ht="16.5" customHeight="1" x14ac:dyDescent="0.3">
      <c r="A233" s="75">
        <v>41563</v>
      </c>
      <c r="B233" s="65">
        <v>0.29703703703703699</v>
      </c>
      <c r="C233" s="66" t="s">
        <v>378</v>
      </c>
      <c r="D233" s="8"/>
      <c r="E233" s="123" t="s">
        <v>804</v>
      </c>
      <c r="F233" s="67">
        <v>9</v>
      </c>
      <c r="G233" s="68">
        <v>609</v>
      </c>
      <c r="H233" s="69">
        <v>949</v>
      </c>
    </row>
    <row r="234" spans="1:8" ht="16.5" customHeight="1" x14ac:dyDescent="0.3">
      <c r="A234" s="75">
        <v>41568</v>
      </c>
      <c r="B234" s="65">
        <v>0.46081081081081099</v>
      </c>
      <c r="C234" s="66" t="s">
        <v>389</v>
      </c>
      <c r="D234" s="8"/>
      <c r="E234" s="123" t="s">
        <v>573</v>
      </c>
      <c r="F234" s="67">
        <v>4</v>
      </c>
      <c r="G234" s="68">
        <v>256</v>
      </c>
      <c r="H234" s="69">
        <v>399</v>
      </c>
    </row>
    <row r="235" spans="1:8" ht="16.5" customHeight="1" x14ac:dyDescent="0.3">
      <c r="A235" s="75">
        <v>41672</v>
      </c>
      <c r="B235" s="65">
        <v>0.35411764705882398</v>
      </c>
      <c r="C235" s="66" t="s">
        <v>434</v>
      </c>
      <c r="D235" s="8"/>
      <c r="E235" s="123" t="s">
        <v>574</v>
      </c>
      <c r="F235" s="67">
        <v>5</v>
      </c>
      <c r="G235" s="68">
        <v>352</v>
      </c>
      <c r="H235" s="69">
        <v>549</v>
      </c>
    </row>
    <row r="236" spans="1:8" ht="16.5" customHeight="1" x14ac:dyDescent="0.3">
      <c r="A236" s="75">
        <v>41673</v>
      </c>
      <c r="B236" s="65">
        <v>0.35538461538461502</v>
      </c>
      <c r="C236" s="66" t="s">
        <v>434</v>
      </c>
      <c r="D236" s="8"/>
      <c r="E236" s="123" t="s">
        <v>575</v>
      </c>
      <c r="F236" s="67">
        <v>4</v>
      </c>
      <c r="G236" s="68">
        <v>269</v>
      </c>
      <c r="H236" s="69">
        <v>419</v>
      </c>
    </row>
    <row r="237" spans="1:8" ht="16.5" customHeight="1" x14ac:dyDescent="0.3">
      <c r="A237" s="75">
        <v>41715</v>
      </c>
      <c r="B237" s="65">
        <v>0.44035087719298199</v>
      </c>
      <c r="C237" s="66" t="s">
        <v>464</v>
      </c>
      <c r="D237" s="8"/>
      <c r="E237" s="123" t="s">
        <v>576</v>
      </c>
      <c r="F237" s="67">
        <v>3</v>
      </c>
      <c r="G237" s="68">
        <v>205</v>
      </c>
      <c r="H237" s="69">
        <v>319</v>
      </c>
    </row>
    <row r="238" spans="1:8" ht="16.5" customHeight="1" x14ac:dyDescent="0.3">
      <c r="A238" s="75">
        <v>41748</v>
      </c>
      <c r="B238" s="65">
        <v>0.50151515151515103</v>
      </c>
      <c r="C238" s="66" t="s">
        <v>372</v>
      </c>
      <c r="D238" s="8"/>
      <c r="E238" s="123" t="s">
        <v>676</v>
      </c>
      <c r="F238" s="67">
        <v>3</v>
      </c>
      <c r="G238" s="68">
        <v>211</v>
      </c>
      <c r="H238" s="69">
        <v>329</v>
      </c>
    </row>
    <row r="239" spans="1:8" ht="16.5" customHeight="1" x14ac:dyDescent="0.3">
      <c r="A239" s="75">
        <v>41749</v>
      </c>
      <c r="B239" s="65">
        <v>0.50151515151515103</v>
      </c>
      <c r="C239" s="66" t="s">
        <v>372</v>
      </c>
      <c r="D239" s="8"/>
      <c r="E239" s="123" t="s">
        <v>677</v>
      </c>
      <c r="F239" s="67">
        <v>3</v>
      </c>
      <c r="G239" s="68">
        <v>211</v>
      </c>
      <c r="H239" s="69">
        <v>329</v>
      </c>
    </row>
    <row r="240" spans="1:8" ht="16.5" customHeight="1" x14ac:dyDescent="0.3">
      <c r="A240" s="75">
        <v>41750</v>
      </c>
      <c r="B240" s="65">
        <v>0.50151515151515103</v>
      </c>
      <c r="C240" s="66" t="s">
        <v>372</v>
      </c>
      <c r="D240" s="8"/>
      <c r="E240" s="123" t="s">
        <v>678</v>
      </c>
      <c r="F240" s="67">
        <v>3</v>
      </c>
      <c r="G240" s="68">
        <v>211</v>
      </c>
      <c r="H240" s="69">
        <v>329</v>
      </c>
    </row>
    <row r="241" spans="1:8" ht="16.5" customHeight="1" x14ac:dyDescent="0.3">
      <c r="A241" s="75">
        <v>41758</v>
      </c>
      <c r="B241" s="65">
        <v>0.45636363636363603</v>
      </c>
      <c r="C241" s="66" t="s">
        <v>467</v>
      </c>
      <c r="D241" s="8"/>
      <c r="E241" s="123" t="s">
        <v>805</v>
      </c>
      <c r="F241" s="67">
        <v>3</v>
      </c>
      <c r="G241" s="68">
        <v>192</v>
      </c>
      <c r="H241" s="69">
        <v>299</v>
      </c>
    </row>
    <row r="242" spans="1:8" ht="16.5" customHeight="1" x14ac:dyDescent="0.3">
      <c r="A242" s="75">
        <v>41759</v>
      </c>
      <c r="B242" s="65">
        <v>0.45636363636363603</v>
      </c>
      <c r="C242" s="66" t="s">
        <v>467</v>
      </c>
      <c r="D242" s="8"/>
      <c r="E242" s="123" t="s">
        <v>806</v>
      </c>
      <c r="F242" s="67">
        <v>3</v>
      </c>
      <c r="G242" s="68">
        <v>192</v>
      </c>
      <c r="H242" s="69">
        <v>299</v>
      </c>
    </row>
    <row r="243" spans="1:8" ht="16.5" customHeight="1" x14ac:dyDescent="0.3">
      <c r="A243" s="75">
        <v>42118</v>
      </c>
      <c r="B243" s="65">
        <v>0.18972972972973001</v>
      </c>
      <c r="C243" s="66" t="s">
        <v>487</v>
      </c>
      <c r="D243" s="8"/>
      <c r="E243" s="123" t="s">
        <v>309</v>
      </c>
      <c r="F243" s="67">
        <v>15</v>
      </c>
      <c r="G243" s="68">
        <v>962</v>
      </c>
      <c r="H243" s="69">
        <v>1499</v>
      </c>
    </row>
    <row r="244" spans="1:8" ht="16.5" customHeight="1" x14ac:dyDescent="0.3">
      <c r="A244" s="75">
        <v>42204</v>
      </c>
      <c r="B244" s="65">
        <v>0.49365079365079401</v>
      </c>
      <c r="C244" s="66" t="s">
        <v>444</v>
      </c>
      <c r="D244" s="8"/>
      <c r="E244" s="123" t="s">
        <v>577</v>
      </c>
      <c r="F244" s="67">
        <v>3</v>
      </c>
      <c r="G244" s="68">
        <v>205</v>
      </c>
      <c r="H244" s="69">
        <v>319</v>
      </c>
    </row>
    <row r="245" spans="1:8" ht="16.5" customHeight="1" x14ac:dyDescent="0.3">
      <c r="A245" s="75">
        <v>42206</v>
      </c>
      <c r="B245" s="65">
        <v>0.39217391304347798</v>
      </c>
      <c r="C245" s="66" t="s">
        <v>807</v>
      </c>
      <c r="D245" s="8"/>
      <c r="E245" s="123" t="s">
        <v>578</v>
      </c>
      <c r="F245" s="67">
        <v>7</v>
      </c>
      <c r="G245" s="68">
        <v>449</v>
      </c>
      <c r="H245" s="69">
        <v>699</v>
      </c>
    </row>
    <row r="246" spans="1:8" ht="16.5" customHeight="1" x14ac:dyDescent="0.3">
      <c r="A246" s="75">
        <v>42236</v>
      </c>
      <c r="B246" s="65">
        <v>0.18</v>
      </c>
      <c r="C246" s="66" t="s">
        <v>413</v>
      </c>
      <c r="D246" s="8"/>
      <c r="E246" s="123" t="s">
        <v>579</v>
      </c>
      <c r="F246" s="67">
        <v>16</v>
      </c>
      <c r="G246" s="68">
        <v>1026</v>
      </c>
      <c r="H246" s="69">
        <v>1599</v>
      </c>
    </row>
    <row r="247" spans="1:8" ht="16.5" customHeight="1" x14ac:dyDescent="0.3">
      <c r="A247" s="75">
        <v>42237</v>
      </c>
      <c r="B247" s="65">
        <v>0.18</v>
      </c>
      <c r="C247" s="66" t="s">
        <v>413</v>
      </c>
      <c r="D247" s="8"/>
      <c r="E247" s="123" t="s">
        <v>580</v>
      </c>
      <c r="F247" s="67">
        <v>16</v>
      </c>
      <c r="G247" s="68">
        <v>1026</v>
      </c>
      <c r="H247" s="69">
        <v>1599</v>
      </c>
    </row>
    <row r="248" spans="1:8" ht="16.5" customHeight="1" x14ac:dyDescent="0.3">
      <c r="A248" s="75">
        <v>42238</v>
      </c>
      <c r="B248" s="65">
        <v>0.18</v>
      </c>
      <c r="C248" s="66" t="s">
        <v>413</v>
      </c>
      <c r="D248" s="8"/>
      <c r="E248" s="123" t="s">
        <v>581</v>
      </c>
      <c r="F248" s="67">
        <v>16</v>
      </c>
      <c r="G248" s="68">
        <v>1026</v>
      </c>
      <c r="H248" s="69">
        <v>1599</v>
      </c>
    </row>
    <row r="249" spans="1:8" ht="17.5" customHeight="1" x14ac:dyDescent="0.3">
      <c r="A249" s="75">
        <v>42239</v>
      </c>
      <c r="B249" s="65">
        <v>0.18</v>
      </c>
      <c r="C249" s="66" t="s">
        <v>413</v>
      </c>
      <c r="D249" s="8"/>
      <c r="E249" s="123" t="s">
        <v>582</v>
      </c>
      <c r="F249" s="67">
        <v>16</v>
      </c>
      <c r="G249" s="68">
        <v>1026</v>
      </c>
      <c r="H249" s="69">
        <v>1599</v>
      </c>
    </row>
    <row r="250" spans="1:8" ht="16.5" customHeight="1" x14ac:dyDescent="0.3">
      <c r="A250" s="75">
        <v>42240</v>
      </c>
      <c r="B250" s="65">
        <v>0.18</v>
      </c>
      <c r="C250" s="66" t="s">
        <v>413</v>
      </c>
      <c r="D250" s="8"/>
      <c r="E250" s="123" t="s">
        <v>808</v>
      </c>
      <c r="F250" s="67">
        <v>16</v>
      </c>
      <c r="G250" s="68">
        <v>1026</v>
      </c>
      <c r="H250" s="69">
        <v>1599</v>
      </c>
    </row>
    <row r="251" spans="1:8" ht="16.5" customHeight="1" x14ac:dyDescent="0.3">
      <c r="A251" s="75">
        <v>42241</v>
      </c>
      <c r="B251" s="65">
        <v>0.18</v>
      </c>
      <c r="C251" s="66" t="s">
        <v>413</v>
      </c>
      <c r="D251" s="8"/>
      <c r="E251" s="123" t="s">
        <v>583</v>
      </c>
      <c r="F251" s="67">
        <v>16</v>
      </c>
      <c r="G251" s="68">
        <v>1026</v>
      </c>
      <c r="H251" s="69">
        <v>1599</v>
      </c>
    </row>
    <row r="252" spans="1:8" ht="16.5" customHeight="1" x14ac:dyDescent="0.3">
      <c r="A252" s="75">
        <v>42255</v>
      </c>
      <c r="B252" s="65"/>
      <c r="C252" s="66" t="s">
        <v>378</v>
      </c>
      <c r="D252" s="8"/>
      <c r="E252" s="123" t="s">
        <v>325</v>
      </c>
      <c r="F252" s="67">
        <v>29</v>
      </c>
      <c r="G252" s="68">
        <v>1860</v>
      </c>
      <c r="H252" s="69">
        <v>2900</v>
      </c>
    </row>
    <row r="253" spans="1:8" ht="16.5" customHeight="1" x14ac:dyDescent="0.3">
      <c r="A253" s="75">
        <v>42256</v>
      </c>
      <c r="B253" s="65"/>
      <c r="C253" s="66" t="s">
        <v>378</v>
      </c>
      <c r="D253" s="8"/>
      <c r="E253" s="123" t="s">
        <v>361</v>
      </c>
      <c r="F253" s="67">
        <v>50</v>
      </c>
      <c r="G253" s="68">
        <v>3208</v>
      </c>
      <c r="H253" s="69">
        <v>5000</v>
      </c>
    </row>
    <row r="254" spans="1:8" ht="16.5" customHeight="1" x14ac:dyDescent="0.3">
      <c r="A254" s="75">
        <v>42263</v>
      </c>
      <c r="B254" s="65">
        <v>0.39454545454545498</v>
      </c>
      <c r="C254" s="66" t="s">
        <v>417</v>
      </c>
      <c r="D254" s="8"/>
      <c r="E254" s="123" t="s">
        <v>326</v>
      </c>
      <c r="F254" s="67">
        <v>10</v>
      </c>
      <c r="G254" s="68">
        <v>641</v>
      </c>
      <c r="H254" s="69">
        <v>999</v>
      </c>
    </row>
    <row r="255" spans="1:8" ht="16.5" customHeight="1" x14ac:dyDescent="0.3">
      <c r="A255" s="75">
        <v>42289</v>
      </c>
      <c r="B255" s="65">
        <v>0.45483870967741902</v>
      </c>
      <c r="C255" s="66" t="s">
        <v>467</v>
      </c>
      <c r="D255" s="8"/>
      <c r="E255" s="123" t="s">
        <v>584</v>
      </c>
      <c r="F255" s="67">
        <v>2</v>
      </c>
      <c r="G255" s="68">
        <v>54</v>
      </c>
      <c r="H255" s="69">
        <v>169</v>
      </c>
    </row>
    <row r="256" spans="1:8" ht="16.5" customHeight="1" x14ac:dyDescent="0.3">
      <c r="A256" s="75">
        <v>42324</v>
      </c>
      <c r="B256" s="65">
        <v>0.40079999999999999</v>
      </c>
      <c r="C256" s="66" t="s">
        <v>392</v>
      </c>
      <c r="D256" s="8"/>
      <c r="E256" s="123" t="s">
        <v>118</v>
      </c>
      <c r="F256" s="67">
        <v>7</v>
      </c>
      <c r="G256" s="68">
        <v>480</v>
      </c>
      <c r="H256" s="69">
        <v>749</v>
      </c>
    </row>
    <row r="257" spans="1:8" ht="16.5" customHeight="1" x14ac:dyDescent="0.3">
      <c r="A257" s="75">
        <v>42325</v>
      </c>
      <c r="B257" s="65">
        <v>0.40079999999999999</v>
      </c>
      <c r="C257" s="66" t="s">
        <v>392</v>
      </c>
      <c r="D257" s="8"/>
      <c r="E257" s="123" t="s">
        <v>119</v>
      </c>
      <c r="F257" s="67">
        <v>7</v>
      </c>
      <c r="G257" s="68">
        <v>480</v>
      </c>
      <c r="H257" s="69">
        <v>749</v>
      </c>
    </row>
    <row r="258" spans="1:8" ht="16.5" customHeight="1" x14ac:dyDescent="0.3">
      <c r="A258" s="75">
        <v>42326</v>
      </c>
      <c r="B258" s="65">
        <v>0.40079999999999999</v>
      </c>
      <c r="C258" s="66" t="s">
        <v>392</v>
      </c>
      <c r="D258" s="8"/>
      <c r="E258" s="123" t="s">
        <v>120</v>
      </c>
      <c r="F258" s="67">
        <v>7</v>
      </c>
      <c r="G258" s="68">
        <v>480</v>
      </c>
      <c r="H258" s="69">
        <v>749</v>
      </c>
    </row>
    <row r="259" spans="1:8" ht="16.5" customHeight="1" x14ac:dyDescent="0.3">
      <c r="A259" s="75">
        <v>42327</v>
      </c>
      <c r="B259" s="65">
        <v>0.40079999999999999</v>
      </c>
      <c r="C259" s="66" t="s">
        <v>392</v>
      </c>
      <c r="D259" s="8"/>
      <c r="E259" s="123" t="s">
        <v>121</v>
      </c>
      <c r="F259" s="67">
        <v>7</v>
      </c>
      <c r="G259" s="68">
        <v>480</v>
      </c>
      <c r="H259" s="69">
        <v>749</v>
      </c>
    </row>
    <row r="260" spans="1:8" ht="16.5" customHeight="1" x14ac:dyDescent="0.3">
      <c r="A260" s="75">
        <v>42328</v>
      </c>
      <c r="B260" s="65">
        <v>0.40079999999999999</v>
      </c>
      <c r="C260" s="66" t="s">
        <v>392</v>
      </c>
      <c r="D260" s="8"/>
      <c r="E260" s="123" t="s">
        <v>122</v>
      </c>
      <c r="F260" s="67">
        <v>7</v>
      </c>
      <c r="G260" s="68">
        <v>480</v>
      </c>
      <c r="H260" s="69">
        <v>749</v>
      </c>
    </row>
    <row r="261" spans="1:8" ht="16.5" customHeight="1" x14ac:dyDescent="0.3">
      <c r="A261" s="75">
        <v>42329</v>
      </c>
      <c r="B261" s="65">
        <v>0.40079999999999999</v>
      </c>
      <c r="C261" s="66" t="s">
        <v>392</v>
      </c>
      <c r="D261" s="8"/>
      <c r="E261" s="123" t="s">
        <v>123</v>
      </c>
      <c r="F261" s="67">
        <v>7</v>
      </c>
      <c r="G261" s="68">
        <v>480</v>
      </c>
      <c r="H261" s="69">
        <v>749</v>
      </c>
    </row>
    <row r="262" spans="1:8" ht="16.5" customHeight="1" x14ac:dyDescent="0.3">
      <c r="A262" s="75">
        <v>42330</v>
      </c>
      <c r="B262" s="65">
        <v>0.40079999999999999</v>
      </c>
      <c r="C262" s="66" t="s">
        <v>392</v>
      </c>
      <c r="D262" s="8"/>
      <c r="E262" s="123" t="s">
        <v>809</v>
      </c>
      <c r="F262" s="67">
        <v>7</v>
      </c>
      <c r="G262" s="68">
        <v>480</v>
      </c>
      <c r="H262" s="69">
        <v>749</v>
      </c>
    </row>
    <row r="263" spans="1:8" ht="16.5" customHeight="1" x14ac:dyDescent="0.3">
      <c r="A263" s="75">
        <v>42331</v>
      </c>
      <c r="B263" s="65">
        <v>0.40079999999999999</v>
      </c>
      <c r="C263" s="66" t="s">
        <v>392</v>
      </c>
      <c r="D263" s="8"/>
      <c r="E263" s="123" t="s">
        <v>124</v>
      </c>
      <c r="F263" s="67">
        <v>7</v>
      </c>
      <c r="G263" s="68">
        <v>480</v>
      </c>
      <c r="H263" s="69">
        <v>749</v>
      </c>
    </row>
    <row r="264" spans="1:8" ht="16.5" customHeight="1" x14ac:dyDescent="0.3">
      <c r="A264" s="75">
        <v>42332</v>
      </c>
      <c r="B264" s="65">
        <v>0.40079999999999999</v>
      </c>
      <c r="C264" s="66" t="s">
        <v>392</v>
      </c>
      <c r="D264" s="8"/>
      <c r="E264" s="123" t="s">
        <v>125</v>
      </c>
      <c r="F264" s="67">
        <v>7</v>
      </c>
      <c r="G264" s="68">
        <v>480</v>
      </c>
      <c r="H264" s="69">
        <v>749</v>
      </c>
    </row>
    <row r="265" spans="1:8" ht="16.5" customHeight="1" x14ac:dyDescent="0.3">
      <c r="A265" s="75">
        <v>42333</v>
      </c>
      <c r="B265" s="65">
        <v>0.40079999999999999</v>
      </c>
      <c r="C265" s="66" t="s">
        <v>392</v>
      </c>
      <c r="D265" s="8"/>
      <c r="E265" s="123" t="s">
        <v>810</v>
      </c>
      <c r="F265" s="67">
        <v>7</v>
      </c>
      <c r="G265" s="68">
        <v>480</v>
      </c>
      <c r="H265" s="69">
        <v>749</v>
      </c>
    </row>
    <row r="266" spans="1:8" ht="16.5" customHeight="1" x14ac:dyDescent="0.3">
      <c r="A266" s="75">
        <v>42425</v>
      </c>
      <c r="B266" s="65"/>
      <c r="C266" s="66" t="s">
        <v>477</v>
      </c>
      <c r="D266" s="8"/>
      <c r="E266" s="123" t="s">
        <v>107</v>
      </c>
      <c r="F266" s="67">
        <v>25</v>
      </c>
      <c r="G266" s="68">
        <v>1604</v>
      </c>
      <c r="H266" s="69">
        <v>2500</v>
      </c>
    </row>
    <row r="267" spans="1:8" ht="16.5" customHeight="1" x14ac:dyDescent="0.3">
      <c r="A267" s="75">
        <v>42444</v>
      </c>
      <c r="B267" s="65"/>
      <c r="C267" s="66" t="s">
        <v>378</v>
      </c>
      <c r="D267" s="8"/>
      <c r="E267" s="123" t="s">
        <v>811</v>
      </c>
      <c r="F267" s="67">
        <v>28</v>
      </c>
      <c r="G267" s="68">
        <v>1797</v>
      </c>
      <c r="H267" s="69">
        <v>2800</v>
      </c>
    </row>
    <row r="268" spans="1:8" ht="16.5" customHeight="1" x14ac:dyDescent="0.3">
      <c r="A268" s="75">
        <v>42445</v>
      </c>
      <c r="B268" s="65">
        <v>0.50312500000000004</v>
      </c>
      <c r="C268" s="66" t="s">
        <v>481</v>
      </c>
      <c r="D268" s="8"/>
      <c r="E268" s="123" t="s">
        <v>812</v>
      </c>
      <c r="F268" s="67">
        <v>2</v>
      </c>
      <c r="G268" s="68">
        <v>51</v>
      </c>
      <c r="H268" s="69">
        <v>159</v>
      </c>
    </row>
    <row r="269" spans="1:8" ht="16.5" customHeight="1" x14ac:dyDescent="0.3">
      <c r="A269" s="75">
        <v>42450</v>
      </c>
      <c r="B269" s="65">
        <v>0.50312500000000004</v>
      </c>
      <c r="C269" s="66" t="s">
        <v>481</v>
      </c>
      <c r="D269" s="8"/>
      <c r="E269" s="123" t="s">
        <v>585</v>
      </c>
      <c r="F269" s="67">
        <v>2</v>
      </c>
      <c r="G269" s="68">
        <v>51</v>
      </c>
      <c r="H269" s="69">
        <v>159</v>
      </c>
    </row>
    <row r="270" spans="1:8" ht="16.5" customHeight="1" x14ac:dyDescent="0.3">
      <c r="A270" s="75">
        <v>42462</v>
      </c>
      <c r="B270" s="65">
        <v>0.485151515151515</v>
      </c>
      <c r="C270" s="66" t="s">
        <v>373</v>
      </c>
      <c r="D270" s="8"/>
      <c r="E270" s="123" t="s">
        <v>249</v>
      </c>
      <c r="F270" s="67">
        <v>17</v>
      </c>
      <c r="G270" s="68">
        <v>1090</v>
      </c>
      <c r="H270" s="69">
        <v>1699</v>
      </c>
    </row>
    <row r="271" spans="1:8" ht="16.5" customHeight="1" x14ac:dyDescent="0.3">
      <c r="A271" s="75">
        <v>42474</v>
      </c>
      <c r="B271" s="65">
        <v>0.45124999999999998</v>
      </c>
      <c r="C271" s="66" t="s">
        <v>409</v>
      </c>
      <c r="D271" s="8"/>
      <c r="E271" s="123" t="s">
        <v>586</v>
      </c>
      <c r="F271" s="67">
        <v>4</v>
      </c>
      <c r="G271" s="68">
        <v>141</v>
      </c>
      <c r="H271" s="69">
        <v>439</v>
      </c>
    </row>
    <row r="272" spans="1:8" ht="16.5" customHeight="1" x14ac:dyDescent="0.3">
      <c r="A272" s="75">
        <v>42480</v>
      </c>
      <c r="B272" s="65">
        <v>0.45124999999999998</v>
      </c>
      <c r="C272" s="66" t="s">
        <v>455</v>
      </c>
      <c r="D272" s="8"/>
      <c r="E272" s="123" t="s">
        <v>586</v>
      </c>
      <c r="F272" s="67">
        <v>4</v>
      </c>
      <c r="G272" s="68">
        <v>141</v>
      </c>
      <c r="H272" s="69">
        <v>439</v>
      </c>
    </row>
    <row r="273" spans="1:8" ht="16.5" customHeight="1" x14ac:dyDescent="0.3">
      <c r="A273" s="75">
        <v>42482</v>
      </c>
      <c r="B273" s="65">
        <v>0.46081081081081099</v>
      </c>
      <c r="C273" s="66" t="s">
        <v>455</v>
      </c>
      <c r="D273" s="8"/>
      <c r="E273" s="123" t="s">
        <v>587</v>
      </c>
      <c r="F273" s="67">
        <v>4</v>
      </c>
      <c r="G273" s="68">
        <v>128</v>
      </c>
      <c r="H273" s="69">
        <v>399</v>
      </c>
    </row>
    <row r="274" spans="1:8" ht="16.5" customHeight="1" x14ac:dyDescent="0.3">
      <c r="A274" s="75">
        <v>42484</v>
      </c>
      <c r="B274" s="65">
        <v>0.39791666666666697</v>
      </c>
      <c r="C274" s="66" t="s">
        <v>388</v>
      </c>
      <c r="D274" s="8"/>
      <c r="E274" s="123" t="s">
        <v>588</v>
      </c>
      <c r="F274" s="67">
        <v>3</v>
      </c>
      <c r="G274" s="68">
        <v>93</v>
      </c>
      <c r="H274" s="69">
        <v>289</v>
      </c>
    </row>
    <row r="275" spans="1:8" ht="16.5" customHeight="1" x14ac:dyDescent="0.3">
      <c r="A275" s="75">
        <v>42485</v>
      </c>
      <c r="B275" s="65">
        <v>0.39791666666666697</v>
      </c>
      <c r="C275" s="66" t="s">
        <v>388</v>
      </c>
      <c r="D275" s="8"/>
      <c r="E275" s="123" t="s">
        <v>589</v>
      </c>
      <c r="F275" s="67">
        <v>3</v>
      </c>
      <c r="G275" s="68">
        <v>93</v>
      </c>
      <c r="H275" s="69">
        <v>289</v>
      </c>
    </row>
    <row r="276" spans="1:8" ht="16.5" customHeight="1" x14ac:dyDescent="0.3">
      <c r="A276" s="75">
        <v>42488</v>
      </c>
      <c r="B276" s="65">
        <v>0.46041666666666697</v>
      </c>
      <c r="C276" s="66" t="s">
        <v>399</v>
      </c>
      <c r="D276" s="8"/>
      <c r="E276" s="123" t="s">
        <v>590</v>
      </c>
      <c r="F276" s="67">
        <v>3</v>
      </c>
      <c r="G276" s="68">
        <v>83</v>
      </c>
      <c r="H276" s="69">
        <v>259</v>
      </c>
    </row>
    <row r="277" spans="1:8" ht="16.5" customHeight="1" x14ac:dyDescent="0.3">
      <c r="A277" s="75">
        <v>42495</v>
      </c>
      <c r="B277" s="65">
        <v>0.39500000000000002</v>
      </c>
      <c r="C277" s="66" t="s">
        <v>448</v>
      </c>
      <c r="D277" s="8"/>
      <c r="E277" s="123" t="s">
        <v>591</v>
      </c>
      <c r="F277" s="67">
        <v>23</v>
      </c>
      <c r="G277" s="68">
        <v>1475</v>
      </c>
      <c r="H277" s="69">
        <v>2299</v>
      </c>
    </row>
    <row r="278" spans="1:8" ht="16.5" customHeight="1" x14ac:dyDescent="0.3">
      <c r="A278" s="75">
        <v>42499</v>
      </c>
      <c r="B278" s="65">
        <v>0.39424242424242401</v>
      </c>
      <c r="C278" s="66" t="s">
        <v>370</v>
      </c>
      <c r="D278" s="8"/>
      <c r="E278" s="123" t="s">
        <v>688</v>
      </c>
      <c r="F278" s="67">
        <v>20</v>
      </c>
      <c r="G278" s="68">
        <v>1283</v>
      </c>
      <c r="H278" s="69">
        <v>1999</v>
      </c>
    </row>
    <row r="279" spans="1:8" ht="16.5" customHeight="1" x14ac:dyDescent="0.3">
      <c r="A279" s="75">
        <v>42503</v>
      </c>
      <c r="B279" s="65">
        <v>0.39583333333333298</v>
      </c>
      <c r="C279" s="66" t="s">
        <v>813</v>
      </c>
      <c r="D279" s="8"/>
      <c r="E279" s="123" t="s">
        <v>592</v>
      </c>
      <c r="F279" s="67">
        <v>29</v>
      </c>
      <c r="G279" s="68">
        <v>1860</v>
      </c>
      <c r="H279" s="69">
        <v>2900</v>
      </c>
    </row>
    <row r="280" spans="1:8" ht="16.5" customHeight="1" x14ac:dyDescent="0.3">
      <c r="A280" s="75">
        <v>42504</v>
      </c>
      <c r="B280" s="65">
        <v>0.34869565217391302</v>
      </c>
      <c r="C280" s="66" t="s">
        <v>448</v>
      </c>
      <c r="D280" s="8"/>
      <c r="E280" s="123" t="s">
        <v>593</v>
      </c>
      <c r="F280" s="67">
        <v>7</v>
      </c>
      <c r="G280" s="68">
        <v>480</v>
      </c>
      <c r="H280" s="69">
        <v>749</v>
      </c>
    </row>
    <row r="281" spans="1:8" ht="16.2" customHeight="1" x14ac:dyDescent="0.3">
      <c r="A281" s="75">
        <v>42508</v>
      </c>
      <c r="B281" s="65">
        <v>0.40068965517241401</v>
      </c>
      <c r="C281" s="66" t="s">
        <v>443</v>
      </c>
      <c r="D281" s="8"/>
      <c r="E281" s="123" t="s">
        <v>147</v>
      </c>
      <c r="F281" s="67">
        <v>9</v>
      </c>
      <c r="G281" s="68">
        <v>557</v>
      </c>
      <c r="H281" s="69">
        <v>869</v>
      </c>
    </row>
    <row r="282" spans="1:8" ht="16.5" customHeight="1" x14ac:dyDescent="0.3">
      <c r="A282" s="75">
        <v>42514</v>
      </c>
      <c r="B282" s="65"/>
      <c r="C282" s="66" t="s">
        <v>445</v>
      </c>
      <c r="D282" s="8"/>
      <c r="E282" s="123" t="s">
        <v>113</v>
      </c>
      <c r="F282" s="67">
        <v>22</v>
      </c>
      <c r="G282" s="68">
        <v>1444</v>
      </c>
      <c r="H282" s="69">
        <v>2250</v>
      </c>
    </row>
    <row r="283" spans="1:8" ht="16.5" customHeight="1" x14ac:dyDescent="0.3">
      <c r="A283" s="75">
        <v>42518</v>
      </c>
      <c r="B283" s="65">
        <v>0.372</v>
      </c>
      <c r="C283" s="66" t="s">
        <v>426</v>
      </c>
      <c r="D283" s="8"/>
      <c r="E283" s="123" t="s">
        <v>594</v>
      </c>
      <c r="F283" s="67">
        <v>11</v>
      </c>
      <c r="G283" s="68">
        <v>705</v>
      </c>
      <c r="H283" s="69">
        <v>1099</v>
      </c>
    </row>
    <row r="284" spans="1:8" ht="16.5" customHeight="1" x14ac:dyDescent="0.3">
      <c r="A284" s="75">
        <v>42524</v>
      </c>
      <c r="B284" s="65">
        <v>0.49365079365079401</v>
      </c>
      <c r="C284" s="66" t="s">
        <v>444</v>
      </c>
      <c r="D284" s="8"/>
      <c r="E284" s="123" t="s">
        <v>595</v>
      </c>
      <c r="F284" s="67">
        <v>3</v>
      </c>
      <c r="G284" s="68">
        <v>205</v>
      </c>
      <c r="H284" s="69">
        <v>319</v>
      </c>
    </row>
    <row r="285" spans="1:8" ht="16.5" customHeight="1" x14ac:dyDescent="0.3">
      <c r="A285" s="75">
        <v>42542</v>
      </c>
      <c r="B285" s="65">
        <v>0.49365079365079401</v>
      </c>
      <c r="C285" s="66" t="s">
        <v>444</v>
      </c>
      <c r="D285" s="8"/>
      <c r="E285" s="123" t="s">
        <v>596</v>
      </c>
      <c r="F285" s="67">
        <v>3</v>
      </c>
      <c r="G285" s="68">
        <v>205</v>
      </c>
      <c r="H285" s="69">
        <v>319</v>
      </c>
    </row>
    <row r="286" spans="1:8" ht="16.5" customHeight="1" x14ac:dyDescent="0.3">
      <c r="A286" s="75">
        <v>42566</v>
      </c>
      <c r="B286" s="65">
        <v>0.44857142857142901</v>
      </c>
      <c r="C286" s="66" t="s">
        <v>462</v>
      </c>
      <c r="D286" s="8"/>
      <c r="E286" s="123" t="s">
        <v>597</v>
      </c>
      <c r="F286" s="67">
        <v>6</v>
      </c>
      <c r="G286" s="68">
        <v>372</v>
      </c>
      <c r="H286" s="69">
        <v>579</v>
      </c>
    </row>
    <row r="287" spans="1:8" ht="16.5" customHeight="1" x14ac:dyDescent="0.3">
      <c r="A287" s="75">
        <v>42567</v>
      </c>
      <c r="B287" s="65">
        <v>0.44857142857142901</v>
      </c>
      <c r="C287" s="66" t="s">
        <v>462</v>
      </c>
      <c r="D287" s="8"/>
      <c r="E287" s="123" t="s">
        <v>598</v>
      </c>
      <c r="F287" s="67">
        <v>6</v>
      </c>
      <c r="G287" s="68">
        <v>372</v>
      </c>
      <c r="H287" s="69">
        <v>579</v>
      </c>
    </row>
    <row r="288" spans="1:8" ht="16.5" customHeight="1" x14ac:dyDescent="0.3">
      <c r="A288" s="75">
        <v>42588</v>
      </c>
      <c r="B288" s="65">
        <v>0.44857142857142901</v>
      </c>
      <c r="C288" s="66" t="s">
        <v>462</v>
      </c>
      <c r="D288" s="8"/>
      <c r="E288" s="123" t="s">
        <v>599</v>
      </c>
      <c r="F288" s="67">
        <v>6</v>
      </c>
      <c r="G288" s="68">
        <v>372</v>
      </c>
      <c r="H288" s="69">
        <v>579</v>
      </c>
    </row>
    <row r="289" spans="1:8" ht="16.5" customHeight="1" x14ac:dyDescent="0.3">
      <c r="A289" s="75">
        <v>42589</v>
      </c>
      <c r="B289" s="65">
        <v>0.44857142857142901</v>
      </c>
      <c r="C289" s="66" t="s">
        <v>462</v>
      </c>
      <c r="D289" s="8"/>
      <c r="E289" s="123" t="s">
        <v>600</v>
      </c>
      <c r="F289" s="67">
        <v>6</v>
      </c>
      <c r="G289" s="68">
        <v>372</v>
      </c>
      <c r="H289" s="69">
        <v>579</v>
      </c>
    </row>
    <row r="290" spans="1:8" ht="16.5" customHeight="1" x14ac:dyDescent="0.3">
      <c r="A290" s="75">
        <v>42590</v>
      </c>
      <c r="B290" s="65">
        <v>0.35411764705882398</v>
      </c>
      <c r="C290" s="66" t="s">
        <v>435</v>
      </c>
      <c r="D290" s="8"/>
      <c r="E290" s="123" t="s">
        <v>601</v>
      </c>
      <c r="F290" s="67">
        <v>5</v>
      </c>
      <c r="G290" s="68">
        <v>352</v>
      </c>
      <c r="H290" s="69">
        <v>549</v>
      </c>
    </row>
    <row r="291" spans="1:8" ht="16.5" customHeight="1" x14ac:dyDescent="0.3">
      <c r="A291" s="75">
        <v>42609</v>
      </c>
      <c r="B291" s="65">
        <v>0.35411764705882398</v>
      </c>
      <c r="C291" s="66" t="s">
        <v>435</v>
      </c>
      <c r="D291" s="8"/>
      <c r="E291" s="123" t="s">
        <v>602</v>
      </c>
      <c r="F291" s="67">
        <v>5</v>
      </c>
      <c r="G291" s="68">
        <v>352</v>
      </c>
      <c r="H291" s="69">
        <v>549</v>
      </c>
    </row>
    <row r="292" spans="1:8" ht="16.5" customHeight="1" x14ac:dyDescent="0.3">
      <c r="A292" s="75">
        <v>42610</v>
      </c>
      <c r="B292" s="65">
        <v>0.35411764705882398</v>
      </c>
      <c r="C292" s="66" t="s">
        <v>435</v>
      </c>
      <c r="D292" s="8"/>
      <c r="E292" s="123" t="s">
        <v>603</v>
      </c>
      <c r="F292" s="67">
        <v>5</v>
      </c>
      <c r="G292" s="68">
        <v>352</v>
      </c>
      <c r="H292" s="69">
        <v>549</v>
      </c>
    </row>
    <row r="293" spans="1:8" ht="16.5" customHeight="1" x14ac:dyDescent="0.3">
      <c r="A293" s="75">
        <v>42615</v>
      </c>
      <c r="B293" s="65">
        <v>0.45368421052631602</v>
      </c>
      <c r="C293" s="66" t="s">
        <v>435</v>
      </c>
      <c r="D293" s="8"/>
      <c r="E293" s="123" t="s">
        <v>335</v>
      </c>
      <c r="F293" s="67">
        <v>5</v>
      </c>
      <c r="G293" s="68">
        <v>333</v>
      </c>
      <c r="H293" s="69">
        <v>519</v>
      </c>
    </row>
    <row r="294" spans="1:8" ht="16.5" customHeight="1" x14ac:dyDescent="0.3">
      <c r="A294" s="75">
        <v>42616</v>
      </c>
      <c r="B294" s="65">
        <v>0.45368421052631602</v>
      </c>
      <c r="C294" s="66" t="s">
        <v>435</v>
      </c>
      <c r="D294" s="8"/>
      <c r="E294" s="123" t="s">
        <v>814</v>
      </c>
      <c r="F294" s="67">
        <v>5</v>
      </c>
      <c r="G294" s="68">
        <v>333</v>
      </c>
      <c r="H294" s="69">
        <v>519</v>
      </c>
    </row>
    <row r="295" spans="1:8" ht="16.5" customHeight="1" x14ac:dyDescent="0.3">
      <c r="A295" s="75">
        <v>42661</v>
      </c>
      <c r="B295" s="65">
        <v>0.40079999999999999</v>
      </c>
      <c r="C295" s="66" t="s">
        <v>392</v>
      </c>
      <c r="D295" s="8"/>
      <c r="E295" s="123" t="s">
        <v>815</v>
      </c>
      <c r="F295" s="67">
        <v>7</v>
      </c>
      <c r="G295" s="68">
        <v>480</v>
      </c>
      <c r="H295" s="69">
        <v>749</v>
      </c>
    </row>
    <row r="296" spans="1:8" ht="16.5" customHeight="1" x14ac:dyDescent="0.3">
      <c r="A296" s="75">
        <v>42662</v>
      </c>
      <c r="B296" s="65">
        <v>0.40079999999999999</v>
      </c>
      <c r="C296" s="66" t="s">
        <v>392</v>
      </c>
      <c r="D296" s="8"/>
      <c r="E296" s="123" t="s">
        <v>816</v>
      </c>
      <c r="F296" s="67">
        <v>7</v>
      </c>
      <c r="G296" s="68">
        <v>480</v>
      </c>
      <c r="H296" s="69">
        <v>749</v>
      </c>
    </row>
    <row r="297" spans="1:8" ht="16.5" customHeight="1" x14ac:dyDescent="0.3">
      <c r="A297" s="75">
        <v>42663</v>
      </c>
      <c r="B297" s="65">
        <v>0.40079999999999999</v>
      </c>
      <c r="C297" s="66" t="s">
        <v>392</v>
      </c>
      <c r="D297" s="8"/>
      <c r="E297" s="123" t="s">
        <v>817</v>
      </c>
      <c r="F297" s="67">
        <v>7</v>
      </c>
      <c r="G297" s="68">
        <v>480</v>
      </c>
      <c r="H297" s="69">
        <v>749</v>
      </c>
    </row>
    <row r="298" spans="1:8" ht="16.5" customHeight="1" x14ac:dyDescent="0.3">
      <c r="A298" s="75">
        <v>42664</v>
      </c>
      <c r="B298" s="65">
        <v>0.40079999999999999</v>
      </c>
      <c r="C298" s="66" t="s">
        <v>392</v>
      </c>
      <c r="D298" s="8"/>
      <c r="E298" s="123" t="s">
        <v>818</v>
      </c>
      <c r="F298" s="67">
        <v>7</v>
      </c>
      <c r="G298" s="68">
        <v>480</v>
      </c>
      <c r="H298" s="69">
        <v>749</v>
      </c>
    </row>
    <row r="299" spans="1:8" ht="16.5" customHeight="1" x14ac:dyDescent="0.3">
      <c r="A299" s="75">
        <v>42665</v>
      </c>
      <c r="B299" s="65">
        <v>0.40079999999999999</v>
      </c>
      <c r="C299" s="66" t="s">
        <v>392</v>
      </c>
      <c r="D299" s="8"/>
      <c r="E299" s="123" t="s">
        <v>819</v>
      </c>
      <c r="F299" s="67">
        <v>7</v>
      </c>
      <c r="G299" s="68">
        <v>480</v>
      </c>
      <c r="H299" s="69">
        <v>749</v>
      </c>
    </row>
    <row r="300" spans="1:8" ht="16.5" customHeight="1" x14ac:dyDescent="0.3">
      <c r="A300" s="75">
        <v>42666</v>
      </c>
      <c r="B300" s="65">
        <v>0.40079999999999999</v>
      </c>
      <c r="C300" s="66" t="s">
        <v>392</v>
      </c>
      <c r="D300" s="8"/>
      <c r="E300" s="123" t="s">
        <v>820</v>
      </c>
      <c r="F300" s="67">
        <v>7</v>
      </c>
      <c r="G300" s="68">
        <v>480</v>
      </c>
      <c r="H300" s="69">
        <v>749</v>
      </c>
    </row>
    <row r="301" spans="1:8" ht="16.5" customHeight="1" x14ac:dyDescent="0.3">
      <c r="A301" s="75">
        <v>42667</v>
      </c>
      <c r="B301" s="65">
        <v>0.40079999999999999</v>
      </c>
      <c r="C301" s="66" t="s">
        <v>392</v>
      </c>
      <c r="D301" s="8"/>
      <c r="E301" s="123" t="s">
        <v>821</v>
      </c>
      <c r="F301" s="67">
        <v>7</v>
      </c>
      <c r="G301" s="68">
        <v>480</v>
      </c>
      <c r="H301" s="69">
        <v>749</v>
      </c>
    </row>
    <row r="302" spans="1:8" ht="16.5" customHeight="1" x14ac:dyDescent="0.3">
      <c r="A302" s="75">
        <v>42668</v>
      </c>
      <c r="B302" s="65">
        <v>0.40079999999999999</v>
      </c>
      <c r="C302" s="66" t="s">
        <v>392</v>
      </c>
      <c r="D302" s="8"/>
      <c r="E302" s="123" t="s">
        <v>822</v>
      </c>
      <c r="F302" s="67">
        <v>7</v>
      </c>
      <c r="G302" s="68">
        <v>480</v>
      </c>
      <c r="H302" s="69">
        <v>749</v>
      </c>
    </row>
    <row r="303" spans="1:8" ht="16.5" customHeight="1" x14ac:dyDescent="0.3">
      <c r="A303" s="75">
        <v>42669</v>
      </c>
      <c r="B303" s="65">
        <v>0.40079999999999999</v>
      </c>
      <c r="C303" s="66" t="s">
        <v>392</v>
      </c>
      <c r="D303" s="8"/>
      <c r="E303" s="123" t="s">
        <v>823</v>
      </c>
      <c r="F303" s="67">
        <v>7</v>
      </c>
      <c r="G303" s="68">
        <v>480</v>
      </c>
      <c r="H303" s="69">
        <v>749</v>
      </c>
    </row>
    <row r="304" spans="1:8" ht="16.5" customHeight="1" x14ac:dyDescent="0.3">
      <c r="A304" s="75">
        <v>42670</v>
      </c>
      <c r="B304" s="65">
        <v>0.40079999999999999</v>
      </c>
      <c r="C304" s="66" t="s">
        <v>392</v>
      </c>
      <c r="D304" s="8"/>
      <c r="E304" s="123" t="s">
        <v>824</v>
      </c>
      <c r="F304" s="67">
        <v>7</v>
      </c>
      <c r="G304" s="68">
        <v>480</v>
      </c>
      <c r="H304" s="69">
        <v>749</v>
      </c>
    </row>
    <row r="305" spans="1:8" ht="16.5" customHeight="1" x14ac:dyDescent="0.3">
      <c r="A305" s="75">
        <v>42673</v>
      </c>
      <c r="B305" s="65">
        <v>0.29680000000000001</v>
      </c>
      <c r="C305" s="66" t="s">
        <v>407</v>
      </c>
      <c r="D305" s="8"/>
      <c r="E305" s="123" t="s">
        <v>731</v>
      </c>
      <c r="F305" s="67">
        <v>9</v>
      </c>
      <c r="G305" s="68">
        <v>564</v>
      </c>
      <c r="H305" s="69">
        <v>879</v>
      </c>
    </row>
    <row r="306" spans="1:8" ht="16.5" customHeight="1" x14ac:dyDescent="0.3">
      <c r="A306" s="75">
        <v>42739</v>
      </c>
      <c r="B306" s="65">
        <v>0.45200000000000001</v>
      </c>
      <c r="C306" s="66" t="s">
        <v>373</v>
      </c>
      <c r="D306" s="8"/>
      <c r="E306" s="123" t="s">
        <v>149</v>
      </c>
      <c r="F306" s="67">
        <v>10</v>
      </c>
      <c r="G306" s="68">
        <v>615</v>
      </c>
      <c r="H306" s="69">
        <v>959</v>
      </c>
    </row>
    <row r="307" spans="1:8" ht="17.5" customHeight="1" x14ac:dyDescent="0.3">
      <c r="A307" s="75">
        <v>42741</v>
      </c>
      <c r="B307" s="65">
        <v>0.34883720930232598</v>
      </c>
      <c r="C307" s="66" t="s">
        <v>484</v>
      </c>
      <c r="D307" s="8"/>
      <c r="E307" s="123" t="s">
        <v>689</v>
      </c>
      <c r="F307" s="67">
        <v>28</v>
      </c>
      <c r="G307" s="68">
        <v>1797</v>
      </c>
      <c r="H307" s="69">
        <v>2800</v>
      </c>
    </row>
    <row r="308" spans="1:8" ht="16.5" customHeight="1" x14ac:dyDescent="0.3">
      <c r="A308" s="75">
        <v>42751</v>
      </c>
      <c r="B308" s="65"/>
      <c r="C308" s="66" t="s">
        <v>485</v>
      </c>
      <c r="D308" s="8"/>
      <c r="E308" s="123" t="s">
        <v>327</v>
      </c>
      <c r="F308" s="67">
        <v>33</v>
      </c>
      <c r="G308" s="68">
        <v>2117</v>
      </c>
      <c r="H308" s="69">
        <v>3300</v>
      </c>
    </row>
    <row r="309" spans="1:8" ht="16.5" customHeight="1" x14ac:dyDescent="0.3">
      <c r="A309" s="75">
        <v>42779</v>
      </c>
      <c r="B309" s="65">
        <v>0.400952380952381</v>
      </c>
      <c r="C309" s="66" t="s">
        <v>767</v>
      </c>
      <c r="D309" s="8"/>
      <c r="E309" s="123" t="s">
        <v>604</v>
      </c>
      <c r="F309" s="67">
        <v>6</v>
      </c>
      <c r="G309" s="68">
        <v>403</v>
      </c>
      <c r="H309" s="69">
        <v>629</v>
      </c>
    </row>
    <row r="310" spans="1:8" ht="16.5" customHeight="1" x14ac:dyDescent="0.3">
      <c r="A310" s="75">
        <v>42780</v>
      </c>
      <c r="B310" s="65">
        <v>0.45100000000000001</v>
      </c>
      <c r="C310" s="66" t="s">
        <v>381</v>
      </c>
      <c r="D310" s="8"/>
      <c r="E310" s="123" t="s">
        <v>605</v>
      </c>
      <c r="F310" s="67">
        <v>5</v>
      </c>
      <c r="G310" s="68">
        <v>352</v>
      </c>
      <c r="H310" s="69">
        <v>549</v>
      </c>
    </row>
    <row r="311" spans="1:8" ht="16.5" customHeight="1" x14ac:dyDescent="0.3">
      <c r="A311" s="75">
        <v>42785</v>
      </c>
      <c r="B311" s="65">
        <v>0.51155555555555599</v>
      </c>
      <c r="C311" s="66" t="s">
        <v>445</v>
      </c>
      <c r="D311" s="8"/>
      <c r="E311" s="123" t="s">
        <v>679</v>
      </c>
      <c r="F311" s="67">
        <v>11</v>
      </c>
      <c r="G311" s="68">
        <v>705</v>
      </c>
      <c r="H311" s="69">
        <v>1099</v>
      </c>
    </row>
    <row r="312" spans="1:8" ht="16.5" customHeight="1" x14ac:dyDescent="0.3">
      <c r="A312" s="75">
        <v>42786</v>
      </c>
      <c r="B312" s="65">
        <v>0.40105263157894699</v>
      </c>
      <c r="C312" s="66" t="s">
        <v>807</v>
      </c>
      <c r="D312" s="8"/>
      <c r="E312" s="123" t="s">
        <v>606</v>
      </c>
      <c r="F312" s="67">
        <v>6</v>
      </c>
      <c r="G312" s="68">
        <v>365</v>
      </c>
      <c r="H312" s="69">
        <v>569</v>
      </c>
    </row>
    <row r="313" spans="1:8" ht="16.5" customHeight="1" x14ac:dyDescent="0.3">
      <c r="A313" s="75">
        <v>42806</v>
      </c>
      <c r="B313" s="65">
        <v>0.76024096385542195</v>
      </c>
      <c r="C313" s="66" t="s">
        <v>807</v>
      </c>
      <c r="D313" s="8"/>
      <c r="E313" s="123" t="s">
        <v>607</v>
      </c>
      <c r="F313" s="67">
        <v>2</v>
      </c>
      <c r="G313" s="68">
        <v>128</v>
      </c>
      <c r="H313" s="69">
        <v>199</v>
      </c>
    </row>
    <row r="314" spans="1:8" ht="16.5" customHeight="1" x14ac:dyDescent="0.3">
      <c r="A314" s="75">
        <v>42815</v>
      </c>
      <c r="B314" s="65"/>
      <c r="C314" s="66" t="s">
        <v>485</v>
      </c>
      <c r="D314" s="8"/>
      <c r="E314" s="123" t="s">
        <v>336</v>
      </c>
      <c r="F314" s="67">
        <v>33</v>
      </c>
      <c r="G314" s="68">
        <v>2117</v>
      </c>
      <c r="H314" s="69">
        <v>3300</v>
      </c>
    </row>
    <row r="315" spans="1:8" ht="16.5" customHeight="1" x14ac:dyDescent="0.3">
      <c r="A315" s="75">
        <v>42828</v>
      </c>
      <c r="B315" s="65">
        <v>0.372</v>
      </c>
      <c r="C315" s="66" t="s">
        <v>825</v>
      </c>
      <c r="D315" s="8"/>
      <c r="E315" s="123" t="s">
        <v>680</v>
      </c>
      <c r="F315" s="67">
        <v>11</v>
      </c>
      <c r="G315" s="68">
        <v>705</v>
      </c>
      <c r="H315" s="69">
        <v>1099</v>
      </c>
    </row>
    <row r="316" spans="1:8" ht="16.5" customHeight="1" x14ac:dyDescent="0.3">
      <c r="A316" s="75">
        <v>42835</v>
      </c>
      <c r="B316" s="65">
        <v>0.46464285714285702</v>
      </c>
      <c r="C316" s="66" t="s">
        <v>406</v>
      </c>
      <c r="D316" s="8"/>
      <c r="E316" s="123" t="s">
        <v>364</v>
      </c>
      <c r="F316" s="67">
        <v>15</v>
      </c>
      <c r="G316" s="68">
        <v>962</v>
      </c>
      <c r="H316" s="69">
        <v>1499</v>
      </c>
    </row>
    <row r="317" spans="1:8" ht="16.5" customHeight="1" x14ac:dyDescent="0.3">
      <c r="A317" s="75">
        <v>42881</v>
      </c>
      <c r="B317" s="65">
        <v>0.35538461538461502</v>
      </c>
      <c r="C317" s="66" t="s">
        <v>434</v>
      </c>
      <c r="D317" s="8"/>
      <c r="E317" s="123" t="s">
        <v>608</v>
      </c>
      <c r="F317" s="67">
        <v>4</v>
      </c>
      <c r="G317" s="68">
        <v>269</v>
      </c>
      <c r="H317" s="69">
        <v>419</v>
      </c>
    </row>
    <row r="318" spans="1:8" ht="16.5" customHeight="1" x14ac:dyDescent="0.3">
      <c r="A318" s="75">
        <v>42885</v>
      </c>
      <c r="B318" s="65">
        <v>0.34869565217391302</v>
      </c>
      <c r="C318" s="66" t="s">
        <v>370</v>
      </c>
      <c r="D318" s="8"/>
      <c r="E318" s="123" t="s">
        <v>609</v>
      </c>
      <c r="F318" s="67">
        <v>7</v>
      </c>
      <c r="G318" s="68">
        <v>480</v>
      </c>
      <c r="H318" s="69">
        <v>749</v>
      </c>
    </row>
    <row r="319" spans="1:8" ht="16.5" customHeight="1" x14ac:dyDescent="0.3">
      <c r="A319" s="75">
        <v>43053</v>
      </c>
      <c r="B319" s="65">
        <v>0.44666666666666699</v>
      </c>
      <c r="C319" s="66" t="s">
        <v>431</v>
      </c>
      <c r="D319" s="8"/>
      <c r="E319" s="123" t="s">
        <v>610</v>
      </c>
      <c r="F319" s="67">
        <v>2</v>
      </c>
      <c r="G319" s="68">
        <v>160</v>
      </c>
      <c r="H319" s="69">
        <v>249</v>
      </c>
    </row>
    <row r="320" spans="1:8" ht="16.5" customHeight="1" x14ac:dyDescent="0.3">
      <c r="A320" s="75">
        <v>43118</v>
      </c>
      <c r="B320" s="65">
        <v>0.39321428571428602</v>
      </c>
      <c r="C320" s="66" t="s">
        <v>436</v>
      </c>
      <c r="D320" s="8"/>
      <c r="E320" s="123" t="s">
        <v>690</v>
      </c>
      <c r="F320" s="67">
        <v>17</v>
      </c>
      <c r="G320" s="68">
        <v>1090</v>
      </c>
      <c r="H320" s="69">
        <v>1699</v>
      </c>
    </row>
    <row r="321" spans="1:8" ht="16.5" customHeight="1" x14ac:dyDescent="0.3">
      <c r="A321" s="75">
        <v>43122</v>
      </c>
      <c r="B321" s="65">
        <v>0.545757575757576</v>
      </c>
      <c r="C321" s="66" t="s">
        <v>495</v>
      </c>
      <c r="D321" s="8"/>
      <c r="E321" s="123" t="s">
        <v>691</v>
      </c>
      <c r="F321" s="67">
        <v>15</v>
      </c>
      <c r="G321" s="68">
        <v>962</v>
      </c>
      <c r="H321" s="69">
        <v>1499</v>
      </c>
    </row>
    <row r="322" spans="1:8" ht="16.2" customHeight="1" x14ac:dyDescent="0.3">
      <c r="A322" s="75">
        <v>43143</v>
      </c>
      <c r="B322" s="65">
        <v>0.50128205128205106</v>
      </c>
      <c r="C322" s="66" t="s">
        <v>381</v>
      </c>
      <c r="D322" s="8"/>
      <c r="E322" s="123" t="s">
        <v>611</v>
      </c>
      <c r="F322" s="67">
        <v>4</v>
      </c>
      <c r="G322" s="68">
        <v>249</v>
      </c>
      <c r="H322" s="69">
        <v>389</v>
      </c>
    </row>
    <row r="323" spans="1:8" ht="16.5" customHeight="1" x14ac:dyDescent="0.3">
      <c r="A323" s="75">
        <v>43185</v>
      </c>
      <c r="B323" s="65">
        <v>0.35194805194805201</v>
      </c>
      <c r="C323" s="66" t="s">
        <v>468</v>
      </c>
      <c r="D323" s="8"/>
      <c r="E323" s="123" t="s">
        <v>612</v>
      </c>
      <c r="F323" s="67">
        <v>5</v>
      </c>
      <c r="G323" s="68">
        <v>321</v>
      </c>
      <c r="H323" s="69">
        <v>499</v>
      </c>
    </row>
    <row r="324" spans="1:8" ht="16.5" customHeight="1" x14ac:dyDescent="0.3">
      <c r="A324" s="75">
        <v>43253</v>
      </c>
      <c r="B324" s="65">
        <v>0.555172413793103</v>
      </c>
      <c r="C324" s="66" t="s">
        <v>456</v>
      </c>
      <c r="D324" s="8"/>
      <c r="E324" s="123" t="s">
        <v>613</v>
      </c>
      <c r="F324" s="67">
        <v>1</v>
      </c>
      <c r="G324" s="68">
        <v>83</v>
      </c>
      <c r="H324" s="69">
        <v>129</v>
      </c>
    </row>
    <row r="325" spans="1:8" ht="16.5" customHeight="1" x14ac:dyDescent="0.3">
      <c r="A325" s="75">
        <v>43295</v>
      </c>
      <c r="B325" s="65">
        <v>0.45463917525773201</v>
      </c>
      <c r="C325" s="66" t="s">
        <v>470</v>
      </c>
      <c r="D325" s="8"/>
      <c r="E325" s="123" t="s">
        <v>614</v>
      </c>
      <c r="F325" s="67">
        <v>5</v>
      </c>
      <c r="G325" s="68">
        <v>340</v>
      </c>
      <c r="H325" s="69">
        <v>529</v>
      </c>
    </row>
    <row r="326" spans="1:8" ht="16.5" customHeight="1" x14ac:dyDescent="0.3">
      <c r="A326" s="75">
        <v>43296</v>
      </c>
      <c r="B326" s="65">
        <v>0.45463917525773201</v>
      </c>
      <c r="C326" s="66" t="s">
        <v>470</v>
      </c>
      <c r="D326" s="8"/>
      <c r="E326" s="123" t="s">
        <v>615</v>
      </c>
      <c r="F326" s="67">
        <v>5</v>
      </c>
      <c r="G326" s="68">
        <v>340</v>
      </c>
      <c r="H326" s="69">
        <v>529</v>
      </c>
    </row>
    <row r="327" spans="1:8" ht="16.5" customHeight="1" x14ac:dyDescent="0.3">
      <c r="A327" s="75">
        <v>43297</v>
      </c>
      <c r="B327" s="65">
        <v>0.45463917525773201</v>
      </c>
      <c r="C327" s="66" t="s">
        <v>470</v>
      </c>
      <c r="D327" s="8"/>
      <c r="E327" s="123" t="s">
        <v>616</v>
      </c>
      <c r="F327" s="67">
        <v>5</v>
      </c>
      <c r="G327" s="68">
        <v>340</v>
      </c>
      <c r="H327" s="69">
        <v>529</v>
      </c>
    </row>
    <row r="328" spans="1:8" ht="16.5" customHeight="1" x14ac:dyDescent="0.3">
      <c r="A328" s="75">
        <v>43298</v>
      </c>
      <c r="B328" s="65">
        <v>0.45463917525773201</v>
      </c>
      <c r="C328" s="66" t="s">
        <v>470</v>
      </c>
      <c r="D328" s="8"/>
      <c r="E328" s="123" t="s">
        <v>617</v>
      </c>
      <c r="F328" s="67">
        <v>5</v>
      </c>
      <c r="G328" s="68">
        <v>340</v>
      </c>
      <c r="H328" s="69">
        <v>529</v>
      </c>
    </row>
    <row r="329" spans="1:8" ht="16.5" customHeight="1" x14ac:dyDescent="0.3">
      <c r="A329" s="75">
        <v>43299</v>
      </c>
      <c r="B329" s="65">
        <v>0.45463917525773201</v>
      </c>
      <c r="C329" s="66" t="s">
        <v>470</v>
      </c>
      <c r="D329" s="8"/>
      <c r="E329" s="123" t="s">
        <v>618</v>
      </c>
      <c r="F329" s="67">
        <v>5</v>
      </c>
      <c r="G329" s="68">
        <v>340</v>
      </c>
      <c r="H329" s="69">
        <v>529</v>
      </c>
    </row>
    <row r="330" spans="1:8" ht="16.5" customHeight="1" x14ac:dyDescent="0.3">
      <c r="A330" s="75">
        <v>43300</v>
      </c>
      <c r="B330" s="65">
        <v>0.45463917525773201</v>
      </c>
      <c r="C330" s="66" t="s">
        <v>470</v>
      </c>
      <c r="D330" s="8"/>
      <c r="E330" s="123" t="s">
        <v>619</v>
      </c>
      <c r="F330" s="67">
        <v>5</v>
      </c>
      <c r="G330" s="68">
        <v>340</v>
      </c>
      <c r="H330" s="69">
        <v>529</v>
      </c>
    </row>
    <row r="331" spans="1:8" ht="16.5" customHeight="1" x14ac:dyDescent="0.3">
      <c r="A331" s="75">
        <v>43301</v>
      </c>
      <c r="B331" s="65">
        <v>0.45463917525773201</v>
      </c>
      <c r="C331" s="66" t="s">
        <v>470</v>
      </c>
      <c r="D331" s="8"/>
      <c r="E331" s="123" t="s">
        <v>620</v>
      </c>
      <c r="F331" s="67">
        <v>5</v>
      </c>
      <c r="G331" s="68">
        <v>340</v>
      </c>
      <c r="H331" s="69">
        <v>529</v>
      </c>
    </row>
    <row r="332" spans="1:8" ht="16.5" customHeight="1" x14ac:dyDescent="0.3">
      <c r="A332" s="75">
        <v>43302</v>
      </c>
      <c r="B332" s="65">
        <v>0.45463917525773201</v>
      </c>
      <c r="C332" s="66" t="s">
        <v>470</v>
      </c>
      <c r="D332" s="8"/>
      <c r="E332" s="123" t="s">
        <v>621</v>
      </c>
      <c r="F332" s="67">
        <v>5</v>
      </c>
      <c r="G332" s="68">
        <v>340</v>
      </c>
      <c r="H332" s="69">
        <v>529</v>
      </c>
    </row>
    <row r="333" spans="1:8" ht="16.5" customHeight="1" x14ac:dyDescent="0.3">
      <c r="A333" s="75">
        <v>43303</v>
      </c>
      <c r="B333" s="65">
        <v>0.45463917525773201</v>
      </c>
      <c r="C333" s="66" t="s">
        <v>470</v>
      </c>
      <c r="D333" s="8"/>
      <c r="E333" s="123" t="s">
        <v>622</v>
      </c>
      <c r="F333" s="67">
        <v>5</v>
      </c>
      <c r="G333" s="68">
        <v>340</v>
      </c>
      <c r="H333" s="69">
        <v>529</v>
      </c>
    </row>
    <row r="334" spans="1:8" ht="16.5" customHeight="1" x14ac:dyDescent="0.3">
      <c r="A334" s="75">
        <v>43304</v>
      </c>
      <c r="B334" s="65">
        <v>0.45463917525773201</v>
      </c>
      <c r="C334" s="66" t="s">
        <v>470</v>
      </c>
      <c r="D334" s="8"/>
      <c r="E334" s="123" t="s">
        <v>623</v>
      </c>
      <c r="F334" s="67">
        <v>5</v>
      </c>
      <c r="G334" s="68">
        <v>340</v>
      </c>
      <c r="H334" s="69">
        <v>529</v>
      </c>
    </row>
    <row r="335" spans="1:8" ht="16.5" customHeight="1" x14ac:dyDescent="0.3">
      <c r="A335" s="75">
        <v>43509</v>
      </c>
      <c r="B335" s="65">
        <v>0.501470588235294</v>
      </c>
      <c r="C335" s="66" t="s">
        <v>381</v>
      </c>
      <c r="D335" s="8"/>
      <c r="E335" s="123" t="s">
        <v>624</v>
      </c>
      <c r="F335" s="67">
        <v>3</v>
      </c>
      <c r="G335" s="68">
        <v>218</v>
      </c>
      <c r="H335" s="69">
        <v>339</v>
      </c>
    </row>
    <row r="336" spans="1:8" ht="16.5" customHeight="1" x14ac:dyDescent="0.3">
      <c r="A336" s="75">
        <v>43510</v>
      </c>
      <c r="B336" s="65">
        <v>0.4088</v>
      </c>
      <c r="C336" s="66" t="s">
        <v>455</v>
      </c>
      <c r="D336" s="8"/>
      <c r="E336" s="123" t="s">
        <v>692</v>
      </c>
      <c r="F336" s="67">
        <v>7</v>
      </c>
      <c r="G336" s="68">
        <v>474</v>
      </c>
      <c r="H336" s="69">
        <v>739</v>
      </c>
    </row>
    <row r="337" spans="1:8" ht="16.5" customHeight="1" x14ac:dyDescent="0.3">
      <c r="A337" s="75">
        <v>43511</v>
      </c>
      <c r="B337" s="65">
        <v>0.4088</v>
      </c>
      <c r="C337" s="66" t="s">
        <v>455</v>
      </c>
      <c r="D337" s="8"/>
      <c r="E337" s="123" t="s">
        <v>693</v>
      </c>
      <c r="F337" s="67">
        <v>7</v>
      </c>
      <c r="G337" s="68">
        <v>474</v>
      </c>
      <c r="H337" s="69">
        <v>739</v>
      </c>
    </row>
    <row r="338" spans="1:8" ht="16.5" customHeight="1" x14ac:dyDescent="0.3">
      <c r="A338" s="75">
        <v>43512</v>
      </c>
      <c r="B338" s="65">
        <v>0.4088</v>
      </c>
      <c r="C338" s="66" t="s">
        <v>455</v>
      </c>
      <c r="D338" s="8"/>
      <c r="E338" s="123" t="s">
        <v>694</v>
      </c>
      <c r="F338" s="67">
        <v>7</v>
      </c>
      <c r="G338" s="68">
        <v>474</v>
      </c>
      <c r="H338" s="69">
        <v>739</v>
      </c>
    </row>
    <row r="339" spans="1:8" ht="16.5" customHeight="1" x14ac:dyDescent="0.3">
      <c r="A339" s="75">
        <v>43661</v>
      </c>
      <c r="B339" s="65">
        <v>0.555172413793103</v>
      </c>
      <c r="C339" s="66" t="s">
        <v>456</v>
      </c>
      <c r="D339" s="8"/>
      <c r="E339" s="123" t="s">
        <v>328</v>
      </c>
      <c r="F339" s="67">
        <v>1</v>
      </c>
      <c r="G339" s="68">
        <v>83</v>
      </c>
      <c r="H339" s="69">
        <v>129</v>
      </c>
    </row>
    <row r="340" spans="1:8" ht="16.5" customHeight="1" x14ac:dyDescent="0.3">
      <c r="A340" s="75">
        <v>43665</v>
      </c>
      <c r="B340" s="65">
        <v>0.49365079365079401</v>
      </c>
      <c r="C340" s="66" t="s">
        <v>427</v>
      </c>
      <c r="D340" s="8"/>
      <c r="E340" s="123" t="s">
        <v>625</v>
      </c>
      <c r="F340" s="67">
        <v>3</v>
      </c>
      <c r="G340" s="68">
        <v>205</v>
      </c>
      <c r="H340" s="69">
        <v>319</v>
      </c>
    </row>
    <row r="341" spans="1:8" ht="16.5" customHeight="1" x14ac:dyDescent="0.3">
      <c r="A341" s="75">
        <v>43691</v>
      </c>
      <c r="B341" s="65">
        <v>0.30076923076923101</v>
      </c>
      <c r="C341" s="66" t="s">
        <v>440</v>
      </c>
      <c r="D341" s="8"/>
      <c r="E341" s="123" t="s">
        <v>108</v>
      </c>
      <c r="F341" s="67">
        <v>120</v>
      </c>
      <c r="G341" s="68">
        <v>6416</v>
      </c>
      <c r="H341" s="69">
        <v>9999</v>
      </c>
    </row>
    <row r="342" spans="1:8" ht="16.5" customHeight="1" x14ac:dyDescent="0.3">
      <c r="A342" s="75">
        <v>43850</v>
      </c>
      <c r="B342" s="65">
        <v>0.49569892473118299</v>
      </c>
      <c r="C342" s="66" t="s">
        <v>429</v>
      </c>
      <c r="D342" s="8"/>
      <c r="E342" s="123" t="s">
        <v>826</v>
      </c>
      <c r="F342" s="67">
        <v>5</v>
      </c>
      <c r="G342" s="68">
        <v>151</v>
      </c>
      <c r="H342" s="69">
        <v>469</v>
      </c>
    </row>
    <row r="343" spans="1:8" ht="16.5" customHeight="1" x14ac:dyDescent="0.3">
      <c r="A343" s="75">
        <v>43906</v>
      </c>
      <c r="B343" s="65">
        <v>0.30199999999999999</v>
      </c>
      <c r="C343" s="66" t="s">
        <v>434</v>
      </c>
      <c r="D343" s="8"/>
      <c r="E343" s="123" t="s">
        <v>732</v>
      </c>
      <c r="F343" s="67">
        <v>3</v>
      </c>
      <c r="G343" s="68">
        <v>224</v>
      </c>
      <c r="H343" s="69">
        <v>349</v>
      </c>
    </row>
    <row r="344" spans="1:8" ht="16.5" customHeight="1" x14ac:dyDescent="0.3">
      <c r="A344" s="75">
        <v>43908</v>
      </c>
      <c r="B344" s="65">
        <v>0.30199999999999999</v>
      </c>
      <c r="C344" s="66" t="s">
        <v>434</v>
      </c>
      <c r="D344" s="8"/>
      <c r="E344" s="123" t="s">
        <v>626</v>
      </c>
      <c r="F344" s="67">
        <v>3</v>
      </c>
      <c r="G344" s="68">
        <v>224</v>
      </c>
      <c r="H344" s="69">
        <v>349</v>
      </c>
    </row>
    <row r="345" spans="1:8" ht="16.5" customHeight="1" x14ac:dyDescent="0.3">
      <c r="A345" s="75">
        <v>44001</v>
      </c>
      <c r="B345" s="65">
        <v>0.46041666666666697</v>
      </c>
      <c r="C345" s="66" t="s">
        <v>415</v>
      </c>
      <c r="D345" s="8"/>
      <c r="E345" s="123" t="s">
        <v>112</v>
      </c>
      <c r="F345" s="67">
        <v>3</v>
      </c>
      <c r="G345" s="68">
        <v>83</v>
      </c>
      <c r="H345" s="69">
        <v>259</v>
      </c>
    </row>
    <row r="346" spans="1:8" ht="16.5" customHeight="1" x14ac:dyDescent="0.3">
      <c r="A346" s="75">
        <v>44002</v>
      </c>
      <c r="B346" s="65">
        <v>0.45483870967741902</v>
      </c>
      <c r="C346" s="66" t="s">
        <v>380</v>
      </c>
      <c r="D346" s="8"/>
      <c r="E346" s="123" t="s">
        <v>304</v>
      </c>
      <c r="F346" s="67">
        <v>2</v>
      </c>
      <c r="G346" s="68">
        <v>54</v>
      </c>
      <c r="H346" s="69">
        <v>169</v>
      </c>
    </row>
    <row r="347" spans="1:8" ht="16.5" customHeight="1" x14ac:dyDescent="0.3">
      <c r="A347" s="75">
        <v>44158</v>
      </c>
      <c r="B347" s="65">
        <v>0.29512195121951201</v>
      </c>
      <c r="C347" s="66" t="s">
        <v>779</v>
      </c>
      <c r="D347" s="8"/>
      <c r="E347" s="123" t="s">
        <v>827</v>
      </c>
      <c r="F347" s="67">
        <v>3</v>
      </c>
      <c r="G347" s="68">
        <v>186</v>
      </c>
      <c r="H347" s="69">
        <v>289</v>
      </c>
    </row>
    <row r="348" spans="1:8" ht="16.5" customHeight="1" x14ac:dyDescent="0.3">
      <c r="A348" s="75">
        <v>44159</v>
      </c>
      <c r="B348" s="65">
        <v>0.29512195121951201</v>
      </c>
      <c r="C348" s="66" t="s">
        <v>779</v>
      </c>
      <c r="D348" s="8"/>
      <c r="E348" s="123" t="s">
        <v>828</v>
      </c>
      <c r="F348" s="67">
        <v>3</v>
      </c>
      <c r="G348" s="68">
        <v>186</v>
      </c>
      <c r="H348" s="69">
        <v>289</v>
      </c>
    </row>
    <row r="349" spans="1:8" ht="16.5" customHeight="1" x14ac:dyDescent="0.3">
      <c r="A349" s="75">
        <v>44280</v>
      </c>
      <c r="B349" s="65">
        <v>0.51463414634146298</v>
      </c>
      <c r="C349" s="66" t="s">
        <v>458</v>
      </c>
      <c r="D349" s="8"/>
      <c r="E349" s="123" t="s">
        <v>681</v>
      </c>
      <c r="F349" s="67">
        <v>2</v>
      </c>
      <c r="G349" s="68">
        <v>128</v>
      </c>
      <c r="H349" s="69">
        <v>199</v>
      </c>
    </row>
    <row r="350" spans="1:8" ht="16.5" customHeight="1" x14ac:dyDescent="0.3">
      <c r="A350" s="75">
        <v>44281</v>
      </c>
      <c r="B350" s="65">
        <v>0.42093023255813999</v>
      </c>
      <c r="C350" s="66" t="s">
        <v>450</v>
      </c>
      <c r="D350" s="8"/>
      <c r="E350" s="123" t="s">
        <v>829</v>
      </c>
      <c r="F350" s="67">
        <v>2</v>
      </c>
      <c r="G350" s="68">
        <v>160</v>
      </c>
      <c r="H350" s="69">
        <v>249</v>
      </c>
    </row>
    <row r="351" spans="1:8" ht="16.5" customHeight="1" x14ac:dyDescent="0.3">
      <c r="A351" s="75">
        <v>44300</v>
      </c>
      <c r="B351" s="65"/>
      <c r="C351" s="66" t="s">
        <v>424</v>
      </c>
      <c r="D351" s="8"/>
      <c r="E351" s="123" t="s">
        <v>128</v>
      </c>
      <c r="F351" s="67">
        <v>33</v>
      </c>
      <c r="G351" s="68">
        <v>2117</v>
      </c>
      <c r="H351" s="69">
        <v>3300</v>
      </c>
    </row>
    <row r="352" spans="1:8" ht="16.5" customHeight="1" x14ac:dyDescent="0.3">
      <c r="A352" s="75">
        <v>44317</v>
      </c>
      <c r="B352" s="65">
        <v>0.39321428571428602</v>
      </c>
      <c r="C352" s="66" t="s">
        <v>432</v>
      </c>
      <c r="D352" s="8"/>
      <c r="E352" s="123" t="s">
        <v>682</v>
      </c>
      <c r="F352" s="67">
        <v>17</v>
      </c>
      <c r="G352" s="68">
        <v>1090</v>
      </c>
      <c r="H352" s="69">
        <v>1699</v>
      </c>
    </row>
    <row r="353" spans="1:8" ht="16.5" customHeight="1" x14ac:dyDescent="0.3">
      <c r="A353" s="75">
        <v>44319</v>
      </c>
      <c r="B353" s="65">
        <v>0.46464285714285702</v>
      </c>
      <c r="C353" s="66" t="s">
        <v>382</v>
      </c>
      <c r="D353" s="8"/>
      <c r="E353" s="123" t="s">
        <v>365</v>
      </c>
      <c r="F353" s="67">
        <v>15</v>
      </c>
      <c r="G353" s="68">
        <v>962</v>
      </c>
      <c r="H353" s="69">
        <v>1499</v>
      </c>
    </row>
    <row r="354" spans="1:8" ht="16.5" customHeight="1" x14ac:dyDescent="0.3">
      <c r="A354" s="75">
        <v>44371</v>
      </c>
      <c r="B354" s="65">
        <v>0.45250000000000001</v>
      </c>
      <c r="C354" s="66" t="s">
        <v>418</v>
      </c>
      <c r="D354" s="8"/>
      <c r="E354" s="123" t="s">
        <v>830</v>
      </c>
      <c r="F354" s="67">
        <v>2</v>
      </c>
      <c r="G354" s="68">
        <v>141</v>
      </c>
      <c r="H354" s="69">
        <v>219</v>
      </c>
    </row>
    <row r="355" spans="1:8" ht="16.5" customHeight="1" x14ac:dyDescent="0.3">
      <c r="A355" s="75">
        <v>44376</v>
      </c>
      <c r="B355" s="65">
        <v>0.50124999999999997</v>
      </c>
      <c r="C355" s="66" t="s">
        <v>482</v>
      </c>
      <c r="D355" s="8"/>
      <c r="E355" s="123" t="s">
        <v>831</v>
      </c>
      <c r="F355" s="67">
        <v>4</v>
      </c>
      <c r="G355" s="68">
        <v>256</v>
      </c>
      <c r="H355" s="69">
        <v>399</v>
      </c>
    </row>
    <row r="356" spans="1:8" ht="16.5" customHeight="1" x14ac:dyDescent="0.3">
      <c r="A356" s="75">
        <v>44377</v>
      </c>
      <c r="B356" s="65">
        <v>0.54200000000000004</v>
      </c>
      <c r="C356" s="66" t="s">
        <v>482</v>
      </c>
      <c r="D356" s="8"/>
      <c r="E356" s="123" t="s">
        <v>832</v>
      </c>
      <c r="F356" s="67">
        <v>2</v>
      </c>
      <c r="G356" s="68">
        <v>147</v>
      </c>
      <c r="H356" s="69">
        <v>229</v>
      </c>
    </row>
    <row r="357" spans="1:8" ht="16.5" customHeight="1" x14ac:dyDescent="0.3">
      <c r="A357" s="75">
        <v>44378</v>
      </c>
      <c r="B357" s="65">
        <v>0.50124999999999997</v>
      </c>
      <c r="C357" s="66" t="s">
        <v>482</v>
      </c>
      <c r="D357" s="8"/>
      <c r="E357" s="123" t="s">
        <v>833</v>
      </c>
      <c r="F357" s="67">
        <v>4</v>
      </c>
      <c r="G357" s="68">
        <v>256</v>
      </c>
      <c r="H357" s="69">
        <v>399</v>
      </c>
    </row>
    <row r="358" spans="1:8" ht="16.5" customHeight="1" x14ac:dyDescent="0.3">
      <c r="A358" s="75">
        <v>44398</v>
      </c>
      <c r="B358" s="65">
        <v>0.55526315789473701</v>
      </c>
      <c r="C358" s="66" t="s">
        <v>472</v>
      </c>
      <c r="D358" s="8"/>
      <c r="E358" s="123" t="s">
        <v>352</v>
      </c>
      <c r="F358" s="67">
        <v>2</v>
      </c>
      <c r="G358" s="68">
        <v>109</v>
      </c>
      <c r="H358" s="69">
        <v>169</v>
      </c>
    </row>
    <row r="359" spans="1:8" ht="16.5" customHeight="1" x14ac:dyDescent="0.3">
      <c r="A359" s="75">
        <v>44480</v>
      </c>
      <c r="B359" s="65">
        <v>0.30007692307692302</v>
      </c>
      <c r="C359" s="66" t="s">
        <v>376</v>
      </c>
      <c r="D359" s="8"/>
      <c r="E359" s="123" t="s">
        <v>109</v>
      </c>
      <c r="F359" s="67">
        <v>109</v>
      </c>
      <c r="G359" s="68">
        <v>5838</v>
      </c>
      <c r="H359" s="69">
        <v>9099</v>
      </c>
    </row>
    <row r="360" spans="1:8" ht="16.5" customHeight="1" x14ac:dyDescent="0.3">
      <c r="A360" s="75">
        <v>44547</v>
      </c>
      <c r="B360" s="65">
        <v>0.39279999999999998</v>
      </c>
      <c r="C360" s="66" t="s">
        <v>455</v>
      </c>
      <c r="D360" s="8"/>
      <c r="E360" s="123" t="s">
        <v>627</v>
      </c>
      <c r="F360" s="67">
        <v>8</v>
      </c>
      <c r="G360" s="68">
        <v>487</v>
      </c>
      <c r="H360" s="69">
        <v>759</v>
      </c>
    </row>
    <row r="361" spans="1:8" ht="16.5" customHeight="1" x14ac:dyDescent="0.3">
      <c r="A361" s="75">
        <v>44569</v>
      </c>
      <c r="B361" s="65">
        <v>0.417241379310345</v>
      </c>
      <c r="C361" s="66" t="s">
        <v>442</v>
      </c>
      <c r="D361" s="8"/>
      <c r="E361" s="123" t="s">
        <v>628</v>
      </c>
      <c r="F361" s="67">
        <v>2</v>
      </c>
      <c r="G361" s="68">
        <v>109</v>
      </c>
      <c r="H361" s="69">
        <v>169</v>
      </c>
    </row>
    <row r="362" spans="1:8" ht="16.5" customHeight="1" x14ac:dyDescent="0.3">
      <c r="A362" s="75">
        <v>44574</v>
      </c>
      <c r="B362" s="65">
        <v>0.50124999999999997</v>
      </c>
      <c r="C362" s="66" t="s">
        <v>442</v>
      </c>
      <c r="D362" s="8"/>
      <c r="E362" s="123" t="s">
        <v>629</v>
      </c>
      <c r="F362" s="67">
        <v>4</v>
      </c>
      <c r="G362" s="68">
        <v>256</v>
      </c>
      <c r="H362" s="69">
        <v>399</v>
      </c>
    </row>
    <row r="363" spans="1:8" ht="16.5" customHeight="1" x14ac:dyDescent="0.3">
      <c r="A363" s="75">
        <v>44575</v>
      </c>
      <c r="B363" s="65">
        <v>0.50124999999999997</v>
      </c>
      <c r="C363" s="66" t="s">
        <v>442</v>
      </c>
      <c r="D363" s="8"/>
      <c r="E363" s="123" t="s">
        <v>630</v>
      </c>
      <c r="F363" s="67">
        <v>4</v>
      </c>
      <c r="G363" s="68">
        <v>256</v>
      </c>
      <c r="H363" s="69">
        <v>399</v>
      </c>
    </row>
    <row r="364" spans="1:8" ht="16.5" customHeight="1" x14ac:dyDescent="0.3">
      <c r="A364" s="75">
        <v>44715</v>
      </c>
      <c r="B364" s="65">
        <v>0.45304347826086999</v>
      </c>
      <c r="C364" s="66" t="s">
        <v>459</v>
      </c>
      <c r="D364" s="8"/>
      <c r="E364" s="123" t="s">
        <v>631</v>
      </c>
      <c r="F364" s="67">
        <v>6</v>
      </c>
      <c r="G364" s="68">
        <v>403</v>
      </c>
      <c r="H364" s="69">
        <v>629</v>
      </c>
    </row>
    <row r="365" spans="1:8" ht="16.5" customHeight="1" x14ac:dyDescent="0.3">
      <c r="A365" s="75">
        <v>44716</v>
      </c>
      <c r="B365" s="65">
        <v>0.45304347826086999</v>
      </c>
      <c r="C365" s="66" t="s">
        <v>459</v>
      </c>
      <c r="D365" s="8"/>
      <c r="E365" s="123" t="s">
        <v>632</v>
      </c>
      <c r="F365" s="67">
        <v>6</v>
      </c>
      <c r="G365" s="68">
        <v>403</v>
      </c>
      <c r="H365" s="69">
        <v>629</v>
      </c>
    </row>
    <row r="366" spans="1:8" ht="16.5" customHeight="1" x14ac:dyDescent="0.3">
      <c r="A366" s="75">
        <v>44717</v>
      </c>
      <c r="B366" s="65">
        <v>0.45304347826086999</v>
      </c>
      <c r="C366" s="66" t="s">
        <v>459</v>
      </c>
      <c r="D366" s="8"/>
      <c r="E366" s="123" t="s">
        <v>633</v>
      </c>
      <c r="F366" s="67">
        <v>6</v>
      </c>
      <c r="G366" s="68">
        <v>403</v>
      </c>
      <c r="H366" s="69">
        <v>629</v>
      </c>
    </row>
    <row r="367" spans="1:8" ht="16.5" customHeight="1" x14ac:dyDescent="0.3">
      <c r="A367" s="75">
        <v>44718</v>
      </c>
      <c r="B367" s="65">
        <v>0.45304347826086999</v>
      </c>
      <c r="C367" s="66" t="s">
        <v>459</v>
      </c>
      <c r="D367" s="8"/>
      <c r="E367" s="123" t="s">
        <v>634</v>
      </c>
      <c r="F367" s="67">
        <v>6</v>
      </c>
      <c r="G367" s="68">
        <v>403</v>
      </c>
      <c r="H367" s="69">
        <v>629</v>
      </c>
    </row>
    <row r="368" spans="1:8" ht="16.5" customHeight="1" x14ac:dyDescent="0.3">
      <c r="A368" s="75">
        <v>44719</v>
      </c>
      <c r="B368" s="65">
        <v>0.45304347826086999</v>
      </c>
      <c r="C368" s="66" t="s">
        <v>459</v>
      </c>
      <c r="D368" s="8"/>
      <c r="E368" s="123" t="s">
        <v>635</v>
      </c>
      <c r="F368" s="67">
        <v>6</v>
      </c>
      <c r="G368" s="68">
        <v>403</v>
      </c>
      <c r="H368" s="69">
        <v>629</v>
      </c>
    </row>
    <row r="369" spans="1:8" ht="16.5" customHeight="1" x14ac:dyDescent="0.3">
      <c r="A369" s="75">
        <v>44720</v>
      </c>
      <c r="B369" s="65">
        <v>0.45304347826086999</v>
      </c>
      <c r="C369" s="66" t="s">
        <v>459</v>
      </c>
      <c r="D369" s="8"/>
      <c r="E369" s="123" t="s">
        <v>636</v>
      </c>
      <c r="F369" s="67">
        <v>6</v>
      </c>
      <c r="G369" s="68">
        <v>403</v>
      </c>
      <c r="H369" s="69">
        <v>629</v>
      </c>
    </row>
    <row r="370" spans="1:8" ht="16.5" customHeight="1" x14ac:dyDescent="0.3">
      <c r="A370" s="75">
        <v>44721</v>
      </c>
      <c r="B370" s="65">
        <v>0.45304347826086999</v>
      </c>
      <c r="C370" s="66" t="s">
        <v>459</v>
      </c>
      <c r="D370" s="8"/>
      <c r="E370" s="123" t="s">
        <v>637</v>
      </c>
      <c r="F370" s="67">
        <v>6</v>
      </c>
      <c r="G370" s="68">
        <v>403</v>
      </c>
      <c r="H370" s="69">
        <v>629</v>
      </c>
    </row>
    <row r="371" spans="1:8" ht="16.5" customHeight="1" x14ac:dyDescent="0.3">
      <c r="A371" s="75">
        <v>44722</v>
      </c>
      <c r="B371" s="65">
        <v>0.45304347826086999</v>
      </c>
      <c r="C371" s="66" t="s">
        <v>459</v>
      </c>
      <c r="D371" s="8"/>
      <c r="E371" s="123" t="s">
        <v>638</v>
      </c>
      <c r="F371" s="67">
        <v>6</v>
      </c>
      <c r="G371" s="68">
        <v>403</v>
      </c>
      <c r="H371" s="69">
        <v>629</v>
      </c>
    </row>
    <row r="372" spans="1:8" ht="16.5" customHeight="1" x14ac:dyDescent="0.3">
      <c r="A372" s="75">
        <v>44723</v>
      </c>
      <c r="B372" s="65">
        <v>0.45304347826086999</v>
      </c>
      <c r="C372" s="66" t="s">
        <v>459</v>
      </c>
      <c r="D372" s="8"/>
      <c r="E372" s="123" t="s">
        <v>639</v>
      </c>
      <c r="F372" s="67">
        <v>6</v>
      </c>
      <c r="G372" s="68">
        <v>403</v>
      </c>
      <c r="H372" s="69">
        <v>629</v>
      </c>
    </row>
    <row r="373" spans="1:8" ht="16.5" customHeight="1" x14ac:dyDescent="0.3">
      <c r="A373" s="75">
        <v>44724</v>
      </c>
      <c r="B373" s="65">
        <v>0.45304347826086999</v>
      </c>
      <c r="C373" s="66" t="s">
        <v>459</v>
      </c>
      <c r="D373" s="8"/>
      <c r="E373" s="123" t="s">
        <v>640</v>
      </c>
      <c r="F373" s="67">
        <v>6</v>
      </c>
      <c r="G373" s="68">
        <v>403</v>
      </c>
      <c r="H373" s="69">
        <v>629</v>
      </c>
    </row>
    <row r="374" spans="1:8" ht="16.5" customHeight="1" x14ac:dyDescent="0.3">
      <c r="A374" s="75">
        <v>44810</v>
      </c>
      <c r="B374" s="65">
        <v>0.33393939393939398</v>
      </c>
      <c r="C374" s="66" t="s">
        <v>388</v>
      </c>
      <c r="D374" s="8"/>
      <c r="E374" s="123" t="s">
        <v>641</v>
      </c>
      <c r="F374" s="67">
        <v>11</v>
      </c>
      <c r="G374" s="68">
        <v>705</v>
      </c>
      <c r="H374" s="69">
        <v>1099</v>
      </c>
    </row>
    <row r="375" spans="1:8" ht="16.5" customHeight="1" x14ac:dyDescent="0.3">
      <c r="A375" s="75">
        <v>44811</v>
      </c>
      <c r="B375" s="65">
        <v>0.33393939393939398</v>
      </c>
      <c r="C375" s="66" t="s">
        <v>388</v>
      </c>
      <c r="D375" s="8"/>
      <c r="E375" s="123" t="s">
        <v>642</v>
      </c>
      <c r="F375" s="67">
        <v>11</v>
      </c>
      <c r="G375" s="68">
        <v>705</v>
      </c>
      <c r="H375" s="69">
        <v>1099</v>
      </c>
    </row>
    <row r="376" spans="1:8" ht="16.5" customHeight="1" x14ac:dyDescent="0.3">
      <c r="A376" s="75">
        <v>44812</v>
      </c>
      <c r="B376" s="65">
        <v>0.33393939393939398</v>
      </c>
      <c r="C376" s="66" t="s">
        <v>388</v>
      </c>
      <c r="D376" s="8"/>
      <c r="E376" s="123" t="s">
        <v>643</v>
      </c>
      <c r="F376" s="67">
        <v>11</v>
      </c>
      <c r="G376" s="68">
        <v>705</v>
      </c>
      <c r="H376" s="69">
        <v>1099</v>
      </c>
    </row>
    <row r="377" spans="1:8" ht="16.5" customHeight="1" x14ac:dyDescent="0.3">
      <c r="A377" s="75">
        <v>44813</v>
      </c>
      <c r="B377" s="65">
        <v>0.33393939393939398</v>
      </c>
      <c r="C377" s="66" t="s">
        <v>388</v>
      </c>
      <c r="D377" s="8"/>
      <c r="E377" s="123" t="s">
        <v>644</v>
      </c>
      <c r="F377" s="67">
        <v>11</v>
      </c>
      <c r="G377" s="68">
        <v>705</v>
      </c>
      <c r="H377" s="69">
        <v>1099</v>
      </c>
    </row>
    <row r="378" spans="1:8" ht="16.5" customHeight="1" x14ac:dyDescent="0.3">
      <c r="A378" s="75">
        <v>44846</v>
      </c>
      <c r="B378" s="65">
        <v>0.34930232558139501</v>
      </c>
      <c r="C378" s="66" t="s">
        <v>492</v>
      </c>
      <c r="D378" s="8"/>
      <c r="E378" s="123" t="s">
        <v>645</v>
      </c>
      <c r="F378" s="67">
        <v>14</v>
      </c>
      <c r="G378" s="68">
        <v>898</v>
      </c>
      <c r="H378" s="69">
        <v>1399</v>
      </c>
    </row>
    <row r="379" spans="1:8" ht="16.5" customHeight="1" x14ac:dyDescent="0.3">
      <c r="A379" s="75">
        <v>44950</v>
      </c>
      <c r="B379" s="65"/>
      <c r="C379" s="66" t="s">
        <v>483</v>
      </c>
      <c r="D379" s="8"/>
      <c r="E379" s="123" t="s">
        <v>345</v>
      </c>
      <c r="F379" s="67">
        <v>10</v>
      </c>
      <c r="G379" s="68">
        <v>642</v>
      </c>
      <c r="H379" s="69">
        <v>1000</v>
      </c>
    </row>
    <row r="380" spans="1:8" ht="16.5" customHeight="1" x14ac:dyDescent="0.3">
      <c r="A380" s="75">
        <v>44951</v>
      </c>
      <c r="B380" s="65">
        <v>0.40100000000000002</v>
      </c>
      <c r="C380" s="66" t="s">
        <v>483</v>
      </c>
      <c r="D380" s="8"/>
      <c r="E380" s="123" t="s">
        <v>262</v>
      </c>
      <c r="F380" s="67">
        <v>6</v>
      </c>
      <c r="G380" s="68">
        <v>384</v>
      </c>
      <c r="H380" s="69">
        <v>599</v>
      </c>
    </row>
    <row r="381" spans="1:8" ht="16.5" customHeight="1" x14ac:dyDescent="0.3">
      <c r="A381" s="75">
        <v>44953</v>
      </c>
      <c r="B381" s="65">
        <v>0.35166666666666702</v>
      </c>
      <c r="C381" s="66" t="s">
        <v>481</v>
      </c>
      <c r="D381" s="8"/>
      <c r="E381" s="123" t="s">
        <v>646</v>
      </c>
      <c r="F381" s="67">
        <v>4</v>
      </c>
      <c r="G381" s="68">
        <v>249</v>
      </c>
      <c r="H381" s="69">
        <v>389</v>
      </c>
    </row>
    <row r="382" spans="1:8" ht="16.5" customHeight="1" x14ac:dyDescent="0.3">
      <c r="A382" s="75">
        <v>44955</v>
      </c>
      <c r="B382" s="65">
        <v>0.40100000000000002</v>
      </c>
      <c r="C382" s="66" t="s">
        <v>483</v>
      </c>
      <c r="D382" s="8"/>
      <c r="E382" s="123" t="s">
        <v>261</v>
      </c>
      <c r="F382" s="67">
        <v>6</v>
      </c>
      <c r="G382" s="68">
        <v>384</v>
      </c>
      <c r="H382" s="69">
        <v>599</v>
      </c>
    </row>
    <row r="383" spans="1:8" ht="16.5" customHeight="1" x14ac:dyDescent="0.3">
      <c r="A383" s="75">
        <v>44956</v>
      </c>
      <c r="B383" s="65">
        <v>0.45100000000000001</v>
      </c>
      <c r="C383" s="66" t="s">
        <v>402</v>
      </c>
      <c r="D383" s="8"/>
      <c r="E383" s="123" t="s">
        <v>337</v>
      </c>
      <c r="F383" s="67">
        <v>5</v>
      </c>
      <c r="G383" s="68">
        <v>352</v>
      </c>
      <c r="H383" s="69">
        <v>549</v>
      </c>
    </row>
    <row r="384" spans="1:8" ht="16.5" customHeight="1" x14ac:dyDescent="0.3">
      <c r="A384" s="75">
        <v>44957</v>
      </c>
      <c r="B384" s="65"/>
      <c r="C384" s="66" t="s">
        <v>478</v>
      </c>
      <c r="D384" s="8"/>
      <c r="E384" s="123" t="s">
        <v>647</v>
      </c>
      <c r="F384" s="67">
        <v>14</v>
      </c>
      <c r="G384" s="68">
        <v>931</v>
      </c>
      <c r="H384" s="69">
        <v>1450</v>
      </c>
    </row>
    <row r="385" spans="1:8" ht="16.5" customHeight="1" x14ac:dyDescent="0.3">
      <c r="A385" s="75">
        <v>44958</v>
      </c>
      <c r="B385" s="65"/>
      <c r="C385" s="66" t="s">
        <v>483</v>
      </c>
      <c r="D385" s="8"/>
      <c r="E385" s="123" t="s">
        <v>338</v>
      </c>
      <c r="F385" s="67">
        <v>14</v>
      </c>
      <c r="G385" s="68">
        <v>931</v>
      </c>
      <c r="H385" s="69">
        <v>1450</v>
      </c>
    </row>
    <row r="386" spans="1:8" ht="16.5" customHeight="1" x14ac:dyDescent="0.3">
      <c r="A386" s="75">
        <v>44960</v>
      </c>
      <c r="B386" s="65"/>
      <c r="C386" s="66" t="s">
        <v>478</v>
      </c>
      <c r="D386" s="8"/>
      <c r="E386" s="123" t="s">
        <v>135</v>
      </c>
      <c r="F386" s="67">
        <v>10</v>
      </c>
      <c r="G386" s="68">
        <v>642</v>
      </c>
      <c r="H386" s="69">
        <v>1000</v>
      </c>
    </row>
    <row r="387" spans="1:8" ht="16.5" customHeight="1" x14ac:dyDescent="0.3">
      <c r="A387" s="75">
        <v>44961</v>
      </c>
      <c r="B387" s="65">
        <v>0.40100000000000002</v>
      </c>
      <c r="C387" s="66" t="s">
        <v>478</v>
      </c>
      <c r="D387" s="8"/>
      <c r="E387" s="123" t="s">
        <v>339</v>
      </c>
      <c r="F387" s="67">
        <v>6</v>
      </c>
      <c r="G387" s="68">
        <v>384</v>
      </c>
      <c r="H387" s="69">
        <v>599</v>
      </c>
    </row>
    <row r="388" spans="1:8" ht="16.5" customHeight="1" x14ac:dyDescent="0.3">
      <c r="A388" s="75">
        <v>44962</v>
      </c>
      <c r="B388" s="65">
        <v>0.45304347826086999</v>
      </c>
      <c r="C388" s="66" t="s">
        <v>402</v>
      </c>
      <c r="D388" s="8"/>
      <c r="E388" s="123" t="s">
        <v>834</v>
      </c>
      <c r="F388" s="67">
        <v>6</v>
      </c>
      <c r="G388" s="68">
        <v>403</v>
      </c>
      <c r="H388" s="69">
        <v>629</v>
      </c>
    </row>
    <row r="389" spans="1:8" ht="16.5" customHeight="1" x14ac:dyDescent="0.3">
      <c r="A389" s="75">
        <v>44963</v>
      </c>
      <c r="B389" s="65"/>
      <c r="C389" s="66" t="s">
        <v>398</v>
      </c>
      <c r="D389" s="8"/>
      <c r="E389" s="123" t="s">
        <v>648</v>
      </c>
      <c r="F389" s="67">
        <v>13</v>
      </c>
      <c r="G389" s="68">
        <v>866</v>
      </c>
      <c r="H389" s="69">
        <v>1350</v>
      </c>
    </row>
    <row r="390" spans="1:8" ht="16.5" customHeight="1" x14ac:dyDescent="0.3">
      <c r="A390" s="75">
        <v>44964</v>
      </c>
      <c r="B390" s="65">
        <v>0.40079999999999999</v>
      </c>
      <c r="C390" s="66" t="s">
        <v>423</v>
      </c>
      <c r="D390" s="8"/>
      <c r="E390" s="123" t="s">
        <v>649</v>
      </c>
      <c r="F390" s="67">
        <v>7</v>
      </c>
      <c r="G390" s="68">
        <v>480</v>
      </c>
      <c r="H390" s="69">
        <v>749</v>
      </c>
    </row>
    <row r="391" spans="1:8" ht="16.5" customHeight="1" x14ac:dyDescent="0.3">
      <c r="A391" s="75">
        <v>44965</v>
      </c>
      <c r="B391" s="65">
        <v>0.40079999999999999</v>
      </c>
      <c r="C391" s="66" t="s">
        <v>398</v>
      </c>
      <c r="D391" s="8"/>
      <c r="E391" s="123" t="s">
        <v>650</v>
      </c>
      <c r="F391" s="67">
        <v>7</v>
      </c>
      <c r="G391" s="68">
        <v>480</v>
      </c>
      <c r="H391" s="69">
        <v>749</v>
      </c>
    </row>
    <row r="392" spans="1:8" ht="16.5" customHeight="1" x14ac:dyDescent="0.3">
      <c r="A392" s="75">
        <v>44966</v>
      </c>
      <c r="B392" s="65">
        <v>0.40483870967741897</v>
      </c>
      <c r="C392" s="66" t="s">
        <v>483</v>
      </c>
      <c r="D392" s="8"/>
      <c r="E392" s="123" t="s">
        <v>835</v>
      </c>
      <c r="F392" s="67">
        <v>4</v>
      </c>
      <c r="G392" s="68">
        <v>237</v>
      </c>
      <c r="H392" s="69">
        <v>369</v>
      </c>
    </row>
    <row r="393" spans="1:8" ht="16.5" customHeight="1" x14ac:dyDescent="0.3">
      <c r="A393" s="75">
        <v>44967</v>
      </c>
      <c r="B393" s="65"/>
      <c r="C393" s="66" t="s">
        <v>398</v>
      </c>
      <c r="D393" s="8"/>
      <c r="E393" s="123" t="s">
        <v>340</v>
      </c>
      <c r="F393" s="67">
        <v>12</v>
      </c>
      <c r="G393" s="68">
        <v>802</v>
      </c>
      <c r="H393" s="69">
        <v>1250</v>
      </c>
    </row>
    <row r="394" spans="1:8" ht="16.5" customHeight="1" x14ac:dyDescent="0.3">
      <c r="A394" s="75">
        <v>44968</v>
      </c>
      <c r="B394" s="65">
        <v>0.45679999999999998</v>
      </c>
      <c r="C394" s="66" t="s">
        <v>402</v>
      </c>
      <c r="D394" s="8"/>
      <c r="E394" s="123" t="s">
        <v>836</v>
      </c>
      <c r="F394" s="67">
        <v>7</v>
      </c>
      <c r="G394" s="68">
        <v>436</v>
      </c>
      <c r="H394" s="69">
        <v>679</v>
      </c>
    </row>
    <row r="395" spans="1:8" ht="16.5" customHeight="1" x14ac:dyDescent="0.3">
      <c r="A395" s="75">
        <v>44990</v>
      </c>
      <c r="B395" s="65"/>
      <c r="C395" s="66" t="s">
        <v>398</v>
      </c>
      <c r="D395" s="8"/>
      <c r="E395" s="123" t="s">
        <v>329</v>
      </c>
      <c r="F395" s="67">
        <v>4</v>
      </c>
      <c r="G395" s="68">
        <v>250</v>
      </c>
      <c r="H395" s="69">
        <v>390</v>
      </c>
    </row>
    <row r="396" spans="1:8" ht="16.5" customHeight="1" x14ac:dyDescent="0.3">
      <c r="A396" s="75">
        <v>44991</v>
      </c>
      <c r="B396" s="65">
        <v>0.49365079365079401</v>
      </c>
      <c r="C396" s="66" t="s">
        <v>427</v>
      </c>
      <c r="D396" s="8"/>
      <c r="E396" s="123" t="s">
        <v>651</v>
      </c>
      <c r="F396" s="67">
        <v>3</v>
      </c>
      <c r="G396" s="68">
        <v>205</v>
      </c>
      <c r="H396" s="69">
        <v>319</v>
      </c>
    </row>
    <row r="397" spans="1:8" ht="16.5" customHeight="1" x14ac:dyDescent="0.3">
      <c r="A397" s="75">
        <v>45081</v>
      </c>
      <c r="B397" s="65">
        <v>0.300150075037519</v>
      </c>
      <c r="C397" s="66" t="s">
        <v>429</v>
      </c>
      <c r="D397" s="8"/>
      <c r="E397" s="123" t="s">
        <v>733</v>
      </c>
      <c r="F397" s="67">
        <v>14</v>
      </c>
      <c r="G397" s="68">
        <v>449</v>
      </c>
      <c r="H397" s="69">
        <v>1399</v>
      </c>
    </row>
    <row r="398" spans="1:8" ht="16.5" customHeight="1" x14ac:dyDescent="0.3">
      <c r="A398" s="75">
        <v>45082</v>
      </c>
      <c r="B398" s="65">
        <v>0.4002</v>
      </c>
      <c r="C398" s="66" t="s">
        <v>460</v>
      </c>
      <c r="D398" s="8"/>
      <c r="E398" s="123" t="s">
        <v>696</v>
      </c>
      <c r="F398" s="67">
        <v>30</v>
      </c>
      <c r="G398" s="68">
        <v>962</v>
      </c>
      <c r="H398" s="69">
        <v>2999</v>
      </c>
    </row>
    <row r="399" spans="1:8" ht="16.5" customHeight="1" x14ac:dyDescent="0.3">
      <c r="A399" s="75">
        <v>45106</v>
      </c>
      <c r="B399" s="65">
        <v>0.40810810810810799</v>
      </c>
      <c r="C399" s="66" t="s">
        <v>430</v>
      </c>
      <c r="D399" s="8"/>
      <c r="E399" s="123" t="s">
        <v>697</v>
      </c>
      <c r="F399" s="67">
        <v>2</v>
      </c>
      <c r="G399" s="68">
        <v>141</v>
      </c>
      <c r="H399" s="69">
        <v>219</v>
      </c>
    </row>
    <row r="400" spans="1:8" ht="16.5" customHeight="1" x14ac:dyDescent="0.3">
      <c r="A400" s="75">
        <v>45107</v>
      </c>
      <c r="B400" s="65">
        <v>0.40810810810810799</v>
      </c>
      <c r="C400" s="66" t="s">
        <v>430</v>
      </c>
      <c r="D400" s="8"/>
      <c r="E400" s="123" t="s">
        <v>698</v>
      </c>
      <c r="F400" s="67">
        <v>2</v>
      </c>
      <c r="G400" s="68">
        <v>141</v>
      </c>
      <c r="H400" s="69">
        <v>219</v>
      </c>
    </row>
    <row r="401" spans="1:8" ht="16.5" customHeight="1" x14ac:dyDescent="0.3">
      <c r="A401" s="75">
        <v>45275</v>
      </c>
      <c r="B401" s="65">
        <v>0.50124999999999997</v>
      </c>
      <c r="C401" s="66" t="s">
        <v>429</v>
      </c>
      <c r="D401" s="8"/>
      <c r="E401" s="123" t="s">
        <v>837</v>
      </c>
      <c r="F401" s="67">
        <v>4</v>
      </c>
      <c r="G401" s="68">
        <v>128</v>
      </c>
      <c r="H401" s="69">
        <v>399</v>
      </c>
    </row>
    <row r="402" spans="1:8" ht="16.5" customHeight="1" x14ac:dyDescent="0.3">
      <c r="A402" s="75">
        <v>45353</v>
      </c>
      <c r="B402" s="65">
        <v>0.40810810810810799</v>
      </c>
      <c r="C402" s="66" t="s">
        <v>430</v>
      </c>
      <c r="D402" s="8"/>
      <c r="E402" s="123" t="s">
        <v>699</v>
      </c>
      <c r="F402" s="67">
        <v>2</v>
      </c>
      <c r="G402" s="68">
        <v>141</v>
      </c>
      <c r="H402" s="69">
        <v>219</v>
      </c>
    </row>
    <row r="403" spans="1:8" ht="16.5" customHeight="1" x14ac:dyDescent="0.3">
      <c r="A403" s="75">
        <v>45425</v>
      </c>
      <c r="B403" s="65">
        <v>0.44428571428571401</v>
      </c>
      <c r="C403" s="66" t="s">
        <v>400</v>
      </c>
      <c r="D403" s="8"/>
      <c r="E403" s="123" t="s">
        <v>652</v>
      </c>
      <c r="F403" s="67">
        <v>4</v>
      </c>
      <c r="G403" s="68">
        <v>249</v>
      </c>
      <c r="H403" s="69">
        <v>389</v>
      </c>
    </row>
    <row r="404" spans="1:8" ht="16.5" customHeight="1" x14ac:dyDescent="0.3">
      <c r="A404" s="75">
        <v>45426</v>
      </c>
      <c r="B404" s="65">
        <v>0.44428571428571401</v>
      </c>
      <c r="C404" s="66" t="s">
        <v>400</v>
      </c>
      <c r="D404" s="8"/>
      <c r="E404" s="123" t="s">
        <v>653</v>
      </c>
      <c r="F404" s="67">
        <v>4</v>
      </c>
      <c r="G404" s="68">
        <v>249</v>
      </c>
      <c r="H404" s="69">
        <v>389</v>
      </c>
    </row>
    <row r="405" spans="1:8" ht="16.5" customHeight="1" x14ac:dyDescent="0.3">
      <c r="A405" s="75">
        <v>45438</v>
      </c>
      <c r="B405" s="65"/>
      <c r="C405" s="66" t="s">
        <v>423</v>
      </c>
      <c r="D405" s="8"/>
      <c r="E405" s="123" t="s">
        <v>341</v>
      </c>
      <c r="F405" s="67">
        <v>12</v>
      </c>
      <c r="G405" s="68">
        <v>802</v>
      </c>
      <c r="H405" s="69">
        <v>1250</v>
      </c>
    </row>
    <row r="406" spans="1:8" ht="16.5" customHeight="1" x14ac:dyDescent="0.3">
      <c r="A406" s="75">
        <v>45590</v>
      </c>
      <c r="B406" s="65">
        <v>0.30076923076923101</v>
      </c>
      <c r="C406" s="66" t="s">
        <v>441</v>
      </c>
      <c r="D406" s="8"/>
      <c r="E406" s="123" t="s">
        <v>138</v>
      </c>
      <c r="F406" s="67">
        <v>120</v>
      </c>
      <c r="G406" s="68">
        <v>6416</v>
      </c>
      <c r="H406" s="69">
        <v>9999</v>
      </c>
    </row>
    <row r="407" spans="1:8" ht="16.5" customHeight="1" x14ac:dyDescent="0.3">
      <c r="A407" s="75">
        <v>45595</v>
      </c>
      <c r="B407" s="65">
        <v>0.30076923076923101</v>
      </c>
      <c r="C407" s="66" t="s">
        <v>440</v>
      </c>
      <c r="D407" s="8"/>
      <c r="E407" s="123" t="s">
        <v>110</v>
      </c>
      <c r="F407" s="67">
        <v>120</v>
      </c>
      <c r="G407" s="68">
        <v>6416</v>
      </c>
      <c r="H407" s="69">
        <v>9999</v>
      </c>
    </row>
    <row r="408" spans="1:8" ht="16.5" customHeight="1" x14ac:dyDescent="0.3">
      <c r="A408" s="75">
        <v>45608</v>
      </c>
      <c r="B408" s="65">
        <v>0.30076923076923101</v>
      </c>
      <c r="C408" s="66" t="s">
        <v>441</v>
      </c>
      <c r="D408" s="8"/>
      <c r="E408" s="123" t="s">
        <v>111</v>
      </c>
      <c r="F408" s="67">
        <v>120</v>
      </c>
      <c r="G408" s="68">
        <v>6416</v>
      </c>
      <c r="H408" s="69">
        <v>9999</v>
      </c>
    </row>
    <row r="409" spans="1:8" ht="16.5" customHeight="1" x14ac:dyDescent="0.3">
      <c r="A409" s="75">
        <v>45729</v>
      </c>
      <c r="B409" s="65">
        <v>0.50113636363636405</v>
      </c>
      <c r="C409" s="66" t="s">
        <v>429</v>
      </c>
      <c r="D409" s="8"/>
      <c r="E409" s="123" t="s">
        <v>654</v>
      </c>
      <c r="F409" s="67">
        <v>4</v>
      </c>
      <c r="G409" s="68">
        <v>141</v>
      </c>
      <c r="H409" s="69">
        <v>439</v>
      </c>
    </row>
    <row r="410" spans="1:8" ht="16.5" customHeight="1" x14ac:dyDescent="0.3">
      <c r="A410" s="75">
        <v>45798</v>
      </c>
      <c r="B410" s="65">
        <v>0.44428571428571401</v>
      </c>
      <c r="C410" s="66" t="s">
        <v>408</v>
      </c>
      <c r="D410" s="8"/>
      <c r="E410" s="123" t="s">
        <v>655</v>
      </c>
      <c r="F410" s="67">
        <v>4</v>
      </c>
      <c r="G410" s="68">
        <v>249</v>
      </c>
      <c r="H410" s="69">
        <v>389</v>
      </c>
    </row>
    <row r="411" spans="1:8" ht="16.5" customHeight="1" x14ac:dyDescent="0.3">
      <c r="A411" s="75">
        <v>45816</v>
      </c>
      <c r="B411" s="65">
        <v>0.31222222222222201</v>
      </c>
      <c r="C411" s="66" t="s">
        <v>412</v>
      </c>
      <c r="D411" s="8"/>
      <c r="E411" s="123" t="s">
        <v>366</v>
      </c>
      <c r="F411" s="67">
        <v>6</v>
      </c>
      <c r="G411" s="68">
        <v>397</v>
      </c>
      <c r="H411" s="69">
        <v>619</v>
      </c>
    </row>
    <row r="412" spans="1:8" ht="16.5" customHeight="1" x14ac:dyDescent="0.3">
      <c r="A412" s="75">
        <v>45817</v>
      </c>
      <c r="B412" s="65">
        <v>0.36133333333333301</v>
      </c>
      <c r="C412" s="66" t="s">
        <v>371</v>
      </c>
      <c r="D412" s="8"/>
      <c r="E412" s="123" t="s">
        <v>656</v>
      </c>
      <c r="F412" s="67">
        <v>5</v>
      </c>
      <c r="G412" s="68">
        <v>307</v>
      </c>
      <c r="H412" s="69">
        <v>479</v>
      </c>
    </row>
    <row r="413" spans="1:8" ht="16.5" customHeight="1" x14ac:dyDescent="0.3">
      <c r="A413" s="75">
        <v>45819</v>
      </c>
      <c r="B413" s="65">
        <v>0.35666666666666702</v>
      </c>
      <c r="C413" s="66" t="s">
        <v>371</v>
      </c>
      <c r="D413" s="8"/>
      <c r="E413" s="123" t="s">
        <v>838</v>
      </c>
      <c r="F413" s="67">
        <v>6</v>
      </c>
      <c r="G413" s="68">
        <v>372</v>
      </c>
      <c r="H413" s="69">
        <v>579</v>
      </c>
    </row>
    <row r="414" spans="1:8" ht="16.5" customHeight="1" x14ac:dyDescent="0.3">
      <c r="A414" s="75">
        <v>45848</v>
      </c>
      <c r="B414" s="65">
        <v>0.40200000000000002</v>
      </c>
      <c r="C414" s="66" t="s">
        <v>450</v>
      </c>
      <c r="D414" s="8"/>
      <c r="E414" s="123" t="s">
        <v>734</v>
      </c>
      <c r="F414" s="67">
        <v>3</v>
      </c>
      <c r="G414" s="68">
        <v>192</v>
      </c>
      <c r="H414" s="69">
        <v>299</v>
      </c>
    </row>
    <row r="415" spans="1:8" ht="16.5" customHeight="1" x14ac:dyDescent="0.3">
      <c r="A415" s="75">
        <v>45852</v>
      </c>
      <c r="B415" s="65">
        <v>0.401666666666667</v>
      </c>
      <c r="C415" s="66" t="s">
        <v>450</v>
      </c>
      <c r="D415" s="8"/>
      <c r="E415" s="123" t="s">
        <v>735</v>
      </c>
      <c r="F415" s="67">
        <v>4</v>
      </c>
      <c r="G415" s="68">
        <v>230</v>
      </c>
      <c r="H415" s="69">
        <v>359</v>
      </c>
    </row>
    <row r="416" spans="1:8" ht="16.5" customHeight="1" x14ac:dyDescent="0.3">
      <c r="A416" s="75">
        <v>45855</v>
      </c>
      <c r="B416" s="65">
        <v>0.44133333333333302</v>
      </c>
      <c r="C416" s="66" t="s">
        <v>451</v>
      </c>
      <c r="D416" s="8"/>
      <c r="E416" s="123" t="s">
        <v>839</v>
      </c>
      <c r="F416" s="67">
        <v>4</v>
      </c>
      <c r="G416" s="68">
        <v>269</v>
      </c>
      <c r="H416" s="69">
        <v>419</v>
      </c>
    </row>
    <row r="417" spans="1:8" ht="16.5" customHeight="1" x14ac:dyDescent="0.3">
      <c r="A417" s="75">
        <v>45941</v>
      </c>
      <c r="B417" s="65">
        <v>0.44418604651162802</v>
      </c>
      <c r="C417" s="66" t="s">
        <v>465</v>
      </c>
      <c r="D417" s="8"/>
      <c r="E417" s="123" t="s">
        <v>657</v>
      </c>
      <c r="F417" s="67">
        <v>2</v>
      </c>
      <c r="G417" s="68">
        <v>153</v>
      </c>
      <c r="H417" s="69">
        <v>239</v>
      </c>
    </row>
    <row r="418" spans="1:8" ht="16.5" customHeight="1" x14ac:dyDescent="0.3">
      <c r="A418" s="75">
        <v>45942</v>
      </c>
      <c r="B418" s="65">
        <v>0.44418604651162802</v>
      </c>
      <c r="C418" s="66" t="s">
        <v>465</v>
      </c>
      <c r="D418" s="8"/>
      <c r="E418" s="123" t="s">
        <v>658</v>
      </c>
      <c r="F418" s="67">
        <v>2</v>
      </c>
      <c r="G418" s="68">
        <v>153</v>
      </c>
      <c r="H418" s="69">
        <v>239</v>
      </c>
    </row>
    <row r="419" spans="1:8" ht="16.5" customHeight="1" x14ac:dyDescent="0.3">
      <c r="A419" s="75">
        <v>45943</v>
      </c>
      <c r="B419" s="65">
        <v>0.44418604651162802</v>
      </c>
      <c r="C419" s="66" t="s">
        <v>465</v>
      </c>
      <c r="D419" s="8"/>
      <c r="E419" s="123" t="s">
        <v>659</v>
      </c>
      <c r="F419" s="67">
        <v>2</v>
      </c>
      <c r="G419" s="68">
        <v>153</v>
      </c>
      <c r="H419" s="69">
        <v>239</v>
      </c>
    </row>
    <row r="420" spans="1:8" ht="16.5" customHeight="1" x14ac:dyDescent="0.3">
      <c r="A420" s="75">
        <v>45944</v>
      </c>
      <c r="B420" s="65">
        <v>0.44418604651162802</v>
      </c>
      <c r="C420" s="66" t="s">
        <v>465</v>
      </c>
      <c r="D420" s="8"/>
      <c r="E420" s="123" t="s">
        <v>660</v>
      </c>
      <c r="F420" s="67">
        <v>2</v>
      </c>
      <c r="G420" s="68">
        <v>153</v>
      </c>
      <c r="H420" s="69">
        <v>239</v>
      </c>
    </row>
    <row r="421" spans="1:8" ht="16.5" customHeight="1" x14ac:dyDescent="0.3">
      <c r="A421" s="75">
        <v>46052</v>
      </c>
      <c r="B421" s="65">
        <v>0.37822222222222202</v>
      </c>
      <c r="C421" s="66" t="s">
        <v>445</v>
      </c>
      <c r="D421" s="8"/>
      <c r="E421" s="123" t="s">
        <v>330</v>
      </c>
      <c r="F421" s="67">
        <v>14</v>
      </c>
      <c r="G421" s="68">
        <v>898</v>
      </c>
      <c r="H421" s="69">
        <v>1399</v>
      </c>
    </row>
    <row r="422" spans="1:8" ht="16.5" customHeight="1" x14ac:dyDescent="0.3">
      <c r="A422" s="75">
        <v>46219</v>
      </c>
      <c r="B422" s="65">
        <v>0.338095238095238</v>
      </c>
      <c r="C422" s="66" t="s">
        <v>412</v>
      </c>
      <c r="D422" s="8"/>
      <c r="E422" s="123" t="s">
        <v>840</v>
      </c>
      <c r="F422" s="67">
        <v>1</v>
      </c>
      <c r="G422" s="68">
        <v>90</v>
      </c>
      <c r="H422" s="69">
        <v>139</v>
      </c>
    </row>
    <row r="423" spans="1:8" ht="16.5" customHeight="1" x14ac:dyDescent="0.3">
      <c r="A423" s="75">
        <v>46292</v>
      </c>
      <c r="B423" s="65">
        <v>0.40200000000000002</v>
      </c>
      <c r="C423" s="66" t="s">
        <v>450</v>
      </c>
      <c r="D423" s="8"/>
      <c r="E423" s="123" t="s">
        <v>736</v>
      </c>
      <c r="F423" s="67">
        <v>3</v>
      </c>
      <c r="G423" s="68">
        <v>192</v>
      </c>
      <c r="H423" s="69">
        <v>299</v>
      </c>
    </row>
    <row r="424" spans="1:8" ht="16.5" customHeight="1" x14ac:dyDescent="0.3">
      <c r="A424" s="75">
        <v>46358</v>
      </c>
      <c r="B424" s="65">
        <v>0.50113636363636405</v>
      </c>
      <c r="C424" s="66" t="s">
        <v>405</v>
      </c>
      <c r="D424" s="8"/>
      <c r="E424" s="123" t="s">
        <v>661</v>
      </c>
      <c r="F424" s="67">
        <v>4</v>
      </c>
      <c r="G424" s="68">
        <v>141</v>
      </c>
      <c r="H424" s="69">
        <v>439</v>
      </c>
    </row>
    <row r="425" spans="1:8" ht="16.5" customHeight="1" x14ac:dyDescent="0.3">
      <c r="A425" s="75">
        <v>46359</v>
      </c>
      <c r="B425" s="65">
        <v>0.50124999999999997</v>
      </c>
      <c r="C425" s="66" t="s">
        <v>405</v>
      </c>
      <c r="D425" s="8"/>
      <c r="E425" s="123" t="s">
        <v>662</v>
      </c>
      <c r="F425" s="67">
        <v>4</v>
      </c>
      <c r="G425" s="68">
        <v>128</v>
      </c>
      <c r="H425" s="69">
        <v>399</v>
      </c>
    </row>
    <row r="426" spans="1:8" ht="16.5" customHeight="1" x14ac:dyDescent="0.3">
      <c r="A426" s="75">
        <v>46374</v>
      </c>
      <c r="B426" s="65">
        <v>0.40181818181818202</v>
      </c>
      <c r="C426" s="66" t="s">
        <v>384</v>
      </c>
      <c r="D426" s="8"/>
      <c r="E426" s="123" t="s">
        <v>663</v>
      </c>
      <c r="F426" s="67">
        <v>3</v>
      </c>
      <c r="G426" s="68">
        <v>211</v>
      </c>
      <c r="H426" s="69">
        <v>329</v>
      </c>
    </row>
    <row r="427" spans="1:8" ht="16.5" customHeight="1" x14ac:dyDescent="0.3">
      <c r="A427" s="75">
        <v>46375</v>
      </c>
      <c r="B427" s="65">
        <v>0.45568181818181802</v>
      </c>
      <c r="C427" s="66" t="s">
        <v>384</v>
      </c>
      <c r="D427" s="8"/>
      <c r="E427" s="123" t="s">
        <v>841</v>
      </c>
      <c r="F427" s="67">
        <v>5</v>
      </c>
      <c r="G427" s="68">
        <v>307</v>
      </c>
      <c r="H427" s="69">
        <v>479</v>
      </c>
    </row>
    <row r="428" spans="1:8" ht="16.5" customHeight="1" x14ac:dyDescent="0.3">
      <c r="A428" s="75">
        <v>46376</v>
      </c>
      <c r="B428" s="65">
        <v>0.45225806451612899</v>
      </c>
      <c r="C428" s="66" t="s">
        <v>384</v>
      </c>
      <c r="D428" s="8"/>
      <c r="E428" s="123" t="s">
        <v>664</v>
      </c>
      <c r="F428" s="67">
        <v>8</v>
      </c>
      <c r="G428" s="68">
        <v>545</v>
      </c>
      <c r="H428" s="69">
        <v>849</v>
      </c>
    </row>
    <row r="429" spans="1:8" ht="16.5" customHeight="1" x14ac:dyDescent="0.3">
      <c r="A429" s="75">
        <v>46377</v>
      </c>
      <c r="B429" s="65">
        <v>0.50333333333333297</v>
      </c>
      <c r="C429" s="66" t="s">
        <v>395</v>
      </c>
      <c r="D429" s="8"/>
      <c r="E429" s="123" t="s">
        <v>842</v>
      </c>
      <c r="F429" s="67">
        <v>1</v>
      </c>
      <c r="G429" s="68">
        <v>95</v>
      </c>
      <c r="H429" s="69">
        <v>149</v>
      </c>
    </row>
    <row r="430" spans="1:8" ht="16.5" customHeight="1" x14ac:dyDescent="0.3">
      <c r="A430" s="75">
        <v>46399</v>
      </c>
      <c r="B430" s="65">
        <v>0.36838709677419401</v>
      </c>
      <c r="C430" s="66" t="s">
        <v>455</v>
      </c>
      <c r="D430" s="8"/>
      <c r="E430" s="123" t="s">
        <v>843</v>
      </c>
      <c r="F430" s="67">
        <v>10</v>
      </c>
      <c r="G430" s="68">
        <v>628</v>
      </c>
      <c r="H430" s="69">
        <v>979</v>
      </c>
    </row>
    <row r="431" spans="1:8" ht="16.5" customHeight="1" x14ac:dyDescent="0.3">
      <c r="A431" s="75">
        <v>46400</v>
      </c>
      <c r="B431" s="65">
        <v>0.36838709677419401</v>
      </c>
      <c r="C431" s="66" t="s">
        <v>455</v>
      </c>
      <c r="D431" s="8"/>
      <c r="E431" s="123" t="s">
        <v>844</v>
      </c>
      <c r="F431" s="67">
        <v>10</v>
      </c>
      <c r="G431" s="68">
        <v>628</v>
      </c>
      <c r="H431" s="69">
        <v>979</v>
      </c>
    </row>
    <row r="432" spans="1:8" ht="16.5" customHeight="1" x14ac:dyDescent="0.3">
      <c r="A432" s="75">
        <v>46402</v>
      </c>
      <c r="B432" s="65">
        <v>0.44814814814814802</v>
      </c>
      <c r="C432" s="66" t="s">
        <v>423</v>
      </c>
      <c r="D432" s="8"/>
      <c r="E432" s="123" t="s">
        <v>665</v>
      </c>
      <c r="F432" s="67">
        <v>1</v>
      </c>
      <c r="G432" s="68">
        <v>48</v>
      </c>
      <c r="H432" s="69">
        <v>149</v>
      </c>
    </row>
    <row r="433" spans="1:8" ht="16.5" customHeight="1" x14ac:dyDescent="0.3">
      <c r="A433" s="75">
        <v>46411</v>
      </c>
      <c r="B433" s="65">
        <v>0.300333704115684</v>
      </c>
      <c r="C433" s="66" t="s">
        <v>493</v>
      </c>
      <c r="D433" s="8"/>
      <c r="E433" s="123" t="s">
        <v>737</v>
      </c>
      <c r="F433" s="67">
        <v>6</v>
      </c>
      <c r="G433" s="68">
        <v>202</v>
      </c>
      <c r="H433" s="69">
        <v>629</v>
      </c>
    </row>
    <row r="434" spans="1:8" ht="16.5" customHeight="1" x14ac:dyDescent="0.3">
      <c r="A434" s="75">
        <v>46412</v>
      </c>
      <c r="B434" s="65">
        <v>0.45568181818181802</v>
      </c>
      <c r="C434" s="66" t="s">
        <v>395</v>
      </c>
      <c r="D434" s="8"/>
      <c r="E434" s="123" t="s">
        <v>342</v>
      </c>
      <c r="F434" s="67">
        <v>5</v>
      </c>
      <c r="G434" s="68">
        <v>154</v>
      </c>
      <c r="H434" s="69">
        <v>479</v>
      </c>
    </row>
    <row r="435" spans="1:8" ht="16.5" customHeight="1" x14ac:dyDescent="0.3">
      <c r="A435" s="75">
        <v>46413</v>
      </c>
      <c r="B435" s="65">
        <v>0.45124999999999998</v>
      </c>
      <c r="C435" s="66" t="s">
        <v>395</v>
      </c>
      <c r="D435" s="8"/>
      <c r="E435" s="123" t="s">
        <v>343</v>
      </c>
      <c r="F435" s="67">
        <v>4</v>
      </c>
      <c r="G435" s="68">
        <v>141</v>
      </c>
      <c r="H435" s="69">
        <v>439</v>
      </c>
    </row>
    <row r="436" spans="1:8" ht="16.5" customHeight="1" x14ac:dyDescent="0.3">
      <c r="A436" s="75">
        <v>46435</v>
      </c>
      <c r="B436" s="65">
        <v>0.44857142857142901</v>
      </c>
      <c r="C436" s="66" t="s">
        <v>457</v>
      </c>
      <c r="D436" s="8"/>
      <c r="E436" s="123" t="s">
        <v>700</v>
      </c>
      <c r="F436" s="67">
        <v>6</v>
      </c>
      <c r="G436" s="68">
        <v>372</v>
      </c>
      <c r="H436" s="69">
        <v>579</v>
      </c>
    </row>
    <row r="437" spans="1:8" ht="16.5" customHeight="1" x14ac:dyDescent="0.3">
      <c r="A437" s="75">
        <v>46436</v>
      </c>
      <c r="B437" s="65">
        <v>0.44857142857142901</v>
      </c>
      <c r="C437" s="66" t="s">
        <v>457</v>
      </c>
      <c r="D437" s="8"/>
      <c r="E437" s="123" t="s">
        <v>701</v>
      </c>
      <c r="F437" s="67">
        <v>6</v>
      </c>
      <c r="G437" s="68">
        <v>372</v>
      </c>
      <c r="H437" s="69">
        <v>579</v>
      </c>
    </row>
    <row r="438" spans="1:8" ht="16.5" customHeight="1" x14ac:dyDescent="0.3">
      <c r="A438" s="75">
        <v>46437</v>
      </c>
      <c r="B438" s="65">
        <v>0.44857142857142901</v>
      </c>
      <c r="C438" s="66" t="s">
        <v>457</v>
      </c>
      <c r="D438" s="8"/>
      <c r="E438" s="123" t="s">
        <v>702</v>
      </c>
      <c r="F438" s="67">
        <v>6</v>
      </c>
      <c r="G438" s="68">
        <v>372</v>
      </c>
      <c r="H438" s="69">
        <v>579</v>
      </c>
    </row>
    <row r="439" spans="1:8" ht="16.5" customHeight="1" x14ac:dyDescent="0.3">
      <c r="A439" s="75">
        <v>46438</v>
      </c>
      <c r="B439" s="65">
        <v>0.44857142857142901</v>
      </c>
      <c r="C439" s="66" t="s">
        <v>457</v>
      </c>
      <c r="D439" s="8"/>
      <c r="E439" s="123" t="s">
        <v>703</v>
      </c>
      <c r="F439" s="67">
        <v>6</v>
      </c>
      <c r="G439" s="68">
        <v>372</v>
      </c>
      <c r="H439" s="69">
        <v>579</v>
      </c>
    </row>
    <row r="440" spans="1:8" ht="16.5" customHeight="1" x14ac:dyDescent="0.3">
      <c r="A440" s="75">
        <v>46439</v>
      </c>
      <c r="B440" s="65">
        <v>0.44857142857142901</v>
      </c>
      <c r="C440" s="66" t="s">
        <v>457</v>
      </c>
      <c r="D440" s="8"/>
      <c r="E440" s="123" t="s">
        <v>704</v>
      </c>
      <c r="F440" s="67">
        <v>6</v>
      </c>
      <c r="G440" s="68">
        <v>372</v>
      </c>
      <c r="H440" s="69">
        <v>579</v>
      </c>
    </row>
    <row r="441" spans="1:8" ht="16.5" customHeight="1" x14ac:dyDescent="0.3">
      <c r="A441" s="75">
        <v>46440</v>
      </c>
      <c r="B441" s="65">
        <v>0.44857142857142901</v>
      </c>
      <c r="C441" s="66" t="s">
        <v>457</v>
      </c>
      <c r="D441" s="8"/>
      <c r="E441" s="123" t="s">
        <v>738</v>
      </c>
      <c r="F441" s="67">
        <v>6</v>
      </c>
      <c r="G441" s="68">
        <v>372</v>
      </c>
      <c r="H441" s="69">
        <v>579</v>
      </c>
    </row>
    <row r="442" spans="1:8" ht="16.5" customHeight="1" x14ac:dyDescent="0.3">
      <c r="A442" s="75">
        <v>46441</v>
      </c>
      <c r="B442" s="65">
        <v>0.44857142857142901</v>
      </c>
      <c r="C442" s="66" t="s">
        <v>457</v>
      </c>
      <c r="D442" s="8"/>
      <c r="E442" s="123" t="s">
        <v>705</v>
      </c>
      <c r="F442" s="67">
        <v>6</v>
      </c>
      <c r="G442" s="68">
        <v>372</v>
      </c>
      <c r="H442" s="69">
        <v>579</v>
      </c>
    </row>
    <row r="443" spans="1:8" ht="16.5" customHeight="1" x14ac:dyDescent="0.3">
      <c r="A443" s="75">
        <v>46442</v>
      </c>
      <c r="B443" s="65">
        <v>0.44857142857142901</v>
      </c>
      <c r="C443" s="66" t="s">
        <v>457</v>
      </c>
      <c r="D443" s="8"/>
      <c r="E443" s="123" t="s">
        <v>739</v>
      </c>
      <c r="F443" s="67">
        <v>6</v>
      </c>
      <c r="G443" s="68">
        <v>372</v>
      </c>
      <c r="H443" s="69">
        <v>579</v>
      </c>
    </row>
    <row r="444" spans="1:8" ht="16.5" customHeight="1" x14ac:dyDescent="0.3">
      <c r="A444" s="75">
        <v>46443</v>
      </c>
      <c r="B444" s="65">
        <v>0.44857142857142901</v>
      </c>
      <c r="C444" s="66" t="s">
        <v>457</v>
      </c>
      <c r="D444" s="8"/>
      <c r="E444" s="123" t="s">
        <v>706</v>
      </c>
      <c r="F444" s="67">
        <v>6</v>
      </c>
      <c r="G444" s="68">
        <v>372</v>
      </c>
      <c r="H444" s="69">
        <v>579</v>
      </c>
    </row>
    <row r="445" spans="1:8" ht="16.5" customHeight="1" x14ac:dyDescent="0.3">
      <c r="A445" s="75">
        <v>46444</v>
      </c>
      <c r="B445" s="65">
        <v>0.44857142857142901</v>
      </c>
      <c r="C445" s="66" t="s">
        <v>457</v>
      </c>
      <c r="D445" s="8"/>
      <c r="E445" s="123" t="s">
        <v>707</v>
      </c>
      <c r="F445" s="67">
        <v>6</v>
      </c>
      <c r="G445" s="68">
        <v>372</v>
      </c>
      <c r="H445" s="69">
        <v>579</v>
      </c>
    </row>
    <row r="446" spans="1:8" ht="16.5" customHeight="1" x14ac:dyDescent="0.3">
      <c r="A446" s="75">
        <v>46445</v>
      </c>
      <c r="B446" s="65">
        <v>0.44857142857142901</v>
      </c>
      <c r="C446" s="66" t="s">
        <v>457</v>
      </c>
      <c r="D446" s="8"/>
      <c r="E446" s="123" t="s">
        <v>708</v>
      </c>
      <c r="F446" s="67">
        <v>6</v>
      </c>
      <c r="G446" s="68">
        <v>372</v>
      </c>
      <c r="H446" s="69">
        <v>579</v>
      </c>
    </row>
    <row r="447" spans="1:8" ht="16.5" customHeight="1" x14ac:dyDescent="0.3">
      <c r="A447" s="75">
        <v>46446</v>
      </c>
      <c r="B447" s="65">
        <v>0.44857142857142901</v>
      </c>
      <c r="C447" s="66" t="s">
        <v>457</v>
      </c>
      <c r="D447" s="8"/>
      <c r="E447" s="123" t="s">
        <v>709</v>
      </c>
      <c r="F447" s="67">
        <v>6</v>
      </c>
      <c r="G447" s="68">
        <v>372</v>
      </c>
      <c r="H447" s="69">
        <v>579</v>
      </c>
    </row>
    <row r="448" spans="1:8" ht="16.5" customHeight="1" x14ac:dyDescent="0.3">
      <c r="A448" s="75">
        <v>46447</v>
      </c>
      <c r="B448" s="65">
        <v>0.44857142857142901</v>
      </c>
      <c r="C448" s="66" t="s">
        <v>457</v>
      </c>
      <c r="D448" s="8"/>
      <c r="E448" s="123" t="s">
        <v>710</v>
      </c>
      <c r="F448" s="67">
        <v>6</v>
      </c>
      <c r="G448" s="68">
        <v>372</v>
      </c>
      <c r="H448" s="69">
        <v>579</v>
      </c>
    </row>
    <row r="449" spans="1:8" ht="16.5" customHeight="1" x14ac:dyDescent="0.3">
      <c r="A449" s="75">
        <v>46448</v>
      </c>
      <c r="B449" s="65">
        <v>0.44857142857142901</v>
      </c>
      <c r="C449" s="66" t="s">
        <v>457</v>
      </c>
      <c r="D449" s="8"/>
      <c r="E449" s="123" t="s">
        <v>740</v>
      </c>
      <c r="F449" s="67">
        <v>6</v>
      </c>
      <c r="G449" s="68">
        <v>372</v>
      </c>
      <c r="H449" s="69">
        <v>579</v>
      </c>
    </row>
    <row r="450" spans="1:8" ht="16.5" customHeight="1" x14ac:dyDescent="0.3">
      <c r="A450" s="75">
        <v>46449</v>
      </c>
      <c r="B450" s="65">
        <v>0.44857142857142901</v>
      </c>
      <c r="C450" s="66" t="s">
        <v>457</v>
      </c>
      <c r="D450" s="8"/>
      <c r="E450" s="123" t="s">
        <v>711</v>
      </c>
      <c r="F450" s="67">
        <v>6</v>
      </c>
      <c r="G450" s="68">
        <v>372</v>
      </c>
      <c r="H450" s="69">
        <v>579</v>
      </c>
    </row>
    <row r="451" spans="1:8" ht="16.5" customHeight="1" x14ac:dyDescent="0.3">
      <c r="A451" s="75">
        <v>46465</v>
      </c>
      <c r="B451" s="65">
        <v>0.34150943396226402</v>
      </c>
      <c r="C451" s="66" t="s">
        <v>465</v>
      </c>
      <c r="D451" s="8"/>
      <c r="E451" s="123" t="s">
        <v>666</v>
      </c>
      <c r="F451" s="67">
        <v>3</v>
      </c>
      <c r="G451" s="68">
        <v>224</v>
      </c>
      <c r="H451" s="69">
        <v>349</v>
      </c>
    </row>
    <row r="452" spans="1:8" ht="16.5" customHeight="1" x14ac:dyDescent="0.3">
      <c r="A452" s="75">
        <v>46466</v>
      </c>
      <c r="B452" s="65">
        <v>0.34150943396226402</v>
      </c>
      <c r="C452" s="66" t="s">
        <v>465</v>
      </c>
      <c r="D452" s="8"/>
      <c r="E452" s="123" t="s">
        <v>667</v>
      </c>
      <c r="F452" s="67">
        <v>3</v>
      </c>
      <c r="G452" s="68">
        <v>224</v>
      </c>
      <c r="H452" s="69">
        <v>349</v>
      </c>
    </row>
    <row r="453" spans="1:8" ht="16.5" customHeight="1" x14ac:dyDescent="0.3">
      <c r="A453" s="75">
        <v>46475</v>
      </c>
      <c r="B453" s="65">
        <v>0.300250208507089</v>
      </c>
      <c r="C453" s="66" t="s">
        <v>493</v>
      </c>
      <c r="D453" s="8"/>
      <c r="E453" s="123" t="s">
        <v>741</v>
      </c>
      <c r="F453" s="67">
        <v>8</v>
      </c>
      <c r="G453" s="68">
        <v>269</v>
      </c>
      <c r="H453" s="69">
        <v>839</v>
      </c>
    </row>
    <row r="454" spans="1:8" ht="16.5" customHeight="1" x14ac:dyDescent="0.3">
      <c r="A454" s="75">
        <v>46477</v>
      </c>
      <c r="B454" s="65">
        <v>0.300150075037519</v>
      </c>
      <c r="C454" s="66" t="s">
        <v>493</v>
      </c>
      <c r="D454" s="8"/>
      <c r="E454" s="123" t="s">
        <v>742</v>
      </c>
      <c r="F454" s="67">
        <v>14</v>
      </c>
      <c r="G454" s="68">
        <v>449</v>
      </c>
      <c r="H454" s="69">
        <v>1399</v>
      </c>
    </row>
    <row r="455" spans="1:8" ht="16.5" customHeight="1" x14ac:dyDescent="0.3">
      <c r="A455" s="75">
        <v>46483</v>
      </c>
      <c r="B455" s="65">
        <v>0.3</v>
      </c>
      <c r="C455" s="66" t="s">
        <v>388</v>
      </c>
      <c r="D455" s="8"/>
      <c r="E455" s="123" t="s">
        <v>712</v>
      </c>
      <c r="F455" s="67">
        <v>7</v>
      </c>
      <c r="G455" s="68">
        <v>436</v>
      </c>
      <c r="H455" s="69">
        <v>679</v>
      </c>
    </row>
    <row r="456" spans="1:8" ht="16.5" customHeight="1" x14ac:dyDescent="0.3">
      <c r="A456" s="75">
        <v>46484</v>
      </c>
      <c r="B456" s="65">
        <v>0.3</v>
      </c>
      <c r="C456" s="66" t="s">
        <v>388</v>
      </c>
      <c r="D456" s="8"/>
      <c r="E456" s="123" t="s">
        <v>713</v>
      </c>
      <c r="F456" s="67">
        <v>7</v>
      </c>
      <c r="G456" s="68">
        <v>436</v>
      </c>
      <c r="H456" s="69">
        <v>679</v>
      </c>
    </row>
    <row r="457" spans="1:8" ht="16.5" customHeight="1" x14ac:dyDescent="0.3">
      <c r="A457" s="75">
        <v>46485</v>
      </c>
      <c r="B457" s="65">
        <v>0.3</v>
      </c>
      <c r="C457" s="66" t="s">
        <v>388</v>
      </c>
      <c r="D457" s="8"/>
      <c r="E457" s="123" t="s">
        <v>714</v>
      </c>
      <c r="F457" s="67">
        <v>7</v>
      </c>
      <c r="G457" s="68">
        <v>436</v>
      </c>
      <c r="H457" s="69">
        <v>679</v>
      </c>
    </row>
    <row r="458" spans="1:8" ht="16.5" customHeight="1" x14ac:dyDescent="0.3">
      <c r="A458" s="75">
        <v>46492</v>
      </c>
      <c r="B458" s="65"/>
      <c r="C458" s="66" t="s">
        <v>483</v>
      </c>
      <c r="D458" s="8"/>
      <c r="E458" s="123" t="s">
        <v>668</v>
      </c>
      <c r="F458" s="67">
        <v>6</v>
      </c>
      <c r="G458" s="68">
        <v>192</v>
      </c>
      <c r="H458" s="69">
        <v>599</v>
      </c>
    </row>
    <row r="459" spans="1:8" ht="16.5" customHeight="1" x14ac:dyDescent="0.3">
      <c r="A459" s="75">
        <v>46540</v>
      </c>
      <c r="B459" s="65">
        <v>0.50166666666666704</v>
      </c>
      <c r="C459" s="66" t="s">
        <v>451</v>
      </c>
      <c r="D459" s="8"/>
      <c r="E459" s="123" t="s">
        <v>744</v>
      </c>
      <c r="F459" s="67">
        <v>3</v>
      </c>
      <c r="G459" s="68">
        <v>192</v>
      </c>
      <c r="H459" s="69">
        <v>299</v>
      </c>
    </row>
    <row r="460" spans="1:8" ht="16.5" customHeight="1" x14ac:dyDescent="0.3">
      <c r="A460" s="75">
        <v>46542</v>
      </c>
      <c r="B460" s="65">
        <v>0.50166666666666704</v>
      </c>
      <c r="C460" s="66" t="s">
        <v>451</v>
      </c>
      <c r="D460" s="8"/>
      <c r="E460" s="123" t="s">
        <v>745</v>
      </c>
      <c r="F460" s="67">
        <v>3</v>
      </c>
      <c r="G460" s="68">
        <v>192</v>
      </c>
      <c r="H460" s="69">
        <v>299</v>
      </c>
    </row>
    <row r="461" spans="1:8" ht="16.5" customHeight="1" x14ac:dyDescent="0.3">
      <c r="A461" s="75">
        <v>46576</v>
      </c>
      <c r="B461" s="65">
        <v>0.97142857142857197</v>
      </c>
      <c r="C461" s="66" t="s">
        <v>478</v>
      </c>
      <c r="D461" s="8"/>
      <c r="E461" s="74" t="s">
        <v>743</v>
      </c>
      <c r="F461" s="67" t="s">
        <v>13</v>
      </c>
      <c r="G461" s="68" t="s">
        <v>13</v>
      </c>
      <c r="H461" s="69">
        <v>1</v>
      </c>
    </row>
    <row r="462" spans="1:8" ht="16.5" customHeight="1" x14ac:dyDescent="0.3">
      <c r="A462" s="75">
        <v>46619</v>
      </c>
      <c r="B462" s="65">
        <v>0.36071428571428599</v>
      </c>
      <c r="C462" s="66" t="s">
        <v>393</v>
      </c>
      <c r="D462" s="8"/>
      <c r="E462" s="123" t="s">
        <v>353</v>
      </c>
      <c r="F462" s="67">
        <v>2</v>
      </c>
      <c r="G462" s="68">
        <v>115</v>
      </c>
      <c r="H462" s="69">
        <v>179</v>
      </c>
    </row>
    <row r="463" spans="1:8" ht="16.5" customHeight="1" x14ac:dyDescent="0.3">
      <c r="A463" s="75">
        <v>46620</v>
      </c>
      <c r="B463" s="65">
        <v>0.35166666666666702</v>
      </c>
      <c r="C463" s="66" t="s">
        <v>393</v>
      </c>
      <c r="D463" s="8"/>
      <c r="E463" s="123" t="s">
        <v>354</v>
      </c>
      <c r="F463" s="67">
        <v>4</v>
      </c>
      <c r="G463" s="68">
        <v>249</v>
      </c>
      <c r="H463" s="69">
        <v>389</v>
      </c>
    </row>
    <row r="464" spans="1:8" ht="16.5" customHeight="1" x14ac:dyDescent="0.3">
      <c r="A464" s="75">
        <v>46621</v>
      </c>
      <c r="B464" s="65">
        <v>0.40111111111111097</v>
      </c>
      <c r="C464" s="66" t="s">
        <v>393</v>
      </c>
      <c r="D464" s="8"/>
      <c r="E464" s="123" t="s">
        <v>355</v>
      </c>
      <c r="F464" s="67">
        <v>5</v>
      </c>
      <c r="G464" s="68">
        <v>346</v>
      </c>
      <c r="H464" s="69">
        <v>539</v>
      </c>
    </row>
    <row r="465" spans="1:8" ht="16.5" customHeight="1" x14ac:dyDescent="0.3">
      <c r="A465" s="75">
        <v>46648</v>
      </c>
      <c r="B465" s="65">
        <v>0.485151515151515</v>
      </c>
      <c r="C465" s="66" t="s">
        <v>476</v>
      </c>
      <c r="D465" s="8"/>
      <c r="E465" s="123" t="s">
        <v>367</v>
      </c>
      <c r="F465" s="67">
        <v>17</v>
      </c>
      <c r="G465" s="68">
        <v>1090</v>
      </c>
      <c r="H465" s="69">
        <v>1699</v>
      </c>
    </row>
    <row r="466" spans="1:8" ht="16.5" customHeight="1" x14ac:dyDescent="0.3">
      <c r="A466" s="75">
        <v>46666</v>
      </c>
      <c r="B466" s="65">
        <v>0.34727272727272701</v>
      </c>
      <c r="C466" s="66" t="s">
        <v>468</v>
      </c>
      <c r="D466" s="8"/>
      <c r="E466" s="123" t="s">
        <v>845</v>
      </c>
      <c r="F466" s="67">
        <v>4</v>
      </c>
      <c r="G466" s="68">
        <v>230</v>
      </c>
      <c r="H466" s="69">
        <v>359</v>
      </c>
    </row>
    <row r="467" spans="1:8" ht="16.5" customHeight="1" x14ac:dyDescent="0.3">
      <c r="A467" s="75">
        <v>46667</v>
      </c>
      <c r="B467" s="65">
        <v>0.34727272727272701</v>
      </c>
      <c r="C467" s="66" t="s">
        <v>468</v>
      </c>
      <c r="D467" s="8"/>
      <c r="E467" s="123" t="s">
        <v>846</v>
      </c>
      <c r="F467" s="67">
        <v>4</v>
      </c>
      <c r="G467" s="68">
        <v>230</v>
      </c>
      <c r="H467" s="69">
        <v>359</v>
      </c>
    </row>
    <row r="468" spans="1:8" ht="16.5" customHeight="1" x14ac:dyDescent="0.3">
      <c r="A468" s="75">
        <v>46668</v>
      </c>
      <c r="B468" s="65">
        <v>0.34727272727272701</v>
      </c>
      <c r="C468" s="66" t="s">
        <v>468</v>
      </c>
      <c r="D468" s="8"/>
      <c r="E468" s="123" t="s">
        <v>847</v>
      </c>
      <c r="F468" s="67">
        <v>4</v>
      </c>
      <c r="G468" s="68">
        <v>230</v>
      </c>
      <c r="H468" s="69">
        <v>359</v>
      </c>
    </row>
    <row r="469" spans="1:8" ht="16.5" customHeight="1" x14ac:dyDescent="0.3">
      <c r="A469" s="75">
        <v>46669</v>
      </c>
      <c r="B469" s="65">
        <v>0.34727272727272701</v>
      </c>
      <c r="C469" s="66" t="s">
        <v>468</v>
      </c>
      <c r="D469" s="8"/>
      <c r="E469" s="123" t="s">
        <v>848</v>
      </c>
      <c r="F469" s="67">
        <v>4</v>
      </c>
      <c r="G469" s="68">
        <v>230</v>
      </c>
      <c r="H469" s="69">
        <v>359</v>
      </c>
    </row>
    <row r="470" spans="1:8" ht="16.5" customHeight="1" x14ac:dyDescent="0.3">
      <c r="A470" s="75">
        <v>46727</v>
      </c>
      <c r="B470" s="65"/>
      <c r="C470" s="66" t="s">
        <v>482</v>
      </c>
      <c r="D470" s="8"/>
      <c r="E470" s="123" t="s">
        <v>669</v>
      </c>
      <c r="F470" s="67">
        <v>15</v>
      </c>
      <c r="G470" s="68">
        <v>481</v>
      </c>
      <c r="H470" s="69">
        <v>1499</v>
      </c>
    </row>
    <row r="471" spans="1:8" ht="16.5" customHeight="1" x14ac:dyDescent="0.3">
      <c r="A471" s="75">
        <v>46738</v>
      </c>
      <c r="B471" s="65">
        <v>0.40222222222222198</v>
      </c>
      <c r="C471" s="66" t="s">
        <v>450</v>
      </c>
      <c r="D471" s="8"/>
      <c r="E471" s="123" t="s">
        <v>308</v>
      </c>
      <c r="F471" s="67">
        <v>3</v>
      </c>
      <c r="G471" s="68">
        <v>172</v>
      </c>
      <c r="H471" s="69">
        <v>269</v>
      </c>
    </row>
    <row r="472" spans="1:8" ht="16.5" customHeight="1" x14ac:dyDescent="0.3">
      <c r="A472" s="75">
        <v>46746</v>
      </c>
      <c r="B472" s="65">
        <v>0.30037546933667097</v>
      </c>
      <c r="C472" s="66" t="s">
        <v>428</v>
      </c>
      <c r="D472" s="8"/>
      <c r="E472" s="123" t="s">
        <v>746</v>
      </c>
      <c r="F472" s="67">
        <v>6</v>
      </c>
      <c r="G472" s="68">
        <v>179</v>
      </c>
      <c r="H472" s="69">
        <v>559</v>
      </c>
    </row>
    <row r="473" spans="1:8" ht="16.5" customHeight="1" x14ac:dyDescent="0.3">
      <c r="A473" s="75">
        <v>46763</v>
      </c>
      <c r="B473" s="65">
        <v>0.30010003334444801</v>
      </c>
      <c r="C473" s="66" t="s">
        <v>428</v>
      </c>
      <c r="D473" s="8"/>
      <c r="E473" s="123" t="s">
        <v>747</v>
      </c>
      <c r="F473" s="67">
        <v>21</v>
      </c>
      <c r="G473" s="68">
        <v>673</v>
      </c>
      <c r="H473" s="69">
        <v>2099</v>
      </c>
    </row>
    <row r="474" spans="1:8" ht="16.5" customHeight="1" x14ac:dyDescent="0.3">
      <c r="A474" s="75">
        <v>47009</v>
      </c>
      <c r="B474" s="65">
        <v>0.40714285714285697</v>
      </c>
      <c r="C474" s="66" t="s">
        <v>458</v>
      </c>
      <c r="D474" s="8"/>
      <c r="E474" s="123" t="s">
        <v>670</v>
      </c>
      <c r="F474" s="67">
        <v>2</v>
      </c>
      <c r="G474" s="68">
        <v>160</v>
      </c>
      <c r="H474" s="69">
        <v>249</v>
      </c>
    </row>
    <row r="475" spans="1:8" ht="16.5" customHeight="1" x14ac:dyDescent="0.3">
      <c r="A475" s="75">
        <v>47093</v>
      </c>
      <c r="B475" s="65"/>
      <c r="C475" s="66" t="s">
        <v>395</v>
      </c>
      <c r="D475" s="8"/>
      <c r="E475" s="123" t="s">
        <v>671</v>
      </c>
      <c r="F475" s="67">
        <v>6</v>
      </c>
      <c r="G475" s="68">
        <v>192</v>
      </c>
      <c r="H475" s="69">
        <v>599</v>
      </c>
    </row>
    <row r="476" spans="1:8" ht="16.5" customHeight="1" x14ac:dyDescent="0.3">
      <c r="A476" s="75">
        <v>47124</v>
      </c>
      <c r="B476" s="65">
        <v>0.50083472454090106</v>
      </c>
      <c r="C476" s="66" t="s">
        <v>428</v>
      </c>
      <c r="D476" s="8"/>
      <c r="E476" s="123" t="s">
        <v>748</v>
      </c>
      <c r="F476" s="67">
        <v>3</v>
      </c>
      <c r="G476" s="68">
        <v>96</v>
      </c>
      <c r="H476" s="69">
        <v>299</v>
      </c>
    </row>
    <row r="477" spans="1:8" ht="16.5" customHeight="1" x14ac:dyDescent="0.3">
      <c r="A477" s="75">
        <v>47209</v>
      </c>
      <c r="B477" s="65"/>
      <c r="C477" s="66" t="s">
        <v>396</v>
      </c>
      <c r="D477" s="8"/>
      <c r="E477" s="123" t="s">
        <v>139</v>
      </c>
      <c r="F477" s="67">
        <v>27</v>
      </c>
      <c r="G477" s="68">
        <v>866</v>
      </c>
      <c r="H477" s="69">
        <v>2700</v>
      </c>
    </row>
    <row r="478" spans="1:8" ht="16.5" customHeight="1" x14ac:dyDescent="0.3">
      <c r="A478" s="75">
        <v>47377</v>
      </c>
      <c r="B478" s="65">
        <v>0.60124999999999995</v>
      </c>
      <c r="C478" s="66" t="s">
        <v>416</v>
      </c>
      <c r="D478" s="8"/>
      <c r="E478" s="123" t="s">
        <v>849</v>
      </c>
      <c r="F478" s="67">
        <v>3</v>
      </c>
      <c r="G478" s="68">
        <v>205</v>
      </c>
      <c r="H478" s="69">
        <v>319</v>
      </c>
    </row>
    <row r="479" spans="1:8" ht="16.5" customHeight="1" x14ac:dyDescent="0.3">
      <c r="A479" s="75">
        <v>47380</v>
      </c>
      <c r="B479" s="65"/>
      <c r="C479" s="66" t="s">
        <v>433</v>
      </c>
      <c r="D479" s="8"/>
      <c r="E479" s="123" t="s">
        <v>331</v>
      </c>
      <c r="F479" s="67">
        <v>30</v>
      </c>
      <c r="G479" s="68">
        <v>962</v>
      </c>
      <c r="H479" s="69">
        <v>2999</v>
      </c>
    </row>
    <row r="480" spans="1:8" ht="16.5" customHeight="1" x14ac:dyDescent="0.3">
      <c r="A480" s="75">
        <v>47386</v>
      </c>
      <c r="B480" s="65"/>
      <c r="C480" s="66" t="s">
        <v>403</v>
      </c>
      <c r="D480" s="8"/>
      <c r="E480" s="123" t="s">
        <v>850</v>
      </c>
      <c r="F480" s="67">
        <v>20</v>
      </c>
      <c r="G480" s="68">
        <v>641</v>
      </c>
      <c r="H480" s="69">
        <v>1999</v>
      </c>
    </row>
    <row r="481" spans="1:8" ht="16.5" customHeight="1" x14ac:dyDescent="0.3">
      <c r="A481" s="75">
        <v>47411</v>
      </c>
      <c r="B481" s="65"/>
      <c r="C481" s="66" t="s">
        <v>460</v>
      </c>
      <c r="D481" s="8"/>
      <c r="E481" s="123" t="s">
        <v>310</v>
      </c>
      <c r="F481" s="67">
        <v>6</v>
      </c>
      <c r="G481" s="68">
        <v>192</v>
      </c>
      <c r="H481" s="69">
        <v>599</v>
      </c>
    </row>
    <row r="482" spans="1:8" ht="16.5" customHeight="1" x14ac:dyDescent="0.3">
      <c r="A482" s="75">
        <v>47419</v>
      </c>
      <c r="B482" s="65">
        <v>0.45124999999999998</v>
      </c>
      <c r="C482" s="66" t="s">
        <v>414</v>
      </c>
      <c r="D482" s="8"/>
      <c r="E482" s="123" t="s">
        <v>672</v>
      </c>
      <c r="F482" s="67">
        <v>4</v>
      </c>
      <c r="G482" s="68">
        <v>141</v>
      </c>
      <c r="H482" s="69">
        <v>439</v>
      </c>
    </row>
    <row r="483" spans="1:8" ht="16.5" customHeight="1" x14ac:dyDescent="0.3">
      <c r="A483" s="75">
        <v>47422</v>
      </c>
      <c r="B483" s="65">
        <v>0.45735294117647102</v>
      </c>
      <c r="C483" s="66" t="s">
        <v>479</v>
      </c>
      <c r="D483" s="8"/>
      <c r="E483" s="123" t="s">
        <v>673</v>
      </c>
      <c r="F483" s="67">
        <v>4</v>
      </c>
      <c r="G483" s="68">
        <v>118</v>
      </c>
      <c r="H483" s="69">
        <v>369</v>
      </c>
    </row>
    <row r="484" spans="1:8" ht="16.5" customHeight="1" x14ac:dyDescent="0.3">
      <c r="A484" s="75">
        <v>47431</v>
      </c>
      <c r="B484" s="65"/>
      <c r="C484" s="66" t="s">
        <v>851</v>
      </c>
      <c r="D484" s="8"/>
      <c r="E484" s="123" t="s">
        <v>356</v>
      </c>
      <c r="F484" s="67">
        <v>8</v>
      </c>
      <c r="G484" s="68">
        <v>256</v>
      </c>
      <c r="H484" s="69">
        <v>799</v>
      </c>
    </row>
    <row r="485" spans="1:8" ht="16.5" customHeight="1" x14ac:dyDescent="0.3">
      <c r="A485" s="75">
        <v>47523</v>
      </c>
      <c r="B485" s="65">
        <v>0.40500000000000003</v>
      </c>
      <c r="C485" s="66" t="s">
        <v>437</v>
      </c>
      <c r="D485" s="8"/>
      <c r="E485" s="123" t="s">
        <v>357</v>
      </c>
      <c r="F485" s="67">
        <v>1</v>
      </c>
      <c r="G485" s="68">
        <v>38</v>
      </c>
      <c r="H485" s="69">
        <v>119</v>
      </c>
    </row>
    <row r="486" spans="1:8" ht="16.5" customHeight="1" x14ac:dyDescent="0.3">
      <c r="A486" s="75">
        <v>47527</v>
      </c>
      <c r="B486" s="65"/>
      <c r="C486" s="66" t="s">
        <v>378</v>
      </c>
      <c r="D486" s="8"/>
      <c r="E486" s="74" t="s">
        <v>749</v>
      </c>
      <c r="F486" s="67" t="s">
        <v>13</v>
      </c>
      <c r="G486" s="68" t="s">
        <v>13</v>
      </c>
      <c r="H486" s="69">
        <v>35</v>
      </c>
    </row>
    <row r="487" spans="1:8" ht="16.5" customHeight="1" x14ac:dyDescent="0.3">
      <c r="A487" s="75">
        <v>47532</v>
      </c>
      <c r="B487" s="65">
        <v>0.40090909090909099</v>
      </c>
      <c r="C487" s="66" t="s">
        <v>407</v>
      </c>
      <c r="D487" s="8"/>
      <c r="E487" s="123" t="s">
        <v>358</v>
      </c>
      <c r="F487" s="67">
        <v>7</v>
      </c>
      <c r="G487" s="68">
        <v>211</v>
      </c>
      <c r="H487" s="69">
        <v>659</v>
      </c>
    </row>
    <row r="488" spans="1:8" ht="16.5" customHeight="1" x14ac:dyDescent="0.3">
      <c r="A488" s="75">
        <v>150547</v>
      </c>
      <c r="B488" s="65">
        <v>0.51553398058252398</v>
      </c>
      <c r="C488" s="66" t="s">
        <v>458</v>
      </c>
      <c r="D488" s="8"/>
      <c r="E488" s="123" t="s">
        <v>750</v>
      </c>
      <c r="F488" s="67">
        <v>5</v>
      </c>
      <c r="G488" s="68">
        <v>321</v>
      </c>
      <c r="H488" s="69">
        <v>499</v>
      </c>
    </row>
    <row r="489" spans="1:8" ht="16.5" customHeight="1" x14ac:dyDescent="0.3">
      <c r="A489" s="75">
        <v>150548</v>
      </c>
      <c r="B489" s="65">
        <v>0.64357142857142902</v>
      </c>
      <c r="C489" s="66" t="s">
        <v>456</v>
      </c>
      <c r="D489" s="8"/>
      <c r="E489" s="123" t="s">
        <v>751</v>
      </c>
      <c r="F489" s="67">
        <v>5</v>
      </c>
      <c r="G489" s="68">
        <v>321</v>
      </c>
      <c r="H489" s="69">
        <v>499</v>
      </c>
    </row>
    <row r="490" spans="1:8" ht="16.5" customHeight="1" x14ac:dyDescent="0.3">
      <c r="A490" s="75">
        <v>150549</v>
      </c>
      <c r="B490" s="65">
        <v>0.49515151515151501</v>
      </c>
      <c r="C490" s="66" t="s">
        <v>448</v>
      </c>
      <c r="D490" s="8"/>
      <c r="E490" s="123" t="s">
        <v>752</v>
      </c>
      <c r="F490" s="67">
        <v>25</v>
      </c>
      <c r="G490" s="68">
        <v>1603</v>
      </c>
      <c r="H490" s="69">
        <v>2499</v>
      </c>
    </row>
    <row r="491" spans="1:8" ht="16.5" customHeight="1" x14ac:dyDescent="0.3">
      <c r="A491" s="75">
        <v>150550</v>
      </c>
      <c r="B491" s="65">
        <v>0.57724867724867701</v>
      </c>
      <c r="C491" s="66" t="s">
        <v>442</v>
      </c>
      <c r="D491" s="8"/>
      <c r="E491" s="123"/>
      <c r="F491" s="67">
        <v>8</v>
      </c>
      <c r="G491" s="68">
        <v>513</v>
      </c>
      <c r="H491" s="69">
        <v>799</v>
      </c>
    </row>
    <row r="492" spans="1:8" ht="16.5" customHeight="1" x14ac:dyDescent="0.3">
      <c r="A492" s="75">
        <v>150551</v>
      </c>
      <c r="B492" s="65">
        <v>0.505842696629213</v>
      </c>
      <c r="C492" s="66" t="s">
        <v>370</v>
      </c>
      <c r="D492" s="8"/>
      <c r="E492" s="123" t="s">
        <v>753</v>
      </c>
      <c r="F492" s="67">
        <v>22</v>
      </c>
      <c r="G492" s="68">
        <v>1411</v>
      </c>
      <c r="H492" s="69">
        <v>2199</v>
      </c>
    </row>
    <row r="493" spans="1:8" ht="16.5" customHeight="1" thickBot="1" x14ac:dyDescent="0.35">
      <c r="A493" s="127">
        <v>548054</v>
      </c>
      <c r="B493" s="136">
        <v>0.32</v>
      </c>
      <c r="C493" s="137" t="s">
        <v>441</v>
      </c>
      <c r="D493" s="80"/>
      <c r="E493" s="143" t="s">
        <v>71</v>
      </c>
      <c r="F493" s="138" t="s">
        <v>13</v>
      </c>
      <c r="G493" s="142" t="s">
        <v>13</v>
      </c>
      <c r="H493" s="139">
        <v>119</v>
      </c>
    </row>
  </sheetData>
  <sortState xmlns:xlrd2="http://schemas.microsoft.com/office/spreadsheetml/2017/richdata2" ref="A41:A493">
    <sortCondition ref="A41:A493"/>
  </sortState>
  <phoneticPr fontId="0" type="noConversion"/>
  <conditionalFormatting sqref="A11">
    <cfRule type="duplicateValues" dxfId="28" priority="330905"/>
    <cfRule type="expression" dxfId="27" priority="330906" stopIfTrue="1">
      <formula>AND(COUNTIF($B$39:$B$40, A11)&gt;1,NOT(ISBLANK(A11)))</formula>
    </cfRule>
  </conditionalFormatting>
  <conditionalFormatting sqref="A11:A12 A19:A38">
    <cfRule type="expression" dxfId="26" priority="4" stopIfTrue="1">
      <formula>AND(COUNTIF(#REF!, A11)&gt;1,NOT(ISBLANK(A11)))</formula>
    </cfRule>
  </conditionalFormatting>
  <conditionalFormatting sqref="A12">
    <cfRule type="duplicateValues" dxfId="25" priority="3"/>
  </conditionalFormatting>
  <conditionalFormatting sqref="A14">
    <cfRule type="duplicateValues" dxfId="24" priority="330907"/>
    <cfRule type="expression" dxfId="23" priority="330908" stopIfTrue="1">
      <formula>AND(COUNTIF($B$39:$B$40, A14)&gt;1,NOT(ISBLANK(A14)))</formula>
    </cfRule>
  </conditionalFormatting>
  <conditionalFormatting sqref="A14:A17">
    <cfRule type="expression" dxfId="22" priority="1" stopIfTrue="1">
      <formula>AND(COUNTIF(#REF!, A14)&gt;1,NOT(ISBLANK(A14)))</formula>
    </cfRule>
  </conditionalFormatting>
  <conditionalFormatting sqref="A15">
    <cfRule type="duplicateValues" dxfId="21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4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2"/>
  <sheetViews>
    <sheetView topLeftCell="A178" zoomScale="75" workbookViewId="0">
      <selection activeCell="F167" sqref="F167"/>
    </sheetView>
  </sheetViews>
  <sheetFormatPr defaultColWidth="9.15234375" defaultRowHeight="18" customHeight="1" x14ac:dyDescent="0.3"/>
  <cols>
    <col min="1" max="1" width="17.69140625" style="10" customWidth="1"/>
    <col min="2" max="2" width="16" style="5" customWidth="1"/>
    <col min="3" max="3" width="149.69140625" style="6" bestFit="1" customWidth="1"/>
    <col min="4" max="4" width="16.3046875" style="23" customWidth="1"/>
    <col min="5" max="5" width="17.15234375" style="3" customWidth="1"/>
    <col min="6" max="6" width="15" style="3" customWidth="1"/>
    <col min="7" max="7" width="15.3828125" style="3" customWidth="1"/>
    <col min="8" max="16384" width="9.15234375" style="3"/>
  </cols>
  <sheetData>
    <row r="1" spans="1:4" ht="18" customHeight="1" x14ac:dyDescent="0.3">
      <c r="A1" s="64" t="s">
        <v>36</v>
      </c>
      <c r="B1" s="64" t="s">
        <v>37</v>
      </c>
      <c r="C1" s="16" t="s">
        <v>38</v>
      </c>
      <c r="D1" s="63" t="s">
        <v>39</v>
      </c>
    </row>
    <row r="2" spans="1:4" ht="18" customHeight="1" x14ac:dyDescent="0.3">
      <c r="A2" s="121">
        <v>11037</v>
      </c>
      <c r="B2" s="121">
        <v>42490</v>
      </c>
      <c r="C2" s="74" t="s">
        <v>281</v>
      </c>
      <c r="D2" s="72" t="e">
        <f>VLOOKUP(A2,[2]Report!$1:$1048576,9,0)</f>
        <v>#N/A</v>
      </c>
    </row>
    <row r="3" spans="1:4" ht="18" customHeight="1" x14ac:dyDescent="0.3">
      <c r="A3" s="79">
        <v>11365</v>
      </c>
      <c r="B3" s="79">
        <f>VLOOKUP(A3,'[3]02 КАТАЛОГ`24 (2)'!$1:$1048576,2,0)</f>
        <v>42495</v>
      </c>
      <c r="C3" s="74" t="str">
        <f>VLOOKUP(A3,'[3]02 КАТАЛОГ`24 (2)'!$1:$1048576,3,0)</f>
        <v xml:space="preserve">ПАРФЮМЕРНАЯ ВОДА AMBER ELIXIR </v>
      </c>
      <c r="D3" s="72" t="e">
        <f>VLOOKUP(A3,[2]Report!$1:$1048576,9,0)</f>
        <v>#N/A</v>
      </c>
    </row>
    <row r="4" spans="1:4" ht="18" customHeight="1" x14ac:dyDescent="0.3">
      <c r="A4" s="79">
        <v>22443</v>
      </c>
      <c r="B4" s="79">
        <v>42751</v>
      </c>
      <c r="C4" s="74" t="s">
        <v>347</v>
      </c>
      <c r="D4" s="72" t="e">
        <f>VLOOKUP(A4,[2]Report!$1:$1048576,9,0)</f>
        <v>#N/A</v>
      </c>
    </row>
    <row r="5" spans="1:4" ht="18" customHeight="1" x14ac:dyDescent="0.3">
      <c r="A5" s="79">
        <v>30044</v>
      </c>
      <c r="B5" s="79">
        <v>42514</v>
      </c>
      <c r="C5" s="74" t="s">
        <v>113</v>
      </c>
      <c r="D5" s="72" t="e">
        <f>VLOOKUP(A5,[2]Report!$1:$1048576,9,0)</f>
        <v>#N/A</v>
      </c>
    </row>
    <row r="6" spans="1:4" ht="18" customHeight="1" x14ac:dyDescent="0.3">
      <c r="A6" s="79">
        <v>30129</v>
      </c>
      <c r="B6" s="79">
        <v>42507</v>
      </c>
      <c r="C6" s="74" t="s">
        <v>146</v>
      </c>
      <c r="D6" s="72" t="e">
        <f>VLOOKUP(A6,[2]Report!$1:$1048576,9,0)</f>
        <v>#N/A</v>
      </c>
    </row>
    <row r="7" spans="1:4" ht="18" customHeight="1" x14ac:dyDescent="0.3">
      <c r="A7" s="79">
        <v>30321</v>
      </c>
      <c r="B7" s="79">
        <v>42864</v>
      </c>
      <c r="C7" s="74" t="s">
        <v>156</v>
      </c>
      <c r="D7" s="72" t="e">
        <f>VLOOKUP(A7,[2]Report!$1:$1048576,9,0)</f>
        <v>#N/A</v>
      </c>
    </row>
    <row r="8" spans="1:4" ht="18" customHeight="1" x14ac:dyDescent="0.3">
      <c r="A8" s="79">
        <v>30400</v>
      </c>
      <c r="B8" s="79">
        <v>30399</v>
      </c>
      <c r="C8" s="74" t="s">
        <v>157</v>
      </c>
      <c r="D8" s="72" t="e">
        <f>VLOOKUP(A8,[2]Report!$1:$1048576,9,0)</f>
        <v>#N/A</v>
      </c>
    </row>
    <row r="9" spans="1:4" ht="18" customHeight="1" x14ac:dyDescent="0.3">
      <c r="A9" s="79">
        <v>30557</v>
      </c>
      <c r="B9" s="79">
        <v>30468</v>
      </c>
      <c r="C9" s="74" t="s">
        <v>158</v>
      </c>
      <c r="D9" s="72" t="e">
        <f>VLOOKUP(A9,[2]Report!$1:$1048576,9,0)</f>
        <v>#N/A</v>
      </c>
    </row>
    <row r="10" spans="1:4" ht="18" customHeight="1" x14ac:dyDescent="0.3">
      <c r="A10" s="79">
        <v>30885</v>
      </c>
      <c r="B10" s="79">
        <v>42519</v>
      </c>
      <c r="C10" s="74" t="s">
        <v>159</v>
      </c>
      <c r="D10" s="72" t="e">
        <f>VLOOKUP(A10,[2]Report!$1:$1048576,9,0)</f>
        <v>#N/A</v>
      </c>
    </row>
    <row r="11" spans="1:4" ht="18" customHeight="1" x14ac:dyDescent="0.3">
      <c r="A11" s="79">
        <v>31002</v>
      </c>
      <c r="B11" s="79">
        <v>30058</v>
      </c>
      <c r="C11" s="74" t="s">
        <v>160</v>
      </c>
      <c r="D11" s="72" t="e">
        <f>VLOOKUP(A11,[2]Report!$1:$1048576,9,0)</f>
        <v>#N/A</v>
      </c>
    </row>
    <row r="12" spans="1:4" ht="18" customHeight="1" x14ac:dyDescent="0.3">
      <c r="A12" s="79">
        <v>31003</v>
      </c>
      <c r="B12" s="79">
        <v>42518</v>
      </c>
      <c r="C12" s="74" t="s">
        <v>161</v>
      </c>
      <c r="D12" s="72" t="e">
        <f>VLOOKUP(A12,[2]Report!$1:$1048576,9,0)</f>
        <v>#N/A</v>
      </c>
    </row>
    <row r="13" spans="1:4" ht="18" customHeight="1" x14ac:dyDescent="0.3">
      <c r="A13" s="79">
        <v>31292</v>
      </c>
      <c r="B13" s="79">
        <f>VLOOKUP(A13,'[3]02 КАТАЛОГ`24 (2)'!$1:$1048576,2,0)</f>
        <v>42499</v>
      </c>
      <c r="C13" s="74" t="str">
        <f>VLOOKUP(A13,'[3]02 КАТАЛОГ`24 (2)'!$1:$1048576,3,0)</f>
        <v>ТУАЛЕТНАЯ ВОДА ECLAT FEMME WEEKEND</v>
      </c>
      <c r="D13" s="72" t="e">
        <f>VLOOKUP(A13,[2]Report!$1:$1048576,9,0)</f>
        <v>#N/A</v>
      </c>
    </row>
    <row r="14" spans="1:4" ht="18" customHeight="1" x14ac:dyDescent="0.3">
      <c r="A14" s="79">
        <v>31494</v>
      </c>
      <c r="B14" s="79">
        <v>42815</v>
      </c>
      <c r="C14" s="74" t="s">
        <v>162</v>
      </c>
      <c r="D14" s="72" t="e">
        <f>VLOOKUP(A14,[2]Report!$1:$1048576,9,0)</f>
        <v>#N/A</v>
      </c>
    </row>
    <row r="15" spans="1:4" ht="18" customHeight="1" x14ac:dyDescent="0.3">
      <c r="A15" s="79">
        <v>31817</v>
      </c>
      <c r="B15" s="79">
        <v>42503</v>
      </c>
      <c r="C15" s="74" t="s">
        <v>163</v>
      </c>
      <c r="D15" s="72" t="e">
        <f>VLOOKUP(A15,[2]Report!$1:$1048576,9,0)</f>
        <v>#N/A</v>
      </c>
    </row>
    <row r="16" spans="1:4" ht="18" customHeight="1" x14ac:dyDescent="0.3">
      <c r="A16" s="79">
        <v>31824</v>
      </c>
      <c r="B16" s="79" t="s">
        <v>301</v>
      </c>
      <c r="C16" s="74" t="s">
        <v>114</v>
      </c>
      <c r="D16" s="72" t="e">
        <f>VLOOKUP(A16,[2]Report!$1:$1048576,9,0)</f>
        <v>#N/A</v>
      </c>
    </row>
    <row r="17" spans="1:4" ht="18" customHeight="1" x14ac:dyDescent="0.3">
      <c r="A17" s="79">
        <v>32234</v>
      </c>
      <c r="B17" s="79">
        <v>42502</v>
      </c>
      <c r="C17" s="74" t="s">
        <v>164</v>
      </c>
      <c r="D17" s="72" t="e">
        <f>VLOOKUP(A17,[2]Report!$1:$1048576,9,0)</f>
        <v>#N/A</v>
      </c>
    </row>
    <row r="18" spans="1:4" ht="18" customHeight="1" x14ac:dyDescent="0.3">
      <c r="A18" s="79">
        <v>32441</v>
      </c>
      <c r="B18" s="79">
        <v>32438</v>
      </c>
      <c r="C18" s="74" t="s">
        <v>165</v>
      </c>
      <c r="D18" s="72" t="e">
        <f>VLOOKUP(A18,[2]Report!$1:$1048576,9,0)</f>
        <v>#N/A</v>
      </c>
    </row>
    <row r="19" spans="1:4" ht="18" customHeight="1" x14ac:dyDescent="0.3">
      <c r="A19" s="79">
        <v>32442</v>
      </c>
      <c r="B19" s="79">
        <v>42828</v>
      </c>
      <c r="C19" s="74" t="s">
        <v>150</v>
      </c>
      <c r="D19" s="72" t="e">
        <f>VLOOKUP(A19,[2]Report!$1:$1048576,9,0)</f>
        <v>#N/A</v>
      </c>
    </row>
    <row r="20" spans="1:4" ht="18" customHeight="1" x14ac:dyDescent="0.3">
      <c r="A20" s="79">
        <v>33045</v>
      </c>
      <c r="B20" s="79">
        <v>42865</v>
      </c>
      <c r="C20" s="74" t="s">
        <v>166</v>
      </c>
      <c r="D20" s="72" t="e">
        <f>VLOOKUP(A20,[2]Report!$1:$1048576,9,0)</f>
        <v>#N/A</v>
      </c>
    </row>
    <row r="21" spans="1:4" ht="18" customHeight="1" x14ac:dyDescent="0.3">
      <c r="A21" s="79">
        <v>33649</v>
      </c>
      <c r="B21" s="79">
        <v>33650</v>
      </c>
      <c r="C21" s="74" t="s">
        <v>167</v>
      </c>
      <c r="D21" s="72" t="e">
        <f>VLOOKUP(A21,[2]Report!$1:$1048576,9,0)</f>
        <v>#N/A</v>
      </c>
    </row>
    <row r="22" spans="1:4" ht="18" customHeight="1" x14ac:dyDescent="0.3">
      <c r="A22" s="79">
        <v>33653</v>
      </c>
      <c r="B22" s="79">
        <v>33654</v>
      </c>
      <c r="C22" s="74" t="s">
        <v>168</v>
      </c>
      <c r="D22" s="72" t="e">
        <f>VLOOKUP(A22,[2]Report!$1:$1048576,9,0)</f>
        <v>#N/A</v>
      </c>
    </row>
    <row r="23" spans="1:4" ht="18" customHeight="1" x14ac:dyDescent="0.3">
      <c r="A23" s="79">
        <v>34145</v>
      </c>
      <c r="B23" s="79">
        <v>42520</v>
      </c>
      <c r="C23" s="74" t="s">
        <v>148</v>
      </c>
      <c r="D23" s="72" t="e">
        <f>VLOOKUP(A23,[2]Report!$1:$1048576,9,0)</f>
        <v>#N/A</v>
      </c>
    </row>
    <row r="24" spans="1:4" ht="18" customHeight="1" x14ac:dyDescent="0.3">
      <c r="A24" s="79">
        <v>34506</v>
      </c>
      <c r="B24" s="79">
        <v>42741</v>
      </c>
      <c r="C24" s="74" t="s">
        <v>169</v>
      </c>
      <c r="D24" s="72" t="e">
        <f>VLOOKUP(A24,[2]Report!$1:$1048576,9,0)</f>
        <v>#N/A</v>
      </c>
    </row>
    <row r="25" spans="1:4" ht="18" customHeight="1" x14ac:dyDescent="0.3">
      <c r="A25" s="79">
        <v>34612</v>
      </c>
      <c r="B25" s="79">
        <v>33201</v>
      </c>
      <c r="C25" s="74" t="s">
        <v>15</v>
      </c>
      <c r="D25" s="72" t="e">
        <f>VLOOKUP(A25,[2]Report!$1:$1048576,9,0)</f>
        <v>#N/A</v>
      </c>
    </row>
    <row r="26" spans="1:4" ht="18" customHeight="1" x14ac:dyDescent="0.3">
      <c r="A26" s="79">
        <v>34613</v>
      </c>
      <c r="B26" s="79">
        <v>33200</v>
      </c>
      <c r="C26" s="74" t="s">
        <v>14</v>
      </c>
      <c r="D26" s="72" t="e">
        <f>VLOOKUP(A26,[2]Report!$1:$1048576,9,0)</f>
        <v>#N/A</v>
      </c>
    </row>
    <row r="27" spans="1:4" ht="18" customHeight="1" x14ac:dyDescent="0.3">
      <c r="A27" s="79">
        <v>35084</v>
      </c>
      <c r="B27" s="79">
        <v>33984</v>
      </c>
      <c r="C27" s="74" t="s">
        <v>90</v>
      </c>
      <c r="D27" s="72" t="e">
        <f>VLOOKUP(A27,[2]Report!$1:$1048576,9,0)</f>
        <v>#N/A</v>
      </c>
    </row>
    <row r="28" spans="1:4" ht="18" customHeight="1" x14ac:dyDescent="0.3">
      <c r="A28" s="79">
        <v>35198</v>
      </c>
      <c r="B28" s="79">
        <v>32630</v>
      </c>
      <c r="C28" s="74" t="s">
        <v>87</v>
      </c>
      <c r="D28" s="72" t="e">
        <f>VLOOKUP(A28,[2]Report!$1:$1048576,9,0)</f>
        <v>#N/A</v>
      </c>
    </row>
    <row r="29" spans="1:4" ht="18" customHeight="1" x14ac:dyDescent="0.3">
      <c r="A29" s="79">
        <v>35200</v>
      </c>
      <c r="B29" s="79">
        <v>32629</v>
      </c>
      <c r="C29" s="74" t="s">
        <v>86</v>
      </c>
      <c r="D29" s="72" t="e">
        <f>VLOOKUP(A29,[2]Report!$1:$1048576,9,0)</f>
        <v>#N/A</v>
      </c>
    </row>
    <row r="30" spans="1:4" ht="18" customHeight="1" x14ac:dyDescent="0.3">
      <c r="A30" s="79">
        <v>35231</v>
      </c>
      <c r="B30" s="79">
        <v>33198</v>
      </c>
      <c r="C30" s="74" t="s">
        <v>88</v>
      </c>
      <c r="D30" s="72" t="e">
        <f>VLOOKUP(A30,[2]Report!$1:$1048576,9,0)</f>
        <v>#N/A</v>
      </c>
    </row>
    <row r="31" spans="1:4" ht="18" customHeight="1" x14ac:dyDescent="0.3">
      <c r="A31" s="79">
        <v>35232</v>
      </c>
      <c r="B31" s="79">
        <v>33199</v>
      </c>
      <c r="C31" s="74" t="s">
        <v>89</v>
      </c>
      <c r="D31" s="72" t="e">
        <f>VLOOKUP(A31,[2]Report!$1:$1048576,9,0)</f>
        <v>#N/A</v>
      </c>
    </row>
    <row r="32" spans="1:4" ht="18" customHeight="1" x14ac:dyDescent="0.3">
      <c r="A32" s="79">
        <v>35332</v>
      </c>
      <c r="B32" s="79">
        <v>32627</v>
      </c>
      <c r="C32" s="74" t="s">
        <v>84</v>
      </c>
      <c r="D32" s="72" t="e">
        <f>VLOOKUP(A32,[2]Report!$1:$1048576,9,0)</f>
        <v>#N/A</v>
      </c>
    </row>
    <row r="33" spans="1:4" ht="18" customHeight="1" x14ac:dyDescent="0.3">
      <c r="A33" s="79">
        <v>35333</v>
      </c>
      <c r="B33" s="79">
        <v>32628</v>
      </c>
      <c r="C33" s="74" t="s">
        <v>85</v>
      </c>
      <c r="D33" s="72" t="e">
        <f>VLOOKUP(A33,[2]Report!$1:$1048576,9,0)</f>
        <v>#N/A</v>
      </c>
    </row>
    <row r="34" spans="1:4" ht="18" customHeight="1" x14ac:dyDescent="0.3">
      <c r="A34" s="79">
        <v>35534</v>
      </c>
      <c r="B34" s="79">
        <v>42835</v>
      </c>
      <c r="C34" s="74" t="s">
        <v>170</v>
      </c>
      <c r="D34" s="72" t="e">
        <f>VLOOKUP(A34,[2]Report!$1:$1048576,9,0)</f>
        <v>#N/A</v>
      </c>
    </row>
    <row r="35" spans="1:4" ht="18" customHeight="1" x14ac:dyDescent="0.3">
      <c r="A35" s="79">
        <v>35578</v>
      </c>
      <c r="B35" s="79">
        <v>34522</v>
      </c>
      <c r="C35" s="74" t="s">
        <v>171</v>
      </c>
      <c r="D35" s="72" t="e">
        <f>VLOOKUP(A35,[2]Report!$1:$1048576,9,0)</f>
        <v>#N/A</v>
      </c>
    </row>
    <row r="36" spans="1:4" ht="18" customHeight="1" x14ac:dyDescent="0.3">
      <c r="A36" s="79">
        <v>35650</v>
      </c>
      <c r="B36" s="79">
        <v>35649</v>
      </c>
      <c r="C36" s="74" t="s">
        <v>172</v>
      </c>
      <c r="D36" s="72" t="e">
        <f>VLOOKUP(A36,[2]Report!$1:$1048576,9,0)</f>
        <v>#N/A</v>
      </c>
    </row>
    <row r="37" spans="1:4" ht="18" customHeight="1" x14ac:dyDescent="0.3">
      <c r="A37" s="79">
        <v>35652</v>
      </c>
      <c r="B37" s="79">
        <v>35651</v>
      </c>
      <c r="C37" s="74" t="s">
        <v>173</v>
      </c>
      <c r="D37" s="72" t="e">
        <f>VLOOKUP(A37,[2]Report!$1:$1048576,9,0)</f>
        <v>#N/A</v>
      </c>
    </row>
    <row r="38" spans="1:4" ht="18" customHeight="1" x14ac:dyDescent="0.3">
      <c r="A38" s="79">
        <v>35654</v>
      </c>
      <c r="B38" s="79">
        <v>36653</v>
      </c>
      <c r="C38" s="74" t="s">
        <v>143</v>
      </c>
      <c r="D38" s="72" t="e">
        <f>VLOOKUP(A38,[2]Report!$1:$1048576,9,0)</f>
        <v>#N/A</v>
      </c>
    </row>
    <row r="39" spans="1:4" ht="18" customHeight="1" x14ac:dyDescent="0.3">
      <c r="A39" s="79">
        <v>35656</v>
      </c>
      <c r="B39" s="79">
        <v>37766</v>
      </c>
      <c r="C39" s="74" t="s">
        <v>174</v>
      </c>
      <c r="D39" s="72" t="e">
        <f>VLOOKUP(A39,[2]Report!$1:$1048576,9,0)</f>
        <v>#N/A</v>
      </c>
    </row>
    <row r="40" spans="1:4" ht="18" customHeight="1" x14ac:dyDescent="0.3">
      <c r="A40" s="79">
        <v>35658</v>
      </c>
      <c r="B40" s="79">
        <v>42508</v>
      </c>
      <c r="C40" s="74" t="s">
        <v>147</v>
      </c>
      <c r="D40" s="72" t="e">
        <f>VLOOKUP(A40,[2]Report!$1:$1048576,9,0)</f>
        <v>#N/A</v>
      </c>
    </row>
    <row r="41" spans="1:4" ht="18" customHeight="1" x14ac:dyDescent="0.3">
      <c r="A41" s="79">
        <v>35662</v>
      </c>
      <c r="B41" s="79" t="s">
        <v>302</v>
      </c>
      <c r="C41" s="74" t="s">
        <v>346</v>
      </c>
      <c r="D41" s="72" t="e">
        <f>VLOOKUP(A41,[2]Report!$1:$1048576,9,0)</f>
        <v>#N/A</v>
      </c>
    </row>
    <row r="42" spans="1:4" ht="18" customHeight="1" x14ac:dyDescent="0.3">
      <c r="A42" s="79">
        <v>35664</v>
      </c>
      <c r="B42" s="79">
        <v>42837</v>
      </c>
      <c r="C42" s="74" t="s">
        <v>140</v>
      </c>
      <c r="D42" s="72" t="e">
        <f>VLOOKUP(A42,[2]Report!$1:$1048576,9,0)</f>
        <v>#N/A</v>
      </c>
    </row>
    <row r="43" spans="1:4" ht="18" customHeight="1" x14ac:dyDescent="0.3">
      <c r="A43" s="79">
        <v>35666</v>
      </c>
      <c r="B43" s="79">
        <v>35665</v>
      </c>
      <c r="C43" s="74" t="s">
        <v>175</v>
      </c>
      <c r="D43" s="72" t="e">
        <f>VLOOKUP(A43,[2]Report!$1:$1048576,9,0)</f>
        <v>#N/A</v>
      </c>
    </row>
    <row r="44" spans="1:4" ht="18" customHeight="1" x14ac:dyDescent="0.3">
      <c r="A44" s="79">
        <v>35668</v>
      </c>
      <c r="B44" s="79">
        <v>42816</v>
      </c>
      <c r="C44" s="74" t="s">
        <v>115</v>
      </c>
      <c r="D44" s="72" t="e">
        <f>VLOOKUP(A44,[2]Report!$1:$1048576,9,0)</f>
        <v>#N/A</v>
      </c>
    </row>
    <row r="45" spans="1:4" ht="18" customHeight="1" x14ac:dyDescent="0.3">
      <c r="A45" s="79">
        <v>35670</v>
      </c>
      <c r="B45" s="79">
        <v>42739</v>
      </c>
      <c r="C45" s="74" t="s">
        <v>149</v>
      </c>
      <c r="D45" s="72" t="e">
        <f>VLOOKUP(A45,[2]Report!$1:$1048576,9,0)</f>
        <v>#N/A</v>
      </c>
    </row>
    <row r="46" spans="1:4" ht="18" customHeight="1" x14ac:dyDescent="0.3">
      <c r="A46" s="79">
        <v>35674</v>
      </c>
      <c r="B46" s="79">
        <v>42726</v>
      </c>
      <c r="C46" s="74" t="s">
        <v>176</v>
      </c>
      <c r="D46" s="72" t="e">
        <f>VLOOKUP(A46,[2]Report!$1:$1048576,9,0)</f>
        <v>#N/A</v>
      </c>
    </row>
    <row r="47" spans="1:4" ht="18" customHeight="1" x14ac:dyDescent="0.3">
      <c r="A47" s="79">
        <v>35676</v>
      </c>
      <c r="B47" s="79">
        <v>37772</v>
      </c>
      <c r="C47" s="74" t="s">
        <v>177</v>
      </c>
      <c r="D47" s="72" t="e">
        <f>VLOOKUP(A47,[2]Report!$1:$1048576,9,0)</f>
        <v>#N/A</v>
      </c>
    </row>
    <row r="48" spans="1:4" ht="18" customHeight="1" x14ac:dyDescent="0.3">
      <c r="A48" s="79">
        <v>38525</v>
      </c>
      <c r="B48" s="79">
        <v>38527</v>
      </c>
      <c r="C48" s="74" t="s">
        <v>116</v>
      </c>
      <c r="D48" s="72" t="e">
        <f>VLOOKUP(A48,[2]Report!$1:$1048576,9,0)</f>
        <v>#N/A</v>
      </c>
    </row>
    <row r="49" spans="1:4" ht="18" customHeight="1" x14ac:dyDescent="0.3">
      <c r="A49" s="79">
        <v>38546</v>
      </c>
      <c r="B49" s="79">
        <v>38550</v>
      </c>
      <c r="C49" s="74" t="s">
        <v>178</v>
      </c>
      <c r="D49" s="72" t="e">
        <f>VLOOKUP(A49,[2]Report!$1:$1048576,9,0)</f>
        <v>#N/A</v>
      </c>
    </row>
    <row r="50" spans="1:4" ht="18" customHeight="1" x14ac:dyDescent="0.3">
      <c r="A50" s="79">
        <v>38548</v>
      </c>
      <c r="B50" s="79">
        <v>43122</v>
      </c>
      <c r="C50" s="74" t="s">
        <v>179</v>
      </c>
      <c r="D50" s="72" t="e">
        <f>VLOOKUP(A50,[2]Report!$1:$1048576,9,0)</f>
        <v>#N/A</v>
      </c>
    </row>
    <row r="51" spans="1:4" ht="18" customHeight="1" x14ac:dyDescent="0.3">
      <c r="A51" s="79">
        <v>38569</v>
      </c>
      <c r="B51" s="79">
        <v>38571</v>
      </c>
      <c r="C51" s="74" t="s">
        <v>180</v>
      </c>
      <c r="D51" s="72" t="e">
        <f>VLOOKUP(A51,[2]Report!$1:$1048576,9,0)</f>
        <v>#N/A</v>
      </c>
    </row>
    <row r="52" spans="1:4" ht="18" customHeight="1" x14ac:dyDescent="0.3">
      <c r="A52" s="79">
        <v>38579</v>
      </c>
      <c r="B52" s="79">
        <f>VLOOKUP(A52,'[3]02 КАТАЛОГ`24 (2)'!$1:$1048576,2,0)</f>
        <v>38587</v>
      </c>
      <c r="C52" s="74" t="str">
        <f>VLOOKUP(A52,'[3]02 КАТАЛОГ`24 (2)'!$1:$1048576,3,0)</f>
        <v xml:space="preserve">ПАРФЮМЕРНАЯ ВОДА SIGNATURE FOR HIM </v>
      </c>
      <c r="D52" s="72" t="e">
        <f>VLOOKUP(A52,[2]Report!$1:$1048576,9,0)</f>
        <v>#N/A</v>
      </c>
    </row>
    <row r="53" spans="1:4" ht="18" customHeight="1" x14ac:dyDescent="0.3">
      <c r="A53" s="79">
        <v>38598</v>
      </c>
      <c r="B53" s="79">
        <v>38540</v>
      </c>
      <c r="C53" s="74" t="s">
        <v>181</v>
      </c>
      <c r="D53" s="72" t="e">
        <f>VLOOKUP(A53,[2]Report!$1:$1048576,9,0)</f>
        <v>#N/A</v>
      </c>
    </row>
    <row r="54" spans="1:4" ht="18" customHeight="1" x14ac:dyDescent="0.3">
      <c r="A54" s="79">
        <v>41163</v>
      </c>
      <c r="B54" s="79">
        <v>35679</v>
      </c>
      <c r="C54" s="74" t="s">
        <v>117</v>
      </c>
      <c r="D54" s="72" t="e">
        <f>VLOOKUP(A54,[2]Report!$1:$1048576,9,0)</f>
        <v>#N/A</v>
      </c>
    </row>
    <row r="55" spans="1:4" ht="18" customHeight="1" x14ac:dyDescent="0.3">
      <c r="A55" s="79">
        <v>41183</v>
      </c>
      <c r="B55" s="79" t="s">
        <v>182</v>
      </c>
      <c r="C55" s="74" t="s">
        <v>183</v>
      </c>
      <c r="D55" s="72" t="e">
        <f>VLOOKUP(A55,[2]Report!$1:$1048576,9,0)</f>
        <v>#N/A</v>
      </c>
    </row>
    <row r="56" spans="1:4" ht="18" customHeight="1" x14ac:dyDescent="0.3">
      <c r="A56" s="79">
        <v>41185</v>
      </c>
      <c r="B56" s="79" t="s">
        <v>184</v>
      </c>
      <c r="C56" s="74" t="s">
        <v>95</v>
      </c>
      <c r="D56" s="72" t="e">
        <f>VLOOKUP(A56,[2]Report!$1:$1048576,9,0)</f>
        <v>#N/A</v>
      </c>
    </row>
    <row r="57" spans="1:4" ht="18" customHeight="1" x14ac:dyDescent="0.3">
      <c r="A57" s="79">
        <v>41324</v>
      </c>
      <c r="B57" s="79">
        <v>35681</v>
      </c>
      <c r="C57" s="74" t="s">
        <v>144</v>
      </c>
      <c r="D57" s="72" t="e">
        <f>VLOOKUP(A57,[2]Report!$1:$1048576,9,0)</f>
        <v>#N/A</v>
      </c>
    </row>
    <row r="58" spans="1:4" ht="18" customHeight="1" x14ac:dyDescent="0.3">
      <c r="A58" s="79">
        <v>41377</v>
      </c>
      <c r="B58" s="79" t="s">
        <v>185</v>
      </c>
      <c r="C58" s="74" t="s">
        <v>91</v>
      </c>
      <c r="D58" s="72" t="e">
        <f>VLOOKUP(A58,[2]Report!$1:$1048576,9,0)</f>
        <v>#N/A</v>
      </c>
    </row>
    <row r="59" spans="1:4" ht="18" customHeight="1" x14ac:dyDescent="0.3">
      <c r="A59" s="79">
        <v>41378</v>
      </c>
      <c r="B59" s="79" t="s">
        <v>186</v>
      </c>
      <c r="C59" s="74" t="s">
        <v>187</v>
      </c>
      <c r="D59" s="72" t="e">
        <f>VLOOKUP(A59,[2]Report!$1:$1048576,9,0)</f>
        <v>#N/A</v>
      </c>
    </row>
    <row r="60" spans="1:4" ht="18" customHeight="1" x14ac:dyDescent="0.3">
      <c r="A60" s="79">
        <v>41379</v>
      </c>
      <c r="B60" s="79" t="s">
        <v>188</v>
      </c>
      <c r="C60" s="74" t="s">
        <v>93</v>
      </c>
      <c r="D60" s="72" t="e">
        <f>VLOOKUP(A60,[2]Report!$1:$1048576,9,0)</f>
        <v>#N/A</v>
      </c>
    </row>
    <row r="61" spans="1:4" ht="18" customHeight="1" x14ac:dyDescent="0.3">
      <c r="A61" s="79">
        <v>41771</v>
      </c>
      <c r="B61" s="79">
        <v>42785</v>
      </c>
      <c r="C61" s="74" t="s">
        <v>189</v>
      </c>
      <c r="D61" s="72" t="e">
        <f>VLOOKUP(A61,[2]Report!$1:$1048576,9,0)</f>
        <v>#N/A</v>
      </c>
    </row>
    <row r="62" spans="1:4" ht="18" customHeight="1" x14ac:dyDescent="0.3">
      <c r="A62" s="79">
        <v>42379</v>
      </c>
      <c r="B62" s="79">
        <v>40790</v>
      </c>
      <c r="C62" s="74" t="s">
        <v>190</v>
      </c>
      <c r="D62" s="72" t="e">
        <f>VLOOKUP(A62,[2]Report!$1:$1048576,9,0)</f>
        <v>#N/A</v>
      </c>
    </row>
    <row r="63" spans="1:4" ht="18" customHeight="1" x14ac:dyDescent="0.3">
      <c r="A63" s="79">
        <v>42400</v>
      </c>
      <c r="B63" s="79">
        <v>38552</v>
      </c>
      <c r="C63" s="74" t="s">
        <v>191</v>
      </c>
      <c r="D63" s="72" t="e">
        <f>VLOOKUP(A63,[2]Report!$1:$1048576,9,0)</f>
        <v>#N/A</v>
      </c>
    </row>
    <row r="64" spans="1:4" ht="18" customHeight="1" x14ac:dyDescent="0.3">
      <c r="A64" s="79">
        <v>42438</v>
      </c>
      <c r="B64" s="79">
        <v>40788</v>
      </c>
      <c r="C64" s="74" t="s">
        <v>192</v>
      </c>
      <c r="D64" s="72" t="e">
        <f>VLOOKUP(A64,[2]Report!$1:$1048576,9,0)</f>
        <v>#N/A</v>
      </c>
    </row>
    <row r="65" spans="1:4" ht="18" customHeight="1" x14ac:dyDescent="0.3">
      <c r="A65" s="79">
        <v>42843</v>
      </c>
      <c r="B65" s="79">
        <v>41635</v>
      </c>
      <c r="C65" s="74" t="s">
        <v>193</v>
      </c>
      <c r="D65" s="72" t="e">
        <f>VLOOKUP(A65,[2]Report!$1:$1048576,9,0)</f>
        <v>#N/A</v>
      </c>
    </row>
    <row r="66" spans="1:4" ht="18" customHeight="1" x14ac:dyDescent="0.3">
      <c r="A66" s="79">
        <v>42844</v>
      </c>
      <c r="B66" s="79">
        <v>41636</v>
      </c>
      <c r="C66" s="74" t="s">
        <v>194</v>
      </c>
      <c r="D66" s="72" t="e">
        <f>VLOOKUP(A66,[2]Report!$1:$1048576,9,0)</f>
        <v>#N/A</v>
      </c>
    </row>
    <row r="67" spans="1:4" ht="18" customHeight="1" x14ac:dyDescent="0.3">
      <c r="A67" s="79">
        <v>42845</v>
      </c>
      <c r="B67" s="79">
        <v>41637</v>
      </c>
      <c r="C67" s="74" t="s">
        <v>195</v>
      </c>
      <c r="D67" s="72" t="e">
        <f>VLOOKUP(A67,[2]Report!$1:$1048576,9,0)</f>
        <v>#N/A</v>
      </c>
    </row>
    <row r="68" spans="1:4" ht="18" customHeight="1" x14ac:dyDescent="0.3">
      <c r="A68" s="79">
        <v>42846</v>
      </c>
      <c r="B68" s="79">
        <v>41638</v>
      </c>
      <c r="C68" s="74" t="s">
        <v>196</v>
      </c>
      <c r="D68" s="72" t="e">
        <f>VLOOKUP(A68,[2]Report!$1:$1048576,9,0)</f>
        <v>#N/A</v>
      </c>
    </row>
    <row r="69" spans="1:4" ht="18" customHeight="1" x14ac:dyDescent="0.3">
      <c r="A69" s="79">
        <v>42847</v>
      </c>
      <c r="B69" s="79">
        <v>41639</v>
      </c>
      <c r="C69" s="74" t="s">
        <v>197</v>
      </c>
      <c r="D69" s="72" t="e">
        <f>VLOOKUP(A69,[2]Report!$1:$1048576,9,0)</f>
        <v>#N/A</v>
      </c>
    </row>
    <row r="70" spans="1:4" ht="18" customHeight="1" x14ac:dyDescent="0.3">
      <c r="A70" s="79">
        <v>42848</v>
      </c>
      <c r="B70" s="79">
        <v>41640</v>
      </c>
      <c r="C70" s="74" t="s">
        <v>198</v>
      </c>
      <c r="D70" s="72" t="e">
        <f>VLOOKUP(A70,[2]Report!$1:$1048576,9,0)</f>
        <v>#N/A</v>
      </c>
    </row>
    <row r="71" spans="1:4" ht="18" customHeight="1" x14ac:dyDescent="0.3">
      <c r="A71" s="79">
        <v>42849</v>
      </c>
      <c r="B71" s="79">
        <v>41641</v>
      </c>
      <c r="C71" s="74" t="s">
        <v>199</v>
      </c>
      <c r="D71" s="72" t="e">
        <f>VLOOKUP(A71,[2]Report!$1:$1048576,9,0)</f>
        <v>#N/A</v>
      </c>
    </row>
    <row r="72" spans="1:4" ht="18" customHeight="1" x14ac:dyDescent="0.3">
      <c r="A72" s="79">
        <v>42850</v>
      </c>
      <c r="B72" s="79">
        <v>41642</v>
      </c>
      <c r="C72" s="74" t="s">
        <v>200</v>
      </c>
      <c r="D72" s="72" t="e">
        <f>VLOOKUP(A72,[2]Report!$1:$1048576,9,0)</f>
        <v>#N/A</v>
      </c>
    </row>
    <row r="73" spans="1:4" ht="18" customHeight="1" x14ac:dyDescent="0.3">
      <c r="A73" s="79">
        <v>42851</v>
      </c>
      <c r="B73" s="79">
        <v>41643</v>
      </c>
      <c r="C73" s="74" t="s">
        <v>201</v>
      </c>
      <c r="D73" s="72" t="e">
        <f>VLOOKUP(A73,[2]Report!$1:$1048576,9,0)</f>
        <v>#N/A</v>
      </c>
    </row>
    <row r="74" spans="1:4" ht="18" customHeight="1" x14ac:dyDescent="0.3">
      <c r="A74" s="79">
        <v>42852</v>
      </c>
      <c r="B74" s="79">
        <v>41644</v>
      </c>
      <c r="C74" s="74" t="s">
        <v>202</v>
      </c>
      <c r="D74" s="72" t="e">
        <f>VLOOKUP(A74,[2]Report!$1:$1048576,9,0)</f>
        <v>#N/A</v>
      </c>
    </row>
    <row r="75" spans="1:4" ht="18" customHeight="1" x14ac:dyDescent="0.3">
      <c r="A75" s="79">
        <v>42934</v>
      </c>
      <c r="B75" s="79">
        <f>VLOOKUP(A75,'[3]02 КАТАЛОГ`24 (2)'!$1:$1048576,2,0)</f>
        <v>40793</v>
      </c>
      <c r="C75" s="74" t="str">
        <f>VLOOKUP(A75,'[3]02 КАТАЛОГ`24 (2)'!$1:$1048576,3,0)</f>
        <v>ТУАЛЕТНАЯ ВОДА SIGNATURE GENERATION FOR HER</v>
      </c>
      <c r="D75" s="72" t="e">
        <f>VLOOKUP(A75,[2]Report!$1:$1048576,9,0)</f>
        <v>#N/A</v>
      </c>
    </row>
    <row r="76" spans="1:4" ht="18" customHeight="1" x14ac:dyDescent="0.3">
      <c r="A76" s="79">
        <v>42994</v>
      </c>
      <c r="B76" s="79">
        <f>VLOOKUP(A76,'[3]02 КАТАЛОГ`24 (2)'!$1:$1048576,2,0)</f>
        <v>42968</v>
      </c>
      <c r="C76" s="74" t="str">
        <f>VLOOKUP(A76,'[3]02 КАТАЛОГ`24 (2)'!$1:$1048576,3,0)</f>
        <v xml:space="preserve">ПАРФЮМЕРНАЯ ВОДА POSSESS ABSOLUTE </v>
      </c>
      <c r="D76" s="72" t="e">
        <f>VLOOKUP(A76,[2]Report!$1:$1048576,9,0)</f>
        <v>#N/A</v>
      </c>
    </row>
    <row r="77" spans="1:4" ht="18" customHeight="1" x14ac:dyDescent="0.3">
      <c r="A77" s="79">
        <v>43145</v>
      </c>
      <c r="B77" s="79">
        <v>38948</v>
      </c>
      <c r="C77" s="74" t="s">
        <v>203</v>
      </c>
      <c r="D77" s="72" t="e">
        <f>VLOOKUP(A77,[2]Report!$1:$1048576,9,0)</f>
        <v>#N/A</v>
      </c>
    </row>
    <row r="78" spans="1:4" ht="18" customHeight="1" x14ac:dyDescent="0.3">
      <c r="A78" s="79">
        <v>43146</v>
      </c>
      <c r="B78" s="79">
        <v>39800</v>
      </c>
      <c r="C78" s="74" t="s">
        <v>204</v>
      </c>
      <c r="D78" s="72" t="e">
        <f>VLOOKUP(A78,[2]Report!$1:$1048576,9,0)</f>
        <v>#N/A</v>
      </c>
    </row>
    <row r="79" spans="1:4" ht="18" customHeight="1" x14ac:dyDescent="0.3">
      <c r="A79" s="79">
        <v>43147</v>
      </c>
      <c r="B79" s="79">
        <v>39801</v>
      </c>
      <c r="C79" s="74" t="s">
        <v>205</v>
      </c>
      <c r="D79" s="72" t="e">
        <f>VLOOKUP(A79,[2]Report!$1:$1048576,9,0)</f>
        <v>#N/A</v>
      </c>
    </row>
    <row r="80" spans="1:4" ht="18" customHeight="1" x14ac:dyDescent="0.3">
      <c r="A80" s="79">
        <v>43148</v>
      </c>
      <c r="B80" s="79">
        <v>39802</v>
      </c>
      <c r="C80" s="74" t="s">
        <v>206</v>
      </c>
      <c r="D80" s="72" t="e">
        <f>VLOOKUP(A80,[2]Report!$1:$1048576,9,0)</f>
        <v>#N/A</v>
      </c>
    </row>
    <row r="81" spans="1:4" ht="18" customHeight="1" x14ac:dyDescent="0.3">
      <c r="A81" s="79">
        <v>43149</v>
      </c>
      <c r="B81" s="79">
        <v>39803</v>
      </c>
      <c r="C81" s="74" t="s">
        <v>207</v>
      </c>
      <c r="D81" s="72" t="e">
        <f>VLOOKUP(A81,[2]Report!$1:$1048576,9,0)</f>
        <v>#N/A</v>
      </c>
    </row>
    <row r="82" spans="1:4" ht="18" customHeight="1" x14ac:dyDescent="0.3">
      <c r="A82" s="79">
        <v>43151</v>
      </c>
      <c r="B82" s="79">
        <v>39805</v>
      </c>
      <c r="C82" s="74" t="s">
        <v>208</v>
      </c>
      <c r="D82" s="72" t="e">
        <f>VLOOKUP(A82,[2]Report!$1:$1048576,9,0)</f>
        <v>#N/A</v>
      </c>
    </row>
    <row r="83" spans="1:4" ht="18" customHeight="1" x14ac:dyDescent="0.3">
      <c r="A83" s="79">
        <v>43152</v>
      </c>
      <c r="B83" s="79">
        <v>39806</v>
      </c>
      <c r="C83" s="74" t="s">
        <v>209</v>
      </c>
      <c r="D83" s="72" t="e">
        <f>VLOOKUP(A83,[2]Report!$1:$1048576,9,0)</f>
        <v>#N/A</v>
      </c>
    </row>
    <row r="84" spans="1:4" ht="18" customHeight="1" x14ac:dyDescent="0.3">
      <c r="A84" s="79">
        <v>43153</v>
      </c>
      <c r="B84" s="79">
        <v>39807</v>
      </c>
      <c r="C84" s="74" t="s">
        <v>210</v>
      </c>
      <c r="D84" s="72" t="e">
        <f>VLOOKUP(A84,[2]Report!$1:$1048576,9,0)</f>
        <v>#N/A</v>
      </c>
    </row>
    <row r="85" spans="1:4" ht="18" customHeight="1" x14ac:dyDescent="0.3">
      <c r="A85" s="79">
        <v>43268</v>
      </c>
      <c r="B85" s="79">
        <f>VLOOKUP(A85,'[3]02 КАТАЛОГ`24 (2)'!$1:$1048576,2,0)</f>
        <v>40797</v>
      </c>
      <c r="C85" s="74" t="str">
        <f>VLOOKUP(A85,'[3]02 КАТАЛОГ`24 (2)'!$1:$1048576,3,0)</f>
        <v>ТУАЛЕТНАЯ ВОДА SIGNATURE GENERATION FOR HIM</v>
      </c>
      <c r="D85" s="72" t="e">
        <f>VLOOKUP(A85,[2]Report!$1:$1048576,9,0)</f>
        <v>#N/A</v>
      </c>
    </row>
    <row r="86" spans="1:4" ht="18" customHeight="1" x14ac:dyDescent="0.3">
      <c r="A86" s="79">
        <v>43395</v>
      </c>
      <c r="B86" s="79">
        <v>42324</v>
      </c>
      <c r="C86" s="74" t="s">
        <v>118</v>
      </c>
      <c r="D86" s="72" t="e">
        <f>VLOOKUP(A86,[2]Report!$1:$1048576,9,0)</f>
        <v>#N/A</v>
      </c>
    </row>
    <row r="87" spans="1:4" ht="18" customHeight="1" x14ac:dyDescent="0.3">
      <c r="A87" s="79">
        <v>43396</v>
      </c>
      <c r="B87" s="79">
        <v>42325</v>
      </c>
      <c r="C87" s="74" t="s">
        <v>119</v>
      </c>
      <c r="D87" s="72" t="e">
        <f>VLOOKUP(A87,[2]Report!$1:$1048576,9,0)</f>
        <v>#N/A</v>
      </c>
    </row>
    <row r="88" spans="1:4" ht="18" customHeight="1" x14ac:dyDescent="0.3">
      <c r="A88" s="79">
        <v>43397</v>
      </c>
      <c r="B88" s="79">
        <v>42326</v>
      </c>
      <c r="C88" s="74" t="s">
        <v>120</v>
      </c>
      <c r="D88" s="72" t="e">
        <f>VLOOKUP(A88,[2]Report!$1:$1048576,9,0)</f>
        <v>#N/A</v>
      </c>
    </row>
    <row r="89" spans="1:4" ht="18" customHeight="1" x14ac:dyDescent="0.3">
      <c r="A89" s="79">
        <v>43398</v>
      </c>
      <c r="B89" s="79">
        <v>42327</v>
      </c>
      <c r="C89" s="74" t="s">
        <v>121</v>
      </c>
      <c r="D89" s="72" t="e">
        <f>VLOOKUP(A89,[2]Report!$1:$1048576,9,0)</f>
        <v>#N/A</v>
      </c>
    </row>
    <row r="90" spans="1:4" ht="18" customHeight="1" x14ac:dyDescent="0.3">
      <c r="A90" s="79">
        <v>43399</v>
      </c>
      <c r="B90" s="79">
        <v>42328</v>
      </c>
      <c r="C90" s="74" t="s">
        <v>122</v>
      </c>
      <c r="D90" s="72" t="e">
        <f>VLOOKUP(A90,[2]Report!$1:$1048576,9,0)</f>
        <v>#N/A</v>
      </c>
    </row>
    <row r="91" spans="1:4" ht="18" customHeight="1" x14ac:dyDescent="0.3">
      <c r="A91" s="79">
        <v>43400</v>
      </c>
      <c r="B91" s="79">
        <v>42329</v>
      </c>
      <c r="C91" s="74" t="s">
        <v>123</v>
      </c>
      <c r="D91" s="72" t="e">
        <f>VLOOKUP(A91,[2]Report!$1:$1048576,9,0)</f>
        <v>#N/A</v>
      </c>
    </row>
    <row r="92" spans="1:4" ht="18" customHeight="1" x14ac:dyDescent="0.3">
      <c r="A92" s="79">
        <v>43402</v>
      </c>
      <c r="B92" s="79">
        <v>42331</v>
      </c>
      <c r="C92" s="74" t="s">
        <v>124</v>
      </c>
      <c r="D92" s="72" t="e">
        <f>VLOOKUP(A92,[2]Report!$1:$1048576,9,0)</f>
        <v>#N/A</v>
      </c>
    </row>
    <row r="93" spans="1:4" ht="18" customHeight="1" x14ac:dyDescent="0.3">
      <c r="A93" s="79">
        <v>43403</v>
      </c>
      <c r="B93" s="79">
        <v>42332</v>
      </c>
      <c r="C93" s="74" t="s">
        <v>125</v>
      </c>
      <c r="D93" s="72" t="e">
        <f>VLOOKUP(A93,[2]Report!$1:$1048576,9,0)</f>
        <v>#N/A</v>
      </c>
    </row>
    <row r="94" spans="1:4" ht="18" customHeight="1" x14ac:dyDescent="0.3">
      <c r="A94" s="79">
        <v>43888</v>
      </c>
      <c r="B94" s="79" t="s">
        <v>211</v>
      </c>
      <c r="C94" s="74" t="s">
        <v>212</v>
      </c>
      <c r="D94" s="72" t="e">
        <f>VLOOKUP(A94,[2]Report!$1:$1048576,9,0)</f>
        <v>#N/A</v>
      </c>
    </row>
    <row r="95" spans="1:4" ht="18" customHeight="1" x14ac:dyDescent="0.3">
      <c r="A95" s="79">
        <v>43889</v>
      </c>
      <c r="B95" s="79">
        <v>41043</v>
      </c>
      <c r="C95" s="74" t="s">
        <v>213</v>
      </c>
      <c r="D95" s="72" t="e">
        <f>VLOOKUP(A95,[2]Report!$1:$1048576,9,0)</f>
        <v>#N/A</v>
      </c>
    </row>
    <row r="96" spans="1:4" ht="18" customHeight="1" x14ac:dyDescent="0.3">
      <c r="A96" s="79">
        <v>43890</v>
      </c>
      <c r="B96" s="79" t="s">
        <v>214</v>
      </c>
      <c r="C96" s="74" t="s">
        <v>215</v>
      </c>
      <c r="D96" s="72" t="e">
        <f>VLOOKUP(A96,[2]Report!$1:$1048576,9,0)</f>
        <v>#N/A</v>
      </c>
    </row>
    <row r="97" spans="1:4" ht="18" customHeight="1" x14ac:dyDescent="0.3">
      <c r="A97" s="79">
        <v>43891</v>
      </c>
      <c r="B97" s="79">
        <v>41047</v>
      </c>
      <c r="C97" s="74" t="s">
        <v>216</v>
      </c>
      <c r="D97" s="72" t="e">
        <f>VLOOKUP(A97,[2]Report!$1:$1048576,9,0)</f>
        <v>#N/A</v>
      </c>
    </row>
    <row r="98" spans="1:4" ht="18" customHeight="1" x14ac:dyDescent="0.3">
      <c r="A98" s="79">
        <v>43892</v>
      </c>
      <c r="B98" s="79" t="s">
        <v>217</v>
      </c>
      <c r="C98" s="74" t="s">
        <v>218</v>
      </c>
      <c r="D98" s="72" t="e">
        <f>VLOOKUP(A98,[2]Report!$1:$1048576,9,0)</f>
        <v>#N/A</v>
      </c>
    </row>
    <row r="99" spans="1:4" ht="18" customHeight="1" x14ac:dyDescent="0.3">
      <c r="A99" s="79">
        <v>43893</v>
      </c>
      <c r="B99" s="79" t="s">
        <v>219</v>
      </c>
      <c r="C99" s="74" t="s">
        <v>98</v>
      </c>
      <c r="D99" s="72" t="e">
        <f>VLOOKUP(A99,[2]Report!$1:$1048576,9,0)</f>
        <v>#N/A</v>
      </c>
    </row>
    <row r="100" spans="1:4" ht="18" customHeight="1" x14ac:dyDescent="0.3">
      <c r="A100" s="79">
        <v>43894</v>
      </c>
      <c r="B100" s="79" t="s">
        <v>220</v>
      </c>
      <c r="C100" s="74" t="s">
        <v>221</v>
      </c>
      <c r="D100" s="72" t="e">
        <f>VLOOKUP(A100,[2]Report!$1:$1048576,9,0)</f>
        <v>#N/A</v>
      </c>
    </row>
    <row r="101" spans="1:4" ht="18" customHeight="1" x14ac:dyDescent="0.3">
      <c r="A101" s="79">
        <v>43896</v>
      </c>
      <c r="B101" s="79" t="s">
        <v>222</v>
      </c>
      <c r="C101" s="74" t="s">
        <v>100</v>
      </c>
      <c r="D101" s="72" t="e">
        <f>VLOOKUP(A101,[2]Report!$1:$1048576,9,0)</f>
        <v>#N/A</v>
      </c>
    </row>
    <row r="102" spans="1:4" ht="18" customHeight="1" x14ac:dyDescent="0.3">
      <c r="A102" s="79">
        <v>43897</v>
      </c>
      <c r="B102" s="79" t="s">
        <v>223</v>
      </c>
      <c r="C102" s="74" t="s">
        <v>224</v>
      </c>
      <c r="D102" s="72" t="e">
        <f>VLOOKUP(A102,[2]Report!$1:$1048576,9,0)</f>
        <v>#N/A</v>
      </c>
    </row>
    <row r="103" spans="1:4" ht="18" customHeight="1" x14ac:dyDescent="0.3">
      <c r="A103" s="79">
        <v>43898</v>
      </c>
      <c r="B103" s="79" t="s">
        <v>225</v>
      </c>
      <c r="C103" s="74" t="s">
        <v>102</v>
      </c>
      <c r="D103" s="72" t="e">
        <f>VLOOKUP(A103,[2]Report!$1:$1048576,9,0)</f>
        <v>#N/A</v>
      </c>
    </row>
    <row r="104" spans="1:4" ht="18" customHeight="1" x14ac:dyDescent="0.3">
      <c r="A104" s="79">
        <v>43899</v>
      </c>
      <c r="B104" s="79" t="s">
        <v>226</v>
      </c>
      <c r="C104" s="74" t="s">
        <v>101</v>
      </c>
      <c r="D104" s="72" t="e">
        <f>VLOOKUP(A104,[2]Report!$1:$1048576,9,0)</f>
        <v>#N/A</v>
      </c>
    </row>
    <row r="105" spans="1:4" ht="18" customHeight="1" x14ac:dyDescent="0.3">
      <c r="A105" s="79">
        <v>43901</v>
      </c>
      <c r="B105" s="79" t="s">
        <v>227</v>
      </c>
      <c r="C105" s="74" t="s">
        <v>228</v>
      </c>
      <c r="D105" s="72" t="e">
        <f>VLOOKUP(A105,[2]Report!$1:$1048576,9,0)</f>
        <v>#N/A</v>
      </c>
    </row>
    <row r="106" spans="1:4" ht="18" customHeight="1" x14ac:dyDescent="0.3">
      <c r="A106" s="79">
        <v>43902</v>
      </c>
      <c r="B106" s="79">
        <v>41032</v>
      </c>
      <c r="C106" s="74" t="s">
        <v>145</v>
      </c>
      <c r="D106" s="72" t="e">
        <f>VLOOKUP(A106,[2]Report!$1:$1048576,9,0)</f>
        <v>#N/A</v>
      </c>
    </row>
    <row r="107" spans="1:4" ht="18" customHeight="1" x14ac:dyDescent="0.3">
      <c r="A107" s="79">
        <v>43904</v>
      </c>
      <c r="B107" s="79" t="s">
        <v>229</v>
      </c>
      <c r="C107" s="74" t="s">
        <v>105</v>
      </c>
      <c r="D107" s="72" t="e">
        <f>VLOOKUP(A107,[2]Report!$1:$1048576,9,0)</f>
        <v>#N/A</v>
      </c>
    </row>
    <row r="108" spans="1:4" ht="18" customHeight="1" x14ac:dyDescent="0.3">
      <c r="A108" s="79">
        <v>43905</v>
      </c>
      <c r="B108" s="79" t="s">
        <v>230</v>
      </c>
      <c r="C108" s="74" t="s">
        <v>231</v>
      </c>
      <c r="D108" s="72" t="e">
        <f>VLOOKUP(A108,[2]Report!$1:$1048576,9,0)</f>
        <v>#N/A</v>
      </c>
    </row>
    <row r="109" spans="1:4" ht="18" customHeight="1" x14ac:dyDescent="0.3">
      <c r="A109" s="79">
        <v>43936</v>
      </c>
      <c r="B109" s="79">
        <v>38533</v>
      </c>
      <c r="C109" s="74" t="s">
        <v>232</v>
      </c>
      <c r="D109" s="72" t="e">
        <f>VLOOKUP(A109,[2]Report!$1:$1048576,9,0)</f>
        <v>#N/A</v>
      </c>
    </row>
    <row r="110" spans="1:4" ht="18" customHeight="1" x14ac:dyDescent="0.3">
      <c r="A110" s="79">
        <v>43937</v>
      </c>
      <c r="B110" s="79">
        <v>38538</v>
      </c>
      <c r="C110" s="74" t="s">
        <v>126</v>
      </c>
      <c r="D110" s="72" t="e">
        <f>VLOOKUP(A110,[2]Report!$1:$1048576,9,0)</f>
        <v>#N/A</v>
      </c>
    </row>
    <row r="111" spans="1:4" ht="18" customHeight="1" x14ac:dyDescent="0.3">
      <c r="A111" s="79">
        <v>43938</v>
      </c>
      <c r="B111" s="79">
        <v>38531</v>
      </c>
      <c r="C111" s="74" t="s">
        <v>233</v>
      </c>
      <c r="D111" s="72" t="e">
        <f>VLOOKUP(A111,[2]Report!$1:$1048576,9,0)</f>
        <v>#N/A</v>
      </c>
    </row>
    <row r="112" spans="1:4" ht="18" customHeight="1" x14ac:dyDescent="0.3">
      <c r="A112" s="79">
        <v>43968</v>
      </c>
      <c r="B112" s="79">
        <v>43118</v>
      </c>
      <c r="C112" s="74" t="s">
        <v>348</v>
      </c>
      <c r="D112" s="72" t="e">
        <f>VLOOKUP(A112,[2]Report!$1:$1048576,9,0)</f>
        <v>#N/A</v>
      </c>
    </row>
    <row r="113" spans="1:4" ht="18" customHeight="1" x14ac:dyDescent="0.3">
      <c r="A113" s="79">
        <v>44289</v>
      </c>
      <c r="B113" s="79">
        <v>44288</v>
      </c>
      <c r="C113" s="74" t="s">
        <v>127</v>
      </c>
      <c r="D113" s="72" t="e">
        <f>VLOOKUP(A113,[2]Report!$1:$1048576,9,0)</f>
        <v>#N/A</v>
      </c>
    </row>
    <row r="114" spans="1:4" ht="18" customHeight="1" x14ac:dyDescent="0.3">
      <c r="A114" s="79">
        <v>44306</v>
      </c>
      <c r="B114" s="79">
        <v>44300</v>
      </c>
      <c r="C114" s="74" t="s">
        <v>128</v>
      </c>
      <c r="D114" s="72" t="e">
        <f>VLOOKUP(A114,[2]Report!$1:$1048576,9,0)</f>
        <v>#N/A</v>
      </c>
    </row>
    <row r="115" spans="1:4" ht="18" customHeight="1" x14ac:dyDescent="0.3">
      <c r="A115" s="79">
        <v>44314</v>
      </c>
      <c r="B115" s="79">
        <v>40809</v>
      </c>
      <c r="C115" s="74" t="s">
        <v>854</v>
      </c>
      <c r="D115" s="72" t="e">
        <f>VLOOKUP(A115,[2]Report!$1:$1048576,9,0)</f>
        <v>#N/A</v>
      </c>
    </row>
    <row r="116" spans="1:4" ht="18" customHeight="1" x14ac:dyDescent="0.3">
      <c r="A116" s="79">
        <v>44318</v>
      </c>
      <c r="B116" s="79">
        <v>44317</v>
      </c>
      <c r="C116" s="74" t="s">
        <v>234</v>
      </c>
      <c r="D116" s="72" t="e">
        <f>VLOOKUP(A116,[2]Report!$1:$1048576,9,0)</f>
        <v>#N/A</v>
      </c>
    </row>
    <row r="117" spans="1:4" ht="18" customHeight="1" x14ac:dyDescent="0.3">
      <c r="A117" s="79">
        <v>44323</v>
      </c>
      <c r="B117" s="79">
        <v>44319</v>
      </c>
      <c r="C117" s="74" t="s">
        <v>235</v>
      </c>
      <c r="D117" s="72" t="e">
        <f>VLOOKUP(A117,[2]Report!$1:$1048576,9,0)</f>
        <v>#N/A</v>
      </c>
    </row>
    <row r="118" spans="1:4" ht="18" customHeight="1" x14ac:dyDescent="0.3">
      <c r="A118" s="79">
        <v>44647</v>
      </c>
      <c r="B118" s="79">
        <v>43214</v>
      </c>
      <c r="C118" s="74" t="s">
        <v>236</v>
      </c>
      <c r="D118" s="72" t="e">
        <f>VLOOKUP(A118,[2]Report!$1:$1048576,9,0)</f>
        <v>#N/A</v>
      </c>
    </row>
    <row r="119" spans="1:4" ht="18" customHeight="1" x14ac:dyDescent="0.3">
      <c r="A119" s="79">
        <v>44648</v>
      </c>
      <c r="B119" s="79">
        <v>43215</v>
      </c>
      <c r="C119" s="74" t="s">
        <v>237</v>
      </c>
      <c r="D119" s="72" t="e">
        <f>VLOOKUP(A119,[2]Report!$1:$1048576,9,0)</f>
        <v>#N/A</v>
      </c>
    </row>
    <row r="120" spans="1:4" ht="18" customHeight="1" x14ac:dyDescent="0.3">
      <c r="A120" s="79">
        <v>44649</v>
      </c>
      <c r="B120" s="79">
        <v>43216</v>
      </c>
      <c r="C120" s="74" t="s">
        <v>238</v>
      </c>
      <c r="D120" s="72" t="e">
        <f>VLOOKUP(A120,[2]Report!$1:$1048576,9,0)</f>
        <v>#N/A</v>
      </c>
    </row>
    <row r="121" spans="1:4" ht="18" customHeight="1" x14ac:dyDescent="0.3">
      <c r="A121" s="79">
        <v>44650</v>
      </c>
      <c r="B121" s="79">
        <v>43217</v>
      </c>
      <c r="C121" s="74" t="s">
        <v>239</v>
      </c>
      <c r="D121" s="72" t="e">
        <f>VLOOKUP(A121,[2]Report!$1:$1048576,9,0)</f>
        <v>#N/A</v>
      </c>
    </row>
    <row r="122" spans="1:4" ht="18" customHeight="1" x14ac:dyDescent="0.3">
      <c r="A122" s="79">
        <v>44847</v>
      </c>
      <c r="B122" s="79">
        <v>42101</v>
      </c>
      <c r="C122" s="74" t="s">
        <v>129</v>
      </c>
      <c r="D122" s="72" t="e">
        <f>VLOOKUP(A122,[2]Report!$1:$1048576,9,0)</f>
        <v>#N/A</v>
      </c>
    </row>
    <row r="123" spans="1:4" ht="18" customHeight="1" x14ac:dyDescent="0.3">
      <c r="A123" s="79">
        <v>44848</v>
      </c>
      <c r="B123" s="79">
        <v>42102</v>
      </c>
      <c r="C123" s="74" t="s">
        <v>240</v>
      </c>
      <c r="D123" s="72" t="e">
        <f>VLOOKUP(A123,[2]Report!$1:$1048576,9,0)</f>
        <v>#N/A</v>
      </c>
    </row>
    <row r="124" spans="1:4" ht="18" customHeight="1" x14ac:dyDescent="0.3">
      <c r="A124" s="79">
        <v>44849</v>
      </c>
      <c r="B124" s="79">
        <v>42103</v>
      </c>
      <c r="C124" s="74" t="s">
        <v>130</v>
      </c>
      <c r="D124" s="72" t="e">
        <f>VLOOKUP(A124,[2]Report!$1:$1048576,9,0)</f>
        <v>#N/A</v>
      </c>
    </row>
    <row r="125" spans="1:4" ht="18" customHeight="1" x14ac:dyDescent="0.3">
      <c r="A125" s="79">
        <v>44850</v>
      </c>
      <c r="B125" s="79">
        <v>42104</v>
      </c>
      <c r="C125" s="74" t="s">
        <v>241</v>
      </c>
      <c r="D125" s="72" t="e">
        <f>VLOOKUP(A125,[2]Report!$1:$1048576,9,0)</f>
        <v>#N/A</v>
      </c>
    </row>
    <row r="126" spans="1:4" ht="18" customHeight="1" x14ac:dyDescent="0.3">
      <c r="A126" s="79">
        <v>44851</v>
      </c>
      <c r="B126" s="79">
        <v>42105</v>
      </c>
      <c r="C126" s="74" t="s">
        <v>242</v>
      </c>
      <c r="D126" s="72" t="e">
        <f>VLOOKUP(A126,[2]Report!$1:$1048576,9,0)</f>
        <v>#N/A</v>
      </c>
    </row>
    <row r="127" spans="1:4" ht="18" customHeight="1" x14ac:dyDescent="0.3">
      <c r="A127" s="79">
        <v>44852</v>
      </c>
      <c r="B127" s="79">
        <v>42106</v>
      </c>
      <c r="C127" s="74" t="s">
        <v>243</v>
      </c>
      <c r="D127" s="72" t="e">
        <f>VLOOKUP(A127,[2]Report!$1:$1048576,9,0)</f>
        <v>#N/A</v>
      </c>
    </row>
    <row r="128" spans="1:4" ht="18" customHeight="1" x14ac:dyDescent="0.3">
      <c r="A128" s="79">
        <v>44853</v>
      </c>
      <c r="B128" s="79">
        <v>42107</v>
      </c>
      <c r="C128" s="74" t="s">
        <v>244</v>
      </c>
      <c r="D128" s="72" t="e">
        <f>VLOOKUP(A128,[2]Report!$1:$1048576,9,0)</f>
        <v>#N/A</v>
      </c>
    </row>
    <row r="129" spans="1:4" ht="18" customHeight="1" x14ac:dyDescent="0.3">
      <c r="A129" s="79">
        <v>44865</v>
      </c>
      <c r="B129" s="79">
        <v>42112</v>
      </c>
      <c r="C129" s="74" t="s">
        <v>131</v>
      </c>
      <c r="D129" s="72" t="e">
        <f>VLOOKUP(A129,[2]Report!$1:$1048576,9,0)</f>
        <v>#N/A</v>
      </c>
    </row>
    <row r="130" spans="1:4" ht="18" customHeight="1" x14ac:dyDescent="0.3">
      <c r="A130" s="79">
        <v>44866</v>
      </c>
      <c r="B130" s="79">
        <v>42113</v>
      </c>
      <c r="C130" s="74" t="s">
        <v>132</v>
      </c>
      <c r="D130" s="72" t="e">
        <f>VLOOKUP(A130,[2]Report!$1:$1048576,9,0)</f>
        <v>#N/A</v>
      </c>
    </row>
    <row r="131" spans="1:4" ht="18" customHeight="1" x14ac:dyDescent="0.3">
      <c r="A131" s="79">
        <v>44869</v>
      </c>
      <c r="B131" s="79">
        <v>42238</v>
      </c>
      <c r="C131" s="74" t="s">
        <v>245</v>
      </c>
      <c r="D131" s="72" t="e">
        <f>VLOOKUP(A131,[2]Report!$1:$1048576,9,0)</f>
        <v>#N/A</v>
      </c>
    </row>
    <row r="132" spans="1:4" ht="18" customHeight="1" x14ac:dyDescent="0.3">
      <c r="A132" s="79">
        <v>44871</v>
      </c>
      <c r="B132" s="79">
        <v>42240</v>
      </c>
      <c r="C132" s="74" t="s">
        <v>264</v>
      </c>
      <c r="D132" s="72" t="e">
        <f>VLOOKUP(A132,[2]Report!$1:$1048576,9,0)</f>
        <v>#N/A</v>
      </c>
    </row>
    <row r="133" spans="1:4" ht="18" customHeight="1" x14ac:dyDescent="0.3">
      <c r="A133" s="79">
        <v>44872</v>
      </c>
      <c r="B133" s="79">
        <v>42241</v>
      </c>
      <c r="C133" s="74" t="s">
        <v>265</v>
      </c>
      <c r="D133" s="72" t="e">
        <f>VLOOKUP(A133,[2]Report!$1:$1048576,9,0)</f>
        <v>#N/A</v>
      </c>
    </row>
    <row r="134" spans="1:4" ht="18" customHeight="1" x14ac:dyDescent="0.3">
      <c r="A134" s="79">
        <v>45267</v>
      </c>
      <c r="B134" s="79">
        <v>43456</v>
      </c>
      <c r="C134" s="74" t="s">
        <v>246</v>
      </c>
      <c r="D134" s="72" t="e">
        <f>VLOOKUP(A134,[2]Report!$1:$1048576,9,0)</f>
        <v>#N/A</v>
      </c>
    </row>
    <row r="135" spans="1:4" ht="18" customHeight="1" x14ac:dyDescent="0.3">
      <c r="A135" s="79">
        <v>45268</v>
      </c>
      <c r="B135" s="79">
        <v>43457</v>
      </c>
      <c r="C135" s="74" t="s">
        <v>247</v>
      </c>
      <c r="D135" s="72" t="e">
        <f>VLOOKUP(A135,[2]Report!$1:$1048576,9,0)</f>
        <v>#N/A</v>
      </c>
    </row>
    <row r="136" spans="1:4" ht="18" customHeight="1" x14ac:dyDescent="0.3">
      <c r="A136" s="79">
        <v>45269</v>
      </c>
      <c r="B136" s="79">
        <v>43458</v>
      </c>
      <c r="C136" s="74" t="s">
        <v>248</v>
      </c>
      <c r="D136" s="72" t="e">
        <f>VLOOKUP(A136,[2]Report!$1:$1048576,9,0)</f>
        <v>#N/A</v>
      </c>
    </row>
    <row r="137" spans="1:4" ht="18" customHeight="1" x14ac:dyDescent="0.3">
      <c r="A137" s="79">
        <v>45366</v>
      </c>
      <c r="B137" s="79">
        <v>45357</v>
      </c>
      <c r="C137" s="74" t="s">
        <v>133</v>
      </c>
      <c r="D137" s="72" t="e">
        <f>VLOOKUP(A137,[2]Report!$1:$1048576,9,0)</f>
        <v>#N/A</v>
      </c>
    </row>
    <row r="138" spans="1:4" ht="18" customHeight="1" x14ac:dyDescent="0.3">
      <c r="A138" s="79">
        <v>45380</v>
      </c>
      <c r="B138" s="79">
        <v>42462</v>
      </c>
      <c r="C138" s="74" t="s">
        <v>249</v>
      </c>
      <c r="D138" s="72" t="e">
        <f>VLOOKUP(A138,[2]Report!$1:$1048576,9,0)</f>
        <v>#N/A</v>
      </c>
    </row>
    <row r="139" spans="1:4" ht="18" customHeight="1" x14ac:dyDescent="0.3">
      <c r="A139" s="121">
        <v>45395</v>
      </c>
      <c r="B139" s="121">
        <f>VLOOKUP(A139,'[3]02 КАТАЛОГ`24 (2)'!$1:$1048576,2,0)</f>
        <v>38497</v>
      </c>
      <c r="C139" s="74" t="str">
        <f>VLOOKUP(A139,'[3]02 КАТАЛОГ`24 (2)'!$1:$1048576,3,0)</f>
        <v>ПАРФЮМЕРНАЯ ВОДА DIVINE</v>
      </c>
      <c r="D139" s="72" t="e">
        <f>VLOOKUP(A139,[2]Report!$1:$1048576,9,0)</f>
        <v>#N/A</v>
      </c>
    </row>
    <row r="140" spans="1:4" ht="18" customHeight="1" x14ac:dyDescent="0.3">
      <c r="A140" s="121">
        <v>45397</v>
      </c>
      <c r="B140" s="121">
        <v>38498</v>
      </c>
      <c r="C140" s="74" t="s">
        <v>250</v>
      </c>
      <c r="D140" s="72" t="e">
        <f>VLOOKUP(A140,[2]Report!$1:$1048576,9,0)</f>
        <v>#N/A</v>
      </c>
    </row>
    <row r="141" spans="1:4" ht="18" customHeight="1" x14ac:dyDescent="0.3">
      <c r="A141" s="121">
        <v>45635</v>
      </c>
      <c r="B141" s="121">
        <v>43243</v>
      </c>
      <c r="C141" s="74" t="s">
        <v>251</v>
      </c>
      <c r="D141" s="72" t="e">
        <f>VLOOKUP(A141,[2]Report!$1:$1048576,9,0)</f>
        <v>#N/A</v>
      </c>
    </row>
    <row r="142" spans="1:4" ht="18" customHeight="1" x14ac:dyDescent="0.3">
      <c r="A142" s="121">
        <v>45636</v>
      </c>
      <c r="B142" s="121">
        <v>43244</v>
      </c>
      <c r="C142" s="74" t="s">
        <v>252</v>
      </c>
      <c r="D142" s="72" t="e">
        <f>VLOOKUP(A142,[2]Report!$1:$1048576,9,0)</f>
        <v>#N/A</v>
      </c>
    </row>
    <row r="143" spans="1:4" ht="18" customHeight="1" x14ac:dyDescent="0.3">
      <c r="A143" s="121">
        <v>45637</v>
      </c>
      <c r="B143" s="121">
        <v>43245</v>
      </c>
      <c r="C143" s="74" t="s">
        <v>253</v>
      </c>
      <c r="D143" s="72" t="e">
        <f>VLOOKUP(A143,[2]Report!$1:$1048576,9,0)</f>
        <v>#N/A</v>
      </c>
    </row>
    <row r="144" spans="1:4" ht="18" customHeight="1" x14ac:dyDescent="0.3">
      <c r="A144" s="121">
        <v>45638</v>
      </c>
      <c r="B144" s="121">
        <v>43246</v>
      </c>
      <c r="C144" s="74" t="s">
        <v>254</v>
      </c>
      <c r="D144" s="72" t="e">
        <f>VLOOKUP(A144,[2]Report!$1:$1048576,9,0)</f>
        <v>#N/A</v>
      </c>
    </row>
    <row r="145" spans="1:4" ht="18" customHeight="1" x14ac:dyDescent="0.3">
      <c r="A145" s="121">
        <v>45639</v>
      </c>
      <c r="B145" s="121">
        <v>43247</v>
      </c>
      <c r="C145" s="74" t="s">
        <v>255</v>
      </c>
      <c r="D145" s="72" t="e">
        <f>VLOOKUP(A145,[2]Report!$1:$1048576,9,0)</f>
        <v>#N/A</v>
      </c>
    </row>
    <row r="146" spans="1:4" ht="18" customHeight="1" x14ac:dyDescent="0.3">
      <c r="A146" s="121">
        <v>45640</v>
      </c>
      <c r="B146" s="121">
        <v>43248</v>
      </c>
      <c r="C146" s="74" t="s">
        <v>151</v>
      </c>
      <c r="D146" s="72" t="e">
        <f>VLOOKUP(A146,[2]Report!$1:$1048576,9,0)</f>
        <v>#N/A</v>
      </c>
    </row>
    <row r="147" spans="1:4" ht="18" customHeight="1" x14ac:dyDescent="0.3">
      <c r="A147" s="121">
        <v>45641</v>
      </c>
      <c r="B147" s="121">
        <v>43249</v>
      </c>
      <c r="C147" s="74" t="s">
        <v>152</v>
      </c>
      <c r="D147" s="72" t="e">
        <f>VLOOKUP(A147,[2]Report!$1:$1048576,9,0)</f>
        <v>#N/A</v>
      </c>
    </row>
    <row r="148" spans="1:4" ht="18" customHeight="1" x14ac:dyDescent="0.3">
      <c r="A148" s="121">
        <v>45695</v>
      </c>
      <c r="B148" s="121">
        <v>41364</v>
      </c>
      <c r="C148" s="74" t="s">
        <v>256</v>
      </c>
      <c r="D148" s="72" t="e">
        <f>VLOOKUP(A148,[2]Report!$1:$1048576,9,0)</f>
        <v>#N/A</v>
      </c>
    </row>
    <row r="149" spans="1:4" ht="18" customHeight="1" x14ac:dyDescent="0.3">
      <c r="A149" s="121">
        <v>45696</v>
      </c>
      <c r="B149" s="121">
        <v>41365</v>
      </c>
      <c r="C149" s="74" t="s">
        <v>257</v>
      </c>
      <c r="D149" s="72" t="e">
        <f>VLOOKUP(A149,[2]Report!$1:$1048576,9,0)</f>
        <v>#N/A</v>
      </c>
    </row>
    <row r="150" spans="1:4" ht="18" customHeight="1" x14ac:dyDescent="0.3">
      <c r="A150" s="121">
        <v>45699</v>
      </c>
      <c r="B150" s="121">
        <v>40670</v>
      </c>
      <c r="C150" s="74" t="s">
        <v>258</v>
      </c>
      <c r="D150" s="72" t="e">
        <f>VLOOKUP(A150,[2]Report!$1:$1048576,9,0)</f>
        <v>#N/A</v>
      </c>
    </row>
    <row r="151" spans="1:4" ht="18" customHeight="1" x14ac:dyDescent="0.3">
      <c r="A151" s="121">
        <v>45880</v>
      </c>
      <c r="B151" s="121">
        <v>44308</v>
      </c>
      <c r="C151" s="74" t="s">
        <v>134</v>
      </c>
      <c r="D151" s="72" t="e">
        <f>VLOOKUP(A151,[2]Report!$1:$1048576,9,0)</f>
        <v>#N/A</v>
      </c>
    </row>
    <row r="152" spans="1:4" ht="18" customHeight="1" x14ac:dyDescent="0.3">
      <c r="A152" s="121">
        <v>45881</v>
      </c>
      <c r="B152" s="121">
        <v>44382</v>
      </c>
      <c r="C152" s="74" t="s">
        <v>153</v>
      </c>
      <c r="D152" s="72" t="e">
        <f>VLOOKUP(A152,[2]Report!$1:$1048576,9,0)</f>
        <v>#N/A</v>
      </c>
    </row>
    <row r="153" spans="1:4" ht="18" customHeight="1" x14ac:dyDescent="0.3">
      <c r="A153" s="121">
        <v>45882</v>
      </c>
      <c r="B153" s="121">
        <v>44307</v>
      </c>
      <c r="C153" s="74" t="s">
        <v>259</v>
      </c>
      <c r="D153" s="72" t="e">
        <f>VLOOKUP(A153,[2]Report!$1:$1048576,9,0)</f>
        <v>#N/A</v>
      </c>
    </row>
    <row r="154" spans="1:4" ht="18" customHeight="1" x14ac:dyDescent="0.3">
      <c r="A154" s="121">
        <v>45891</v>
      </c>
      <c r="B154" s="121">
        <v>17540</v>
      </c>
      <c r="C154" s="74" t="s">
        <v>260</v>
      </c>
      <c r="D154" s="72" t="e">
        <f>VLOOKUP(A154,[2]Report!$1:$1048576,9,0)</f>
        <v>#N/A</v>
      </c>
    </row>
    <row r="155" spans="1:4" ht="18" customHeight="1" x14ac:dyDescent="0.3">
      <c r="A155" s="121">
        <v>46054</v>
      </c>
      <c r="B155" s="121" t="s">
        <v>332</v>
      </c>
      <c r="C155" s="74" t="s">
        <v>330</v>
      </c>
      <c r="D155" s="72" t="e">
        <f>VLOOKUP(A155,[2]Report!$1:$1048576,9,0)</f>
        <v>#N/A</v>
      </c>
    </row>
    <row r="156" spans="1:4" ht="18" customHeight="1" x14ac:dyDescent="0.3">
      <c r="A156" s="121">
        <v>46061</v>
      </c>
      <c r="B156" s="121" t="s">
        <v>333</v>
      </c>
      <c r="C156" s="74" t="s">
        <v>349</v>
      </c>
      <c r="D156" s="72" t="e">
        <f>VLOOKUP(A156,[2]Report!$1:$1048576,9,0)</f>
        <v>#N/A</v>
      </c>
    </row>
    <row r="157" spans="1:4" ht="18" customHeight="1" x14ac:dyDescent="0.3">
      <c r="A157" s="121">
        <v>46335</v>
      </c>
      <c r="B157" s="121">
        <v>46329</v>
      </c>
      <c r="C157" s="74" t="s">
        <v>283</v>
      </c>
      <c r="D157" s="72" t="e">
        <f>VLOOKUP(A157,[2]Report!$1:$1048576,9,0)</f>
        <v>#N/A</v>
      </c>
    </row>
    <row r="158" spans="1:4" ht="18" customHeight="1" x14ac:dyDescent="0.3">
      <c r="A158" s="121">
        <v>46338</v>
      </c>
      <c r="B158" s="121">
        <v>46332</v>
      </c>
      <c r="C158" s="74" t="s">
        <v>285</v>
      </c>
      <c r="D158" s="72" t="e">
        <f>VLOOKUP(A158,[2]Report!$1:$1048576,9,0)</f>
        <v>#N/A</v>
      </c>
    </row>
    <row r="159" spans="1:4" ht="18" customHeight="1" x14ac:dyDescent="0.3">
      <c r="A159" s="121">
        <v>46340</v>
      </c>
      <c r="B159" s="121">
        <v>46334</v>
      </c>
      <c r="C159" s="74" t="s">
        <v>142</v>
      </c>
      <c r="D159" s="72" t="e">
        <f>VLOOKUP(A159,[2]Report!$1:$1048576,9,0)</f>
        <v>#N/A</v>
      </c>
    </row>
    <row r="160" spans="1:4" ht="18" customHeight="1" x14ac:dyDescent="0.3">
      <c r="A160" s="121">
        <v>46392</v>
      </c>
      <c r="B160" s="121">
        <v>46062</v>
      </c>
      <c r="C160" s="74" t="s">
        <v>154</v>
      </c>
      <c r="D160" s="72" t="e">
        <f>VLOOKUP(A160,[2]Report!$1:$1048576,9,0)</f>
        <v>#N/A</v>
      </c>
    </row>
    <row r="161" spans="1:4" ht="18" customHeight="1" x14ac:dyDescent="0.3">
      <c r="A161" s="121">
        <v>46393</v>
      </c>
      <c r="B161" s="121">
        <v>46063</v>
      </c>
      <c r="C161" s="74" t="s">
        <v>155</v>
      </c>
      <c r="D161" s="72" t="e">
        <f>VLOOKUP(A161,[2]Report!$1:$1048576,9,0)</f>
        <v>#N/A</v>
      </c>
    </row>
    <row r="162" spans="1:4" ht="18" customHeight="1" x14ac:dyDescent="0.3">
      <c r="A162" s="121">
        <v>46573</v>
      </c>
      <c r="B162" s="121">
        <v>44955</v>
      </c>
      <c r="C162" s="74" t="s">
        <v>261</v>
      </c>
      <c r="D162" s="72" t="e">
        <f>VLOOKUP(A162,[2]Report!$1:$1048576,9,0)</f>
        <v>#N/A</v>
      </c>
    </row>
    <row r="163" spans="1:4" ht="18" customHeight="1" x14ac:dyDescent="0.3">
      <c r="A163" s="121">
        <v>46574</v>
      </c>
      <c r="B163" s="121">
        <v>44951</v>
      </c>
      <c r="C163" s="74" t="s">
        <v>262</v>
      </c>
      <c r="D163" s="72" t="e">
        <f>VLOOKUP(A163,[2]Report!$1:$1048576,9,0)</f>
        <v>#N/A</v>
      </c>
    </row>
    <row r="164" spans="1:4" ht="18" customHeight="1" x14ac:dyDescent="0.3">
      <c r="A164" s="121">
        <v>46576</v>
      </c>
      <c r="B164" s="121">
        <v>44960</v>
      </c>
      <c r="C164" s="74" t="s">
        <v>135</v>
      </c>
      <c r="D164" s="72">
        <v>35</v>
      </c>
    </row>
    <row r="165" spans="1:4" ht="18" customHeight="1" x14ac:dyDescent="0.3">
      <c r="A165" s="121">
        <v>46606</v>
      </c>
      <c r="B165" s="121" t="s">
        <v>300</v>
      </c>
      <c r="C165" s="74" t="s">
        <v>282</v>
      </c>
      <c r="D165" s="72" t="e">
        <f>VLOOKUP(A165,[2]Report!$1:$1048576,9,0)</f>
        <v>#N/A</v>
      </c>
    </row>
    <row r="166" spans="1:4" ht="18" customHeight="1" x14ac:dyDescent="0.3">
      <c r="A166" s="121">
        <v>46665</v>
      </c>
      <c r="B166" s="121">
        <v>46648</v>
      </c>
      <c r="C166" s="74" t="s">
        <v>368</v>
      </c>
      <c r="D166" s="72" t="e">
        <f>VLOOKUP(A166,[2]Report!$1:$1048576,9,0)</f>
        <v>#N/A</v>
      </c>
    </row>
    <row r="167" spans="1:4" ht="18" customHeight="1" x14ac:dyDescent="0.3">
      <c r="A167" s="121">
        <v>46735</v>
      </c>
      <c r="B167" s="121">
        <v>46718</v>
      </c>
      <c r="C167" s="74" t="s">
        <v>263</v>
      </c>
      <c r="D167" s="72" t="e">
        <f>VLOOKUP(A167,[2]Report!$1:$1048576,9,0)</f>
        <v>#N/A</v>
      </c>
    </row>
    <row r="168" spans="1:4" ht="18" customHeight="1" x14ac:dyDescent="0.3">
      <c r="A168" s="121">
        <v>47527</v>
      </c>
      <c r="B168" s="121">
        <v>42255</v>
      </c>
      <c r="C168" s="74" t="s">
        <v>280</v>
      </c>
      <c r="D168" s="72">
        <f>VLOOKUP(A168,[2]Report!$1:$1048576,9,0)</f>
        <v>35</v>
      </c>
    </row>
    <row r="169" spans="1:4" ht="18" customHeight="1" x14ac:dyDescent="0.3">
      <c r="A169" s="121">
        <v>47610</v>
      </c>
      <c r="B169" s="121">
        <v>46435</v>
      </c>
      <c r="C169" s="74" t="s">
        <v>284</v>
      </c>
      <c r="D169" s="72" t="e">
        <f>VLOOKUP(A169,[2]Report!$1:$1048576,9,0)</f>
        <v>#N/A</v>
      </c>
    </row>
    <row r="170" spans="1:4" ht="18" customHeight="1" x14ac:dyDescent="0.3">
      <c r="A170" s="121">
        <v>47611</v>
      </c>
      <c r="B170" s="121">
        <v>46436</v>
      </c>
      <c r="C170" s="74" t="s">
        <v>286</v>
      </c>
      <c r="D170" s="72" t="e">
        <f>VLOOKUP(A170,[2]Report!$1:$1048576,9,0)</f>
        <v>#N/A</v>
      </c>
    </row>
    <row r="171" spans="1:4" ht="18" customHeight="1" x14ac:dyDescent="0.3">
      <c r="A171" s="121">
        <v>47612</v>
      </c>
      <c r="B171" s="121">
        <v>46437</v>
      </c>
      <c r="C171" s="74" t="s">
        <v>287</v>
      </c>
      <c r="D171" s="72" t="e">
        <f>VLOOKUP(A171,[2]Report!$1:$1048576,9,0)</f>
        <v>#N/A</v>
      </c>
    </row>
    <row r="172" spans="1:4" ht="18" customHeight="1" x14ac:dyDescent="0.3">
      <c r="A172" s="121">
        <v>47613</v>
      </c>
      <c r="B172" s="121">
        <v>46438</v>
      </c>
      <c r="C172" s="74" t="s">
        <v>288</v>
      </c>
      <c r="D172" s="72" t="e">
        <f>VLOOKUP(A172,[2]Report!$1:$1048576,9,0)</f>
        <v>#N/A</v>
      </c>
    </row>
    <row r="173" spans="1:4" ht="18" customHeight="1" x14ac:dyDescent="0.3">
      <c r="A173" s="121">
        <v>47614</v>
      </c>
      <c r="B173" s="121">
        <v>46439</v>
      </c>
      <c r="C173" s="74" t="s">
        <v>289</v>
      </c>
      <c r="D173" s="72" t="e">
        <f>VLOOKUP(A173,[2]Report!$1:$1048576,9,0)</f>
        <v>#N/A</v>
      </c>
    </row>
    <row r="174" spans="1:4" ht="18" customHeight="1" x14ac:dyDescent="0.3">
      <c r="A174" s="79">
        <v>47615</v>
      </c>
      <c r="B174" s="79">
        <v>46440</v>
      </c>
      <c r="C174" s="74" t="s">
        <v>290</v>
      </c>
      <c r="D174" s="72" t="e">
        <f>VLOOKUP(A174,[2]Report!$1:$1048576,9,0)</f>
        <v>#N/A</v>
      </c>
    </row>
    <row r="175" spans="1:4" ht="18" customHeight="1" x14ac:dyDescent="0.3">
      <c r="A175" s="121">
        <v>47616</v>
      </c>
      <c r="B175" s="121">
        <v>46441</v>
      </c>
      <c r="C175" s="74" t="s">
        <v>291</v>
      </c>
      <c r="D175" s="72" t="e">
        <f>VLOOKUP(A175,[2]Report!$1:$1048576,9,0)</f>
        <v>#N/A</v>
      </c>
    </row>
    <row r="176" spans="1:4" ht="18" customHeight="1" x14ac:dyDescent="0.3">
      <c r="A176" s="121">
        <v>47617</v>
      </c>
      <c r="B176" s="121">
        <v>46442</v>
      </c>
      <c r="C176" s="74" t="s">
        <v>292</v>
      </c>
      <c r="D176" s="72" t="e">
        <f>VLOOKUP(A176,[2]Report!$1:$1048576,9,0)</f>
        <v>#N/A</v>
      </c>
    </row>
    <row r="177" spans="1:4" ht="18" customHeight="1" x14ac:dyDescent="0.3">
      <c r="A177" s="121">
        <v>47618</v>
      </c>
      <c r="B177" s="121">
        <v>46443</v>
      </c>
      <c r="C177" s="74" t="s">
        <v>293</v>
      </c>
      <c r="D177" s="72" t="e">
        <f>VLOOKUP(A177,[2]Report!$1:$1048576,9,0)</f>
        <v>#N/A</v>
      </c>
    </row>
    <row r="178" spans="1:4" ht="18" customHeight="1" x14ac:dyDescent="0.3">
      <c r="A178" s="121">
        <v>47619</v>
      </c>
      <c r="B178" s="121">
        <v>46444</v>
      </c>
      <c r="C178" s="74" t="s">
        <v>294</v>
      </c>
      <c r="D178" s="72" t="e">
        <f>VLOOKUP(A178,[2]Report!$1:$1048576,9,0)</f>
        <v>#N/A</v>
      </c>
    </row>
    <row r="179" spans="1:4" ht="18" customHeight="1" x14ac:dyDescent="0.3">
      <c r="A179" s="121">
        <v>47620</v>
      </c>
      <c r="B179" s="121">
        <v>46445</v>
      </c>
      <c r="C179" s="74" t="s">
        <v>295</v>
      </c>
      <c r="D179" s="72" t="e">
        <f>VLOOKUP(A179,[2]Report!$1:$1048576,9,0)</f>
        <v>#N/A</v>
      </c>
    </row>
    <row r="180" spans="1:4" ht="18" customHeight="1" x14ac:dyDescent="0.3">
      <c r="A180" s="121">
        <v>47621</v>
      </c>
      <c r="B180" s="121">
        <v>46446</v>
      </c>
      <c r="C180" s="74" t="s">
        <v>296</v>
      </c>
      <c r="D180" s="72" t="e">
        <f>VLOOKUP(A180,[2]Report!$1:$1048576,9,0)</f>
        <v>#N/A</v>
      </c>
    </row>
    <row r="181" spans="1:4" ht="18" customHeight="1" x14ac:dyDescent="0.3">
      <c r="A181" s="121">
        <v>47622</v>
      </c>
      <c r="B181" s="121">
        <v>46447</v>
      </c>
      <c r="C181" s="74" t="s">
        <v>297</v>
      </c>
      <c r="D181" s="72" t="e">
        <f>VLOOKUP(A181,[2]Report!$1:$1048576,9,0)</f>
        <v>#N/A</v>
      </c>
    </row>
    <row r="182" spans="1:4" ht="18" customHeight="1" x14ac:dyDescent="0.3">
      <c r="A182" s="121">
        <v>47623</v>
      </c>
      <c r="B182" s="121">
        <v>46448</v>
      </c>
      <c r="C182" s="74" t="s">
        <v>298</v>
      </c>
      <c r="D182" s="72" t="e">
        <f>VLOOKUP(A182,[2]Report!$1:$1048576,9,0)</f>
        <v>#N/A</v>
      </c>
    </row>
    <row r="183" spans="1:4" ht="18" customHeight="1" x14ac:dyDescent="0.3">
      <c r="A183" s="121">
        <v>47624</v>
      </c>
      <c r="B183" s="121">
        <v>46449</v>
      </c>
      <c r="C183" s="74" t="s">
        <v>299</v>
      </c>
      <c r="D183" s="72" t="e">
        <f>VLOOKUP(A183,[2]Report!$1:$1048576,9,0)</f>
        <v>#N/A</v>
      </c>
    </row>
    <row r="184" spans="1:4" ht="18" customHeight="1" x14ac:dyDescent="0.3">
      <c r="A184" s="5"/>
      <c r="D184" s="135"/>
    </row>
    <row r="185" spans="1:4" ht="18" customHeight="1" x14ac:dyDescent="0.3">
      <c r="A185" s="5" t="s">
        <v>266</v>
      </c>
    </row>
    <row r="186" spans="1:4" ht="18" customHeight="1" x14ac:dyDescent="0.35">
      <c r="A186" s="92" t="s">
        <v>277</v>
      </c>
      <c r="B186" s="93"/>
      <c r="C186" s="94"/>
    </row>
    <row r="187" spans="1:4" ht="18" customHeight="1" x14ac:dyDescent="0.3">
      <c r="A187" s="95" t="s">
        <v>278</v>
      </c>
    </row>
    <row r="188" spans="1:4" ht="18" customHeight="1" thickBot="1" x14ac:dyDescent="0.35"/>
    <row r="189" spans="1:4" ht="18" customHeight="1" thickBot="1" x14ac:dyDescent="0.4">
      <c r="B189" s="96" t="s">
        <v>267</v>
      </c>
      <c r="C189" s="97" t="s">
        <v>268</v>
      </c>
      <c r="D189" s="98" t="s">
        <v>269</v>
      </c>
    </row>
    <row r="190" spans="1:4" ht="18" customHeight="1" thickBot="1" x14ac:dyDescent="0.4">
      <c r="B190" s="99">
        <v>507011</v>
      </c>
      <c r="C190" s="100" t="s">
        <v>853</v>
      </c>
      <c r="D190" s="101">
        <v>65</v>
      </c>
    </row>
    <row r="191" spans="1:4" ht="18" customHeight="1" x14ac:dyDescent="0.35">
      <c r="B191" s="102"/>
      <c r="C191" s="103"/>
      <c r="D191" s="104"/>
    </row>
    <row r="192" spans="1:4" ht="18" customHeight="1" x14ac:dyDescent="0.35">
      <c r="A192" s="95" t="s">
        <v>279</v>
      </c>
      <c r="B192" s="105"/>
      <c r="C192" s="106"/>
    </row>
    <row r="193" spans="1:4" ht="18" customHeight="1" thickBot="1" x14ac:dyDescent="0.4">
      <c r="A193" s="95"/>
      <c r="B193" s="105"/>
      <c r="C193" s="106"/>
    </row>
    <row r="194" spans="1:4" ht="18" customHeight="1" thickBot="1" x14ac:dyDescent="0.4">
      <c r="B194" s="107" t="s">
        <v>267</v>
      </c>
      <c r="C194" s="108" t="s">
        <v>268</v>
      </c>
      <c r="D194" s="109" t="s">
        <v>270</v>
      </c>
    </row>
    <row r="195" spans="1:4" ht="18" customHeight="1" thickBot="1" x14ac:dyDescent="0.4">
      <c r="B195" s="110">
        <v>546430</v>
      </c>
      <c r="C195" s="111" t="s">
        <v>271</v>
      </c>
      <c r="D195" s="101">
        <v>155</v>
      </c>
    </row>
    <row r="196" spans="1:4" ht="18" customHeight="1" thickBot="1" x14ac:dyDescent="0.4">
      <c r="B196" s="110">
        <v>546420</v>
      </c>
      <c r="C196" s="111" t="s">
        <v>272</v>
      </c>
      <c r="D196" s="101">
        <v>360</v>
      </c>
    </row>
    <row r="197" spans="1:4" ht="18" customHeight="1" thickBot="1" x14ac:dyDescent="0.4">
      <c r="B197" s="112">
        <v>546425</v>
      </c>
      <c r="C197" s="113" t="s">
        <v>273</v>
      </c>
      <c r="D197" s="101">
        <v>835</v>
      </c>
    </row>
    <row r="199" spans="1:4" ht="18" customHeight="1" thickBot="1" x14ac:dyDescent="0.35"/>
    <row r="200" spans="1:4" ht="18" customHeight="1" thickBot="1" x14ac:dyDescent="0.4">
      <c r="B200" s="96" t="s">
        <v>267</v>
      </c>
      <c r="C200" s="97" t="s">
        <v>268</v>
      </c>
      <c r="D200" s="114" t="s">
        <v>274</v>
      </c>
    </row>
    <row r="201" spans="1:4" ht="18" customHeight="1" thickBot="1" x14ac:dyDescent="0.4">
      <c r="B201" s="115">
        <v>526447</v>
      </c>
      <c r="C201" s="116" t="s">
        <v>275</v>
      </c>
      <c r="D201" s="117">
        <v>19</v>
      </c>
    </row>
    <row r="202" spans="1:4" ht="18" customHeight="1" thickBot="1" x14ac:dyDescent="0.4">
      <c r="B202" s="118">
        <v>526448</v>
      </c>
      <c r="C202" s="119" t="s">
        <v>276</v>
      </c>
      <c r="D202" s="120">
        <v>16</v>
      </c>
    </row>
  </sheetData>
  <sortState xmlns:xlrd2="http://schemas.microsoft.com/office/spreadsheetml/2017/richdata2" ref="A3:D183">
    <sortCondition ref="A3:A183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5 B155:B156 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330"/>
  <sheetViews>
    <sheetView zoomScale="75" workbookViewId="0">
      <pane ySplit="2" topLeftCell="A3" activePane="bottomLeft" state="frozen"/>
      <selection activeCell="A179" sqref="A179"/>
      <selection pane="bottomLeft" activeCell="B317" sqref="B317"/>
    </sheetView>
  </sheetViews>
  <sheetFormatPr defaultColWidth="9.15234375" defaultRowHeight="17.25" customHeight="1" x14ac:dyDescent="0.3"/>
  <cols>
    <col min="1" max="1" width="10.3046875" style="13" customWidth="1"/>
    <col min="2" max="2" width="136.84375" style="3" bestFit="1" customWidth="1"/>
    <col min="3" max="3" width="9.84375" style="3" customWidth="1"/>
    <col min="4" max="4" width="10.15234375" style="33" customWidth="1"/>
    <col min="5" max="5" width="11.69140625" style="33" customWidth="1"/>
    <col min="6" max="16384" width="9.15234375" style="3"/>
  </cols>
  <sheetData>
    <row r="1" spans="1:128" ht="17.25" customHeight="1" x14ac:dyDescent="0.3">
      <c r="A1" s="48"/>
      <c r="B1" s="49" t="s">
        <v>0</v>
      </c>
      <c r="C1" s="50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">
      <c r="A2" s="87" t="s">
        <v>3</v>
      </c>
      <c r="B2" s="16" t="s">
        <v>7</v>
      </c>
      <c r="C2" s="16" t="s">
        <v>4</v>
      </c>
      <c r="D2" s="88" t="s">
        <v>5</v>
      </c>
      <c r="E2" s="88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">
      <c r="A3" s="90">
        <v>27730</v>
      </c>
      <c r="B3" s="128" t="s">
        <v>878</v>
      </c>
      <c r="C3" s="8">
        <v>4</v>
      </c>
      <c r="D3" s="122">
        <v>119</v>
      </c>
      <c r="E3" s="129">
        <v>370</v>
      </c>
    </row>
    <row r="4" spans="1:128" ht="17.25" customHeight="1" x14ac:dyDescent="0.3">
      <c r="A4" s="90">
        <v>30399</v>
      </c>
      <c r="B4" s="128" t="s">
        <v>879</v>
      </c>
      <c r="C4" s="8">
        <v>33</v>
      </c>
      <c r="D4" s="122">
        <v>2117</v>
      </c>
      <c r="E4" s="129">
        <v>3300</v>
      </c>
    </row>
    <row r="5" spans="1:128" ht="17.25" customHeight="1" x14ac:dyDescent="0.3">
      <c r="A5" s="90">
        <v>30468</v>
      </c>
      <c r="B5" s="128" t="s">
        <v>880</v>
      </c>
      <c r="C5" s="8">
        <v>22</v>
      </c>
      <c r="D5" s="122">
        <v>1444</v>
      </c>
      <c r="E5" s="129">
        <v>2250</v>
      </c>
    </row>
    <row r="6" spans="1:128" ht="17.25" customHeight="1" x14ac:dyDescent="0.3">
      <c r="A6" s="90">
        <v>30888</v>
      </c>
      <c r="B6" s="128" t="s">
        <v>881</v>
      </c>
      <c r="C6" s="8">
        <v>14</v>
      </c>
      <c r="D6" s="122">
        <v>449</v>
      </c>
      <c r="E6" s="129">
        <v>1400</v>
      </c>
    </row>
    <row r="7" spans="1:128" ht="17.25" customHeight="1" x14ac:dyDescent="0.3">
      <c r="A7" s="90">
        <v>31603</v>
      </c>
      <c r="B7" s="128" t="s">
        <v>882</v>
      </c>
      <c r="C7" s="8">
        <v>7</v>
      </c>
      <c r="D7" s="122">
        <v>481</v>
      </c>
      <c r="E7" s="129">
        <v>750</v>
      </c>
    </row>
    <row r="8" spans="1:128" ht="17.25" customHeight="1" x14ac:dyDescent="0.3">
      <c r="A8" s="90">
        <v>31698</v>
      </c>
      <c r="B8" s="128" t="s">
        <v>883</v>
      </c>
      <c r="C8" s="8">
        <v>9</v>
      </c>
      <c r="D8" s="122">
        <v>609</v>
      </c>
      <c r="E8" s="129">
        <v>950</v>
      </c>
    </row>
    <row r="9" spans="1:128" ht="17.25" customHeight="1" x14ac:dyDescent="0.3">
      <c r="A9" s="90">
        <v>32438</v>
      </c>
      <c r="B9" s="128" t="s">
        <v>884</v>
      </c>
      <c r="C9" s="8">
        <v>17</v>
      </c>
      <c r="D9" s="122">
        <v>1123</v>
      </c>
      <c r="E9" s="129">
        <v>1750</v>
      </c>
    </row>
    <row r="10" spans="1:128" ht="17.25" customHeight="1" x14ac:dyDescent="0.3">
      <c r="A10" s="90">
        <v>33027</v>
      </c>
      <c r="B10" s="128" t="s">
        <v>885</v>
      </c>
      <c r="C10" s="8">
        <v>9</v>
      </c>
      <c r="D10" s="122">
        <v>577</v>
      </c>
      <c r="E10" s="129">
        <v>900</v>
      </c>
    </row>
    <row r="11" spans="1:128" ht="17.25" customHeight="1" x14ac:dyDescent="0.3">
      <c r="A11" s="90">
        <v>33028</v>
      </c>
      <c r="B11" s="128" t="s">
        <v>886</v>
      </c>
      <c r="C11" s="8">
        <v>10</v>
      </c>
      <c r="D11" s="122">
        <v>642</v>
      </c>
      <c r="E11" s="129">
        <v>1000</v>
      </c>
    </row>
    <row r="12" spans="1:128" ht="17.25" customHeight="1" x14ac:dyDescent="0.3">
      <c r="A12" s="90">
        <v>33033</v>
      </c>
      <c r="B12" s="128" t="s">
        <v>887</v>
      </c>
      <c r="C12" s="8">
        <v>9</v>
      </c>
      <c r="D12" s="122">
        <v>577</v>
      </c>
      <c r="E12" s="129">
        <v>900</v>
      </c>
    </row>
    <row r="13" spans="1:128" ht="17.25" customHeight="1" x14ac:dyDescent="0.3">
      <c r="A13" s="90">
        <v>33034</v>
      </c>
      <c r="B13" s="128" t="s">
        <v>888</v>
      </c>
      <c r="C13" s="8">
        <v>12</v>
      </c>
      <c r="D13" s="122">
        <v>802</v>
      </c>
      <c r="E13" s="129">
        <v>1250</v>
      </c>
    </row>
    <row r="14" spans="1:128" ht="17.25" customHeight="1" x14ac:dyDescent="0.3">
      <c r="A14" s="90">
        <v>33139</v>
      </c>
      <c r="B14" s="128" t="s">
        <v>855</v>
      </c>
      <c r="C14" s="8">
        <v>5</v>
      </c>
      <c r="D14" s="122">
        <v>321</v>
      </c>
      <c r="E14" s="129">
        <v>500</v>
      </c>
    </row>
    <row r="15" spans="1:128" ht="17.25" customHeight="1" x14ac:dyDescent="0.3">
      <c r="A15" s="90">
        <v>33147</v>
      </c>
      <c r="B15" s="128" t="s">
        <v>856</v>
      </c>
      <c r="C15" s="8">
        <v>6</v>
      </c>
      <c r="D15" s="122">
        <v>404</v>
      </c>
      <c r="E15" s="129">
        <v>630</v>
      </c>
    </row>
    <row r="16" spans="1:128" ht="17.25" customHeight="1" x14ac:dyDescent="0.3">
      <c r="A16" s="90">
        <v>33958</v>
      </c>
      <c r="B16" s="128" t="s">
        <v>857</v>
      </c>
      <c r="C16" s="8">
        <v>14</v>
      </c>
      <c r="D16" s="122">
        <v>931</v>
      </c>
      <c r="E16" s="129">
        <v>1450</v>
      </c>
    </row>
    <row r="17" spans="1:5" ht="17.25" customHeight="1" x14ac:dyDescent="0.3">
      <c r="A17" s="90">
        <v>34500</v>
      </c>
      <c r="B17" s="128" t="s">
        <v>858</v>
      </c>
      <c r="C17" s="8">
        <v>6</v>
      </c>
      <c r="D17" s="122">
        <v>417</v>
      </c>
      <c r="E17" s="129">
        <v>650</v>
      </c>
    </row>
    <row r="18" spans="1:5" ht="17.25" customHeight="1" x14ac:dyDescent="0.3">
      <c r="A18" s="90">
        <v>34522</v>
      </c>
      <c r="B18" s="128" t="s">
        <v>171</v>
      </c>
      <c r="C18" s="8">
        <v>48</v>
      </c>
      <c r="D18" s="122">
        <v>3080</v>
      </c>
      <c r="E18" s="129">
        <v>4800</v>
      </c>
    </row>
    <row r="19" spans="1:5" ht="17.25" customHeight="1" x14ac:dyDescent="0.3">
      <c r="A19" s="90">
        <v>34637</v>
      </c>
      <c r="B19" s="128" t="s">
        <v>889</v>
      </c>
      <c r="C19" s="8">
        <v>21</v>
      </c>
      <c r="D19" s="122">
        <v>1347</v>
      </c>
      <c r="E19" s="129">
        <v>2100</v>
      </c>
    </row>
    <row r="20" spans="1:5" ht="17.25" customHeight="1" x14ac:dyDescent="0.3">
      <c r="A20" s="90">
        <v>34638</v>
      </c>
      <c r="B20" s="128" t="s">
        <v>142</v>
      </c>
      <c r="C20" s="8">
        <v>21</v>
      </c>
      <c r="D20" s="122">
        <v>1347</v>
      </c>
      <c r="E20" s="129">
        <v>2100</v>
      </c>
    </row>
    <row r="21" spans="1:5" ht="17.25" customHeight="1" x14ac:dyDescent="0.3">
      <c r="A21" s="90">
        <v>34750</v>
      </c>
      <c r="B21" s="128" t="s">
        <v>890</v>
      </c>
      <c r="C21" s="8">
        <v>6</v>
      </c>
      <c r="D21" s="122">
        <v>366</v>
      </c>
      <c r="E21" s="129">
        <v>570</v>
      </c>
    </row>
    <row r="22" spans="1:5" ht="17.25" customHeight="1" x14ac:dyDescent="0.3">
      <c r="A22" s="90">
        <v>35425</v>
      </c>
      <c r="B22" s="128" t="s">
        <v>891</v>
      </c>
      <c r="C22" s="8">
        <v>8</v>
      </c>
      <c r="D22" s="122">
        <v>500</v>
      </c>
      <c r="E22" s="129">
        <v>780</v>
      </c>
    </row>
    <row r="23" spans="1:5" ht="17.25" customHeight="1" x14ac:dyDescent="0.3">
      <c r="A23" s="90">
        <v>35649</v>
      </c>
      <c r="B23" s="128" t="s">
        <v>892</v>
      </c>
      <c r="C23" s="8">
        <v>22</v>
      </c>
      <c r="D23" s="122">
        <v>1444</v>
      </c>
      <c r="E23" s="129">
        <v>2250</v>
      </c>
    </row>
    <row r="24" spans="1:5" ht="17.25" customHeight="1" x14ac:dyDescent="0.3">
      <c r="A24" s="90">
        <v>35653</v>
      </c>
      <c r="B24" s="128" t="s">
        <v>143</v>
      </c>
      <c r="C24" s="8">
        <v>33</v>
      </c>
      <c r="D24" s="122">
        <v>2117</v>
      </c>
      <c r="E24" s="129">
        <v>3300</v>
      </c>
    </row>
    <row r="25" spans="1:5" ht="17.25" customHeight="1" x14ac:dyDescent="0.3">
      <c r="A25" s="90">
        <v>35661</v>
      </c>
      <c r="B25" s="128" t="s">
        <v>346</v>
      </c>
      <c r="C25" s="8">
        <v>22</v>
      </c>
      <c r="D25" s="122">
        <v>1444</v>
      </c>
      <c r="E25" s="129">
        <v>2250</v>
      </c>
    </row>
    <row r="26" spans="1:5" ht="17.25" customHeight="1" x14ac:dyDescent="0.3">
      <c r="A26" s="90">
        <v>35665</v>
      </c>
      <c r="B26" s="128" t="s">
        <v>859</v>
      </c>
      <c r="C26" s="8">
        <v>17</v>
      </c>
      <c r="D26" s="122">
        <v>1123</v>
      </c>
      <c r="E26" s="129">
        <v>1750</v>
      </c>
    </row>
    <row r="27" spans="1:5" ht="17.25" customHeight="1" x14ac:dyDescent="0.3">
      <c r="A27" s="90">
        <v>35772</v>
      </c>
      <c r="B27" s="128" t="s">
        <v>860</v>
      </c>
      <c r="C27" s="8">
        <v>5</v>
      </c>
      <c r="D27" s="122">
        <v>352</v>
      </c>
      <c r="E27" s="129">
        <v>549</v>
      </c>
    </row>
    <row r="28" spans="1:5" ht="17.25" customHeight="1" x14ac:dyDescent="0.3">
      <c r="A28" s="90">
        <v>35773</v>
      </c>
      <c r="B28" s="128" t="s">
        <v>861</v>
      </c>
      <c r="C28" s="8">
        <v>8</v>
      </c>
      <c r="D28" s="122">
        <v>513</v>
      </c>
      <c r="E28" s="129">
        <v>799</v>
      </c>
    </row>
    <row r="29" spans="1:5" ht="17.25" customHeight="1" x14ac:dyDescent="0.3">
      <c r="A29" s="90">
        <v>35775</v>
      </c>
      <c r="B29" s="128" t="s">
        <v>862</v>
      </c>
      <c r="C29" s="8">
        <v>8</v>
      </c>
      <c r="D29" s="122">
        <v>513</v>
      </c>
      <c r="E29" s="129">
        <v>799</v>
      </c>
    </row>
    <row r="30" spans="1:5" ht="17.25" customHeight="1" x14ac:dyDescent="0.3">
      <c r="A30" s="90">
        <v>35835</v>
      </c>
      <c r="B30" s="128" t="s">
        <v>863</v>
      </c>
      <c r="C30" s="8">
        <v>9</v>
      </c>
      <c r="D30" s="122">
        <v>577</v>
      </c>
      <c r="E30" s="129">
        <v>900</v>
      </c>
    </row>
    <row r="31" spans="1:5" ht="17.25" customHeight="1" x14ac:dyDescent="0.3">
      <c r="A31" s="90">
        <v>35864</v>
      </c>
      <c r="B31" s="128" t="s">
        <v>864</v>
      </c>
      <c r="C31" s="8">
        <v>15</v>
      </c>
      <c r="D31" s="122">
        <v>994</v>
      </c>
      <c r="E31" s="129">
        <v>1550</v>
      </c>
    </row>
    <row r="32" spans="1:5" ht="17.25" customHeight="1" x14ac:dyDescent="0.3">
      <c r="A32" s="90">
        <v>35870</v>
      </c>
      <c r="B32" s="128" t="s">
        <v>865</v>
      </c>
      <c r="C32" s="8">
        <v>8</v>
      </c>
      <c r="D32" s="122">
        <v>513</v>
      </c>
      <c r="E32" s="129">
        <v>800</v>
      </c>
    </row>
    <row r="33" spans="1:5" ht="17.25" customHeight="1" x14ac:dyDescent="0.3">
      <c r="A33" s="90">
        <v>35878</v>
      </c>
      <c r="B33" s="128" t="s">
        <v>866</v>
      </c>
      <c r="C33" s="8">
        <v>8</v>
      </c>
      <c r="D33" s="122">
        <v>513</v>
      </c>
      <c r="E33" s="129">
        <v>800</v>
      </c>
    </row>
    <row r="34" spans="1:5" ht="17.25" customHeight="1" x14ac:dyDescent="0.3">
      <c r="A34" s="90">
        <v>35887</v>
      </c>
      <c r="B34" s="128" t="s">
        <v>867</v>
      </c>
      <c r="C34" s="8">
        <v>3</v>
      </c>
      <c r="D34" s="122">
        <v>186</v>
      </c>
      <c r="E34" s="129">
        <v>290</v>
      </c>
    </row>
    <row r="35" spans="1:5" ht="17.25" customHeight="1" x14ac:dyDescent="0.3">
      <c r="A35" s="90">
        <v>35890</v>
      </c>
      <c r="B35" s="128" t="s">
        <v>868</v>
      </c>
      <c r="C35" s="8">
        <v>10</v>
      </c>
      <c r="D35" s="122">
        <v>642</v>
      </c>
      <c r="E35" s="129">
        <v>1000</v>
      </c>
    </row>
    <row r="36" spans="1:5" ht="17.25" customHeight="1" x14ac:dyDescent="0.3">
      <c r="A36" s="90">
        <v>35891</v>
      </c>
      <c r="B36" s="128" t="s">
        <v>869</v>
      </c>
      <c r="C36" s="8">
        <v>10</v>
      </c>
      <c r="D36" s="122">
        <v>642</v>
      </c>
      <c r="E36" s="129">
        <v>1000</v>
      </c>
    </row>
    <row r="37" spans="1:5" ht="17.25" customHeight="1" x14ac:dyDescent="0.3">
      <c r="A37" s="90">
        <v>36139</v>
      </c>
      <c r="B37" s="128" t="s">
        <v>893</v>
      </c>
      <c r="C37" s="8">
        <v>15</v>
      </c>
      <c r="D37" s="122">
        <v>962</v>
      </c>
      <c r="E37" s="129">
        <v>1500</v>
      </c>
    </row>
    <row r="38" spans="1:5" ht="17.25" customHeight="1" x14ac:dyDescent="0.3">
      <c r="A38" s="90">
        <v>36140</v>
      </c>
      <c r="B38" s="128" t="s">
        <v>894</v>
      </c>
      <c r="C38" s="8">
        <v>15</v>
      </c>
      <c r="D38" s="122">
        <v>962</v>
      </c>
      <c r="E38" s="129">
        <v>1500</v>
      </c>
    </row>
    <row r="39" spans="1:5" ht="17.25" customHeight="1" x14ac:dyDescent="0.3">
      <c r="A39" s="90">
        <v>36141</v>
      </c>
      <c r="B39" s="128" t="s">
        <v>895</v>
      </c>
      <c r="C39" s="8">
        <v>15</v>
      </c>
      <c r="D39" s="122">
        <v>962</v>
      </c>
      <c r="E39" s="129">
        <v>1500</v>
      </c>
    </row>
    <row r="40" spans="1:5" ht="17.25" customHeight="1" x14ac:dyDescent="0.3">
      <c r="A40" s="90">
        <v>37449</v>
      </c>
      <c r="B40" s="128" t="s">
        <v>112</v>
      </c>
      <c r="C40" s="8">
        <v>8</v>
      </c>
      <c r="D40" s="122">
        <v>256</v>
      </c>
      <c r="E40" s="129">
        <v>800</v>
      </c>
    </row>
    <row r="41" spans="1:5" ht="17.25" customHeight="1" x14ac:dyDescent="0.3">
      <c r="A41" s="90">
        <v>37457</v>
      </c>
      <c r="B41" s="128" t="s">
        <v>304</v>
      </c>
      <c r="C41" s="8">
        <v>6</v>
      </c>
      <c r="D41" s="122">
        <v>208</v>
      </c>
      <c r="E41" s="129">
        <v>650</v>
      </c>
    </row>
    <row r="42" spans="1:5" ht="17.25" customHeight="1" x14ac:dyDescent="0.3">
      <c r="A42" s="90">
        <v>37525</v>
      </c>
      <c r="B42" s="128" t="s">
        <v>896</v>
      </c>
      <c r="C42" s="8">
        <v>5</v>
      </c>
      <c r="D42" s="122">
        <v>160</v>
      </c>
      <c r="E42" s="129">
        <v>500</v>
      </c>
    </row>
    <row r="43" spans="1:5" ht="17.25" customHeight="1" x14ac:dyDescent="0.3">
      <c r="A43" s="90">
        <v>38497</v>
      </c>
      <c r="B43" s="128" t="s">
        <v>897</v>
      </c>
      <c r="C43" s="8">
        <v>33</v>
      </c>
      <c r="D43" s="122">
        <v>2117</v>
      </c>
      <c r="E43" s="129">
        <v>3300</v>
      </c>
    </row>
    <row r="44" spans="1:5" ht="17.25" customHeight="1" x14ac:dyDescent="0.3">
      <c r="A44" s="90">
        <v>38498</v>
      </c>
      <c r="B44" s="128" t="s">
        <v>898</v>
      </c>
      <c r="C44" s="8">
        <v>43</v>
      </c>
      <c r="D44" s="122">
        <v>2759</v>
      </c>
      <c r="E44" s="129">
        <v>4300</v>
      </c>
    </row>
    <row r="45" spans="1:5" ht="17.25" customHeight="1" x14ac:dyDescent="0.3">
      <c r="A45" s="90">
        <v>38526</v>
      </c>
      <c r="B45" s="128" t="s">
        <v>899</v>
      </c>
      <c r="C45" s="8">
        <v>14</v>
      </c>
      <c r="D45" s="122">
        <v>931</v>
      </c>
      <c r="E45" s="129">
        <v>1450</v>
      </c>
    </row>
    <row r="46" spans="1:5" ht="17.25" customHeight="1" x14ac:dyDescent="0.3">
      <c r="A46" s="90">
        <v>38527</v>
      </c>
      <c r="B46" s="128" t="s">
        <v>116</v>
      </c>
      <c r="C46" s="8">
        <v>38</v>
      </c>
      <c r="D46" s="122">
        <v>2438</v>
      </c>
      <c r="E46" s="129">
        <v>3800</v>
      </c>
    </row>
    <row r="47" spans="1:5" ht="17.25" customHeight="1" x14ac:dyDescent="0.3">
      <c r="A47" s="90">
        <v>38533</v>
      </c>
      <c r="B47" s="128" t="s">
        <v>232</v>
      </c>
      <c r="C47" s="8">
        <v>43</v>
      </c>
      <c r="D47" s="122">
        <v>2759</v>
      </c>
      <c r="E47" s="129">
        <v>4300</v>
      </c>
    </row>
    <row r="48" spans="1:5" ht="17.25" customHeight="1" x14ac:dyDescent="0.3">
      <c r="A48" s="90">
        <v>38538</v>
      </c>
      <c r="B48" s="128" t="s">
        <v>126</v>
      </c>
      <c r="C48" s="8">
        <v>38</v>
      </c>
      <c r="D48" s="122">
        <v>2438</v>
      </c>
      <c r="E48" s="129">
        <v>3800</v>
      </c>
    </row>
    <row r="49" spans="1:5" ht="17.25" customHeight="1" x14ac:dyDescent="0.3">
      <c r="A49" s="90">
        <v>38599</v>
      </c>
      <c r="B49" s="128" t="s">
        <v>900</v>
      </c>
      <c r="C49" s="8">
        <v>15</v>
      </c>
      <c r="D49" s="122">
        <v>962</v>
      </c>
      <c r="E49" s="129">
        <v>1500</v>
      </c>
    </row>
    <row r="50" spans="1:5" ht="17.25" customHeight="1" x14ac:dyDescent="0.3">
      <c r="A50" s="90">
        <v>38600</v>
      </c>
      <c r="B50" s="128" t="s">
        <v>901</v>
      </c>
      <c r="C50" s="8">
        <v>19</v>
      </c>
      <c r="D50" s="122">
        <v>1251</v>
      </c>
      <c r="E50" s="129">
        <v>1950</v>
      </c>
    </row>
    <row r="51" spans="1:5" ht="17.25" customHeight="1" x14ac:dyDescent="0.3">
      <c r="A51" s="90">
        <v>38602</v>
      </c>
      <c r="B51" s="128" t="s">
        <v>902</v>
      </c>
      <c r="C51" s="8">
        <v>19</v>
      </c>
      <c r="D51" s="122">
        <v>1251</v>
      </c>
      <c r="E51" s="129">
        <v>1950</v>
      </c>
    </row>
    <row r="52" spans="1:5" ht="17.25" customHeight="1" x14ac:dyDescent="0.3">
      <c r="A52" s="90">
        <v>38805</v>
      </c>
      <c r="B52" s="128" t="s">
        <v>903</v>
      </c>
      <c r="C52" s="8">
        <v>6</v>
      </c>
      <c r="D52" s="122">
        <v>378</v>
      </c>
      <c r="E52" s="129">
        <v>590</v>
      </c>
    </row>
    <row r="53" spans="1:5" ht="17.25" customHeight="1" x14ac:dyDescent="0.3">
      <c r="A53" s="90">
        <v>38806</v>
      </c>
      <c r="B53" s="128" t="s">
        <v>904</v>
      </c>
      <c r="C53" s="8">
        <v>6</v>
      </c>
      <c r="D53" s="122">
        <v>378</v>
      </c>
      <c r="E53" s="129">
        <v>590</v>
      </c>
    </row>
    <row r="54" spans="1:5" ht="17.25" customHeight="1" x14ac:dyDescent="0.3">
      <c r="A54" s="90">
        <v>38807</v>
      </c>
      <c r="B54" s="128" t="s">
        <v>905</v>
      </c>
      <c r="C54" s="8">
        <v>6</v>
      </c>
      <c r="D54" s="122">
        <v>378</v>
      </c>
      <c r="E54" s="129">
        <v>590</v>
      </c>
    </row>
    <row r="55" spans="1:5" ht="17.25" customHeight="1" x14ac:dyDescent="0.3">
      <c r="A55" s="90">
        <v>38863</v>
      </c>
      <c r="B55" s="128" t="s">
        <v>906</v>
      </c>
      <c r="C55" s="8">
        <v>10</v>
      </c>
      <c r="D55" s="122">
        <v>674</v>
      </c>
      <c r="E55" s="129">
        <v>1050</v>
      </c>
    </row>
    <row r="56" spans="1:5" ht="17.25" customHeight="1" x14ac:dyDescent="0.3">
      <c r="A56" s="90">
        <v>38864</v>
      </c>
      <c r="B56" s="128" t="s">
        <v>907</v>
      </c>
      <c r="C56" s="8">
        <v>10</v>
      </c>
      <c r="D56" s="122">
        <v>674</v>
      </c>
      <c r="E56" s="129">
        <v>1050</v>
      </c>
    </row>
    <row r="57" spans="1:5" ht="17.25" customHeight="1" x14ac:dyDescent="0.3">
      <c r="A57" s="90">
        <v>38865</v>
      </c>
      <c r="B57" s="128" t="s">
        <v>908</v>
      </c>
      <c r="C57" s="8">
        <v>10</v>
      </c>
      <c r="D57" s="122">
        <v>674</v>
      </c>
      <c r="E57" s="129">
        <v>1050</v>
      </c>
    </row>
    <row r="58" spans="1:5" ht="17.25" customHeight="1" x14ac:dyDescent="0.3">
      <c r="A58" s="90">
        <v>38866</v>
      </c>
      <c r="B58" s="128" t="s">
        <v>909</v>
      </c>
      <c r="C58" s="8">
        <v>10</v>
      </c>
      <c r="D58" s="122">
        <v>674</v>
      </c>
      <c r="E58" s="129">
        <v>1050</v>
      </c>
    </row>
    <row r="59" spans="1:5" ht="17.25" customHeight="1" x14ac:dyDescent="0.3">
      <c r="A59" s="90">
        <v>38867</v>
      </c>
      <c r="B59" s="128" t="s">
        <v>910</v>
      </c>
      <c r="C59" s="8">
        <v>10</v>
      </c>
      <c r="D59" s="122">
        <v>674</v>
      </c>
      <c r="E59" s="129">
        <v>1050</v>
      </c>
    </row>
    <row r="60" spans="1:5" ht="17.25" customHeight="1" x14ac:dyDescent="0.3">
      <c r="A60" s="90">
        <v>38868</v>
      </c>
      <c r="B60" s="128" t="s">
        <v>911</v>
      </c>
      <c r="C60" s="8">
        <v>10</v>
      </c>
      <c r="D60" s="122">
        <v>674</v>
      </c>
      <c r="E60" s="129">
        <v>1050</v>
      </c>
    </row>
    <row r="61" spans="1:5" ht="17.25" customHeight="1" x14ac:dyDescent="0.3">
      <c r="A61" s="90">
        <v>38869</v>
      </c>
      <c r="B61" s="128" t="s">
        <v>912</v>
      </c>
      <c r="C61" s="8">
        <v>10</v>
      </c>
      <c r="D61" s="122">
        <v>674</v>
      </c>
      <c r="E61" s="129">
        <v>1050</v>
      </c>
    </row>
    <row r="62" spans="1:5" ht="17.25" customHeight="1" x14ac:dyDescent="0.3">
      <c r="A62" s="90">
        <v>38870</v>
      </c>
      <c r="B62" s="128" t="s">
        <v>913</v>
      </c>
      <c r="C62" s="8">
        <v>10</v>
      </c>
      <c r="D62" s="122">
        <v>674</v>
      </c>
      <c r="E62" s="129">
        <v>1050</v>
      </c>
    </row>
    <row r="63" spans="1:5" ht="17.25" customHeight="1" x14ac:dyDescent="0.3">
      <c r="A63" s="90">
        <v>38871</v>
      </c>
      <c r="B63" s="128" t="s">
        <v>914</v>
      </c>
      <c r="C63" s="8">
        <v>10</v>
      </c>
      <c r="D63" s="122">
        <v>674</v>
      </c>
      <c r="E63" s="129">
        <v>1050</v>
      </c>
    </row>
    <row r="64" spans="1:5" ht="17.25" customHeight="1" x14ac:dyDescent="0.3">
      <c r="A64" s="90">
        <v>38872</v>
      </c>
      <c r="B64" s="128" t="s">
        <v>915</v>
      </c>
      <c r="C64" s="8">
        <v>10</v>
      </c>
      <c r="D64" s="122">
        <v>674</v>
      </c>
      <c r="E64" s="129">
        <v>1050</v>
      </c>
    </row>
    <row r="65" spans="1:5" ht="17.25" customHeight="1" x14ac:dyDescent="0.3">
      <c r="A65" s="90">
        <v>38873</v>
      </c>
      <c r="B65" s="128" t="s">
        <v>916</v>
      </c>
      <c r="C65" s="8">
        <v>6</v>
      </c>
      <c r="D65" s="122">
        <v>385</v>
      </c>
      <c r="E65" s="129">
        <v>600</v>
      </c>
    </row>
    <row r="66" spans="1:5" ht="17.25" customHeight="1" x14ac:dyDescent="0.3">
      <c r="A66" s="90">
        <v>38929</v>
      </c>
      <c r="B66" s="128" t="s">
        <v>917</v>
      </c>
      <c r="C66" s="8">
        <v>6</v>
      </c>
      <c r="D66" s="122">
        <v>366</v>
      </c>
      <c r="E66" s="129">
        <v>570</v>
      </c>
    </row>
    <row r="67" spans="1:5" ht="17.25" customHeight="1" x14ac:dyDescent="0.3">
      <c r="A67" s="90">
        <v>38975</v>
      </c>
      <c r="B67" s="128" t="s">
        <v>870</v>
      </c>
      <c r="C67" s="8">
        <v>4</v>
      </c>
      <c r="D67" s="122">
        <v>276</v>
      </c>
      <c r="E67" s="129">
        <v>430</v>
      </c>
    </row>
    <row r="68" spans="1:5" ht="17.25" customHeight="1" x14ac:dyDescent="0.3">
      <c r="A68" s="90">
        <v>38976</v>
      </c>
      <c r="B68" s="128" t="s">
        <v>918</v>
      </c>
      <c r="C68" s="8">
        <v>4</v>
      </c>
      <c r="D68" s="122">
        <v>276</v>
      </c>
      <c r="E68" s="129">
        <v>430</v>
      </c>
    </row>
    <row r="69" spans="1:5" ht="17.25" customHeight="1" x14ac:dyDescent="0.3">
      <c r="A69" s="90">
        <v>38977</v>
      </c>
      <c r="B69" s="128" t="s">
        <v>919</v>
      </c>
      <c r="C69" s="8">
        <v>4</v>
      </c>
      <c r="D69" s="122">
        <v>276</v>
      </c>
      <c r="E69" s="129">
        <v>430</v>
      </c>
    </row>
    <row r="70" spans="1:5" ht="17.25" customHeight="1" x14ac:dyDescent="0.3">
      <c r="A70" s="90">
        <v>38978</v>
      </c>
      <c r="B70" s="128" t="s">
        <v>920</v>
      </c>
      <c r="C70" s="8">
        <v>4</v>
      </c>
      <c r="D70" s="122">
        <v>276</v>
      </c>
      <c r="E70" s="129">
        <v>430</v>
      </c>
    </row>
    <row r="71" spans="1:5" ht="17.25" customHeight="1" x14ac:dyDescent="0.3">
      <c r="A71" s="90">
        <v>38980</v>
      </c>
      <c r="B71" s="128" t="s">
        <v>921</v>
      </c>
      <c r="C71" s="8">
        <v>4</v>
      </c>
      <c r="D71" s="122">
        <v>276</v>
      </c>
      <c r="E71" s="129">
        <v>430</v>
      </c>
    </row>
    <row r="72" spans="1:5" ht="17.25" customHeight="1" x14ac:dyDescent="0.3">
      <c r="A72" s="90">
        <v>38982</v>
      </c>
      <c r="B72" s="128" t="s">
        <v>922</v>
      </c>
      <c r="C72" s="8">
        <v>4</v>
      </c>
      <c r="D72" s="122">
        <v>276</v>
      </c>
      <c r="E72" s="129">
        <v>430</v>
      </c>
    </row>
    <row r="73" spans="1:5" ht="17.25" customHeight="1" x14ac:dyDescent="0.3">
      <c r="A73" s="90">
        <v>38983</v>
      </c>
      <c r="B73" s="128" t="s">
        <v>923</v>
      </c>
      <c r="C73" s="8">
        <v>4</v>
      </c>
      <c r="D73" s="122">
        <v>276</v>
      </c>
      <c r="E73" s="129">
        <v>430</v>
      </c>
    </row>
    <row r="74" spans="1:5" ht="17.25" customHeight="1" x14ac:dyDescent="0.3">
      <c r="A74" s="90">
        <v>38986</v>
      </c>
      <c r="B74" s="128" t="s">
        <v>924</v>
      </c>
      <c r="C74" s="8">
        <v>4</v>
      </c>
      <c r="D74" s="122">
        <v>276</v>
      </c>
      <c r="E74" s="129">
        <v>430</v>
      </c>
    </row>
    <row r="75" spans="1:5" ht="17.25" customHeight="1" x14ac:dyDescent="0.3">
      <c r="A75" s="90">
        <v>38991</v>
      </c>
      <c r="B75" s="128" t="s">
        <v>925</v>
      </c>
      <c r="C75" s="8">
        <v>4</v>
      </c>
      <c r="D75" s="122">
        <v>276</v>
      </c>
      <c r="E75" s="129">
        <v>430</v>
      </c>
    </row>
    <row r="76" spans="1:5" ht="17.25" customHeight="1" x14ac:dyDescent="0.3">
      <c r="A76" s="90">
        <v>38997</v>
      </c>
      <c r="B76" s="128" t="s">
        <v>926</v>
      </c>
      <c r="C76" s="8">
        <v>4</v>
      </c>
      <c r="D76" s="122">
        <v>276</v>
      </c>
      <c r="E76" s="129">
        <v>430</v>
      </c>
    </row>
    <row r="77" spans="1:5" ht="17.25" customHeight="1" x14ac:dyDescent="0.3">
      <c r="A77" s="90">
        <v>38998</v>
      </c>
      <c r="B77" s="128" t="s">
        <v>927</v>
      </c>
      <c r="C77" s="8">
        <v>4</v>
      </c>
      <c r="D77" s="122">
        <v>276</v>
      </c>
      <c r="E77" s="129">
        <v>430</v>
      </c>
    </row>
    <row r="78" spans="1:5" ht="17.25" customHeight="1" x14ac:dyDescent="0.3">
      <c r="A78" s="90">
        <v>39913</v>
      </c>
      <c r="B78" s="128" t="s">
        <v>928</v>
      </c>
      <c r="C78" s="8">
        <v>5</v>
      </c>
      <c r="D78" s="122">
        <v>353</v>
      </c>
      <c r="E78" s="129">
        <v>550</v>
      </c>
    </row>
    <row r="79" spans="1:5" ht="17.25" customHeight="1" x14ac:dyDescent="0.3">
      <c r="A79" s="90">
        <v>39914</v>
      </c>
      <c r="B79" s="128" t="s">
        <v>929</v>
      </c>
      <c r="C79" s="8">
        <v>5</v>
      </c>
      <c r="D79" s="122">
        <v>353</v>
      </c>
      <c r="E79" s="129">
        <v>550</v>
      </c>
    </row>
    <row r="80" spans="1:5" ht="17.25" customHeight="1" x14ac:dyDescent="0.3">
      <c r="A80" s="90">
        <v>40775</v>
      </c>
      <c r="B80" s="128" t="s">
        <v>871</v>
      </c>
      <c r="C80" s="8">
        <v>5</v>
      </c>
      <c r="D80" s="122">
        <v>321</v>
      </c>
      <c r="E80" s="129">
        <v>500</v>
      </c>
    </row>
    <row r="81" spans="1:5" ht="17.25" customHeight="1" x14ac:dyDescent="0.3">
      <c r="A81" s="90">
        <v>40844</v>
      </c>
      <c r="B81" s="128" t="s">
        <v>930</v>
      </c>
      <c r="C81" s="8">
        <v>5</v>
      </c>
      <c r="D81" s="122">
        <v>321</v>
      </c>
      <c r="E81" s="129">
        <v>500</v>
      </c>
    </row>
    <row r="82" spans="1:5" ht="17.25" customHeight="1" x14ac:dyDescent="0.3">
      <c r="A82" s="90">
        <v>40845</v>
      </c>
      <c r="B82" s="128" t="s">
        <v>931</v>
      </c>
      <c r="C82" s="8">
        <v>2</v>
      </c>
      <c r="D82" s="122">
        <v>147</v>
      </c>
      <c r="E82" s="129">
        <v>230</v>
      </c>
    </row>
    <row r="83" spans="1:5" ht="17.25" customHeight="1" x14ac:dyDescent="0.3">
      <c r="A83" s="90">
        <v>40877</v>
      </c>
      <c r="B83" s="128" t="s">
        <v>932</v>
      </c>
      <c r="C83" s="8">
        <v>3</v>
      </c>
      <c r="D83" s="122">
        <v>103</v>
      </c>
      <c r="E83" s="129">
        <v>320</v>
      </c>
    </row>
    <row r="84" spans="1:5" ht="17.25" customHeight="1" x14ac:dyDescent="0.3">
      <c r="A84" s="90">
        <v>40951</v>
      </c>
      <c r="B84" s="128" t="s">
        <v>933</v>
      </c>
      <c r="C84" s="8">
        <v>22</v>
      </c>
      <c r="D84" s="122">
        <v>1412</v>
      </c>
      <c r="E84" s="129">
        <v>2200</v>
      </c>
    </row>
    <row r="85" spans="1:5" ht="17.25" customHeight="1" x14ac:dyDescent="0.3">
      <c r="A85" s="90">
        <v>40952</v>
      </c>
      <c r="B85" s="128" t="s">
        <v>872</v>
      </c>
      <c r="C85" s="8">
        <v>22</v>
      </c>
      <c r="D85" s="122">
        <v>1412</v>
      </c>
      <c r="E85" s="129">
        <v>2200</v>
      </c>
    </row>
    <row r="86" spans="1:5" ht="17.25" customHeight="1" x14ac:dyDescent="0.3">
      <c r="A86" s="90">
        <v>40954</v>
      </c>
      <c r="B86" s="128" t="s">
        <v>934</v>
      </c>
      <c r="C86" s="8">
        <v>22</v>
      </c>
      <c r="D86" s="122">
        <v>1412</v>
      </c>
      <c r="E86" s="129">
        <v>2200</v>
      </c>
    </row>
    <row r="87" spans="1:5" ht="17.25" customHeight="1" x14ac:dyDescent="0.3">
      <c r="A87" s="90">
        <v>41011</v>
      </c>
      <c r="B87" s="128" t="s">
        <v>935</v>
      </c>
      <c r="C87" s="8">
        <v>10</v>
      </c>
      <c r="D87" s="122">
        <v>623</v>
      </c>
      <c r="E87" s="129">
        <v>970</v>
      </c>
    </row>
    <row r="88" spans="1:5" ht="17.25" customHeight="1" x14ac:dyDescent="0.3">
      <c r="A88" s="90">
        <v>41012</v>
      </c>
      <c r="B88" s="128" t="s">
        <v>936</v>
      </c>
      <c r="C88" s="8">
        <v>10</v>
      </c>
      <c r="D88" s="122">
        <v>623</v>
      </c>
      <c r="E88" s="129">
        <v>970</v>
      </c>
    </row>
    <row r="89" spans="1:5" ht="17.25" customHeight="1" x14ac:dyDescent="0.3">
      <c r="A89" s="90">
        <v>41260</v>
      </c>
      <c r="B89" s="128" t="s">
        <v>937</v>
      </c>
      <c r="C89" s="8">
        <v>2</v>
      </c>
      <c r="D89" s="122">
        <v>128</v>
      </c>
      <c r="E89" s="129">
        <v>200</v>
      </c>
    </row>
    <row r="90" spans="1:5" ht="17.25" customHeight="1" x14ac:dyDescent="0.3">
      <c r="A90" s="90">
        <v>41312</v>
      </c>
      <c r="B90" s="128" t="s">
        <v>938</v>
      </c>
      <c r="C90" s="8">
        <v>3</v>
      </c>
      <c r="D90" s="122">
        <v>186</v>
      </c>
      <c r="E90" s="129">
        <v>290</v>
      </c>
    </row>
    <row r="91" spans="1:5" ht="17.25" customHeight="1" x14ac:dyDescent="0.3">
      <c r="A91" s="90">
        <v>41359</v>
      </c>
      <c r="B91" s="128" t="s">
        <v>939</v>
      </c>
      <c r="C91" s="8">
        <v>8</v>
      </c>
      <c r="D91" s="122">
        <v>526</v>
      </c>
      <c r="E91" s="129">
        <v>820</v>
      </c>
    </row>
    <row r="92" spans="1:5" ht="17.25" customHeight="1" x14ac:dyDescent="0.3">
      <c r="A92" s="90">
        <v>41360</v>
      </c>
      <c r="B92" s="128" t="s">
        <v>940</v>
      </c>
      <c r="C92" s="8">
        <v>8</v>
      </c>
      <c r="D92" s="122">
        <v>526</v>
      </c>
      <c r="E92" s="129">
        <v>820</v>
      </c>
    </row>
    <row r="93" spans="1:5" ht="17.25" customHeight="1" x14ac:dyDescent="0.3">
      <c r="A93" s="90">
        <v>41367</v>
      </c>
      <c r="B93" s="128" t="s">
        <v>941</v>
      </c>
      <c r="C93" s="8">
        <v>5</v>
      </c>
      <c r="D93" s="122">
        <v>340</v>
      </c>
      <c r="E93" s="129">
        <v>530</v>
      </c>
    </row>
    <row r="94" spans="1:5" ht="17.25" customHeight="1" x14ac:dyDescent="0.3">
      <c r="A94" s="90">
        <v>41368</v>
      </c>
      <c r="B94" s="128" t="s">
        <v>942</v>
      </c>
      <c r="C94" s="8">
        <v>5</v>
      </c>
      <c r="D94" s="122">
        <v>340</v>
      </c>
      <c r="E94" s="129">
        <v>530</v>
      </c>
    </row>
    <row r="95" spans="1:5" ht="17.25" customHeight="1" x14ac:dyDescent="0.3">
      <c r="A95" s="90">
        <v>41369</v>
      </c>
      <c r="B95" s="128" t="s">
        <v>943</v>
      </c>
      <c r="C95" s="8">
        <v>5</v>
      </c>
      <c r="D95" s="122">
        <v>340</v>
      </c>
      <c r="E95" s="129">
        <v>530</v>
      </c>
    </row>
    <row r="96" spans="1:5" ht="17.25" customHeight="1" x14ac:dyDescent="0.3">
      <c r="A96" s="90">
        <v>41370</v>
      </c>
      <c r="B96" s="128" t="s">
        <v>944</v>
      </c>
      <c r="C96" s="8">
        <v>5</v>
      </c>
      <c r="D96" s="122">
        <v>340</v>
      </c>
      <c r="E96" s="129">
        <v>530</v>
      </c>
    </row>
    <row r="97" spans="1:5" ht="17.25" customHeight="1" x14ac:dyDescent="0.3">
      <c r="A97" s="90">
        <v>41371</v>
      </c>
      <c r="B97" s="128" t="s">
        <v>945</v>
      </c>
      <c r="C97" s="8">
        <v>5</v>
      </c>
      <c r="D97" s="122">
        <v>340</v>
      </c>
      <c r="E97" s="129">
        <v>530</v>
      </c>
    </row>
    <row r="98" spans="1:5" ht="17.25" customHeight="1" x14ac:dyDescent="0.3">
      <c r="A98" s="90">
        <v>41414</v>
      </c>
      <c r="B98" s="128" t="s">
        <v>946</v>
      </c>
      <c r="C98" s="8">
        <v>13</v>
      </c>
      <c r="D98" s="122">
        <v>834</v>
      </c>
      <c r="E98" s="129">
        <v>1300</v>
      </c>
    </row>
    <row r="99" spans="1:5" ht="17.25" customHeight="1" x14ac:dyDescent="0.3">
      <c r="A99" s="90">
        <v>41415</v>
      </c>
      <c r="B99" s="128" t="s">
        <v>947</v>
      </c>
      <c r="C99" s="8">
        <v>13</v>
      </c>
      <c r="D99" s="122">
        <v>834</v>
      </c>
      <c r="E99" s="129">
        <v>1300</v>
      </c>
    </row>
    <row r="100" spans="1:5" ht="17.25" customHeight="1" x14ac:dyDescent="0.3">
      <c r="A100" s="90">
        <v>41488</v>
      </c>
      <c r="B100" s="128" t="s">
        <v>948</v>
      </c>
      <c r="C100" s="8">
        <v>4</v>
      </c>
      <c r="D100" s="122">
        <v>289</v>
      </c>
      <c r="E100" s="129">
        <v>450</v>
      </c>
    </row>
    <row r="101" spans="1:5" ht="17.25" customHeight="1" x14ac:dyDescent="0.3">
      <c r="A101" s="90">
        <v>41519</v>
      </c>
      <c r="B101" s="128" t="s">
        <v>308</v>
      </c>
      <c r="C101" s="8">
        <v>4</v>
      </c>
      <c r="D101" s="122">
        <v>289</v>
      </c>
      <c r="E101" s="129">
        <v>450</v>
      </c>
    </row>
    <row r="102" spans="1:5" ht="17.25" customHeight="1" x14ac:dyDescent="0.3">
      <c r="A102" s="90">
        <v>41593</v>
      </c>
      <c r="B102" s="128" t="s">
        <v>949</v>
      </c>
      <c r="C102" s="8">
        <v>4</v>
      </c>
      <c r="D102" s="122">
        <v>119</v>
      </c>
      <c r="E102" s="129">
        <v>370</v>
      </c>
    </row>
    <row r="103" spans="1:5" ht="17.25" customHeight="1" x14ac:dyDescent="0.3">
      <c r="A103" s="90">
        <v>41625</v>
      </c>
      <c r="B103" s="128" t="s">
        <v>950</v>
      </c>
      <c r="C103" s="8">
        <v>3</v>
      </c>
      <c r="D103" s="122">
        <v>87</v>
      </c>
      <c r="E103" s="129">
        <v>270</v>
      </c>
    </row>
    <row r="104" spans="1:5" ht="17.25" customHeight="1" x14ac:dyDescent="0.3">
      <c r="A104" s="90">
        <v>41635</v>
      </c>
      <c r="B104" s="128" t="s">
        <v>951</v>
      </c>
      <c r="C104" s="8">
        <v>9</v>
      </c>
      <c r="D104" s="122">
        <v>577</v>
      </c>
      <c r="E104" s="129">
        <v>900</v>
      </c>
    </row>
    <row r="105" spans="1:5" ht="17.25" customHeight="1" x14ac:dyDescent="0.3">
      <c r="A105" s="90">
        <v>41636</v>
      </c>
      <c r="B105" s="128" t="s">
        <v>952</v>
      </c>
      <c r="C105" s="8">
        <v>9</v>
      </c>
      <c r="D105" s="122">
        <v>577</v>
      </c>
      <c r="E105" s="129">
        <v>900</v>
      </c>
    </row>
    <row r="106" spans="1:5" ht="17.25" customHeight="1" x14ac:dyDescent="0.3">
      <c r="A106" s="90">
        <v>41637</v>
      </c>
      <c r="B106" s="128" t="s">
        <v>953</v>
      </c>
      <c r="C106" s="8">
        <v>9</v>
      </c>
      <c r="D106" s="122">
        <v>577</v>
      </c>
      <c r="E106" s="129">
        <v>900</v>
      </c>
    </row>
    <row r="107" spans="1:5" ht="17.25" customHeight="1" x14ac:dyDescent="0.3">
      <c r="A107" s="90">
        <v>41638</v>
      </c>
      <c r="B107" s="128" t="s">
        <v>954</v>
      </c>
      <c r="C107" s="8">
        <v>9</v>
      </c>
      <c r="D107" s="122">
        <v>577</v>
      </c>
      <c r="E107" s="129">
        <v>900</v>
      </c>
    </row>
    <row r="108" spans="1:5" ht="17.25" customHeight="1" x14ac:dyDescent="0.3">
      <c r="A108" s="90">
        <v>41639</v>
      </c>
      <c r="B108" s="128" t="s">
        <v>955</v>
      </c>
      <c r="C108" s="8">
        <v>9</v>
      </c>
      <c r="D108" s="122">
        <v>577</v>
      </c>
      <c r="E108" s="129">
        <v>900</v>
      </c>
    </row>
    <row r="109" spans="1:5" ht="17.25" customHeight="1" x14ac:dyDescent="0.3">
      <c r="A109" s="90">
        <v>41640</v>
      </c>
      <c r="B109" s="128" t="s">
        <v>956</v>
      </c>
      <c r="C109" s="8">
        <v>9</v>
      </c>
      <c r="D109" s="122">
        <v>577</v>
      </c>
      <c r="E109" s="129">
        <v>900</v>
      </c>
    </row>
    <row r="110" spans="1:5" ht="17.25" customHeight="1" x14ac:dyDescent="0.3">
      <c r="A110" s="90">
        <v>41641</v>
      </c>
      <c r="B110" s="128" t="s">
        <v>957</v>
      </c>
      <c r="C110" s="8">
        <v>9</v>
      </c>
      <c r="D110" s="122">
        <v>577</v>
      </c>
      <c r="E110" s="129">
        <v>900</v>
      </c>
    </row>
    <row r="111" spans="1:5" ht="17.25" customHeight="1" x14ac:dyDescent="0.3">
      <c r="A111" s="90">
        <v>41642</v>
      </c>
      <c r="B111" s="128" t="s">
        <v>958</v>
      </c>
      <c r="C111" s="8">
        <v>9</v>
      </c>
      <c r="D111" s="122">
        <v>577</v>
      </c>
      <c r="E111" s="129">
        <v>900</v>
      </c>
    </row>
    <row r="112" spans="1:5" ht="17.25" customHeight="1" x14ac:dyDescent="0.3">
      <c r="A112" s="90">
        <v>41643</v>
      </c>
      <c r="B112" s="128" t="s">
        <v>959</v>
      </c>
      <c r="C112" s="8">
        <v>9</v>
      </c>
      <c r="D112" s="122">
        <v>577</v>
      </c>
      <c r="E112" s="129">
        <v>900</v>
      </c>
    </row>
    <row r="113" spans="1:5" ht="17.25" customHeight="1" x14ac:dyDescent="0.3">
      <c r="A113" s="90">
        <v>41644</v>
      </c>
      <c r="B113" s="128" t="s">
        <v>960</v>
      </c>
      <c r="C113" s="8">
        <v>9</v>
      </c>
      <c r="D113" s="122">
        <v>577</v>
      </c>
      <c r="E113" s="129">
        <v>900</v>
      </c>
    </row>
    <row r="114" spans="1:5" ht="17.25" customHeight="1" x14ac:dyDescent="0.3">
      <c r="A114" s="90">
        <v>41796</v>
      </c>
      <c r="B114" s="128" t="s">
        <v>961</v>
      </c>
      <c r="C114" s="8">
        <v>11</v>
      </c>
      <c r="D114" s="122">
        <v>738</v>
      </c>
      <c r="E114" s="129">
        <v>1150</v>
      </c>
    </row>
    <row r="115" spans="1:5" ht="17.25" customHeight="1" x14ac:dyDescent="0.3">
      <c r="A115" s="90">
        <v>41797</v>
      </c>
      <c r="B115" s="128" t="s">
        <v>962</v>
      </c>
      <c r="C115" s="8">
        <v>11</v>
      </c>
      <c r="D115" s="122">
        <v>738</v>
      </c>
      <c r="E115" s="129">
        <v>1150</v>
      </c>
    </row>
    <row r="116" spans="1:5" ht="17.25" customHeight="1" x14ac:dyDescent="0.3">
      <c r="A116" s="90">
        <v>41798</v>
      </c>
      <c r="B116" s="128" t="s">
        <v>963</v>
      </c>
      <c r="C116" s="8">
        <v>11</v>
      </c>
      <c r="D116" s="122">
        <v>738</v>
      </c>
      <c r="E116" s="129">
        <v>1150</v>
      </c>
    </row>
    <row r="117" spans="1:5" ht="17.25" customHeight="1" x14ac:dyDescent="0.3">
      <c r="A117" s="90">
        <v>41799</v>
      </c>
      <c r="B117" s="128" t="s">
        <v>964</v>
      </c>
      <c r="C117" s="8">
        <v>11</v>
      </c>
      <c r="D117" s="122">
        <v>738</v>
      </c>
      <c r="E117" s="129">
        <v>1150</v>
      </c>
    </row>
    <row r="118" spans="1:5" ht="17.25" customHeight="1" x14ac:dyDescent="0.3">
      <c r="A118" s="90">
        <v>41800</v>
      </c>
      <c r="B118" s="128" t="s">
        <v>965</v>
      </c>
      <c r="C118" s="8">
        <v>11</v>
      </c>
      <c r="D118" s="122">
        <v>738</v>
      </c>
      <c r="E118" s="129">
        <v>1150</v>
      </c>
    </row>
    <row r="119" spans="1:5" ht="17.25" customHeight="1" x14ac:dyDescent="0.3">
      <c r="A119" s="90">
        <v>41801</v>
      </c>
      <c r="B119" s="128" t="s">
        <v>966</v>
      </c>
      <c r="C119" s="8">
        <v>11</v>
      </c>
      <c r="D119" s="122">
        <v>738</v>
      </c>
      <c r="E119" s="129">
        <v>1150</v>
      </c>
    </row>
    <row r="120" spans="1:5" ht="17.25" customHeight="1" x14ac:dyDescent="0.3">
      <c r="A120" s="90">
        <v>41802</v>
      </c>
      <c r="B120" s="128" t="s">
        <v>967</v>
      </c>
      <c r="C120" s="8">
        <v>11</v>
      </c>
      <c r="D120" s="122">
        <v>738</v>
      </c>
      <c r="E120" s="129">
        <v>1150</v>
      </c>
    </row>
    <row r="121" spans="1:5" ht="17.25" customHeight="1" x14ac:dyDescent="0.3">
      <c r="A121" s="90">
        <v>41803</v>
      </c>
      <c r="B121" s="128" t="s">
        <v>968</v>
      </c>
      <c r="C121" s="8">
        <v>11</v>
      </c>
      <c r="D121" s="122">
        <v>738</v>
      </c>
      <c r="E121" s="129">
        <v>1150</v>
      </c>
    </row>
    <row r="122" spans="1:5" ht="17.25" customHeight="1" x14ac:dyDescent="0.3">
      <c r="A122" s="90">
        <v>41804</v>
      </c>
      <c r="B122" s="128" t="s">
        <v>969</v>
      </c>
      <c r="C122" s="8">
        <v>11</v>
      </c>
      <c r="D122" s="122">
        <v>738</v>
      </c>
      <c r="E122" s="129">
        <v>1150</v>
      </c>
    </row>
    <row r="123" spans="1:5" ht="17.25" customHeight="1" x14ac:dyDescent="0.3">
      <c r="A123" s="90">
        <v>41805</v>
      </c>
      <c r="B123" s="128" t="s">
        <v>970</v>
      </c>
      <c r="C123" s="8">
        <v>11</v>
      </c>
      <c r="D123" s="122">
        <v>738</v>
      </c>
      <c r="E123" s="129">
        <v>1150</v>
      </c>
    </row>
    <row r="124" spans="1:5" ht="17.25" customHeight="1" x14ac:dyDescent="0.3">
      <c r="A124" s="90">
        <v>41806</v>
      </c>
      <c r="B124" s="128" t="s">
        <v>971</v>
      </c>
      <c r="C124" s="8">
        <v>11</v>
      </c>
      <c r="D124" s="122">
        <v>738</v>
      </c>
      <c r="E124" s="129">
        <v>1150</v>
      </c>
    </row>
    <row r="125" spans="1:5" ht="17.25" customHeight="1" x14ac:dyDescent="0.3">
      <c r="A125" s="90">
        <v>41807</v>
      </c>
      <c r="B125" s="128" t="s">
        <v>972</v>
      </c>
      <c r="C125" s="8">
        <v>11</v>
      </c>
      <c r="D125" s="122">
        <v>738</v>
      </c>
      <c r="E125" s="129">
        <v>1150</v>
      </c>
    </row>
    <row r="126" spans="1:5" ht="17.25" customHeight="1" x14ac:dyDescent="0.3">
      <c r="A126" s="90">
        <v>41808</v>
      </c>
      <c r="B126" s="128" t="s">
        <v>973</v>
      </c>
      <c r="C126" s="8">
        <v>11</v>
      </c>
      <c r="D126" s="122">
        <v>738</v>
      </c>
      <c r="E126" s="129">
        <v>1150</v>
      </c>
    </row>
    <row r="127" spans="1:5" ht="17.25" customHeight="1" x14ac:dyDescent="0.3">
      <c r="A127" s="90">
        <v>41809</v>
      </c>
      <c r="B127" s="128" t="s">
        <v>974</v>
      </c>
      <c r="C127" s="8">
        <v>11</v>
      </c>
      <c r="D127" s="122">
        <v>738</v>
      </c>
      <c r="E127" s="129">
        <v>1150</v>
      </c>
    </row>
    <row r="128" spans="1:5" ht="17.25" customHeight="1" x14ac:dyDescent="0.3">
      <c r="A128" s="90">
        <v>41871</v>
      </c>
      <c r="B128" s="128" t="s">
        <v>873</v>
      </c>
      <c r="C128" s="8">
        <v>5</v>
      </c>
      <c r="D128" s="122">
        <v>353</v>
      </c>
      <c r="E128" s="129">
        <v>550</v>
      </c>
    </row>
    <row r="129" spans="1:5" ht="17.25" customHeight="1" x14ac:dyDescent="0.3">
      <c r="A129" s="90">
        <v>41872</v>
      </c>
      <c r="B129" s="128" t="s">
        <v>975</v>
      </c>
      <c r="C129" s="8">
        <v>5</v>
      </c>
      <c r="D129" s="122">
        <v>353</v>
      </c>
      <c r="E129" s="129">
        <v>550</v>
      </c>
    </row>
    <row r="130" spans="1:5" ht="17.25" customHeight="1" x14ac:dyDescent="0.3">
      <c r="A130" s="90">
        <v>41873</v>
      </c>
      <c r="B130" s="128" t="s">
        <v>976</v>
      </c>
      <c r="C130" s="8">
        <v>5</v>
      </c>
      <c r="D130" s="122">
        <v>353</v>
      </c>
      <c r="E130" s="129">
        <v>550</v>
      </c>
    </row>
    <row r="131" spans="1:5" ht="17.25" customHeight="1" x14ac:dyDescent="0.3">
      <c r="A131" s="90">
        <v>41874</v>
      </c>
      <c r="B131" s="128" t="s">
        <v>977</v>
      </c>
      <c r="C131" s="8">
        <v>5</v>
      </c>
      <c r="D131" s="122">
        <v>353</v>
      </c>
      <c r="E131" s="129">
        <v>550</v>
      </c>
    </row>
    <row r="132" spans="1:5" ht="17.25" customHeight="1" x14ac:dyDescent="0.3">
      <c r="A132" s="90">
        <v>41877</v>
      </c>
      <c r="B132" s="128" t="s">
        <v>978</v>
      </c>
      <c r="C132" s="8">
        <v>5</v>
      </c>
      <c r="D132" s="122">
        <v>353</v>
      </c>
      <c r="E132" s="129">
        <v>550</v>
      </c>
    </row>
    <row r="133" spans="1:5" ht="17.25" customHeight="1" x14ac:dyDescent="0.3">
      <c r="A133" s="90">
        <v>41880</v>
      </c>
      <c r="B133" s="128" t="s">
        <v>979</v>
      </c>
      <c r="C133" s="8">
        <v>5</v>
      </c>
      <c r="D133" s="122">
        <v>353</v>
      </c>
      <c r="E133" s="129">
        <v>550</v>
      </c>
    </row>
    <row r="134" spans="1:5" ht="17.25" customHeight="1" x14ac:dyDescent="0.3">
      <c r="A134" s="90">
        <v>41881</v>
      </c>
      <c r="B134" s="128" t="s">
        <v>980</v>
      </c>
      <c r="C134" s="8">
        <v>5</v>
      </c>
      <c r="D134" s="122">
        <v>353</v>
      </c>
      <c r="E134" s="129">
        <v>550</v>
      </c>
    </row>
    <row r="135" spans="1:5" ht="17.25" customHeight="1" x14ac:dyDescent="0.3">
      <c r="A135" s="90">
        <v>41882</v>
      </c>
      <c r="B135" s="128" t="s">
        <v>981</v>
      </c>
      <c r="C135" s="8">
        <v>5</v>
      </c>
      <c r="D135" s="122">
        <v>353</v>
      </c>
      <c r="E135" s="129">
        <v>550</v>
      </c>
    </row>
    <row r="136" spans="1:5" ht="17.25" customHeight="1" x14ac:dyDescent="0.3">
      <c r="A136" s="90">
        <v>41883</v>
      </c>
      <c r="B136" s="128" t="s">
        <v>982</v>
      </c>
      <c r="C136" s="8">
        <v>5</v>
      </c>
      <c r="D136" s="122">
        <v>353</v>
      </c>
      <c r="E136" s="129">
        <v>550</v>
      </c>
    </row>
    <row r="137" spans="1:5" ht="17.25" customHeight="1" x14ac:dyDescent="0.3">
      <c r="A137" s="90">
        <v>41888</v>
      </c>
      <c r="B137" s="128" t="s">
        <v>983</v>
      </c>
      <c r="C137" s="8">
        <v>5</v>
      </c>
      <c r="D137" s="122">
        <v>353</v>
      </c>
      <c r="E137" s="129">
        <v>550</v>
      </c>
    </row>
    <row r="138" spans="1:5" ht="17.25" customHeight="1" x14ac:dyDescent="0.3">
      <c r="A138" s="90">
        <v>41890</v>
      </c>
      <c r="B138" s="128" t="s">
        <v>984</v>
      </c>
      <c r="C138" s="8">
        <v>5</v>
      </c>
      <c r="D138" s="122">
        <v>353</v>
      </c>
      <c r="E138" s="129">
        <v>550</v>
      </c>
    </row>
    <row r="139" spans="1:5" ht="17.25" customHeight="1" x14ac:dyDescent="0.3">
      <c r="A139" s="90">
        <v>41989</v>
      </c>
      <c r="B139" s="128" t="s">
        <v>985</v>
      </c>
      <c r="C139" s="8">
        <v>7</v>
      </c>
      <c r="D139" s="122">
        <v>449</v>
      </c>
      <c r="E139" s="129">
        <v>700</v>
      </c>
    </row>
    <row r="140" spans="1:5" ht="17.25" customHeight="1" x14ac:dyDescent="0.3">
      <c r="A140" s="90">
        <v>41990</v>
      </c>
      <c r="B140" s="128" t="s">
        <v>986</v>
      </c>
      <c r="C140" s="8">
        <v>7</v>
      </c>
      <c r="D140" s="122">
        <v>449</v>
      </c>
      <c r="E140" s="129">
        <v>700</v>
      </c>
    </row>
    <row r="141" spans="1:5" ht="17.25" customHeight="1" x14ac:dyDescent="0.3">
      <c r="A141" s="90">
        <v>41991</v>
      </c>
      <c r="B141" s="128" t="s">
        <v>987</v>
      </c>
      <c r="C141" s="8">
        <v>7</v>
      </c>
      <c r="D141" s="122">
        <v>449</v>
      </c>
      <c r="E141" s="129">
        <v>700</v>
      </c>
    </row>
    <row r="142" spans="1:5" ht="17.25" customHeight="1" x14ac:dyDescent="0.3">
      <c r="A142" s="90">
        <v>42041</v>
      </c>
      <c r="B142" s="128" t="s">
        <v>988</v>
      </c>
      <c r="C142" s="8">
        <v>9</v>
      </c>
      <c r="D142" s="122">
        <v>609</v>
      </c>
      <c r="E142" s="129">
        <v>950</v>
      </c>
    </row>
    <row r="143" spans="1:5" ht="17.25" customHeight="1" x14ac:dyDescent="0.3">
      <c r="A143" s="90">
        <v>42101</v>
      </c>
      <c r="B143" s="128" t="s">
        <v>129</v>
      </c>
      <c r="C143" s="8">
        <v>19</v>
      </c>
      <c r="D143" s="122">
        <v>1251</v>
      </c>
      <c r="E143" s="129">
        <v>1950</v>
      </c>
    </row>
    <row r="144" spans="1:5" ht="17.25" customHeight="1" x14ac:dyDescent="0.3">
      <c r="A144" s="90">
        <v>42102</v>
      </c>
      <c r="B144" s="128" t="s">
        <v>989</v>
      </c>
      <c r="C144" s="8">
        <v>19</v>
      </c>
      <c r="D144" s="122">
        <v>1251</v>
      </c>
      <c r="E144" s="129">
        <v>1950</v>
      </c>
    </row>
    <row r="145" spans="1:5" ht="17.25" customHeight="1" x14ac:dyDescent="0.3">
      <c r="A145" s="90">
        <v>42103</v>
      </c>
      <c r="B145" s="128" t="s">
        <v>130</v>
      </c>
      <c r="C145" s="8">
        <v>19</v>
      </c>
      <c r="D145" s="122">
        <v>1251</v>
      </c>
      <c r="E145" s="129">
        <v>1950</v>
      </c>
    </row>
    <row r="146" spans="1:5" ht="17.25" customHeight="1" x14ac:dyDescent="0.3">
      <c r="A146" s="90">
        <v>42104</v>
      </c>
      <c r="B146" s="128" t="s">
        <v>990</v>
      </c>
      <c r="C146" s="8">
        <v>19</v>
      </c>
      <c r="D146" s="122">
        <v>1251</v>
      </c>
      <c r="E146" s="129">
        <v>1950</v>
      </c>
    </row>
    <row r="147" spans="1:5" ht="17.25" customHeight="1" x14ac:dyDescent="0.3">
      <c r="A147" s="90">
        <v>42105</v>
      </c>
      <c r="B147" s="128" t="s">
        <v>991</v>
      </c>
      <c r="C147" s="8">
        <v>19</v>
      </c>
      <c r="D147" s="122">
        <v>1251</v>
      </c>
      <c r="E147" s="129">
        <v>1950</v>
      </c>
    </row>
    <row r="148" spans="1:5" ht="17.25" customHeight="1" x14ac:dyDescent="0.3">
      <c r="A148" s="90">
        <v>42106</v>
      </c>
      <c r="B148" s="128" t="s">
        <v>992</v>
      </c>
      <c r="C148" s="8">
        <v>19</v>
      </c>
      <c r="D148" s="122">
        <v>1251</v>
      </c>
      <c r="E148" s="129">
        <v>1950</v>
      </c>
    </row>
    <row r="149" spans="1:5" ht="17.25" customHeight="1" x14ac:dyDescent="0.3">
      <c r="A149" s="90">
        <v>42107</v>
      </c>
      <c r="B149" s="128" t="s">
        <v>993</v>
      </c>
      <c r="C149" s="8">
        <v>19</v>
      </c>
      <c r="D149" s="122">
        <v>1251</v>
      </c>
      <c r="E149" s="129">
        <v>1950</v>
      </c>
    </row>
    <row r="150" spans="1:5" ht="17.25" customHeight="1" x14ac:dyDescent="0.3">
      <c r="A150" s="90">
        <v>42112</v>
      </c>
      <c r="B150" s="128" t="s">
        <v>131</v>
      </c>
      <c r="C150" s="8">
        <v>17</v>
      </c>
      <c r="D150" s="122">
        <v>1123</v>
      </c>
      <c r="E150" s="129">
        <v>1750</v>
      </c>
    </row>
    <row r="151" spans="1:5" ht="17.25" customHeight="1" x14ac:dyDescent="0.3">
      <c r="A151" s="90">
        <v>42113</v>
      </c>
      <c r="B151" s="128" t="s">
        <v>132</v>
      </c>
      <c r="C151" s="8">
        <v>17</v>
      </c>
      <c r="D151" s="122">
        <v>1123</v>
      </c>
      <c r="E151" s="129">
        <v>1750</v>
      </c>
    </row>
    <row r="152" spans="1:5" ht="17.25" customHeight="1" x14ac:dyDescent="0.3">
      <c r="A152" s="90">
        <v>42119</v>
      </c>
      <c r="B152" s="128" t="s">
        <v>994</v>
      </c>
      <c r="C152" s="8">
        <v>8</v>
      </c>
      <c r="D152" s="122">
        <v>513</v>
      </c>
      <c r="E152" s="129">
        <v>800</v>
      </c>
    </row>
    <row r="153" spans="1:5" ht="17.25" customHeight="1" x14ac:dyDescent="0.3">
      <c r="A153" s="90">
        <v>42123</v>
      </c>
      <c r="B153" s="128" t="s">
        <v>995</v>
      </c>
      <c r="C153" s="8">
        <v>8</v>
      </c>
      <c r="D153" s="122">
        <v>500</v>
      </c>
      <c r="E153" s="129">
        <v>780</v>
      </c>
    </row>
    <row r="154" spans="1:5" ht="17.25" customHeight="1" x14ac:dyDescent="0.3">
      <c r="A154" s="90">
        <v>42215</v>
      </c>
      <c r="B154" s="128" t="s">
        <v>996</v>
      </c>
      <c r="C154" s="8">
        <v>15</v>
      </c>
      <c r="D154" s="122">
        <v>994</v>
      </c>
      <c r="E154" s="129">
        <v>1550</v>
      </c>
    </row>
    <row r="155" spans="1:5" ht="17.25" customHeight="1" x14ac:dyDescent="0.3">
      <c r="A155" s="90">
        <v>42216</v>
      </c>
      <c r="B155" s="128" t="s">
        <v>997</v>
      </c>
      <c r="C155" s="8">
        <v>15</v>
      </c>
      <c r="D155" s="122">
        <v>994</v>
      </c>
      <c r="E155" s="129">
        <v>1550</v>
      </c>
    </row>
    <row r="156" spans="1:5" ht="17.25" customHeight="1" x14ac:dyDescent="0.3">
      <c r="A156" s="90">
        <v>42217</v>
      </c>
      <c r="B156" s="128" t="s">
        <v>998</v>
      </c>
      <c r="C156" s="8">
        <v>15</v>
      </c>
      <c r="D156" s="122">
        <v>994</v>
      </c>
      <c r="E156" s="129">
        <v>1550</v>
      </c>
    </row>
    <row r="157" spans="1:5" ht="17.25" customHeight="1" x14ac:dyDescent="0.3">
      <c r="A157" s="90">
        <v>42273</v>
      </c>
      <c r="B157" s="128" t="s">
        <v>999</v>
      </c>
      <c r="C157" s="8">
        <v>6</v>
      </c>
      <c r="D157" s="122">
        <v>366</v>
      </c>
      <c r="E157" s="129">
        <v>570</v>
      </c>
    </row>
    <row r="158" spans="1:5" ht="17.25" customHeight="1" x14ac:dyDescent="0.3">
      <c r="A158" s="90">
        <v>42287</v>
      </c>
      <c r="B158" s="128" t="s">
        <v>1000</v>
      </c>
      <c r="C158" s="8">
        <v>8</v>
      </c>
      <c r="D158" s="122">
        <v>256</v>
      </c>
      <c r="E158" s="129">
        <v>800</v>
      </c>
    </row>
    <row r="159" spans="1:5" ht="17.25" customHeight="1" x14ac:dyDescent="0.3">
      <c r="A159" s="90">
        <v>42288</v>
      </c>
      <c r="B159" s="128" t="s">
        <v>1001</v>
      </c>
      <c r="C159" s="8">
        <v>3</v>
      </c>
      <c r="D159" s="122">
        <v>87</v>
      </c>
      <c r="E159" s="129">
        <v>270</v>
      </c>
    </row>
    <row r="160" spans="1:5" ht="17.25" customHeight="1" x14ac:dyDescent="0.3">
      <c r="A160" s="90">
        <v>42290</v>
      </c>
      <c r="B160" s="128" t="s">
        <v>1002</v>
      </c>
      <c r="C160" s="8">
        <v>9</v>
      </c>
      <c r="D160" s="122">
        <v>298</v>
      </c>
      <c r="E160" s="129">
        <v>930</v>
      </c>
    </row>
    <row r="161" spans="1:5" ht="17.25" customHeight="1" x14ac:dyDescent="0.3">
      <c r="A161" s="90">
        <v>42360</v>
      </c>
      <c r="B161" s="128" t="s">
        <v>1003</v>
      </c>
      <c r="C161" s="8">
        <v>21</v>
      </c>
      <c r="D161" s="122">
        <v>1379</v>
      </c>
      <c r="E161" s="129">
        <v>2150</v>
      </c>
    </row>
    <row r="162" spans="1:5" ht="17.25" customHeight="1" x14ac:dyDescent="0.3">
      <c r="A162" s="90">
        <v>42362</v>
      </c>
      <c r="B162" s="128" t="s">
        <v>1004</v>
      </c>
      <c r="C162" s="8">
        <v>21</v>
      </c>
      <c r="D162" s="122">
        <v>1379</v>
      </c>
      <c r="E162" s="129">
        <v>2150</v>
      </c>
    </row>
    <row r="163" spans="1:5" ht="17.25" customHeight="1" x14ac:dyDescent="0.3">
      <c r="A163" s="90">
        <v>42363</v>
      </c>
      <c r="B163" s="128" t="s">
        <v>1005</v>
      </c>
      <c r="C163" s="8">
        <v>21</v>
      </c>
      <c r="D163" s="122">
        <v>1379</v>
      </c>
      <c r="E163" s="129">
        <v>2150</v>
      </c>
    </row>
    <row r="164" spans="1:5" ht="17.25" customHeight="1" x14ac:dyDescent="0.3">
      <c r="A164" s="90">
        <v>42364</v>
      </c>
      <c r="B164" s="128" t="s">
        <v>1006</v>
      </c>
      <c r="C164" s="8">
        <v>21</v>
      </c>
      <c r="D164" s="122">
        <v>1379</v>
      </c>
      <c r="E164" s="129">
        <v>2150</v>
      </c>
    </row>
    <row r="165" spans="1:5" ht="17.25" customHeight="1" x14ac:dyDescent="0.3">
      <c r="A165" s="90">
        <v>42417</v>
      </c>
      <c r="B165" s="128" t="s">
        <v>1007</v>
      </c>
      <c r="C165" s="8">
        <v>5</v>
      </c>
      <c r="D165" s="122">
        <v>321</v>
      </c>
      <c r="E165" s="129">
        <v>500</v>
      </c>
    </row>
    <row r="166" spans="1:5" ht="17.25" customHeight="1" x14ac:dyDescent="0.3">
      <c r="A166" s="90">
        <v>42418</v>
      </c>
      <c r="B166" s="128" t="s">
        <v>1008</v>
      </c>
      <c r="C166" s="8">
        <v>5</v>
      </c>
      <c r="D166" s="122">
        <v>321</v>
      </c>
      <c r="E166" s="129">
        <v>500</v>
      </c>
    </row>
    <row r="167" spans="1:5" ht="17.25" customHeight="1" x14ac:dyDescent="0.3">
      <c r="A167" s="90">
        <v>42453</v>
      </c>
      <c r="B167" s="128" t="s">
        <v>1009</v>
      </c>
      <c r="C167" s="8">
        <v>3</v>
      </c>
      <c r="D167" s="122">
        <v>103</v>
      </c>
      <c r="E167" s="129">
        <v>320</v>
      </c>
    </row>
    <row r="168" spans="1:5" ht="17.25" customHeight="1" x14ac:dyDescent="0.3">
      <c r="A168" s="90">
        <v>42478</v>
      </c>
      <c r="B168" s="128" t="s">
        <v>1010</v>
      </c>
      <c r="C168" s="8">
        <v>7</v>
      </c>
      <c r="D168" s="122">
        <v>237</v>
      </c>
      <c r="E168" s="129">
        <v>740</v>
      </c>
    </row>
    <row r="169" spans="1:5" ht="17.25" customHeight="1" x14ac:dyDescent="0.3">
      <c r="A169" s="90">
        <v>42479</v>
      </c>
      <c r="B169" s="128" t="s">
        <v>1011</v>
      </c>
      <c r="C169" s="8">
        <v>7</v>
      </c>
      <c r="D169" s="122">
        <v>237</v>
      </c>
      <c r="E169" s="129">
        <v>740</v>
      </c>
    </row>
    <row r="170" spans="1:5" ht="17.25" customHeight="1" x14ac:dyDescent="0.3">
      <c r="A170" s="90">
        <v>42483</v>
      </c>
      <c r="B170" s="128" t="s">
        <v>1012</v>
      </c>
      <c r="C170" s="8">
        <v>5</v>
      </c>
      <c r="D170" s="122">
        <v>154</v>
      </c>
      <c r="E170" s="129">
        <v>480</v>
      </c>
    </row>
    <row r="171" spans="1:5" ht="17.25" customHeight="1" x14ac:dyDescent="0.3">
      <c r="A171" s="90">
        <v>42487</v>
      </c>
      <c r="B171" s="128" t="s">
        <v>1013</v>
      </c>
      <c r="C171" s="8">
        <v>5</v>
      </c>
      <c r="D171" s="122">
        <v>154</v>
      </c>
      <c r="E171" s="129">
        <v>480</v>
      </c>
    </row>
    <row r="172" spans="1:5" ht="17.25" customHeight="1" x14ac:dyDescent="0.3">
      <c r="A172" s="90">
        <v>42490</v>
      </c>
      <c r="B172" s="128" t="s">
        <v>1014</v>
      </c>
      <c r="C172" s="8">
        <v>28</v>
      </c>
      <c r="D172" s="122">
        <v>1797</v>
      </c>
      <c r="E172" s="129">
        <v>2800</v>
      </c>
    </row>
    <row r="173" spans="1:5" ht="17.25" customHeight="1" x14ac:dyDescent="0.3">
      <c r="A173" s="90">
        <v>42502</v>
      </c>
      <c r="B173" s="128" t="s">
        <v>1015</v>
      </c>
      <c r="C173" s="8">
        <v>22</v>
      </c>
      <c r="D173" s="122">
        <v>1444</v>
      </c>
      <c r="E173" s="129">
        <v>2250</v>
      </c>
    </row>
    <row r="174" spans="1:5" ht="17.25" customHeight="1" x14ac:dyDescent="0.3">
      <c r="A174" s="90">
        <v>42507</v>
      </c>
      <c r="B174" s="128" t="s">
        <v>146</v>
      </c>
      <c r="C174" s="8">
        <v>33</v>
      </c>
      <c r="D174" s="122">
        <v>2117</v>
      </c>
      <c r="E174" s="129">
        <v>3300</v>
      </c>
    </row>
    <row r="175" spans="1:5" ht="17.25" customHeight="1" x14ac:dyDescent="0.3">
      <c r="A175" s="90">
        <v>42519</v>
      </c>
      <c r="B175" s="128" t="s">
        <v>874</v>
      </c>
      <c r="C175" s="8">
        <v>43</v>
      </c>
      <c r="D175" s="122">
        <v>2759</v>
      </c>
      <c r="E175" s="129">
        <v>4300</v>
      </c>
    </row>
    <row r="176" spans="1:5" ht="17.25" customHeight="1" x14ac:dyDescent="0.3">
      <c r="A176" s="90">
        <v>42520</v>
      </c>
      <c r="B176" s="128" t="s">
        <v>148</v>
      </c>
      <c r="C176" s="8">
        <v>22</v>
      </c>
      <c r="D176" s="122">
        <v>1444</v>
      </c>
      <c r="E176" s="129">
        <v>2250</v>
      </c>
    </row>
    <row r="177" spans="1:5" ht="17.25" customHeight="1" x14ac:dyDescent="0.3">
      <c r="A177" s="90">
        <v>42521</v>
      </c>
      <c r="B177" s="128" t="s">
        <v>1016</v>
      </c>
      <c r="C177" s="8">
        <v>8</v>
      </c>
      <c r="D177" s="122">
        <v>532</v>
      </c>
      <c r="E177" s="129">
        <v>830</v>
      </c>
    </row>
    <row r="178" spans="1:5" ht="17.25" customHeight="1" x14ac:dyDescent="0.3">
      <c r="A178" s="90">
        <v>42726</v>
      </c>
      <c r="B178" s="128" t="s">
        <v>1017</v>
      </c>
      <c r="C178" s="8">
        <v>33</v>
      </c>
      <c r="D178" s="122">
        <v>2117</v>
      </c>
      <c r="E178" s="129">
        <v>3300</v>
      </c>
    </row>
    <row r="179" spans="1:5" ht="17.25" customHeight="1" x14ac:dyDescent="0.3">
      <c r="A179" s="90">
        <v>42769</v>
      </c>
      <c r="B179" s="128" t="s">
        <v>1018</v>
      </c>
      <c r="C179" s="8">
        <v>9</v>
      </c>
      <c r="D179" s="122">
        <v>546</v>
      </c>
      <c r="E179" s="129">
        <v>850</v>
      </c>
    </row>
    <row r="180" spans="1:5" ht="17.25" customHeight="1" x14ac:dyDescent="0.3">
      <c r="A180" s="90">
        <v>42770</v>
      </c>
      <c r="B180" s="128" t="s">
        <v>1019</v>
      </c>
      <c r="C180" s="8">
        <v>10</v>
      </c>
      <c r="D180" s="122">
        <v>623</v>
      </c>
      <c r="E180" s="129">
        <v>970</v>
      </c>
    </row>
    <row r="181" spans="1:5" ht="17.25" customHeight="1" x14ac:dyDescent="0.3">
      <c r="A181" s="90">
        <v>42771</v>
      </c>
      <c r="B181" s="128" t="s">
        <v>1020</v>
      </c>
      <c r="C181" s="8">
        <v>10</v>
      </c>
      <c r="D181" s="122">
        <v>623</v>
      </c>
      <c r="E181" s="129">
        <v>970</v>
      </c>
    </row>
    <row r="182" spans="1:5" ht="17.25" customHeight="1" x14ac:dyDescent="0.3">
      <c r="A182" s="90">
        <v>42772</v>
      </c>
      <c r="B182" s="128" t="s">
        <v>1021</v>
      </c>
      <c r="C182" s="8">
        <v>10</v>
      </c>
      <c r="D182" s="122">
        <v>623</v>
      </c>
      <c r="E182" s="129">
        <v>970</v>
      </c>
    </row>
    <row r="183" spans="1:5" ht="17.25" customHeight="1" x14ac:dyDescent="0.3">
      <c r="A183" s="90">
        <v>42773</v>
      </c>
      <c r="B183" s="128" t="s">
        <v>1022</v>
      </c>
      <c r="C183" s="8">
        <v>10</v>
      </c>
      <c r="D183" s="122">
        <v>623</v>
      </c>
      <c r="E183" s="129">
        <v>970</v>
      </c>
    </row>
    <row r="184" spans="1:5" ht="17.25" customHeight="1" x14ac:dyDescent="0.3">
      <c r="A184" s="90">
        <v>42776</v>
      </c>
      <c r="B184" s="128" t="s">
        <v>1023</v>
      </c>
      <c r="C184" s="8">
        <v>10</v>
      </c>
      <c r="D184" s="122">
        <v>623</v>
      </c>
      <c r="E184" s="129">
        <v>970</v>
      </c>
    </row>
    <row r="185" spans="1:5" ht="17.25" customHeight="1" x14ac:dyDescent="0.3">
      <c r="A185" s="90">
        <v>42777</v>
      </c>
      <c r="B185" s="128" t="s">
        <v>1024</v>
      </c>
      <c r="C185" s="8">
        <v>10</v>
      </c>
      <c r="D185" s="122">
        <v>623</v>
      </c>
      <c r="E185" s="129">
        <v>970</v>
      </c>
    </row>
    <row r="186" spans="1:5" ht="17.25" customHeight="1" x14ac:dyDescent="0.3">
      <c r="A186" s="90">
        <v>42778</v>
      </c>
      <c r="B186" s="128" t="s">
        <v>1025</v>
      </c>
      <c r="C186" s="8">
        <v>10</v>
      </c>
      <c r="D186" s="122">
        <v>623</v>
      </c>
      <c r="E186" s="129">
        <v>970</v>
      </c>
    </row>
    <row r="187" spans="1:5" ht="17.25" customHeight="1" x14ac:dyDescent="0.3">
      <c r="A187" s="90">
        <v>42816</v>
      </c>
      <c r="B187" s="128" t="s">
        <v>115</v>
      </c>
      <c r="C187" s="8">
        <v>17</v>
      </c>
      <c r="D187" s="122">
        <v>1123</v>
      </c>
      <c r="E187" s="129">
        <v>1750</v>
      </c>
    </row>
    <row r="188" spans="1:5" ht="17.25" customHeight="1" x14ac:dyDescent="0.3">
      <c r="A188" s="90">
        <v>42823</v>
      </c>
      <c r="B188" s="128" t="s">
        <v>1026</v>
      </c>
      <c r="C188" s="8">
        <v>10</v>
      </c>
      <c r="D188" s="122">
        <v>674</v>
      </c>
      <c r="E188" s="129">
        <v>1050</v>
      </c>
    </row>
    <row r="189" spans="1:5" ht="17.25" customHeight="1" x14ac:dyDescent="0.3">
      <c r="A189" s="90">
        <v>42837</v>
      </c>
      <c r="B189" s="128" t="s">
        <v>140</v>
      </c>
      <c r="C189" s="8">
        <v>33</v>
      </c>
      <c r="D189" s="122">
        <v>2117</v>
      </c>
      <c r="E189" s="129">
        <v>3300</v>
      </c>
    </row>
    <row r="190" spans="1:5" ht="17.25" customHeight="1" x14ac:dyDescent="0.3">
      <c r="A190" s="90">
        <v>42864</v>
      </c>
      <c r="B190" s="128" t="s">
        <v>1027</v>
      </c>
      <c r="C190" s="8">
        <v>33</v>
      </c>
      <c r="D190" s="122">
        <v>2117</v>
      </c>
      <c r="E190" s="129">
        <v>3300</v>
      </c>
    </row>
    <row r="191" spans="1:5" ht="17.25" customHeight="1" x14ac:dyDescent="0.3">
      <c r="A191" s="90">
        <v>42968</v>
      </c>
      <c r="B191" s="128" t="s">
        <v>1028</v>
      </c>
      <c r="C191" s="8">
        <v>43</v>
      </c>
      <c r="D191" s="122">
        <v>2759</v>
      </c>
      <c r="E191" s="129">
        <v>4300</v>
      </c>
    </row>
    <row r="192" spans="1:5" ht="17.25" customHeight="1" x14ac:dyDescent="0.3">
      <c r="A192" s="90">
        <v>43054</v>
      </c>
      <c r="B192" s="128" t="s">
        <v>1029</v>
      </c>
      <c r="C192" s="8">
        <v>4</v>
      </c>
      <c r="D192" s="122">
        <v>289</v>
      </c>
      <c r="E192" s="129">
        <v>450</v>
      </c>
    </row>
    <row r="193" spans="1:5" ht="17.25" customHeight="1" x14ac:dyDescent="0.3">
      <c r="A193" s="90">
        <v>43111</v>
      </c>
      <c r="B193" s="128" t="s">
        <v>1030</v>
      </c>
      <c r="C193" s="8">
        <v>7</v>
      </c>
      <c r="D193" s="122">
        <v>449</v>
      </c>
      <c r="E193" s="129">
        <v>700</v>
      </c>
    </row>
    <row r="194" spans="1:5" ht="17.25" customHeight="1" x14ac:dyDescent="0.3">
      <c r="A194" s="90">
        <v>43123</v>
      </c>
      <c r="B194" s="128" t="s">
        <v>1031</v>
      </c>
      <c r="C194" s="8">
        <v>8</v>
      </c>
      <c r="D194" s="122">
        <v>513</v>
      </c>
      <c r="E194" s="129">
        <v>800</v>
      </c>
    </row>
    <row r="195" spans="1:5" ht="17.25" customHeight="1" x14ac:dyDescent="0.3">
      <c r="A195" s="90">
        <v>43129</v>
      </c>
      <c r="B195" s="128" t="s">
        <v>1032</v>
      </c>
      <c r="C195" s="8">
        <v>10</v>
      </c>
      <c r="D195" s="122">
        <v>642</v>
      </c>
      <c r="E195" s="129">
        <v>1000</v>
      </c>
    </row>
    <row r="196" spans="1:5" ht="17.25" customHeight="1" x14ac:dyDescent="0.3">
      <c r="A196" s="90">
        <v>43130</v>
      </c>
      <c r="B196" s="128" t="s">
        <v>1033</v>
      </c>
      <c r="C196" s="8">
        <v>10</v>
      </c>
      <c r="D196" s="122">
        <v>642</v>
      </c>
      <c r="E196" s="129">
        <v>1000</v>
      </c>
    </row>
    <row r="197" spans="1:5" ht="17.25" customHeight="1" x14ac:dyDescent="0.3">
      <c r="A197" s="90">
        <v>43135</v>
      </c>
      <c r="B197" s="128" t="s">
        <v>1034</v>
      </c>
      <c r="C197" s="8">
        <v>8</v>
      </c>
      <c r="D197" s="122">
        <v>500</v>
      </c>
      <c r="E197" s="129">
        <v>780</v>
      </c>
    </row>
    <row r="198" spans="1:5" ht="17.25" customHeight="1" x14ac:dyDescent="0.3">
      <c r="A198" s="90">
        <v>43154</v>
      </c>
      <c r="B198" s="128" t="s">
        <v>1035</v>
      </c>
      <c r="C198" s="8">
        <v>3</v>
      </c>
      <c r="D198" s="122">
        <v>186</v>
      </c>
      <c r="E198" s="129">
        <v>290</v>
      </c>
    </row>
    <row r="199" spans="1:5" ht="17.25" customHeight="1" x14ac:dyDescent="0.3">
      <c r="A199" s="90">
        <v>43206</v>
      </c>
      <c r="B199" s="128" t="s">
        <v>1036</v>
      </c>
      <c r="C199" s="8">
        <v>9</v>
      </c>
      <c r="D199" s="122">
        <v>546</v>
      </c>
      <c r="E199" s="129">
        <v>850</v>
      </c>
    </row>
    <row r="200" spans="1:5" ht="17.25" customHeight="1" x14ac:dyDescent="0.3">
      <c r="A200" s="90">
        <v>43207</v>
      </c>
      <c r="B200" s="128" t="s">
        <v>1037</v>
      </c>
      <c r="C200" s="8">
        <v>9</v>
      </c>
      <c r="D200" s="122">
        <v>546</v>
      </c>
      <c r="E200" s="129">
        <v>850</v>
      </c>
    </row>
    <row r="201" spans="1:5" ht="17.25" customHeight="1" x14ac:dyDescent="0.3">
      <c r="A201" s="90">
        <v>43214</v>
      </c>
      <c r="B201" s="128" t="s">
        <v>1038</v>
      </c>
      <c r="C201" s="8">
        <v>22</v>
      </c>
      <c r="D201" s="122">
        <v>1444</v>
      </c>
      <c r="E201" s="129">
        <v>2250</v>
      </c>
    </row>
    <row r="202" spans="1:5" ht="17.25" customHeight="1" x14ac:dyDescent="0.3">
      <c r="A202" s="90">
        <v>43215</v>
      </c>
      <c r="B202" s="128" t="s">
        <v>1039</v>
      </c>
      <c r="C202" s="8">
        <v>22</v>
      </c>
      <c r="D202" s="122">
        <v>1444</v>
      </c>
      <c r="E202" s="129">
        <v>2250</v>
      </c>
    </row>
    <row r="203" spans="1:5" ht="17.25" customHeight="1" x14ac:dyDescent="0.3">
      <c r="A203" s="90">
        <v>43216</v>
      </c>
      <c r="B203" s="128" t="s">
        <v>1040</v>
      </c>
      <c r="C203" s="8">
        <v>22</v>
      </c>
      <c r="D203" s="122">
        <v>1444</v>
      </c>
      <c r="E203" s="129">
        <v>2250</v>
      </c>
    </row>
    <row r="204" spans="1:5" ht="17.25" customHeight="1" x14ac:dyDescent="0.3">
      <c r="A204" s="90">
        <v>43217</v>
      </c>
      <c r="B204" s="128" t="s">
        <v>1041</v>
      </c>
      <c r="C204" s="8">
        <v>22</v>
      </c>
      <c r="D204" s="122">
        <v>1444</v>
      </c>
      <c r="E204" s="129">
        <v>2250</v>
      </c>
    </row>
    <row r="205" spans="1:5" ht="17.25" customHeight="1" x14ac:dyDescent="0.3">
      <c r="A205" s="90">
        <v>43243</v>
      </c>
      <c r="B205" s="128" t="s">
        <v>1042</v>
      </c>
      <c r="C205" s="8">
        <v>22</v>
      </c>
      <c r="D205" s="122">
        <v>1444</v>
      </c>
      <c r="E205" s="129">
        <v>2250</v>
      </c>
    </row>
    <row r="206" spans="1:5" ht="17.25" customHeight="1" x14ac:dyDescent="0.3">
      <c r="A206" s="90">
        <v>43244</v>
      </c>
      <c r="B206" s="128" t="s">
        <v>1043</v>
      </c>
      <c r="C206" s="8">
        <v>22</v>
      </c>
      <c r="D206" s="122">
        <v>1444</v>
      </c>
      <c r="E206" s="129">
        <v>2250</v>
      </c>
    </row>
    <row r="207" spans="1:5" ht="17.25" customHeight="1" x14ac:dyDescent="0.3">
      <c r="A207" s="90">
        <v>43245</v>
      </c>
      <c r="B207" s="128" t="s">
        <v>1044</v>
      </c>
      <c r="C207" s="8">
        <v>22</v>
      </c>
      <c r="D207" s="122">
        <v>1444</v>
      </c>
      <c r="E207" s="129">
        <v>2250</v>
      </c>
    </row>
    <row r="208" spans="1:5" ht="17.25" customHeight="1" x14ac:dyDescent="0.3">
      <c r="A208" s="90">
        <v>43246</v>
      </c>
      <c r="B208" s="128" t="s">
        <v>1045</v>
      </c>
      <c r="C208" s="8">
        <v>22</v>
      </c>
      <c r="D208" s="122">
        <v>1444</v>
      </c>
      <c r="E208" s="129">
        <v>2250</v>
      </c>
    </row>
    <row r="209" spans="1:5" ht="17.25" customHeight="1" x14ac:dyDescent="0.3">
      <c r="A209" s="90">
        <v>43247</v>
      </c>
      <c r="B209" s="128" t="s">
        <v>1046</v>
      </c>
      <c r="C209" s="8">
        <v>22</v>
      </c>
      <c r="D209" s="122">
        <v>1444</v>
      </c>
      <c r="E209" s="129">
        <v>2250</v>
      </c>
    </row>
    <row r="210" spans="1:5" ht="17.25" customHeight="1" x14ac:dyDescent="0.3">
      <c r="A210" s="90">
        <v>43248</v>
      </c>
      <c r="B210" s="128" t="s">
        <v>151</v>
      </c>
      <c r="C210" s="8">
        <v>22</v>
      </c>
      <c r="D210" s="122">
        <v>1444</v>
      </c>
      <c r="E210" s="129">
        <v>2250</v>
      </c>
    </row>
    <row r="211" spans="1:5" ht="17.25" customHeight="1" x14ac:dyDescent="0.3">
      <c r="A211" s="90">
        <v>43249</v>
      </c>
      <c r="B211" s="128" t="s">
        <v>152</v>
      </c>
      <c r="C211" s="8">
        <v>22</v>
      </c>
      <c r="D211" s="122">
        <v>1444</v>
      </c>
      <c r="E211" s="129">
        <v>2250</v>
      </c>
    </row>
    <row r="212" spans="1:5" ht="17.25" customHeight="1" x14ac:dyDescent="0.3">
      <c r="A212" s="90">
        <v>43368</v>
      </c>
      <c r="B212" s="128" t="s">
        <v>1047</v>
      </c>
      <c r="C212" s="8">
        <v>18</v>
      </c>
      <c r="D212" s="122">
        <v>1187</v>
      </c>
      <c r="E212" s="129">
        <v>1850</v>
      </c>
    </row>
    <row r="213" spans="1:5" ht="17.25" customHeight="1" x14ac:dyDescent="0.3">
      <c r="A213" s="90">
        <v>43369</v>
      </c>
      <c r="B213" s="128" t="s">
        <v>1048</v>
      </c>
      <c r="C213" s="8">
        <v>18</v>
      </c>
      <c r="D213" s="122">
        <v>1187</v>
      </c>
      <c r="E213" s="129">
        <v>1850</v>
      </c>
    </row>
    <row r="214" spans="1:5" ht="17.25" customHeight="1" x14ac:dyDescent="0.3">
      <c r="A214" s="90">
        <v>43370</v>
      </c>
      <c r="B214" s="128" t="s">
        <v>1049</v>
      </c>
      <c r="C214" s="8">
        <v>18</v>
      </c>
      <c r="D214" s="122">
        <v>1187</v>
      </c>
      <c r="E214" s="129">
        <v>1850</v>
      </c>
    </row>
    <row r="215" spans="1:5" ht="17.25" customHeight="1" x14ac:dyDescent="0.3">
      <c r="A215" s="90">
        <v>43371</v>
      </c>
      <c r="B215" s="128" t="s">
        <v>1050</v>
      </c>
      <c r="C215" s="8">
        <v>18</v>
      </c>
      <c r="D215" s="122">
        <v>1187</v>
      </c>
      <c r="E215" s="129">
        <v>1850</v>
      </c>
    </row>
    <row r="216" spans="1:5" ht="17.25" customHeight="1" x14ac:dyDescent="0.3">
      <c r="A216" s="90">
        <v>43372</v>
      </c>
      <c r="B216" s="128" t="s">
        <v>1051</v>
      </c>
      <c r="C216" s="8">
        <v>18</v>
      </c>
      <c r="D216" s="122">
        <v>1187</v>
      </c>
      <c r="E216" s="129">
        <v>1850</v>
      </c>
    </row>
    <row r="217" spans="1:5" ht="17.25" customHeight="1" x14ac:dyDescent="0.3">
      <c r="A217" s="90">
        <v>43373</v>
      </c>
      <c r="B217" s="128" t="s">
        <v>1052</v>
      </c>
      <c r="C217" s="8">
        <v>18</v>
      </c>
      <c r="D217" s="122">
        <v>1187</v>
      </c>
      <c r="E217" s="129">
        <v>1850</v>
      </c>
    </row>
    <row r="218" spans="1:5" ht="17.25" customHeight="1" x14ac:dyDescent="0.3">
      <c r="A218" s="90">
        <v>43416</v>
      </c>
      <c r="B218" s="128" t="s">
        <v>1053</v>
      </c>
      <c r="C218" s="8">
        <v>11</v>
      </c>
      <c r="D218" s="122">
        <v>738</v>
      </c>
      <c r="E218" s="129">
        <v>1150</v>
      </c>
    </row>
    <row r="219" spans="1:5" ht="17.25" customHeight="1" x14ac:dyDescent="0.3">
      <c r="A219" s="90">
        <v>43624</v>
      </c>
      <c r="B219" s="128" t="s">
        <v>1054</v>
      </c>
      <c r="C219" s="8">
        <v>8</v>
      </c>
      <c r="D219" s="122">
        <v>526</v>
      </c>
      <c r="E219" s="129">
        <v>820</v>
      </c>
    </row>
    <row r="220" spans="1:5" ht="17.25" customHeight="1" x14ac:dyDescent="0.3">
      <c r="A220" s="90">
        <v>43662</v>
      </c>
      <c r="B220" s="128" t="s">
        <v>1055</v>
      </c>
      <c r="C220" s="8">
        <v>9</v>
      </c>
      <c r="D220" s="122">
        <v>609</v>
      </c>
      <c r="E220" s="129">
        <v>950</v>
      </c>
    </row>
    <row r="221" spans="1:5" ht="17.25" customHeight="1" x14ac:dyDescent="0.3">
      <c r="A221" s="90">
        <v>43663</v>
      </c>
      <c r="B221" s="128" t="s">
        <v>1056</v>
      </c>
      <c r="C221" s="8">
        <v>9</v>
      </c>
      <c r="D221" s="122">
        <v>609</v>
      </c>
      <c r="E221" s="129">
        <v>950</v>
      </c>
    </row>
    <row r="222" spans="1:5" ht="17.25" customHeight="1" x14ac:dyDescent="0.3">
      <c r="A222" s="90">
        <v>43925</v>
      </c>
      <c r="B222" s="128" t="s">
        <v>1057</v>
      </c>
      <c r="C222" s="8">
        <v>6</v>
      </c>
      <c r="D222" s="122">
        <v>404</v>
      </c>
      <c r="E222" s="129">
        <v>630</v>
      </c>
    </row>
    <row r="223" spans="1:5" ht="17.25" customHeight="1" x14ac:dyDescent="0.3">
      <c r="A223" s="90">
        <v>43926</v>
      </c>
      <c r="B223" s="128" t="s">
        <v>1058</v>
      </c>
      <c r="C223" s="8">
        <v>5</v>
      </c>
      <c r="D223" s="122">
        <v>321</v>
      </c>
      <c r="E223" s="129">
        <v>500</v>
      </c>
    </row>
    <row r="224" spans="1:5" ht="17.25" customHeight="1" x14ac:dyDescent="0.3">
      <c r="A224" s="90">
        <v>43929</v>
      </c>
      <c r="B224" s="128" t="s">
        <v>1059</v>
      </c>
      <c r="C224" s="8">
        <v>3</v>
      </c>
      <c r="D224" s="122">
        <v>186</v>
      </c>
      <c r="E224" s="129">
        <v>290</v>
      </c>
    </row>
    <row r="225" spans="1:5" ht="17.25" customHeight="1" x14ac:dyDescent="0.3">
      <c r="A225" s="90">
        <v>43985</v>
      </c>
      <c r="B225" s="128" t="s">
        <v>1060</v>
      </c>
      <c r="C225" s="8">
        <v>11</v>
      </c>
      <c r="D225" s="122">
        <v>738</v>
      </c>
      <c r="E225" s="129">
        <v>1150</v>
      </c>
    </row>
    <row r="226" spans="1:5" ht="17.25" customHeight="1" x14ac:dyDescent="0.3">
      <c r="A226" s="90">
        <v>43986</v>
      </c>
      <c r="B226" s="128" t="s">
        <v>1061</v>
      </c>
      <c r="C226" s="8">
        <v>11</v>
      </c>
      <c r="D226" s="122">
        <v>738</v>
      </c>
      <c r="E226" s="129">
        <v>1150</v>
      </c>
    </row>
    <row r="227" spans="1:5" ht="17.25" customHeight="1" x14ac:dyDescent="0.3">
      <c r="A227" s="90">
        <v>43987</v>
      </c>
      <c r="B227" s="128" t="s">
        <v>1062</v>
      </c>
      <c r="C227" s="8">
        <v>11</v>
      </c>
      <c r="D227" s="122">
        <v>738</v>
      </c>
      <c r="E227" s="129">
        <v>1150</v>
      </c>
    </row>
    <row r="228" spans="1:5" ht="17.25" customHeight="1" x14ac:dyDescent="0.3">
      <c r="A228" s="90">
        <v>44004</v>
      </c>
      <c r="B228" s="128" t="s">
        <v>1063</v>
      </c>
      <c r="C228" s="8">
        <v>5</v>
      </c>
      <c r="D228" s="122">
        <v>160</v>
      </c>
      <c r="E228" s="129">
        <v>500</v>
      </c>
    </row>
    <row r="229" spans="1:5" ht="17.25" customHeight="1" x14ac:dyDescent="0.3">
      <c r="A229" s="90">
        <v>44005</v>
      </c>
      <c r="B229" s="128" t="s">
        <v>1064</v>
      </c>
      <c r="C229" s="8">
        <v>3</v>
      </c>
      <c r="D229" s="122">
        <v>100</v>
      </c>
      <c r="E229" s="129">
        <v>310</v>
      </c>
    </row>
    <row r="230" spans="1:5" ht="17.25" customHeight="1" x14ac:dyDescent="0.3">
      <c r="A230" s="90">
        <v>44008</v>
      </c>
      <c r="B230" s="128" t="s">
        <v>1065</v>
      </c>
      <c r="C230" s="8">
        <v>12</v>
      </c>
      <c r="D230" s="122">
        <v>802</v>
      </c>
      <c r="E230" s="129">
        <v>1250</v>
      </c>
    </row>
    <row r="231" spans="1:5" ht="17.25" customHeight="1" x14ac:dyDescent="0.3">
      <c r="A231" s="90">
        <v>44288</v>
      </c>
      <c r="B231" s="128" t="s">
        <v>127</v>
      </c>
      <c r="C231" s="8">
        <v>17</v>
      </c>
      <c r="D231" s="122">
        <v>1123</v>
      </c>
      <c r="E231" s="129">
        <v>1750</v>
      </c>
    </row>
    <row r="232" spans="1:5" ht="17.25" customHeight="1" x14ac:dyDescent="0.3">
      <c r="A232" s="90">
        <v>44307</v>
      </c>
      <c r="B232" s="128" t="s">
        <v>1066</v>
      </c>
      <c r="C232" s="8">
        <v>17</v>
      </c>
      <c r="D232" s="122">
        <v>1123</v>
      </c>
      <c r="E232" s="129">
        <v>1750</v>
      </c>
    </row>
    <row r="233" spans="1:5" ht="17.25" customHeight="1" x14ac:dyDescent="0.3">
      <c r="A233" s="90">
        <v>44308</v>
      </c>
      <c r="B233" s="128" t="s">
        <v>134</v>
      </c>
      <c r="C233" s="8">
        <v>17</v>
      </c>
      <c r="D233" s="122">
        <v>1123</v>
      </c>
      <c r="E233" s="129">
        <v>1750</v>
      </c>
    </row>
    <row r="234" spans="1:5" ht="17.25" customHeight="1" x14ac:dyDescent="0.3">
      <c r="A234" s="90">
        <v>44327</v>
      </c>
      <c r="B234" s="128" t="s">
        <v>1067</v>
      </c>
      <c r="C234" s="8">
        <v>17</v>
      </c>
      <c r="D234" s="122">
        <v>1123</v>
      </c>
      <c r="E234" s="129">
        <v>1750</v>
      </c>
    </row>
    <row r="235" spans="1:5" ht="17.25" customHeight="1" x14ac:dyDescent="0.3">
      <c r="A235" s="90">
        <v>44328</v>
      </c>
      <c r="B235" s="128" t="s">
        <v>1068</v>
      </c>
      <c r="C235" s="8">
        <v>17</v>
      </c>
      <c r="D235" s="122">
        <v>1123</v>
      </c>
      <c r="E235" s="129">
        <v>1750</v>
      </c>
    </row>
    <row r="236" spans="1:5" ht="17.25" customHeight="1" x14ac:dyDescent="0.3">
      <c r="A236" s="90">
        <v>44351</v>
      </c>
      <c r="B236" s="128" t="s">
        <v>1069</v>
      </c>
      <c r="C236" s="8">
        <v>5</v>
      </c>
      <c r="D236" s="122">
        <v>353</v>
      </c>
      <c r="E236" s="129">
        <v>550</v>
      </c>
    </row>
    <row r="237" spans="1:5" ht="17.25" customHeight="1" x14ac:dyDescent="0.3">
      <c r="A237" s="90">
        <v>44352</v>
      </c>
      <c r="B237" s="128" t="s">
        <v>1070</v>
      </c>
      <c r="C237" s="8">
        <v>7</v>
      </c>
      <c r="D237" s="122">
        <v>481</v>
      </c>
      <c r="E237" s="129">
        <v>750</v>
      </c>
    </row>
    <row r="238" spans="1:5" ht="17.25" customHeight="1" x14ac:dyDescent="0.3">
      <c r="A238" s="90">
        <v>44370</v>
      </c>
      <c r="B238" s="128" t="s">
        <v>1071</v>
      </c>
      <c r="C238" s="8">
        <v>9</v>
      </c>
      <c r="D238" s="122">
        <v>565</v>
      </c>
      <c r="E238" s="129">
        <v>880</v>
      </c>
    </row>
    <row r="239" spans="1:5" ht="17.25" customHeight="1" x14ac:dyDescent="0.3">
      <c r="A239" s="90">
        <v>44551</v>
      </c>
      <c r="B239" s="128" t="s">
        <v>875</v>
      </c>
      <c r="C239" s="8">
        <v>10</v>
      </c>
      <c r="D239" s="122">
        <v>623</v>
      </c>
      <c r="E239" s="129">
        <v>970</v>
      </c>
    </row>
    <row r="240" spans="1:5" ht="17.25" customHeight="1" x14ac:dyDescent="0.3">
      <c r="A240" s="90">
        <v>44552</v>
      </c>
      <c r="B240" s="128" t="s">
        <v>876</v>
      </c>
      <c r="C240" s="8">
        <v>10</v>
      </c>
      <c r="D240" s="122">
        <v>623</v>
      </c>
      <c r="E240" s="129">
        <v>970</v>
      </c>
    </row>
    <row r="241" spans="1:5" ht="17.25" customHeight="1" x14ac:dyDescent="0.3">
      <c r="A241" s="90">
        <v>44553</v>
      </c>
      <c r="B241" s="128" t="s">
        <v>877</v>
      </c>
      <c r="C241" s="8">
        <v>10</v>
      </c>
      <c r="D241" s="122">
        <v>623</v>
      </c>
      <c r="E241" s="129">
        <v>970</v>
      </c>
    </row>
    <row r="242" spans="1:5" ht="17.25" customHeight="1" x14ac:dyDescent="0.3">
      <c r="A242" s="90">
        <v>44821</v>
      </c>
      <c r="B242" s="128" t="s">
        <v>1072</v>
      </c>
      <c r="C242" s="8">
        <v>12</v>
      </c>
      <c r="D242" s="122">
        <v>802</v>
      </c>
      <c r="E242" s="129">
        <v>1250</v>
      </c>
    </row>
    <row r="243" spans="1:5" ht="17.25" customHeight="1" x14ac:dyDescent="0.3">
      <c r="A243" s="90">
        <v>44822</v>
      </c>
      <c r="B243" s="128" t="s">
        <v>1073</v>
      </c>
      <c r="C243" s="8">
        <v>12</v>
      </c>
      <c r="D243" s="122">
        <v>802</v>
      </c>
      <c r="E243" s="129">
        <v>1250</v>
      </c>
    </row>
    <row r="244" spans="1:5" ht="17.25" customHeight="1" x14ac:dyDescent="0.3">
      <c r="A244" s="90">
        <v>44823</v>
      </c>
      <c r="B244" s="128" t="s">
        <v>1074</v>
      </c>
      <c r="C244" s="8">
        <v>12</v>
      </c>
      <c r="D244" s="122">
        <v>802</v>
      </c>
      <c r="E244" s="129">
        <v>1250</v>
      </c>
    </row>
    <row r="245" spans="1:5" ht="17.25" customHeight="1" x14ac:dyDescent="0.3">
      <c r="A245" s="90">
        <v>44824</v>
      </c>
      <c r="B245" s="128" t="s">
        <v>1075</v>
      </c>
      <c r="C245" s="8">
        <v>12</v>
      </c>
      <c r="D245" s="122">
        <v>802</v>
      </c>
      <c r="E245" s="129">
        <v>1250</v>
      </c>
    </row>
    <row r="246" spans="1:5" ht="17.25" customHeight="1" x14ac:dyDescent="0.3">
      <c r="A246" s="90">
        <v>44826</v>
      </c>
      <c r="B246" s="128" t="s">
        <v>1076</v>
      </c>
      <c r="C246" s="8">
        <v>12</v>
      </c>
      <c r="D246" s="122">
        <v>802</v>
      </c>
      <c r="E246" s="129">
        <v>1250</v>
      </c>
    </row>
    <row r="247" spans="1:5" ht="17.25" customHeight="1" x14ac:dyDescent="0.3">
      <c r="A247" s="90">
        <v>44827</v>
      </c>
      <c r="B247" s="128" t="s">
        <v>1077</v>
      </c>
      <c r="C247" s="8">
        <v>12</v>
      </c>
      <c r="D247" s="122">
        <v>802</v>
      </c>
      <c r="E247" s="129">
        <v>1250</v>
      </c>
    </row>
    <row r="248" spans="1:5" ht="17.25" customHeight="1" x14ac:dyDescent="0.3">
      <c r="A248" s="90">
        <v>44828</v>
      </c>
      <c r="B248" s="128" t="s">
        <v>1078</v>
      </c>
      <c r="C248" s="8">
        <v>12</v>
      </c>
      <c r="D248" s="122">
        <v>802</v>
      </c>
      <c r="E248" s="129">
        <v>1250</v>
      </c>
    </row>
    <row r="249" spans="1:5" ht="17.25" customHeight="1" x14ac:dyDescent="0.3">
      <c r="A249" s="90">
        <v>44829</v>
      </c>
      <c r="B249" s="128" t="s">
        <v>1079</v>
      </c>
      <c r="C249" s="8">
        <v>12</v>
      </c>
      <c r="D249" s="122">
        <v>802</v>
      </c>
      <c r="E249" s="129">
        <v>1250</v>
      </c>
    </row>
    <row r="250" spans="1:5" ht="17.25" customHeight="1" x14ac:dyDescent="0.3">
      <c r="A250" s="90">
        <v>44830</v>
      </c>
      <c r="B250" s="128" t="s">
        <v>1080</v>
      </c>
      <c r="C250" s="8">
        <v>12</v>
      </c>
      <c r="D250" s="122">
        <v>802</v>
      </c>
      <c r="E250" s="129">
        <v>1250</v>
      </c>
    </row>
    <row r="251" spans="1:5" ht="17.25" customHeight="1" x14ac:dyDescent="0.3">
      <c r="A251" s="90">
        <v>44952</v>
      </c>
      <c r="B251" s="128" t="s">
        <v>1081</v>
      </c>
      <c r="C251" s="8">
        <v>6</v>
      </c>
      <c r="D251" s="122">
        <v>385</v>
      </c>
      <c r="E251" s="129">
        <v>600</v>
      </c>
    </row>
    <row r="252" spans="1:5" ht="17.25" customHeight="1" x14ac:dyDescent="0.3">
      <c r="A252" s="90">
        <v>44954</v>
      </c>
      <c r="B252" s="128" t="s">
        <v>1082</v>
      </c>
      <c r="C252" s="8">
        <v>4</v>
      </c>
      <c r="D252" s="122">
        <v>269</v>
      </c>
      <c r="E252" s="129">
        <v>420</v>
      </c>
    </row>
    <row r="253" spans="1:5" ht="17.25" customHeight="1" x14ac:dyDescent="0.3">
      <c r="A253" s="90">
        <v>45068</v>
      </c>
      <c r="B253" s="128" t="s">
        <v>695</v>
      </c>
      <c r="C253" s="8">
        <v>21</v>
      </c>
      <c r="D253" s="122">
        <v>674</v>
      </c>
      <c r="E253" s="129">
        <v>2100</v>
      </c>
    </row>
    <row r="254" spans="1:5" ht="17.25" customHeight="1" x14ac:dyDescent="0.3">
      <c r="A254" s="90">
        <v>45357</v>
      </c>
      <c r="B254" s="128" t="s">
        <v>133</v>
      </c>
      <c r="C254" s="8">
        <v>43</v>
      </c>
      <c r="D254" s="122">
        <v>2759</v>
      </c>
      <c r="E254" s="129">
        <v>4300</v>
      </c>
    </row>
    <row r="255" spans="1:5" ht="17.25" customHeight="1" x14ac:dyDescent="0.3">
      <c r="A255" s="90">
        <v>45382</v>
      </c>
      <c r="B255" s="128" t="s">
        <v>153</v>
      </c>
      <c r="C255" s="8">
        <v>17</v>
      </c>
      <c r="D255" s="122">
        <v>1123</v>
      </c>
      <c r="E255" s="129">
        <v>1750</v>
      </c>
    </row>
    <row r="256" spans="1:5" ht="17.25" customHeight="1" x14ac:dyDescent="0.3">
      <c r="A256" s="90">
        <v>45391</v>
      </c>
      <c r="B256" s="128" t="s">
        <v>1083</v>
      </c>
      <c r="C256" s="8">
        <v>10</v>
      </c>
      <c r="D256" s="122">
        <v>623</v>
      </c>
      <c r="E256" s="129">
        <v>970</v>
      </c>
    </row>
    <row r="257" spans="1:5" ht="17.25" customHeight="1" x14ac:dyDescent="0.3">
      <c r="A257" s="90">
        <v>45392</v>
      </c>
      <c r="B257" s="128" t="s">
        <v>1084</v>
      </c>
      <c r="C257" s="8">
        <v>10</v>
      </c>
      <c r="D257" s="122">
        <v>623</v>
      </c>
      <c r="E257" s="129">
        <v>970</v>
      </c>
    </row>
    <row r="258" spans="1:5" ht="17.25" customHeight="1" x14ac:dyDescent="0.3">
      <c r="A258" s="90">
        <v>45393</v>
      </c>
      <c r="B258" s="128" t="s">
        <v>1085</v>
      </c>
      <c r="C258" s="8">
        <v>10</v>
      </c>
      <c r="D258" s="122">
        <v>623</v>
      </c>
      <c r="E258" s="129">
        <v>970</v>
      </c>
    </row>
    <row r="259" spans="1:5" ht="17.25" customHeight="1" x14ac:dyDescent="0.3">
      <c r="A259" s="90">
        <v>45394</v>
      </c>
      <c r="B259" s="128" t="s">
        <v>1086</v>
      </c>
      <c r="C259" s="8">
        <v>10</v>
      </c>
      <c r="D259" s="122">
        <v>623</v>
      </c>
      <c r="E259" s="129">
        <v>970</v>
      </c>
    </row>
    <row r="260" spans="1:5" ht="17.25" customHeight="1" x14ac:dyDescent="0.3">
      <c r="A260" s="90">
        <v>45551</v>
      </c>
      <c r="B260" s="128" t="s">
        <v>1087</v>
      </c>
      <c r="C260" s="8">
        <v>15</v>
      </c>
      <c r="D260" s="122">
        <v>962</v>
      </c>
      <c r="E260" s="129">
        <v>1500</v>
      </c>
    </row>
    <row r="261" spans="1:5" ht="17.25" customHeight="1" x14ac:dyDescent="0.3">
      <c r="A261" s="90">
        <v>45552</v>
      </c>
      <c r="B261" s="128" t="s">
        <v>1088</v>
      </c>
      <c r="C261" s="8">
        <v>15</v>
      </c>
      <c r="D261" s="122">
        <v>962</v>
      </c>
      <c r="E261" s="129">
        <v>1500</v>
      </c>
    </row>
    <row r="262" spans="1:5" ht="17.25" customHeight="1" x14ac:dyDescent="0.3">
      <c r="A262" s="90">
        <v>45556</v>
      </c>
      <c r="B262" s="128" t="s">
        <v>1089</v>
      </c>
      <c r="C262" s="8">
        <v>14</v>
      </c>
      <c r="D262" s="122">
        <v>898</v>
      </c>
      <c r="E262" s="129">
        <v>1400</v>
      </c>
    </row>
    <row r="263" spans="1:5" ht="17.25" customHeight="1" x14ac:dyDescent="0.3">
      <c r="A263" s="90">
        <v>45557</v>
      </c>
      <c r="B263" s="128" t="s">
        <v>1090</v>
      </c>
      <c r="C263" s="8">
        <v>14</v>
      </c>
      <c r="D263" s="122">
        <v>898</v>
      </c>
      <c r="E263" s="129">
        <v>1400</v>
      </c>
    </row>
    <row r="264" spans="1:5" ht="17.25" customHeight="1" x14ac:dyDescent="0.3">
      <c r="A264" s="90">
        <v>45558</v>
      </c>
      <c r="B264" s="128" t="s">
        <v>1091</v>
      </c>
      <c r="C264" s="8">
        <v>14</v>
      </c>
      <c r="D264" s="122">
        <v>898</v>
      </c>
      <c r="E264" s="129">
        <v>1400</v>
      </c>
    </row>
    <row r="265" spans="1:5" ht="17.25" customHeight="1" x14ac:dyDescent="0.3">
      <c r="A265" s="90">
        <v>45559</v>
      </c>
      <c r="B265" s="128" t="s">
        <v>1092</v>
      </c>
      <c r="C265" s="8">
        <v>14</v>
      </c>
      <c r="D265" s="122">
        <v>898</v>
      </c>
      <c r="E265" s="129">
        <v>1400</v>
      </c>
    </row>
    <row r="266" spans="1:5" ht="17.25" customHeight="1" x14ac:dyDescent="0.3">
      <c r="A266" s="90">
        <v>45560</v>
      </c>
      <c r="B266" s="128" t="s">
        <v>1093</v>
      </c>
      <c r="C266" s="8">
        <v>14</v>
      </c>
      <c r="D266" s="122">
        <v>898</v>
      </c>
      <c r="E266" s="129">
        <v>1400</v>
      </c>
    </row>
    <row r="267" spans="1:5" ht="17.25" customHeight="1" x14ac:dyDescent="0.3">
      <c r="A267" s="90">
        <v>45561</v>
      </c>
      <c r="B267" s="128" t="s">
        <v>1094</v>
      </c>
      <c r="C267" s="8">
        <v>14</v>
      </c>
      <c r="D267" s="122">
        <v>898</v>
      </c>
      <c r="E267" s="129">
        <v>1400</v>
      </c>
    </row>
    <row r="268" spans="1:5" ht="17.25" customHeight="1" x14ac:dyDescent="0.3">
      <c r="A268" s="90">
        <v>45562</v>
      </c>
      <c r="B268" s="128" t="s">
        <v>1095</v>
      </c>
      <c r="C268" s="8">
        <v>14</v>
      </c>
      <c r="D268" s="122">
        <v>898</v>
      </c>
      <c r="E268" s="129">
        <v>1400</v>
      </c>
    </row>
    <row r="269" spans="1:5" ht="17.25" customHeight="1" x14ac:dyDescent="0.3">
      <c r="A269" s="90">
        <v>45563</v>
      </c>
      <c r="B269" s="128" t="s">
        <v>1096</v>
      </c>
      <c r="C269" s="8">
        <v>14</v>
      </c>
      <c r="D269" s="122">
        <v>898</v>
      </c>
      <c r="E269" s="129">
        <v>1400</v>
      </c>
    </row>
    <row r="270" spans="1:5" ht="17.25" customHeight="1" x14ac:dyDescent="0.3">
      <c r="A270" s="90">
        <v>45564</v>
      </c>
      <c r="B270" s="128" t="s">
        <v>1097</v>
      </c>
      <c r="C270" s="8">
        <v>14</v>
      </c>
      <c r="D270" s="122">
        <v>898</v>
      </c>
      <c r="E270" s="129">
        <v>1400</v>
      </c>
    </row>
    <row r="271" spans="1:5" ht="17.25" customHeight="1" x14ac:dyDescent="0.3">
      <c r="A271" s="90">
        <v>45565</v>
      </c>
      <c r="B271" s="128" t="s">
        <v>1098</v>
      </c>
      <c r="C271" s="8">
        <v>14</v>
      </c>
      <c r="D271" s="122">
        <v>898</v>
      </c>
      <c r="E271" s="129">
        <v>1400</v>
      </c>
    </row>
    <row r="272" spans="1:5" ht="17.25" customHeight="1" x14ac:dyDescent="0.3">
      <c r="A272" s="90">
        <v>45799</v>
      </c>
      <c r="B272" s="128" t="s">
        <v>1099</v>
      </c>
      <c r="C272" s="8">
        <v>12</v>
      </c>
      <c r="D272" s="122">
        <v>802</v>
      </c>
      <c r="E272" s="129">
        <v>1250</v>
      </c>
    </row>
    <row r="273" spans="1:5" ht="17.25" customHeight="1" x14ac:dyDescent="0.3">
      <c r="A273" s="90">
        <v>45847</v>
      </c>
      <c r="B273" s="128" t="s">
        <v>1100</v>
      </c>
      <c r="C273" s="8">
        <v>42</v>
      </c>
      <c r="D273" s="122">
        <v>1347</v>
      </c>
      <c r="E273" s="129">
        <v>4200</v>
      </c>
    </row>
    <row r="274" spans="1:5" ht="17.25" customHeight="1" x14ac:dyDescent="0.3">
      <c r="A274" s="90">
        <v>45890</v>
      </c>
      <c r="B274" s="128" t="s">
        <v>1101</v>
      </c>
      <c r="C274" s="8">
        <v>28</v>
      </c>
      <c r="D274" s="122">
        <v>1797</v>
      </c>
      <c r="E274" s="129">
        <v>2800</v>
      </c>
    </row>
    <row r="275" spans="1:5" ht="17.25" customHeight="1" x14ac:dyDescent="0.3">
      <c r="A275" s="90">
        <v>45929</v>
      </c>
      <c r="B275" s="128" t="s">
        <v>1102</v>
      </c>
      <c r="C275" s="8">
        <v>7</v>
      </c>
      <c r="D275" s="122">
        <v>449</v>
      </c>
      <c r="E275" s="129">
        <v>700</v>
      </c>
    </row>
    <row r="276" spans="1:5" ht="17.25" customHeight="1" x14ac:dyDescent="0.3">
      <c r="A276" s="90">
        <v>45930</v>
      </c>
      <c r="B276" s="128" t="s">
        <v>1103</v>
      </c>
      <c r="C276" s="8">
        <v>7</v>
      </c>
      <c r="D276" s="122">
        <v>449</v>
      </c>
      <c r="E276" s="129">
        <v>700</v>
      </c>
    </row>
    <row r="277" spans="1:5" ht="17.25" customHeight="1" x14ac:dyDescent="0.3">
      <c r="A277" s="90">
        <v>45931</v>
      </c>
      <c r="B277" s="128" t="s">
        <v>1104</v>
      </c>
      <c r="C277" s="8">
        <v>7</v>
      </c>
      <c r="D277" s="122">
        <v>449</v>
      </c>
      <c r="E277" s="129">
        <v>700</v>
      </c>
    </row>
    <row r="278" spans="1:5" ht="17.25" customHeight="1" x14ac:dyDescent="0.3">
      <c r="A278" s="90">
        <v>45932</v>
      </c>
      <c r="B278" s="128" t="s">
        <v>1105</v>
      </c>
      <c r="C278" s="8">
        <v>7</v>
      </c>
      <c r="D278" s="122">
        <v>449</v>
      </c>
      <c r="E278" s="129">
        <v>700</v>
      </c>
    </row>
    <row r="279" spans="1:5" ht="17.25" customHeight="1" x14ac:dyDescent="0.3">
      <c r="A279" s="90">
        <v>45933</v>
      </c>
      <c r="B279" s="128" t="s">
        <v>1106</v>
      </c>
      <c r="C279" s="8">
        <v>4</v>
      </c>
      <c r="D279" s="122">
        <v>276</v>
      </c>
      <c r="E279" s="129">
        <v>430</v>
      </c>
    </row>
    <row r="280" spans="1:5" ht="17.25" customHeight="1" x14ac:dyDescent="0.3">
      <c r="A280" s="90">
        <v>45934</v>
      </c>
      <c r="B280" s="128" t="s">
        <v>1107</v>
      </c>
      <c r="C280" s="8">
        <v>4</v>
      </c>
      <c r="D280" s="122">
        <v>276</v>
      </c>
      <c r="E280" s="129">
        <v>430</v>
      </c>
    </row>
    <row r="281" spans="1:5" ht="17.25" customHeight="1" x14ac:dyDescent="0.3">
      <c r="A281" s="90">
        <v>45935</v>
      </c>
      <c r="B281" s="128" t="s">
        <v>1108</v>
      </c>
      <c r="C281" s="8">
        <v>4</v>
      </c>
      <c r="D281" s="122">
        <v>276</v>
      </c>
      <c r="E281" s="129">
        <v>430</v>
      </c>
    </row>
    <row r="282" spans="1:5" ht="17.25" customHeight="1" x14ac:dyDescent="0.3">
      <c r="A282" s="90">
        <v>45936</v>
      </c>
      <c r="B282" s="128" t="s">
        <v>1109</v>
      </c>
      <c r="C282" s="8">
        <v>4</v>
      </c>
      <c r="D282" s="122">
        <v>276</v>
      </c>
      <c r="E282" s="129">
        <v>430</v>
      </c>
    </row>
    <row r="283" spans="1:5" ht="17.25" customHeight="1" x14ac:dyDescent="0.3">
      <c r="A283" s="90">
        <v>46015</v>
      </c>
      <c r="B283" s="128" t="s">
        <v>1110</v>
      </c>
      <c r="C283" s="8">
        <v>12</v>
      </c>
      <c r="D283" s="122">
        <v>385</v>
      </c>
      <c r="E283" s="129">
        <v>1200</v>
      </c>
    </row>
    <row r="284" spans="1:5" ht="17.25" customHeight="1" x14ac:dyDescent="0.3">
      <c r="A284" s="90">
        <v>46028</v>
      </c>
      <c r="B284" s="128" t="s">
        <v>1111</v>
      </c>
      <c r="C284" s="8">
        <v>35</v>
      </c>
      <c r="D284" s="122">
        <v>1123</v>
      </c>
      <c r="E284" s="129">
        <v>3500</v>
      </c>
    </row>
    <row r="285" spans="1:5" ht="17.25" customHeight="1" x14ac:dyDescent="0.3">
      <c r="A285" s="90">
        <v>46062</v>
      </c>
      <c r="B285" s="128" t="s">
        <v>1112</v>
      </c>
      <c r="C285" s="8">
        <v>22</v>
      </c>
      <c r="D285" s="122">
        <v>1444</v>
      </c>
      <c r="E285" s="129">
        <v>2250</v>
      </c>
    </row>
    <row r="286" spans="1:5" ht="17.25" customHeight="1" x14ac:dyDescent="0.3">
      <c r="A286" s="90">
        <v>46063</v>
      </c>
      <c r="B286" s="128" t="s">
        <v>1113</v>
      </c>
      <c r="C286" s="8">
        <v>22</v>
      </c>
      <c r="D286" s="122">
        <v>1444</v>
      </c>
      <c r="E286" s="129">
        <v>2250</v>
      </c>
    </row>
    <row r="287" spans="1:5" ht="17.25" customHeight="1" x14ac:dyDescent="0.3">
      <c r="A287" s="90">
        <v>46217</v>
      </c>
      <c r="B287" s="128" t="s">
        <v>1114</v>
      </c>
      <c r="C287" s="8">
        <v>22</v>
      </c>
      <c r="D287" s="122">
        <v>1444</v>
      </c>
      <c r="E287" s="129">
        <v>2250</v>
      </c>
    </row>
    <row r="288" spans="1:5" ht="17.25" customHeight="1" x14ac:dyDescent="0.3">
      <c r="A288" s="90">
        <v>46329</v>
      </c>
      <c r="B288" s="128" t="s">
        <v>1115</v>
      </c>
      <c r="C288" s="8">
        <v>15</v>
      </c>
      <c r="D288" s="122">
        <v>962</v>
      </c>
      <c r="E288" s="129">
        <v>1500</v>
      </c>
    </row>
    <row r="289" spans="1:5" ht="17.25" customHeight="1" x14ac:dyDescent="0.3">
      <c r="A289" s="90">
        <v>46330</v>
      </c>
      <c r="B289" s="128" t="s">
        <v>1116</v>
      </c>
      <c r="C289" s="8">
        <v>15</v>
      </c>
      <c r="D289" s="122">
        <v>962</v>
      </c>
      <c r="E289" s="129">
        <v>1500</v>
      </c>
    </row>
    <row r="290" spans="1:5" ht="17.25" customHeight="1" x14ac:dyDescent="0.3">
      <c r="A290" s="90">
        <v>46331</v>
      </c>
      <c r="B290" s="128" t="s">
        <v>1117</v>
      </c>
      <c r="C290" s="8">
        <v>15</v>
      </c>
      <c r="D290" s="122">
        <v>962</v>
      </c>
      <c r="E290" s="129">
        <v>1500</v>
      </c>
    </row>
    <row r="291" spans="1:5" ht="17.25" customHeight="1" x14ac:dyDescent="0.3">
      <c r="A291" s="90">
        <v>46332</v>
      </c>
      <c r="B291" s="128" t="s">
        <v>1118</v>
      </c>
      <c r="C291" s="8">
        <v>15</v>
      </c>
      <c r="D291" s="122">
        <v>962</v>
      </c>
      <c r="E291" s="129">
        <v>1500</v>
      </c>
    </row>
    <row r="292" spans="1:5" ht="17.25" customHeight="1" x14ac:dyDescent="0.3">
      <c r="A292" s="90">
        <v>46333</v>
      </c>
      <c r="B292" s="128" t="s">
        <v>1119</v>
      </c>
      <c r="C292" s="8">
        <v>15</v>
      </c>
      <c r="D292" s="122">
        <v>962</v>
      </c>
      <c r="E292" s="129">
        <v>1500</v>
      </c>
    </row>
    <row r="293" spans="1:5" ht="17.25" customHeight="1" x14ac:dyDescent="0.3">
      <c r="A293" s="90">
        <v>46334</v>
      </c>
      <c r="B293" s="128" t="s">
        <v>1120</v>
      </c>
      <c r="C293" s="8">
        <v>15</v>
      </c>
      <c r="D293" s="122">
        <v>962</v>
      </c>
      <c r="E293" s="129">
        <v>1500</v>
      </c>
    </row>
    <row r="294" spans="1:5" ht="17.25" customHeight="1" x14ac:dyDescent="0.3">
      <c r="A294" s="90">
        <v>46357</v>
      </c>
      <c r="B294" s="128" t="s">
        <v>1121</v>
      </c>
      <c r="C294" s="8">
        <v>8</v>
      </c>
      <c r="D294" s="122">
        <v>256</v>
      </c>
      <c r="E294" s="129">
        <v>800</v>
      </c>
    </row>
    <row r="295" spans="1:5" ht="17.25" customHeight="1" x14ac:dyDescent="0.3">
      <c r="A295" s="90">
        <v>46361</v>
      </c>
      <c r="B295" s="128" t="s">
        <v>1122</v>
      </c>
      <c r="C295" s="8">
        <v>9</v>
      </c>
      <c r="D295" s="122">
        <v>298</v>
      </c>
      <c r="E295" s="129">
        <v>930</v>
      </c>
    </row>
    <row r="296" spans="1:5" ht="17.25" customHeight="1" x14ac:dyDescent="0.3">
      <c r="A296" s="90">
        <v>46362</v>
      </c>
      <c r="B296" s="128" t="s">
        <v>1123</v>
      </c>
      <c r="C296" s="8">
        <v>9</v>
      </c>
      <c r="D296" s="122">
        <v>282</v>
      </c>
      <c r="E296" s="129">
        <v>880</v>
      </c>
    </row>
    <row r="297" spans="1:5" ht="17.25" customHeight="1" x14ac:dyDescent="0.3">
      <c r="A297" s="90">
        <v>46371</v>
      </c>
      <c r="B297" s="128" t="s">
        <v>1124</v>
      </c>
      <c r="C297" s="8">
        <v>8</v>
      </c>
      <c r="D297" s="122">
        <v>526</v>
      </c>
      <c r="E297" s="129">
        <v>820</v>
      </c>
    </row>
    <row r="298" spans="1:5" ht="17.25" customHeight="1" x14ac:dyDescent="0.3">
      <c r="A298" s="90">
        <v>46381</v>
      </c>
      <c r="B298" s="128" t="s">
        <v>1125</v>
      </c>
      <c r="C298" s="8">
        <v>5</v>
      </c>
      <c r="D298" s="122">
        <v>321</v>
      </c>
      <c r="E298" s="129">
        <v>500</v>
      </c>
    </row>
    <row r="299" spans="1:5" ht="17.25" customHeight="1" x14ac:dyDescent="0.3">
      <c r="A299" s="90">
        <v>46382</v>
      </c>
      <c r="B299" s="128" t="s">
        <v>1126</v>
      </c>
      <c r="C299" s="8">
        <v>6</v>
      </c>
      <c r="D299" s="122">
        <v>404</v>
      </c>
      <c r="E299" s="129">
        <v>630</v>
      </c>
    </row>
    <row r="300" spans="1:5" ht="17.25" customHeight="1" x14ac:dyDescent="0.3">
      <c r="A300" s="90">
        <v>46383</v>
      </c>
      <c r="B300" s="128" t="s">
        <v>1127</v>
      </c>
      <c r="C300" s="8">
        <v>8</v>
      </c>
      <c r="D300" s="122">
        <v>526</v>
      </c>
      <c r="E300" s="129">
        <v>820</v>
      </c>
    </row>
    <row r="301" spans="1:5" ht="17.25" customHeight="1" x14ac:dyDescent="0.3">
      <c r="A301" s="90">
        <v>46401</v>
      </c>
      <c r="B301" s="128" t="s">
        <v>1128</v>
      </c>
      <c r="C301" s="8">
        <v>8</v>
      </c>
      <c r="D301" s="122">
        <v>256</v>
      </c>
      <c r="E301" s="129">
        <v>800</v>
      </c>
    </row>
    <row r="302" spans="1:5" ht="17.25" customHeight="1" x14ac:dyDescent="0.3">
      <c r="A302" s="90">
        <v>46403</v>
      </c>
      <c r="B302" s="128" t="s">
        <v>1129</v>
      </c>
      <c r="C302" s="8">
        <v>4</v>
      </c>
      <c r="D302" s="122">
        <v>131</v>
      </c>
      <c r="E302" s="129">
        <v>410</v>
      </c>
    </row>
    <row r="303" spans="1:5" ht="17.25" customHeight="1" x14ac:dyDescent="0.3">
      <c r="A303" s="90">
        <v>46404</v>
      </c>
      <c r="B303" s="128" t="s">
        <v>1130</v>
      </c>
      <c r="C303" s="8">
        <v>4</v>
      </c>
      <c r="D303" s="122">
        <v>131</v>
      </c>
      <c r="E303" s="129">
        <v>410</v>
      </c>
    </row>
    <row r="304" spans="1:5" ht="17.25" customHeight="1" x14ac:dyDescent="0.3">
      <c r="A304" s="90">
        <v>46470</v>
      </c>
      <c r="B304" s="128" t="s">
        <v>1131</v>
      </c>
      <c r="C304" s="8">
        <v>7</v>
      </c>
      <c r="D304" s="122">
        <v>449</v>
      </c>
      <c r="E304" s="129">
        <v>700</v>
      </c>
    </row>
    <row r="305" spans="1:5" ht="17.25" customHeight="1" x14ac:dyDescent="0.3">
      <c r="A305" s="90">
        <v>46497</v>
      </c>
      <c r="B305" s="128" t="s">
        <v>1132</v>
      </c>
      <c r="C305" s="8">
        <v>3</v>
      </c>
      <c r="D305" s="122">
        <v>186</v>
      </c>
      <c r="E305" s="129">
        <v>290</v>
      </c>
    </row>
    <row r="306" spans="1:5" ht="17.25" customHeight="1" x14ac:dyDescent="0.3">
      <c r="A306" s="90">
        <v>46498</v>
      </c>
      <c r="B306" s="128" t="s">
        <v>1133</v>
      </c>
      <c r="C306" s="8">
        <v>4</v>
      </c>
      <c r="D306" s="122">
        <v>289</v>
      </c>
      <c r="E306" s="129">
        <v>450</v>
      </c>
    </row>
    <row r="307" spans="1:5" ht="17.25" customHeight="1" x14ac:dyDescent="0.3">
      <c r="A307" s="90">
        <v>46595</v>
      </c>
      <c r="B307" s="128" t="s">
        <v>1134</v>
      </c>
      <c r="C307" s="8">
        <v>9</v>
      </c>
      <c r="D307" s="122">
        <v>546</v>
      </c>
      <c r="E307" s="129">
        <v>850</v>
      </c>
    </row>
    <row r="308" spans="1:5" ht="17.25" customHeight="1" x14ac:dyDescent="0.3">
      <c r="A308" s="90">
        <v>46660</v>
      </c>
      <c r="B308" s="128" t="s">
        <v>1135</v>
      </c>
      <c r="C308" s="8">
        <v>14</v>
      </c>
      <c r="D308" s="122">
        <v>449</v>
      </c>
      <c r="E308" s="129">
        <v>1400</v>
      </c>
    </row>
    <row r="309" spans="1:5" ht="17.25" customHeight="1" x14ac:dyDescent="0.3">
      <c r="A309" s="90">
        <v>47010</v>
      </c>
      <c r="B309" s="128" t="s">
        <v>1136</v>
      </c>
      <c r="C309" s="8">
        <v>4</v>
      </c>
      <c r="D309" s="122">
        <v>269</v>
      </c>
      <c r="E309" s="129">
        <v>420</v>
      </c>
    </row>
    <row r="310" spans="1:5" ht="17.25" customHeight="1" x14ac:dyDescent="0.3">
      <c r="A310" s="90">
        <v>47193</v>
      </c>
      <c r="B310" s="128" t="s">
        <v>1137</v>
      </c>
      <c r="C310" s="8">
        <v>4</v>
      </c>
      <c r="D310" s="122">
        <v>269</v>
      </c>
      <c r="E310" s="129">
        <v>420</v>
      </c>
    </row>
    <row r="311" spans="1:5" ht="17.25" customHeight="1" x14ac:dyDescent="0.3">
      <c r="A311" s="90">
        <v>47194</v>
      </c>
      <c r="B311" s="128" t="s">
        <v>1138</v>
      </c>
      <c r="C311" s="8">
        <v>4</v>
      </c>
      <c r="D311" s="122">
        <v>269</v>
      </c>
      <c r="E311" s="129">
        <v>420</v>
      </c>
    </row>
    <row r="312" spans="1:5" ht="17.25" customHeight="1" x14ac:dyDescent="0.3">
      <c r="A312" s="90">
        <v>47195</v>
      </c>
      <c r="B312" s="128" t="s">
        <v>1139</v>
      </c>
      <c r="C312" s="8">
        <v>4</v>
      </c>
      <c r="D312" s="122">
        <v>269</v>
      </c>
      <c r="E312" s="129">
        <v>420</v>
      </c>
    </row>
    <row r="313" spans="1:5" ht="17.25" customHeight="1" x14ac:dyDescent="0.3">
      <c r="A313" s="90">
        <v>47210</v>
      </c>
      <c r="B313" s="128" t="s">
        <v>1140</v>
      </c>
      <c r="C313" s="8">
        <v>2</v>
      </c>
      <c r="D313" s="122">
        <v>80</v>
      </c>
      <c r="E313" s="129">
        <v>249</v>
      </c>
    </row>
    <row r="314" spans="1:5" ht="17.25" customHeight="1" x14ac:dyDescent="0.3">
      <c r="A314" s="90">
        <v>47212</v>
      </c>
      <c r="B314" s="128" t="s">
        <v>950</v>
      </c>
      <c r="C314" s="8">
        <v>3</v>
      </c>
      <c r="D314" s="122">
        <v>87</v>
      </c>
      <c r="E314" s="129">
        <v>270</v>
      </c>
    </row>
    <row r="315" spans="1:5" ht="17.25" customHeight="1" x14ac:dyDescent="0.3">
      <c r="A315" s="90">
        <v>47213</v>
      </c>
      <c r="B315" s="128" t="s">
        <v>1141</v>
      </c>
      <c r="C315" s="8">
        <v>9</v>
      </c>
      <c r="D315" s="122">
        <v>288</v>
      </c>
      <c r="E315" s="129">
        <v>899</v>
      </c>
    </row>
    <row r="316" spans="1:5" ht="17.25" customHeight="1" x14ac:dyDescent="0.3">
      <c r="A316" s="90">
        <v>47216</v>
      </c>
      <c r="B316" s="128" t="s">
        <v>1142</v>
      </c>
      <c r="C316" s="8">
        <v>8</v>
      </c>
      <c r="D316" s="122">
        <v>256</v>
      </c>
      <c r="E316" s="129">
        <v>800</v>
      </c>
    </row>
    <row r="317" spans="1:5" ht="17.25" customHeight="1" x14ac:dyDescent="0.3">
      <c r="A317" s="90">
        <v>47217</v>
      </c>
      <c r="B317" s="128" t="s">
        <v>1143</v>
      </c>
      <c r="C317" s="8">
        <v>12</v>
      </c>
      <c r="D317" s="122">
        <v>385</v>
      </c>
      <c r="E317" s="129">
        <v>1200</v>
      </c>
    </row>
    <row r="318" spans="1:5" ht="17.25" customHeight="1" x14ac:dyDescent="0.3">
      <c r="A318" s="90">
        <v>47218</v>
      </c>
      <c r="B318" s="128" t="s">
        <v>1144</v>
      </c>
      <c r="C318" s="8">
        <v>4</v>
      </c>
      <c r="D318" s="122">
        <v>131</v>
      </c>
      <c r="E318" s="129">
        <v>410</v>
      </c>
    </row>
    <row r="319" spans="1:5" ht="17.25" customHeight="1" x14ac:dyDescent="0.3">
      <c r="A319" s="90">
        <v>47416</v>
      </c>
      <c r="B319" s="128" t="s">
        <v>1145</v>
      </c>
      <c r="C319" s="8">
        <v>6</v>
      </c>
      <c r="D319" s="122">
        <v>192</v>
      </c>
      <c r="E319" s="129">
        <v>599</v>
      </c>
    </row>
    <row r="320" spans="1:5" ht="17.25" customHeight="1" x14ac:dyDescent="0.3">
      <c r="A320" s="90">
        <v>47418</v>
      </c>
      <c r="B320" s="128" t="s">
        <v>1146</v>
      </c>
      <c r="C320" s="8">
        <v>9</v>
      </c>
      <c r="D320" s="122">
        <v>298</v>
      </c>
      <c r="E320" s="129">
        <v>930</v>
      </c>
    </row>
    <row r="321" spans="1:5" ht="17.25" customHeight="1" x14ac:dyDescent="0.3">
      <c r="A321" s="90">
        <v>47423</v>
      </c>
      <c r="B321" s="128" t="s">
        <v>1147</v>
      </c>
      <c r="C321" s="8">
        <v>5</v>
      </c>
      <c r="D321" s="122">
        <v>154</v>
      </c>
      <c r="E321" s="129">
        <v>480</v>
      </c>
    </row>
    <row r="322" spans="1:5" ht="17.25" customHeight="1" x14ac:dyDescent="0.3">
      <c r="A322" s="90">
        <v>47424</v>
      </c>
      <c r="B322" s="128" t="s">
        <v>1148</v>
      </c>
      <c r="C322" s="8">
        <v>4</v>
      </c>
      <c r="D322" s="122">
        <v>131</v>
      </c>
      <c r="E322" s="129">
        <v>410</v>
      </c>
    </row>
    <row r="323" spans="1:5" ht="17.25" customHeight="1" x14ac:dyDescent="0.3">
      <c r="A323" s="90">
        <v>47426</v>
      </c>
      <c r="B323" s="128" t="s">
        <v>1149</v>
      </c>
      <c r="C323" s="8">
        <v>4</v>
      </c>
      <c r="D323" s="122">
        <v>131</v>
      </c>
      <c r="E323" s="129">
        <v>410</v>
      </c>
    </row>
    <row r="324" spans="1:5" ht="17.25" customHeight="1" x14ac:dyDescent="0.3">
      <c r="A324" s="90">
        <v>47427</v>
      </c>
      <c r="B324" s="128" t="s">
        <v>1149</v>
      </c>
      <c r="C324" s="8">
        <v>6</v>
      </c>
      <c r="D324" s="122">
        <v>177</v>
      </c>
      <c r="E324" s="129">
        <v>550</v>
      </c>
    </row>
    <row r="325" spans="1:5" ht="17.25" customHeight="1" x14ac:dyDescent="0.3">
      <c r="A325" s="90">
        <v>47428</v>
      </c>
      <c r="B325" s="128" t="s">
        <v>1150</v>
      </c>
      <c r="C325" s="8">
        <v>7</v>
      </c>
      <c r="D325" s="122">
        <v>237</v>
      </c>
      <c r="E325" s="129">
        <v>740</v>
      </c>
    </row>
    <row r="326" spans="1:5" ht="17.25" customHeight="1" x14ac:dyDescent="0.3">
      <c r="A326" s="90">
        <v>47429</v>
      </c>
      <c r="B326" s="128" t="s">
        <v>1151</v>
      </c>
      <c r="C326" s="8">
        <v>6</v>
      </c>
      <c r="D326" s="122">
        <v>177</v>
      </c>
      <c r="E326" s="129">
        <v>550</v>
      </c>
    </row>
    <row r="327" spans="1:5" ht="17.25" customHeight="1" x14ac:dyDescent="0.3">
      <c r="A327" s="90">
        <v>47504</v>
      </c>
      <c r="B327" s="128" t="s">
        <v>1152</v>
      </c>
      <c r="C327" s="8">
        <v>12</v>
      </c>
      <c r="D327" s="122">
        <v>802</v>
      </c>
      <c r="E327" s="129">
        <v>1250</v>
      </c>
    </row>
    <row r="328" spans="1:5" ht="17.25" customHeight="1" x14ac:dyDescent="0.3">
      <c r="A328" s="90">
        <v>47505</v>
      </c>
      <c r="B328" s="128" t="s">
        <v>1153</v>
      </c>
      <c r="C328" s="8">
        <v>12</v>
      </c>
      <c r="D328" s="122">
        <v>802</v>
      </c>
      <c r="E328" s="129">
        <v>1250</v>
      </c>
    </row>
    <row r="329" spans="1:5" ht="17.25" customHeight="1" x14ac:dyDescent="0.3">
      <c r="A329" s="90">
        <v>47506</v>
      </c>
      <c r="B329" s="128" t="s">
        <v>1154</v>
      </c>
      <c r="C329" s="8">
        <v>12</v>
      </c>
      <c r="D329" s="122">
        <v>802</v>
      </c>
      <c r="E329" s="129">
        <v>1250</v>
      </c>
    </row>
    <row r="330" spans="1:5" ht="17.25" customHeight="1" x14ac:dyDescent="0.3">
      <c r="A330" s="90">
        <v>47507</v>
      </c>
      <c r="B330" s="128" t="s">
        <v>1155</v>
      </c>
      <c r="C330" s="8">
        <v>12</v>
      </c>
      <c r="D330" s="122">
        <v>802</v>
      </c>
      <c r="E330" s="129">
        <v>1250</v>
      </c>
    </row>
  </sheetData>
  <sortState xmlns:xlrd2="http://schemas.microsoft.com/office/spreadsheetml/2017/richdata2" ref="A3:A330">
    <sortCondition ref="A3:A330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zoomScaleNormal="100" workbookViewId="0">
      <selection activeCell="C28" sqref="C28"/>
    </sheetView>
  </sheetViews>
  <sheetFormatPr defaultRowHeight="13.5" customHeight="1" x14ac:dyDescent="0.3"/>
  <cols>
    <col min="1" max="1" width="7" customWidth="1"/>
    <col min="2" max="2" width="7.3828125" customWidth="1"/>
    <col min="3" max="3" width="137" bestFit="1" customWidth="1"/>
    <col min="4" max="4" width="7.3046875" customWidth="1"/>
    <col min="5" max="5" width="9" style="31" customWidth="1"/>
    <col min="6" max="6" width="9.3046875" style="31" customWidth="1"/>
  </cols>
  <sheetData>
    <row r="1" spans="1:6" ht="13.5" customHeight="1" x14ac:dyDescent="0.3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3">
      <c r="A2" s="77"/>
      <c r="B2" s="32"/>
      <c r="C2" s="21" t="s">
        <v>1160</v>
      </c>
      <c r="D2" s="81"/>
      <c r="E2" s="82"/>
      <c r="F2" s="30"/>
    </row>
    <row r="3" spans="1:6" ht="13.5" customHeight="1" x14ac:dyDescent="0.3">
      <c r="A3" s="39">
        <v>47380</v>
      </c>
      <c r="B3" s="37"/>
      <c r="C3" s="130" t="str">
        <f>VLOOKUP(A3,'10 КАТАЛОГ`24 (1)'!$1:$1048576,5,0)</f>
        <v>ЧАСЫ С РЕМЕШКОМ-ЛЕНТОЙ</v>
      </c>
      <c r="D3" s="124"/>
      <c r="E3" s="125"/>
      <c r="F3" s="126"/>
    </row>
    <row r="4" spans="1:6" ht="13.5" customHeight="1" x14ac:dyDescent="0.3">
      <c r="A4" s="39">
        <v>1</v>
      </c>
      <c r="B4" s="37"/>
      <c r="C4" s="53" t="s">
        <v>1161</v>
      </c>
      <c r="D4" s="124"/>
      <c r="E4" s="125"/>
      <c r="F4" s="126"/>
    </row>
    <row r="5" spans="1:6" ht="13.5" customHeight="1" x14ac:dyDescent="0.3">
      <c r="A5" s="39"/>
      <c r="B5" s="37"/>
      <c r="C5" s="21" t="s">
        <v>1162</v>
      </c>
      <c r="D5" s="124"/>
      <c r="E5" s="125"/>
      <c r="F5" s="126"/>
    </row>
    <row r="6" spans="1:6" ht="13.5" customHeight="1" x14ac:dyDescent="0.3">
      <c r="A6" s="39">
        <v>12760</v>
      </c>
      <c r="B6" s="37"/>
      <c r="C6" s="130" t="str">
        <f>VLOOKUP(A6,'10 КАТАЛОГ`24 (1)'!$1:$1048576,5,0)</f>
        <v>СПЕЦИАЛЬНОЕ СМЯГЧАЮЩЕЕ СРЕДСТВО</v>
      </c>
      <c r="D6" s="124"/>
      <c r="E6" s="125"/>
      <c r="F6" s="126"/>
    </row>
    <row r="7" spans="1:6" ht="13.5" customHeight="1" x14ac:dyDescent="0.3">
      <c r="A7" s="39">
        <v>36152</v>
      </c>
      <c r="B7" s="37"/>
      <c r="C7" s="130" t="str">
        <f>VLOOKUP(A7,'10 КАТАЛОГ`24 (1)'!$1:$1048576,5,0)</f>
        <v>СПЕЦИАЛЬНОЕ СМЯГЧАЮЩЕЕ СРЕДСТВО С МАСЛОМ МАЛИНОВЫХ СЕМЯН</v>
      </c>
      <c r="D7" s="84"/>
      <c r="E7" s="83"/>
      <c r="F7" s="71"/>
    </row>
    <row r="8" spans="1:6" ht="13.5" customHeight="1" x14ac:dyDescent="0.3">
      <c r="A8" s="39">
        <v>36153</v>
      </c>
      <c r="B8" s="37"/>
      <c r="C8" s="130" t="str">
        <f>VLOOKUP(A8,'10 КАТАЛОГ`24 (1)'!$1:$1048576,5,0)</f>
        <v>СПЕЦИАЛЬНОЕ СМЯГЧАЮЩЕЕ СРЕДСТВО С МАСЛОМ МАРАКУЙИ</v>
      </c>
      <c r="D8" s="124"/>
      <c r="E8" s="125"/>
      <c r="F8" s="126"/>
    </row>
    <row r="9" spans="1:6" ht="13.5" customHeight="1" x14ac:dyDescent="0.3">
      <c r="A9" s="39">
        <v>44398</v>
      </c>
      <c r="B9" s="37"/>
      <c r="C9" s="130" t="str">
        <f>VLOOKUP(A9,'10 КАТАЛОГ`24 (1)'!$1:$1048576,5,0)</f>
        <v>СПЕЦИАЛЬНОЕ СМЯГЧАЮЩЕЕ СРЕДСТВО С МАСЛОМ СЕМЯН АРБУЗА</v>
      </c>
      <c r="D9" s="124"/>
      <c r="E9" s="125"/>
      <c r="F9" s="126"/>
    </row>
    <row r="10" spans="1:6" ht="13.5" customHeight="1" x14ac:dyDescent="0.3">
      <c r="A10" s="39">
        <v>2</v>
      </c>
      <c r="B10" s="37"/>
      <c r="C10" s="42" t="s">
        <v>1164</v>
      </c>
      <c r="D10" s="124"/>
      <c r="E10" s="125"/>
      <c r="F10" s="126"/>
    </row>
    <row r="11" spans="1:6" ht="13.5" customHeight="1" x14ac:dyDescent="0.3">
      <c r="A11" s="40"/>
      <c r="B11" s="37"/>
      <c r="C11" s="21" t="s">
        <v>1163</v>
      </c>
      <c r="D11" s="84"/>
      <c r="E11" s="83"/>
      <c r="F11" s="71"/>
    </row>
    <row r="12" spans="1:6" ht="13.5" customHeight="1" x14ac:dyDescent="0.3">
      <c r="A12" s="39">
        <v>38552</v>
      </c>
      <c r="B12" s="37"/>
      <c r="C12" s="130" t="str">
        <f>VLOOKUP(A12,'10 КАТАЛОГ`24 (1)'!$1:$1048576,5,0)</f>
        <v>МУЖСКАЯ ТУАЛЕТНАЯ ВОДА GREATER</v>
      </c>
      <c r="D12" s="124"/>
      <c r="E12" s="125"/>
      <c r="F12" s="126"/>
    </row>
    <row r="13" spans="1:6" ht="13.5" customHeight="1" x14ac:dyDescent="0.3">
      <c r="A13" s="39">
        <v>43118</v>
      </c>
      <c r="B13" s="41"/>
      <c r="C13" s="130" t="str">
        <f>VLOOKUP(A13,'10 КАТАЛОГ`24 (1)'!$1:$1048576,5,0)</f>
        <v>ТУАЛЕТНАЯ ВОДА GREATER</v>
      </c>
      <c r="D13" s="124"/>
      <c r="E13" s="125"/>
      <c r="F13" s="126"/>
    </row>
    <row r="14" spans="1:6" ht="13.5" customHeight="1" x14ac:dyDescent="0.3">
      <c r="A14" s="39">
        <v>3</v>
      </c>
      <c r="B14" s="41"/>
      <c r="C14" s="42" t="s">
        <v>1165</v>
      </c>
      <c r="D14" s="124"/>
      <c r="E14" s="125"/>
      <c r="F14" s="126"/>
    </row>
    <row r="15" spans="1:6" ht="13.5" customHeight="1" x14ac:dyDescent="0.3">
      <c r="A15" s="39"/>
      <c r="B15" s="41"/>
      <c r="C15" s="21" t="s">
        <v>1166</v>
      </c>
      <c r="D15" s="124"/>
      <c r="E15" s="125"/>
      <c r="F15" s="126"/>
    </row>
    <row r="16" spans="1:6" ht="13.5" customHeight="1" x14ac:dyDescent="0.3">
      <c r="A16" s="39">
        <v>41281</v>
      </c>
      <c r="B16" s="41"/>
      <c r="C16" s="130" t="str">
        <f>VLOOKUP(A16,'10 КАТАЛОГ`24 (1)'!$1:$1048576,5,0)</f>
        <v>ОСВЕЖАЮЩЕЕ МЫЛО С ОРГАНИЧЕСКИМ ЗЕЛЁНЫМ ЧАЕМ И ОГУРЦОМ LOVE NATURE</v>
      </c>
      <c r="D16" s="84"/>
      <c r="E16" s="83"/>
      <c r="F16" s="71"/>
    </row>
    <row r="17" spans="1:6" ht="13.5" customHeight="1" x14ac:dyDescent="0.3">
      <c r="A17" s="39">
        <v>47009</v>
      </c>
      <c r="B17" s="9"/>
      <c r="C17" s="130" t="str">
        <f>VLOOKUP(A17,'10 КАТАЛОГ`24 (1)'!$1:$1048576,5,0)</f>
        <v>ГЕЛЬ ДЛЯ ДУША С ОРГАНИЧЕСКИМ АЛОЭ ВЕРА SIMPLE JOYS LOVE NATURE</v>
      </c>
      <c r="D17" s="124"/>
      <c r="E17" s="125"/>
      <c r="F17" s="126"/>
    </row>
    <row r="18" spans="1:6" ht="13.5" customHeight="1" x14ac:dyDescent="0.3">
      <c r="A18" s="77">
        <v>44280</v>
      </c>
      <c r="B18" s="56"/>
      <c r="C18" s="130" t="str">
        <f>VLOOKUP(A18,'10 КАТАЛОГ`24 (1)'!$1:$1048576,5,0)</f>
        <v>КРЕМ ДЛЯ РУК С ОРГАНИЧЕСКИМ МАСЛОМ АВОКАДО LOVE NATURE</v>
      </c>
      <c r="D18" s="124"/>
      <c r="E18" s="125"/>
      <c r="F18" s="126"/>
    </row>
    <row r="19" spans="1:6" ht="13.5" customHeight="1" x14ac:dyDescent="0.3">
      <c r="A19" s="91">
        <v>150547</v>
      </c>
      <c r="B19" s="56"/>
      <c r="C19" s="42" t="str">
        <f>VLOOKUP(A19,'10 КАТАЛОГ`24 (1)'!$1:$1048576,5,0)</f>
        <v>НАБОР ДЛЯ ТЕЛА LOVE NATURE</v>
      </c>
      <c r="D19" s="124"/>
      <c r="E19" s="125"/>
      <c r="F19" s="126"/>
    </row>
    <row r="20" spans="1:6" ht="13.5" customHeight="1" x14ac:dyDescent="0.3">
      <c r="A20" s="77"/>
      <c r="B20" s="56"/>
      <c r="C20" s="21" t="s">
        <v>1167</v>
      </c>
      <c r="D20" s="124"/>
      <c r="E20" s="125"/>
      <c r="F20" s="126"/>
    </row>
    <row r="21" spans="1:6" ht="13.5" customHeight="1" x14ac:dyDescent="0.3">
      <c r="A21" s="77">
        <v>41354</v>
      </c>
      <c r="B21" s="56"/>
      <c r="C21" s="130" t="str">
        <f>VLOOKUP(A21,'10 КАТАЛОГ`24 (1)'!$1:$1048576,5,0)</f>
        <v>ШАМПУНЬ ДЛЯ ЖИРНЫХ ВОЛОС С ОРГАНИЧЕСКИМИ ЛИМОНОМ И МЯТОЙ LOVE NATURE</v>
      </c>
      <c r="D21" s="124"/>
      <c r="E21" s="125"/>
      <c r="F21" s="126"/>
    </row>
    <row r="22" spans="1:6" ht="13.5" customHeight="1" x14ac:dyDescent="0.3">
      <c r="A22" s="77">
        <v>43253</v>
      </c>
      <c r="B22" s="56"/>
      <c r="C22" s="130" t="str">
        <f>VLOOKUP(A22,'10 КАТАЛОГ`24 (1)'!$1:$1048576,5,0)</f>
        <v>СКРАБ-ШАМПУНЬ ДЛЯ ВОЛОС С УГЛЁМ И ОРГАНИЧЕСКОЙ МЯТОЙ LOVE NATURE</v>
      </c>
      <c r="D22" s="124"/>
      <c r="E22" s="125"/>
      <c r="F22" s="126"/>
    </row>
    <row r="23" spans="1:6" ht="13.5" customHeight="1" x14ac:dyDescent="0.3">
      <c r="A23" s="77">
        <v>43661</v>
      </c>
      <c r="B23" s="56"/>
      <c r="C23" s="130" t="str">
        <f>VLOOKUP(A23,'10 КАТАЛОГ`24 (1)'!$1:$1048576,5,0)</f>
        <v>УКРЕПЛЯЮЩАЯ МАСКА-СМУЗИ ДЛЯ ВОЛОС С ОРГАНИЧЕСКИМ БАНАНОМ LOVE NATURE</v>
      </c>
      <c r="D23" s="84"/>
      <c r="E23" s="83"/>
      <c r="F23" s="71"/>
    </row>
    <row r="24" spans="1:6" ht="13.5" customHeight="1" x14ac:dyDescent="0.3">
      <c r="A24" s="40">
        <v>150548</v>
      </c>
      <c r="B24" s="37"/>
      <c r="C24" s="42" t="str">
        <f>VLOOKUP(A24,'10 КАТАЛОГ`24 (1)'!$1:$1048576,5,0)</f>
        <v>НАБОР ДЛЯ ВОЛОС LOVE NATURE</v>
      </c>
      <c r="D24" s="124"/>
      <c r="E24" s="125"/>
      <c r="F24" s="126"/>
    </row>
    <row r="25" spans="1:6" ht="13.5" customHeight="1" x14ac:dyDescent="0.3">
      <c r="A25" s="39"/>
      <c r="B25" s="9"/>
      <c r="C25" s="21" t="s">
        <v>1168</v>
      </c>
      <c r="D25" s="124"/>
      <c r="E25" s="125"/>
      <c r="F25" s="126"/>
    </row>
    <row r="26" spans="1:6" ht="13.5" customHeight="1" x14ac:dyDescent="0.3">
      <c r="A26" s="39">
        <v>32139</v>
      </c>
      <c r="B26" s="9"/>
      <c r="C26" s="130" t="str">
        <f>VLOOKUP(A26,'10 КАТАЛОГ`24 (1)'!$1:$1048576,5,0)</f>
        <v>СРЕДСТВО ДЛЯ СНЯТИЯ МАКИЯЖА THE ONE</v>
      </c>
      <c r="D26" s="124"/>
      <c r="E26" s="125"/>
      <c r="F26" s="126"/>
    </row>
    <row r="27" spans="1:6" ht="13.5" customHeight="1" x14ac:dyDescent="0.3">
      <c r="A27" s="39">
        <v>4</v>
      </c>
      <c r="B27" s="37"/>
      <c r="C27" s="53" t="s">
        <v>1169</v>
      </c>
      <c r="D27" s="124"/>
      <c r="E27" s="125"/>
      <c r="F27" s="126"/>
    </row>
    <row r="28" spans="1:6" ht="13.5" customHeight="1" x14ac:dyDescent="0.3">
      <c r="A28" s="39"/>
      <c r="B28" s="9"/>
      <c r="C28" s="130"/>
      <c r="D28" s="124"/>
      <c r="E28" s="125"/>
      <c r="F28" s="126"/>
    </row>
    <row r="29" spans="1:6" ht="13.5" customHeight="1" x14ac:dyDescent="0.3">
      <c r="A29" s="39"/>
      <c r="B29" s="40"/>
      <c r="C29" s="130"/>
      <c r="D29" s="124"/>
      <c r="E29" s="125"/>
      <c r="F29" s="126"/>
    </row>
    <row r="30" spans="1:6" ht="13.5" customHeight="1" x14ac:dyDescent="0.3">
      <c r="A30" s="41"/>
      <c r="B30" s="41"/>
      <c r="C30" s="42"/>
      <c r="D30" s="84"/>
      <c r="E30" s="83"/>
      <c r="F30" s="71"/>
    </row>
    <row r="31" spans="1:6" ht="13.5" customHeight="1" x14ac:dyDescent="0.3">
      <c r="A31" s="14"/>
      <c r="B31" s="14"/>
      <c r="C31" s="21"/>
      <c r="D31" s="124"/>
      <c r="E31" s="125"/>
      <c r="F31" s="126"/>
    </row>
    <row r="32" spans="1:6" ht="13.5" customHeight="1" x14ac:dyDescent="0.3">
      <c r="A32" s="131"/>
      <c r="B32" s="56"/>
      <c r="C32" s="130"/>
      <c r="D32" s="124"/>
      <c r="E32" s="125"/>
      <c r="F32" s="126"/>
    </row>
    <row r="33" spans="1:6" ht="13.5" customHeight="1" x14ac:dyDescent="0.3">
      <c r="A33" s="39"/>
      <c r="B33" s="37"/>
      <c r="C33" s="130"/>
      <c r="D33" s="124"/>
      <c r="E33" s="125"/>
      <c r="F33" s="126"/>
    </row>
    <row r="34" spans="1:6" ht="13.5" customHeight="1" x14ac:dyDescent="0.3">
      <c r="A34" s="39"/>
      <c r="B34" s="56"/>
      <c r="C34" s="130"/>
      <c r="D34" s="124"/>
      <c r="E34" s="125"/>
      <c r="F34" s="126"/>
    </row>
    <row r="35" spans="1:6" ht="13.5" customHeight="1" x14ac:dyDescent="0.3">
      <c r="A35" s="39"/>
      <c r="B35" s="37"/>
      <c r="C35" s="130"/>
      <c r="D35" s="124"/>
      <c r="E35" s="125"/>
      <c r="F35" s="126"/>
    </row>
    <row r="36" spans="1:6" ht="13.5" customHeight="1" x14ac:dyDescent="0.3">
      <c r="A36" s="39"/>
      <c r="B36" s="9"/>
      <c r="C36" s="130"/>
      <c r="D36" s="124"/>
      <c r="E36" s="125"/>
      <c r="F36" s="126"/>
    </row>
    <row r="37" spans="1:6" ht="13.5" customHeight="1" x14ac:dyDescent="0.3">
      <c r="A37" s="40"/>
      <c r="B37" s="37"/>
      <c r="C37" s="132"/>
      <c r="D37" s="84"/>
      <c r="E37" s="83"/>
      <c r="F37" s="71"/>
    </row>
    <row r="38" spans="1:6" ht="13.5" customHeight="1" x14ac:dyDescent="0.3">
      <c r="A38" s="39"/>
      <c r="B38" s="37"/>
      <c r="C38" s="21"/>
      <c r="D38" s="124"/>
      <c r="E38" s="125"/>
      <c r="F38" s="126"/>
    </row>
    <row r="39" spans="1:6" ht="13.5" customHeight="1" x14ac:dyDescent="0.3">
      <c r="A39" s="39"/>
      <c r="B39" s="37"/>
      <c r="C39" s="76"/>
      <c r="D39" s="84"/>
      <c r="E39" s="83"/>
      <c r="F39" s="71"/>
    </row>
    <row r="40" spans="1:6" ht="13.5" customHeight="1" x14ac:dyDescent="0.3">
      <c r="A40" s="40"/>
      <c r="B40" s="37"/>
      <c r="C40" s="53"/>
      <c r="D40" s="124"/>
      <c r="E40" s="125"/>
      <c r="F40" s="126"/>
    </row>
    <row r="41" spans="1:6" ht="13.5" customHeight="1" x14ac:dyDescent="0.3">
      <c r="A41" s="39"/>
      <c r="B41" s="40"/>
      <c r="C41" s="21"/>
      <c r="D41" s="124"/>
      <c r="E41" s="125"/>
      <c r="F41" s="126"/>
    </row>
    <row r="42" spans="1:6" ht="13.5" customHeight="1" x14ac:dyDescent="0.3">
      <c r="A42" s="39"/>
      <c r="B42" s="9"/>
      <c r="C42" s="130"/>
      <c r="D42" s="124"/>
      <c r="E42" s="125"/>
      <c r="F42" s="126"/>
    </row>
    <row r="43" spans="1:6" ht="13.5" customHeight="1" x14ac:dyDescent="0.3">
      <c r="A43" s="39"/>
      <c r="B43" s="40"/>
      <c r="C43" s="130"/>
      <c r="D43" s="124"/>
      <c r="E43" s="125"/>
      <c r="F43" s="126"/>
    </row>
    <row r="44" spans="1:6" ht="13.5" customHeight="1" x14ac:dyDescent="0.3">
      <c r="A44" s="39"/>
      <c r="B44" s="40"/>
      <c r="C44" s="130"/>
      <c r="D44" s="124"/>
      <c r="E44" s="125"/>
      <c r="F44" s="126"/>
    </row>
    <row r="45" spans="1:6" ht="13.5" customHeight="1" x14ac:dyDescent="0.3">
      <c r="A45" s="39"/>
      <c r="B45" s="40"/>
      <c r="C45" s="130"/>
      <c r="D45" s="124"/>
      <c r="E45" s="125"/>
      <c r="F45" s="126"/>
    </row>
    <row r="46" spans="1:6" ht="13.5" customHeight="1" x14ac:dyDescent="0.3">
      <c r="A46" s="41"/>
      <c r="B46" s="40"/>
      <c r="C46" s="42"/>
      <c r="D46" s="84"/>
      <c r="E46" s="83"/>
      <c r="F46" s="71"/>
    </row>
    <row r="47" spans="1:6" ht="13.5" customHeight="1" x14ac:dyDescent="0.3">
      <c r="A47" s="39"/>
      <c r="B47" s="40"/>
      <c r="C47" s="21"/>
      <c r="D47" s="124"/>
      <c r="E47" s="125"/>
      <c r="F47" s="126"/>
    </row>
    <row r="48" spans="1:6" ht="13.5" customHeight="1" x14ac:dyDescent="0.3">
      <c r="A48" s="39"/>
      <c r="B48" s="40"/>
      <c r="C48" s="76"/>
      <c r="D48" s="124"/>
      <c r="E48" s="125"/>
      <c r="F48" s="126"/>
    </row>
    <row r="49" spans="1:6" ht="13.5" customHeight="1" x14ac:dyDescent="0.3">
      <c r="A49" s="39"/>
      <c r="B49" s="40"/>
      <c r="C49" s="42"/>
      <c r="D49" s="84"/>
      <c r="E49" s="83"/>
      <c r="F49" s="71"/>
    </row>
    <row r="50" spans="1:6" ht="13.5" customHeight="1" x14ac:dyDescent="0.3">
      <c r="A50" s="39"/>
      <c r="B50" s="40"/>
      <c r="C50" s="76"/>
      <c r="D50" s="124"/>
      <c r="E50" s="125"/>
      <c r="F50" s="126"/>
    </row>
    <row r="51" spans="1:6" ht="13.5" customHeight="1" x14ac:dyDescent="0.3">
      <c r="A51" s="39"/>
      <c r="B51" s="40"/>
      <c r="C51" s="76"/>
      <c r="D51" s="124"/>
      <c r="E51" s="125"/>
      <c r="F51" s="126"/>
    </row>
    <row r="52" spans="1:6" ht="13.5" customHeight="1" x14ac:dyDescent="0.3">
      <c r="A52" s="39"/>
      <c r="B52" s="40"/>
      <c r="C52" s="76"/>
      <c r="D52" s="124"/>
      <c r="E52" s="125"/>
      <c r="F52" s="126"/>
    </row>
    <row r="53" spans="1:6" ht="13.5" customHeight="1" x14ac:dyDescent="0.3">
      <c r="A53" s="39"/>
      <c r="B53" s="40"/>
      <c r="C53" s="42"/>
      <c r="D53" s="84"/>
      <c r="E53" s="83"/>
      <c r="F53" s="71"/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workbookViewId="0">
      <selection activeCell="L56" sqref="L56"/>
    </sheetView>
  </sheetViews>
  <sheetFormatPr defaultRowHeight="12.45" x14ac:dyDescent="0.3"/>
  <cols>
    <col min="2" max="2" width="8.3828125" customWidth="1"/>
    <col min="3" max="3" width="8" customWidth="1"/>
    <col min="4" max="4" width="76.3046875" bestFit="1" customWidth="1"/>
  </cols>
  <sheetData>
    <row r="1" spans="1:7" x14ac:dyDescent="0.3">
      <c r="A1" s="54" t="s">
        <v>3</v>
      </c>
      <c r="B1" s="58" t="s">
        <v>9</v>
      </c>
      <c r="C1" s="57" t="s">
        <v>8</v>
      </c>
      <c r="D1" s="54" t="s">
        <v>11</v>
      </c>
      <c r="E1" s="54" t="s">
        <v>4</v>
      </c>
      <c r="F1" s="55" t="s">
        <v>5</v>
      </c>
      <c r="G1" s="55" t="s">
        <v>6</v>
      </c>
    </row>
    <row r="2" spans="1:7" x14ac:dyDescent="0.3">
      <c r="A2" s="54">
        <v>34612</v>
      </c>
      <c r="B2" s="58"/>
      <c r="C2" s="57" t="s">
        <v>21</v>
      </c>
      <c r="D2" s="47" t="s">
        <v>15</v>
      </c>
      <c r="E2" s="43" t="s">
        <v>13</v>
      </c>
      <c r="F2" s="43" t="s">
        <v>13</v>
      </c>
      <c r="G2" s="46">
        <v>35</v>
      </c>
    </row>
    <row r="3" spans="1:7" x14ac:dyDescent="0.3">
      <c r="A3" s="54">
        <v>34613</v>
      </c>
      <c r="B3" s="58"/>
      <c r="C3" s="57" t="s">
        <v>21</v>
      </c>
      <c r="D3" s="47" t="s">
        <v>14</v>
      </c>
      <c r="E3" s="43" t="s">
        <v>13</v>
      </c>
      <c r="F3" s="43" t="s">
        <v>13</v>
      </c>
      <c r="G3" s="46">
        <v>35</v>
      </c>
    </row>
    <row r="4" spans="1:7" x14ac:dyDescent="0.3">
      <c r="A4" s="54">
        <v>35084</v>
      </c>
      <c r="B4" s="58"/>
      <c r="C4" s="57" t="s">
        <v>21</v>
      </c>
      <c r="D4" s="47" t="s">
        <v>41</v>
      </c>
      <c r="E4" s="43" t="s">
        <v>13</v>
      </c>
      <c r="F4" s="43" t="s">
        <v>13</v>
      </c>
      <c r="G4" s="46">
        <v>35</v>
      </c>
    </row>
    <row r="5" spans="1:7" x14ac:dyDescent="0.3">
      <c r="A5" s="54">
        <v>35198</v>
      </c>
      <c r="B5" s="58"/>
      <c r="C5" s="57" t="s">
        <v>21</v>
      </c>
      <c r="D5" s="47" t="s">
        <v>42</v>
      </c>
      <c r="E5" s="43" t="s">
        <v>13</v>
      </c>
      <c r="F5" s="43" t="s">
        <v>13</v>
      </c>
      <c r="G5" s="46">
        <v>35</v>
      </c>
    </row>
    <row r="6" spans="1:7" x14ac:dyDescent="0.3">
      <c r="A6" s="54">
        <v>35200</v>
      </c>
      <c r="B6" s="58"/>
      <c r="C6" s="57" t="s">
        <v>21</v>
      </c>
      <c r="D6" s="47" t="s">
        <v>43</v>
      </c>
      <c r="E6" s="43" t="s">
        <v>13</v>
      </c>
      <c r="F6" s="43" t="s">
        <v>13</v>
      </c>
      <c r="G6" s="46">
        <v>35</v>
      </c>
    </row>
    <row r="7" spans="1:7" x14ac:dyDescent="0.3">
      <c r="A7" s="54">
        <v>35231</v>
      </c>
      <c r="B7" s="58"/>
      <c r="C7" s="57" t="s">
        <v>21</v>
      </c>
      <c r="D7" s="47" t="s">
        <v>44</v>
      </c>
      <c r="E7" s="43" t="s">
        <v>13</v>
      </c>
      <c r="F7" s="43" t="s">
        <v>13</v>
      </c>
      <c r="G7" s="46">
        <v>35</v>
      </c>
    </row>
    <row r="8" spans="1:7" x14ac:dyDescent="0.3">
      <c r="A8" s="61">
        <v>35232</v>
      </c>
      <c r="B8" s="58"/>
      <c r="C8" s="57" t="s">
        <v>21</v>
      </c>
      <c r="D8" s="47" t="s">
        <v>45</v>
      </c>
      <c r="E8" s="43" t="s">
        <v>13</v>
      </c>
      <c r="F8" s="43" t="s">
        <v>13</v>
      </c>
      <c r="G8" s="46">
        <v>35</v>
      </c>
    </row>
    <row r="9" spans="1:7" x14ac:dyDescent="0.3">
      <c r="A9" s="61">
        <v>35332</v>
      </c>
      <c r="B9" s="58"/>
      <c r="C9" s="57" t="s">
        <v>21</v>
      </c>
      <c r="D9" s="47" t="s">
        <v>46</v>
      </c>
      <c r="E9" s="43" t="s">
        <v>13</v>
      </c>
      <c r="F9" s="43" t="s">
        <v>13</v>
      </c>
      <c r="G9" s="46">
        <v>35</v>
      </c>
    </row>
    <row r="10" spans="1:7" x14ac:dyDescent="0.3">
      <c r="A10" s="61">
        <v>35333</v>
      </c>
      <c r="B10" s="58"/>
      <c r="C10" s="57" t="s">
        <v>21</v>
      </c>
      <c r="D10" s="47" t="s">
        <v>47</v>
      </c>
      <c r="E10" s="43" t="s">
        <v>13</v>
      </c>
      <c r="F10" s="43" t="s">
        <v>13</v>
      </c>
      <c r="G10" s="46">
        <v>35</v>
      </c>
    </row>
    <row r="11" spans="1:7" x14ac:dyDescent="0.3">
      <c r="A11" s="61">
        <v>41183</v>
      </c>
      <c r="B11" s="58"/>
      <c r="C11" s="57" t="s">
        <v>21</v>
      </c>
      <c r="D11" s="47" t="s">
        <v>48</v>
      </c>
      <c r="E11" s="43" t="s">
        <v>13</v>
      </c>
      <c r="F11" s="43" t="s">
        <v>13</v>
      </c>
      <c r="G11" s="46">
        <v>35</v>
      </c>
    </row>
    <row r="12" spans="1:7" x14ac:dyDescent="0.3">
      <c r="A12" s="61">
        <v>41185</v>
      </c>
      <c r="B12" s="58"/>
      <c r="C12" s="57" t="s">
        <v>21</v>
      </c>
      <c r="D12" s="47" t="s">
        <v>49</v>
      </c>
      <c r="E12" s="43" t="s">
        <v>13</v>
      </c>
      <c r="F12" s="43" t="s">
        <v>13</v>
      </c>
      <c r="G12" s="46">
        <v>35</v>
      </c>
    </row>
    <row r="13" spans="1:7" x14ac:dyDescent="0.3">
      <c r="A13" s="61">
        <v>41377</v>
      </c>
      <c r="B13" s="58"/>
      <c r="C13" s="57" t="s">
        <v>21</v>
      </c>
      <c r="D13" s="47" t="s">
        <v>50</v>
      </c>
      <c r="E13" s="43" t="s">
        <v>13</v>
      </c>
      <c r="F13" s="43" t="s">
        <v>13</v>
      </c>
      <c r="G13" s="46">
        <v>35</v>
      </c>
    </row>
    <row r="14" spans="1:7" x14ac:dyDescent="0.3">
      <c r="A14" s="61">
        <v>41378</v>
      </c>
      <c r="B14" s="58"/>
      <c r="C14" s="57" t="s">
        <v>21</v>
      </c>
      <c r="D14" s="47" t="s">
        <v>51</v>
      </c>
      <c r="E14" s="43" t="s">
        <v>13</v>
      </c>
      <c r="F14" s="43" t="s">
        <v>13</v>
      </c>
      <c r="G14" s="46">
        <v>35</v>
      </c>
    </row>
    <row r="15" spans="1:7" x14ac:dyDescent="0.3">
      <c r="A15" s="61">
        <v>41379</v>
      </c>
      <c r="B15" s="58"/>
      <c r="C15" s="57" t="s">
        <v>21</v>
      </c>
      <c r="D15" s="47" t="s">
        <v>52</v>
      </c>
      <c r="E15" s="43" t="s">
        <v>13</v>
      </c>
      <c r="F15" s="43" t="s">
        <v>13</v>
      </c>
      <c r="G15" s="46">
        <v>35</v>
      </c>
    </row>
    <row r="16" spans="1:7" x14ac:dyDescent="0.3">
      <c r="A16" s="61">
        <v>43888</v>
      </c>
      <c r="B16" s="58"/>
      <c r="C16" s="57" t="s">
        <v>21</v>
      </c>
      <c r="D16" s="47" t="s">
        <v>53</v>
      </c>
      <c r="E16" s="43" t="s">
        <v>13</v>
      </c>
      <c r="F16" s="43" t="s">
        <v>13</v>
      </c>
      <c r="G16" s="46">
        <v>35</v>
      </c>
    </row>
    <row r="17" spans="1:7" x14ac:dyDescent="0.3">
      <c r="A17" s="61">
        <v>43890</v>
      </c>
      <c r="B17" s="58"/>
      <c r="C17" s="57" t="s">
        <v>21</v>
      </c>
      <c r="D17" s="47" t="s">
        <v>54</v>
      </c>
      <c r="E17" s="43" t="s">
        <v>13</v>
      </c>
      <c r="F17" s="43" t="s">
        <v>13</v>
      </c>
      <c r="G17" s="46">
        <v>35</v>
      </c>
    </row>
    <row r="18" spans="1:7" x14ac:dyDescent="0.3">
      <c r="A18" s="61">
        <v>43892</v>
      </c>
      <c r="B18" s="58"/>
      <c r="C18" s="57" t="s">
        <v>21</v>
      </c>
      <c r="D18" s="47" t="s">
        <v>55</v>
      </c>
      <c r="E18" s="43" t="s">
        <v>13</v>
      </c>
      <c r="F18" s="43" t="s">
        <v>13</v>
      </c>
      <c r="G18" s="46">
        <v>35</v>
      </c>
    </row>
    <row r="19" spans="1:7" x14ac:dyDescent="0.3">
      <c r="A19" s="61">
        <v>43893</v>
      </c>
      <c r="B19" s="58"/>
      <c r="C19" s="57" t="s">
        <v>21</v>
      </c>
      <c r="D19" s="47" t="s">
        <v>56</v>
      </c>
      <c r="E19" s="43" t="s">
        <v>13</v>
      </c>
      <c r="F19" s="43" t="s">
        <v>13</v>
      </c>
      <c r="G19" s="46">
        <v>35</v>
      </c>
    </row>
    <row r="20" spans="1:7" x14ac:dyDescent="0.3">
      <c r="A20" s="61">
        <v>43894</v>
      </c>
      <c r="B20" s="58"/>
      <c r="C20" s="57" t="s">
        <v>21</v>
      </c>
      <c r="D20" s="47" t="s">
        <v>57</v>
      </c>
      <c r="E20" s="43" t="s">
        <v>13</v>
      </c>
      <c r="F20" s="43" t="s">
        <v>13</v>
      </c>
      <c r="G20" s="46">
        <v>35</v>
      </c>
    </row>
    <row r="21" spans="1:7" x14ac:dyDescent="0.3">
      <c r="A21" s="61">
        <v>43896</v>
      </c>
      <c r="B21" s="58"/>
      <c r="C21" s="57" t="s">
        <v>21</v>
      </c>
      <c r="D21" s="47" t="s">
        <v>58</v>
      </c>
      <c r="E21" s="43" t="s">
        <v>13</v>
      </c>
      <c r="F21" s="43" t="s">
        <v>13</v>
      </c>
      <c r="G21" s="46">
        <v>35</v>
      </c>
    </row>
    <row r="22" spans="1:7" x14ac:dyDescent="0.3">
      <c r="A22" s="61">
        <v>43897</v>
      </c>
      <c r="B22" s="58"/>
      <c r="C22" s="57" t="s">
        <v>21</v>
      </c>
      <c r="D22" s="47" t="s">
        <v>59</v>
      </c>
      <c r="E22" s="43" t="s">
        <v>13</v>
      </c>
      <c r="F22" s="43" t="s">
        <v>13</v>
      </c>
      <c r="G22" s="46">
        <v>35</v>
      </c>
    </row>
    <row r="23" spans="1:7" x14ac:dyDescent="0.3">
      <c r="A23" s="61">
        <v>43898</v>
      </c>
      <c r="B23" s="58"/>
      <c r="C23" s="57" t="s">
        <v>21</v>
      </c>
      <c r="D23" s="47" t="s">
        <v>60</v>
      </c>
      <c r="E23" s="43" t="s">
        <v>13</v>
      </c>
      <c r="F23" s="43" t="s">
        <v>13</v>
      </c>
      <c r="G23" s="46">
        <v>35</v>
      </c>
    </row>
    <row r="24" spans="1:7" x14ac:dyDescent="0.3">
      <c r="A24" s="61">
        <v>43899</v>
      </c>
      <c r="B24" s="58"/>
      <c r="C24" s="57" t="s">
        <v>21</v>
      </c>
      <c r="D24" s="47" t="s">
        <v>61</v>
      </c>
      <c r="E24" s="43" t="s">
        <v>13</v>
      </c>
      <c r="F24" s="43" t="s">
        <v>13</v>
      </c>
      <c r="G24" s="46">
        <v>35</v>
      </c>
    </row>
    <row r="25" spans="1:7" x14ac:dyDescent="0.3">
      <c r="A25" s="61">
        <v>43901</v>
      </c>
      <c r="B25" s="58"/>
      <c r="C25" s="57" t="s">
        <v>21</v>
      </c>
      <c r="D25" s="47" t="s">
        <v>62</v>
      </c>
      <c r="E25" s="43" t="s">
        <v>13</v>
      </c>
      <c r="F25" s="43" t="s">
        <v>13</v>
      </c>
      <c r="G25" s="46">
        <v>35</v>
      </c>
    </row>
    <row r="26" spans="1:7" x14ac:dyDescent="0.3">
      <c r="A26" s="61">
        <v>43902</v>
      </c>
      <c r="B26" s="58"/>
      <c r="C26" s="57" t="s">
        <v>21</v>
      </c>
      <c r="D26" s="47" t="s">
        <v>63</v>
      </c>
      <c r="E26" s="43" t="s">
        <v>13</v>
      </c>
      <c r="F26" s="43" t="s">
        <v>13</v>
      </c>
      <c r="G26" s="46">
        <v>35</v>
      </c>
    </row>
    <row r="27" spans="1:7" x14ac:dyDescent="0.3">
      <c r="A27" s="61">
        <v>43904</v>
      </c>
      <c r="B27" s="58"/>
      <c r="C27" s="57" t="s">
        <v>21</v>
      </c>
      <c r="D27" s="47" t="s">
        <v>64</v>
      </c>
      <c r="E27" s="43" t="s">
        <v>13</v>
      </c>
      <c r="F27" s="43" t="s">
        <v>13</v>
      </c>
      <c r="G27" s="46">
        <v>35</v>
      </c>
    </row>
    <row r="28" spans="1:7" x14ac:dyDescent="0.3">
      <c r="A28" s="61">
        <v>43905</v>
      </c>
      <c r="B28" s="58"/>
      <c r="C28" s="57" t="s">
        <v>21</v>
      </c>
      <c r="D28" s="47" t="s">
        <v>65</v>
      </c>
      <c r="E28" s="43" t="s">
        <v>13</v>
      </c>
      <c r="F28" s="43" t="s">
        <v>13</v>
      </c>
      <c r="G28" s="46">
        <v>35</v>
      </c>
    </row>
    <row r="29" spans="1:7" x14ac:dyDescent="0.3">
      <c r="A29" s="61">
        <v>45694</v>
      </c>
      <c r="B29" s="58"/>
      <c r="C29" s="57" t="s">
        <v>21</v>
      </c>
      <c r="D29" s="47" t="s">
        <v>30</v>
      </c>
      <c r="E29" s="43" t="s">
        <v>13</v>
      </c>
      <c r="F29" s="43" t="s">
        <v>13</v>
      </c>
      <c r="G29" s="46">
        <v>35</v>
      </c>
    </row>
    <row r="30" spans="1:7" x14ac:dyDescent="0.3">
      <c r="A30" s="61">
        <v>45695</v>
      </c>
      <c r="B30" s="58"/>
      <c r="C30" s="57" t="s">
        <v>21</v>
      </c>
      <c r="D30" s="47" t="s">
        <v>31</v>
      </c>
      <c r="E30" s="43" t="s">
        <v>13</v>
      </c>
      <c r="F30" s="43" t="s">
        <v>13</v>
      </c>
      <c r="G30" s="46">
        <v>35</v>
      </c>
    </row>
    <row r="31" spans="1:7" x14ac:dyDescent="0.3">
      <c r="A31" s="61">
        <v>45696</v>
      </c>
      <c r="B31" s="58"/>
      <c r="C31" s="57" t="s">
        <v>21</v>
      </c>
      <c r="D31" s="47" t="s">
        <v>32</v>
      </c>
      <c r="E31" s="43" t="s">
        <v>13</v>
      </c>
      <c r="F31" s="43" t="s">
        <v>13</v>
      </c>
      <c r="G31" s="46">
        <v>35</v>
      </c>
    </row>
    <row r="32" spans="1:7" x14ac:dyDescent="0.3">
      <c r="A32" s="61">
        <v>45699</v>
      </c>
      <c r="B32" s="58"/>
      <c r="C32" s="57" t="s">
        <v>21</v>
      </c>
      <c r="D32" s="47" t="s">
        <v>33</v>
      </c>
      <c r="E32" s="43" t="s">
        <v>13</v>
      </c>
      <c r="F32" s="43" t="s">
        <v>13</v>
      </c>
      <c r="G32" s="46">
        <v>35</v>
      </c>
    </row>
    <row r="33" spans="1:7" x14ac:dyDescent="0.3">
      <c r="A33" s="61">
        <v>46211</v>
      </c>
      <c r="B33" s="58"/>
      <c r="C33" s="57" t="s">
        <v>21</v>
      </c>
      <c r="D33" s="47" t="s">
        <v>40</v>
      </c>
      <c r="E33" s="43" t="s">
        <v>13</v>
      </c>
      <c r="F33" s="43" t="s">
        <v>13</v>
      </c>
      <c r="G33" s="46">
        <v>35</v>
      </c>
    </row>
    <row r="34" spans="1:7" x14ac:dyDescent="0.3">
      <c r="A34" s="61">
        <v>29446</v>
      </c>
      <c r="B34" s="58">
        <v>0.30401960784313697</v>
      </c>
      <c r="C34" s="57" t="s">
        <v>137</v>
      </c>
      <c r="D34" s="47" t="s">
        <v>82</v>
      </c>
      <c r="E34" s="43">
        <v>85</v>
      </c>
      <c r="F34" s="46">
        <v>4555</v>
      </c>
      <c r="G34" s="46">
        <v>7099</v>
      </c>
    </row>
    <row r="35" spans="1:7" x14ac:dyDescent="0.3">
      <c r="A35" s="61">
        <v>31774</v>
      </c>
      <c r="B35" s="58">
        <v>0.30076923076923101</v>
      </c>
      <c r="C35" s="57" t="s">
        <v>137</v>
      </c>
      <c r="D35" s="47" t="s">
        <v>83</v>
      </c>
      <c r="E35" s="43">
        <v>120</v>
      </c>
      <c r="F35" s="46">
        <v>6416</v>
      </c>
      <c r="G35" s="46">
        <v>9999</v>
      </c>
    </row>
    <row r="36" spans="1:7" x14ac:dyDescent="0.3">
      <c r="A36" s="61">
        <v>32629</v>
      </c>
      <c r="B36" s="58">
        <v>0.3604</v>
      </c>
      <c r="C36" s="57" t="s">
        <v>21</v>
      </c>
      <c r="D36" s="47" t="s">
        <v>86</v>
      </c>
      <c r="E36" s="43">
        <v>16</v>
      </c>
      <c r="F36" s="46">
        <v>1026</v>
      </c>
      <c r="G36" s="46">
        <v>1599</v>
      </c>
    </row>
    <row r="37" spans="1:7" x14ac:dyDescent="0.3">
      <c r="A37" s="61">
        <v>32630</v>
      </c>
      <c r="B37" s="58">
        <v>0.35025000000000001</v>
      </c>
      <c r="C37" s="57" t="s">
        <v>21</v>
      </c>
      <c r="D37" s="47" t="s">
        <v>87</v>
      </c>
      <c r="E37" s="43">
        <v>26</v>
      </c>
      <c r="F37" s="46">
        <v>1668</v>
      </c>
      <c r="G37" s="46">
        <v>2599</v>
      </c>
    </row>
    <row r="38" spans="1:7" x14ac:dyDescent="0.3">
      <c r="A38" s="61">
        <v>33199</v>
      </c>
      <c r="B38" s="58">
        <v>0.34826086956521701</v>
      </c>
      <c r="C38" s="57" t="s">
        <v>21</v>
      </c>
      <c r="D38" s="47" t="s">
        <v>89</v>
      </c>
      <c r="E38" s="43">
        <v>15</v>
      </c>
      <c r="F38" s="46">
        <v>962</v>
      </c>
      <c r="G38" s="46">
        <v>1499</v>
      </c>
    </row>
    <row r="39" spans="1:7" x14ac:dyDescent="0.3">
      <c r="A39" s="61">
        <v>33200</v>
      </c>
      <c r="B39" s="58">
        <v>0.35162162162162203</v>
      </c>
      <c r="C39" s="57" t="s">
        <v>21</v>
      </c>
      <c r="D39" s="47" t="s">
        <v>14</v>
      </c>
      <c r="E39" s="43">
        <v>24</v>
      </c>
      <c r="F39" s="46">
        <v>1539</v>
      </c>
      <c r="G39" s="46">
        <v>2399</v>
      </c>
    </row>
    <row r="40" spans="1:7" x14ac:dyDescent="0.3">
      <c r="A40" s="61">
        <v>38390</v>
      </c>
      <c r="B40" s="58">
        <v>0.34826086956521701</v>
      </c>
      <c r="C40" s="57" t="s">
        <v>21</v>
      </c>
      <c r="D40" s="47" t="s">
        <v>93</v>
      </c>
      <c r="E40" s="43">
        <v>15</v>
      </c>
      <c r="F40" s="46">
        <v>962</v>
      </c>
      <c r="G40" s="46">
        <v>1499</v>
      </c>
    </row>
    <row r="41" spans="1:7" x14ac:dyDescent="0.3">
      <c r="A41" s="61">
        <v>38391</v>
      </c>
      <c r="B41" s="58">
        <v>0.35162162162162203</v>
      </c>
      <c r="C41" s="57" t="s">
        <v>21</v>
      </c>
      <c r="D41" s="47" t="s">
        <v>94</v>
      </c>
      <c r="E41" s="43">
        <v>24</v>
      </c>
      <c r="F41" s="46">
        <v>1539</v>
      </c>
      <c r="G41" s="46">
        <v>2399</v>
      </c>
    </row>
    <row r="42" spans="1:7" x14ac:dyDescent="0.3">
      <c r="A42" s="61">
        <v>41033</v>
      </c>
      <c r="B42" s="58">
        <v>0.3604</v>
      </c>
      <c r="C42" s="57" t="s">
        <v>21</v>
      </c>
      <c r="D42" s="47" t="s">
        <v>97</v>
      </c>
      <c r="E42" s="43">
        <v>16</v>
      </c>
      <c r="F42" s="46">
        <v>1026</v>
      </c>
      <c r="G42" s="46">
        <v>1599</v>
      </c>
    </row>
    <row r="43" spans="1:7" x14ac:dyDescent="0.3">
      <c r="A43" s="61">
        <v>41034</v>
      </c>
      <c r="B43" s="58">
        <v>0.3604</v>
      </c>
      <c r="C43" s="57" t="s">
        <v>21</v>
      </c>
      <c r="D43" s="47" t="s">
        <v>98</v>
      </c>
      <c r="E43" s="43">
        <v>16</v>
      </c>
      <c r="F43" s="46">
        <v>1026</v>
      </c>
      <c r="G43" s="46">
        <v>1599</v>
      </c>
    </row>
    <row r="44" spans="1:7" x14ac:dyDescent="0.3">
      <c r="A44" s="61">
        <v>41035</v>
      </c>
      <c r="B44" s="58">
        <v>0.35025000000000001</v>
      </c>
      <c r="C44" s="57" t="s">
        <v>21</v>
      </c>
      <c r="D44" s="47" t="s">
        <v>99</v>
      </c>
      <c r="E44" s="43">
        <v>26</v>
      </c>
      <c r="F44" s="46">
        <v>1668</v>
      </c>
      <c r="G44" s="46">
        <v>2599</v>
      </c>
    </row>
    <row r="45" spans="1:7" x14ac:dyDescent="0.3">
      <c r="A45" s="61">
        <v>41037</v>
      </c>
      <c r="B45" s="58">
        <v>0.35025000000000001</v>
      </c>
      <c r="C45" s="57" t="s">
        <v>21</v>
      </c>
      <c r="D45" s="47" t="s">
        <v>100</v>
      </c>
      <c r="E45" s="43">
        <v>26</v>
      </c>
      <c r="F45" s="46">
        <v>1668</v>
      </c>
      <c r="G45" s="46">
        <v>2599</v>
      </c>
    </row>
    <row r="46" spans="1:7" x14ac:dyDescent="0.3">
      <c r="A46" s="61">
        <v>41039</v>
      </c>
      <c r="B46" s="58">
        <v>0.35025000000000001</v>
      </c>
      <c r="C46" s="57" t="s">
        <v>21</v>
      </c>
      <c r="D46" s="47" t="s">
        <v>101</v>
      </c>
      <c r="E46" s="43">
        <v>26</v>
      </c>
      <c r="F46" s="46">
        <v>1668</v>
      </c>
      <c r="G46" s="46">
        <v>2599</v>
      </c>
    </row>
    <row r="47" spans="1:7" x14ac:dyDescent="0.3">
      <c r="A47" s="61">
        <v>41040</v>
      </c>
      <c r="B47" s="58">
        <v>0.35025000000000001</v>
      </c>
      <c r="C47" s="57" t="s">
        <v>21</v>
      </c>
      <c r="D47" s="47" t="s">
        <v>102</v>
      </c>
      <c r="E47" s="43">
        <v>26</v>
      </c>
      <c r="F47" s="46">
        <v>1668</v>
      </c>
      <c r="G47" s="46">
        <v>2599</v>
      </c>
    </row>
    <row r="48" spans="1:7" x14ac:dyDescent="0.3">
      <c r="A48" s="61">
        <v>42425</v>
      </c>
      <c r="B48" s="58">
        <v>0.3604</v>
      </c>
      <c r="C48" s="57" t="s">
        <v>21</v>
      </c>
      <c r="D48" s="47" t="s">
        <v>107</v>
      </c>
      <c r="E48" s="43">
        <v>16</v>
      </c>
      <c r="F48" s="46">
        <v>1026</v>
      </c>
      <c r="G48" s="46">
        <v>1599</v>
      </c>
    </row>
    <row r="49" spans="1:7" x14ac:dyDescent="0.3">
      <c r="A49" s="61">
        <v>43691</v>
      </c>
      <c r="B49" s="58">
        <v>0.30076923076923101</v>
      </c>
      <c r="C49" s="57" t="s">
        <v>137</v>
      </c>
      <c r="D49" s="47" t="s">
        <v>108</v>
      </c>
      <c r="E49" s="43">
        <v>120</v>
      </c>
      <c r="F49" s="46">
        <v>6416</v>
      </c>
      <c r="G49" s="46">
        <v>9999</v>
      </c>
    </row>
    <row r="50" spans="1:7" x14ac:dyDescent="0.3">
      <c r="A50" s="61">
        <v>44480</v>
      </c>
      <c r="B50" s="58">
        <v>0.30007692307692302</v>
      </c>
      <c r="C50" s="57" t="s">
        <v>137</v>
      </c>
      <c r="D50" s="47" t="s">
        <v>109</v>
      </c>
      <c r="E50" s="43">
        <v>109</v>
      </c>
      <c r="F50" s="46">
        <v>5838</v>
      </c>
      <c r="G50" s="46">
        <v>9099</v>
      </c>
    </row>
    <row r="51" spans="1:7" x14ac:dyDescent="0.3">
      <c r="A51" s="61">
        <v>45590</v>
      </c>
      <c r="B51" s="58">
        <v>0.30076923076923101</v>
      </c>
      <c r="C51" s="57" t="s">
        <v>137</v>
      </c>
      <c r="D51" s="47" t="s">
        <v>138</v>
      </c>
      <c r="E51" s="43">
        <v>120</v>
      </c>
      <c r="F51" s="46">
        <v>6416</v>
      </c>
      <c r="G51" s="46">
        <v>9999</v>
      </c>
    </row>
    <row r="52" spans="1:7" x14ac:dyDescent="0.3">
      <c r="A52" s="61">
        <v>45595</v>
      </c>
      <c r="B52" s="58">
        <v>0.30076923076923101</v>
      </c>
      <c r="C52" s="57" t="s">
        <v>137</v>
      </c>
      <c r="D52" s="47" t="s">
        <v>110</v>
      </c>
      <c r="E52" s="43">
        <v>120</v>
      </c>
      <c r="F52" s="46">
        <v>6416</v>
      </c>
      <c r="G52" s="46">
        <v>9999</v>
      </c>
    </row>
    <row r="53" spans="1:7" x14ac:dyDescent="0.3">
      <c r="A53" s="61">
        <v>45608</v>
      </c>
      <c r="B53" s="58">
        <v>0.30076923076923101</v>
      </c>
      <c r="C53" s="57" t="s">
        <v>137</v>
      </c>
      <c r="D53" s="47" t="s">
        <v>111</v>
      </c>
      <c r="E53" s="43">
        <v>120</v>
      </c>
      <c r="F53" s="46">
        <v>6416</v>
      </c>
      <c r="G53" s="46">
        <v>9999</v>
      </c>
    </row>
    <row r="54" spans="1:7" x14ac:dyDescent="0.3">
      <c r="A54" s="61">
        <v>545710</v>
      </c>
      <c r="B54" s="44"/>
      <c r="C54" s="57" t="s">
        <v>137</v>
      </c>
      <c r="D54" s="47" t="s">
        <v>66</v>
      </c>
      <c r="E54" s="43" t="s">
        <v>13</v>
      </c>
      <c r="F54" s="43" t="s">
        <v>13</v>
      </c>
      <c r="G54" s="46">
        <v>140</v>
      </c>
    </row>
    <row r="55" spans="1:7" x14ac:dyDescent="0.3">
      <c r="A55" s="61">
        <v>545710</v>
      </c>
      <c r="B55" s="44">
        <v>0.28999999999999998</v>
      </c>
      <c r="C55" s="57" t="s">
        <v>137</v>
      </c>
      <c r="D55" s="53" t="s">
        <v>66</v>
      </c>
      <c r="E55" s="43" t="s">
        <v>13</v>
      </c>
      <c r="F55" s="43" t="s">
        <v>13</v>
      </c>
      <c r="G55" s="46">
        <v>495</v>
      </c>
    </row>
    <row r="56" spans="1:7" x14ac:dyDescent="0.3">
      <c r="A56" s="61">
        <v>545784</v>
      </c>
      <c r="B56" s="44"/>
      <c r="C56" s="57" t="s">
        <v>137</v>
      </c>
      <c r="D56" s="47" t="s">
        <v>67</v>
      </c>
      <c r="E56" s="43" t="s">
        <v>13</v>
      </c>
      <c r="F56" s="43" t="s">
        <v>13</v>
      </c>
      <c r="G56" s="46">
        <v>175</v>
      </c>
    </row>
    <row r="57" spans="1:7" x14ac:dyDescent="0.3">
      <c r="A57" s="61">
        <v>545784</v>
      </c>
      <c r="B57" s="44">
        <v>0.32</v>
      </c>
      <c r="C57" s="57" t="s">
        <v>137</v>
      </c>
      <c r="D57" s="53" t="s">
        <v>67</v>
      </c>
      <c r="E57" s="43" t="s">
        <v>13</v>
      </c>
      <c r="F57" s="43" t="s">
        <v>13</v>
      </c>
      <c r="G57" s="46">
        <v>595</v>
      </c>
    </row>
    <row r="58" spans="1:7" x14ac:dyDescent="0.3">
      <c r="A58" s="61">
        <v>548043</v>
      </c>
      <c r="B58" s="14"/>
      <c r="C58" s="57" t="s">
        <v>137</v>
      </c>
      <c r="D58" s="47" t="s">
        <v>68</v>
      </c>
      <c r="E58" s="43" t="s">
        <v>13</v>
      </c>
      <c r="F58" s="43" t="s">
        <v>13</v>
      </c>
      <c r="G58" s="46">
        <v>175</v>
      </c>
    </row>
    <row r="59" spans="1:7" x14ac:dyDescent="0.3">
      <c r="A59" s="61">
        <v>548043</v>
      </c>
      <c r="B59" s="44">
        <v>0.32</v>
      </c>
      <c r="C59" s="57" t="s">
        <v>137</v>
      </c>
      <c r="D59" s="78" t="s">
        <v>68</v>
      </c>
      <c r="E59" s="43" t="s">
        <v>13</v>
      </c>
      <c r="F59" s="43" t="s">
        <v>13</v>
      </c>
      <c r="G59" s="46">
        <v>595</v>
      </c>
    </row>
    <row r="60" spans="1:7" x14ac:dyDescent="0.3">
      <c r="A60" s="61">
        <v>548052</v>
      </c>
      <c r="B60" s="14"/>
      <c r="C60" s="57" t="s">
        <v>137</v>
      </c>
      <c r="D60" s="47" t="s">
        <v>69</v>
      </c>
      <c r="E60" s="43" t="s">
        <v>13</v>
      </c>
      <c r="F60" s="43" t="s">
        <v>13</v>
      </c>
      <c r="G60" s="46">
        <v>175</v>
      </c>
    </row>
    <row r="61" spans="1:7" x14ac:dyDescent="0.3">
      <c r="A61" s="61">
        <v>548052</v>
      </c>
      <c r="B61" s="44">
        <v>0.32</v>
      </c>
      <c r="C61" s="57" t="s">
        <v>137</v>
      </c>
      <c r="D61" s="53" t="s">
        <v>69</v>
      </c>
      <c r="E61" s="43" t="s">
        <v>13</v>
      </c>
      <c r="F61" s="43" t="s">
        <v>13</v>
      </c>
      <c r="G61" s="46">
        <v>595</v>
      </c>
    </row>
    <row r="62" spans="1:7" x14ac:dyDescent="0.3">
      <c r="A62" s="61">
        <v>548053</v>
      </c>
      <c r="B62" s="14"/>
      <c r="C62" s="57" t="s">
        <v>137</v>
      </c>
      <c r="D62" s="47" t="s">
        <v>70</v>
      </c>
      <c r="E62" s="43" t="s">
        <v>13</v>
      </c>
      <c r="F62" s="43" t="s">
        <v>13</v>
      </c>
      <c r="G62" s="46">
        <v>175</v>
      </c>
    </row>
    <row r="63" spans="1:7" x14ac:dyDescent="0.3">
      <c r="A63" s="61">
        <v>548053</v>
      </c>
      <c r="B63" s="44">
        <v>0.32</v>
      </c>
      <c r="C63" s="57" t="s">
        <v>137</v>
      </c>
      <c r="D63" s="53" t="s">
        <v>70</v>
      </c>
      <c r="E63" s="43" t="s">
        <v>13</v>
      </c>
      <c r="F63" s="43" t="s">
        <v>13</v>
      </c>
      <c r="G63" s="46">
        <v>595</v>
      </c>
    </row>
    <row r="64" spans="1:7" x14ac:dyDescent="0.3">
      <c r="A64" s="61">
        <v>548054</v>
      </c>
      <c r="B64" s="14"/>
      <c r="C64" s="57" t="s">
        <v>137</v>
      </c>
      <c r="D64" s="47" t="s">
        <v>71</v>
      </c>
      <c r="E64" s="43" t="s">
        <v>13</v>
      </c>
      <c r="F64" s="43" t="s">
        <v>13</v>
      </c>
      <c r="G64" s="46">
        <v>175</v>
      </c>
    </row>
    <row r="65" spans="1:7" x14ac:dyDescent="0.3">
      <c r="A65" s="61">
        <v>548054</v>
      </c>
      <c r="B65" s="44">
        <v>0.32</v>
      </c>
      <c r="C65" s="57" t="s">
        <v>137</v>
      </c>
      <c r="D65" s="53" t="s">
        <v>71</v>
      </c>
      <c r="E65" s="43" t="s">
        <v>13</v>
      </c>
      <c r="F65" s="43" t="s">
        <v>13</v>
      </c>
      <c r="G65" s="46">
        <v>595</v>
      </c>
    </row>
    <row r="66" spans="1:7" x14ac:dyDescent="0.3">
      <c r="A66" s="61">
        <v>548268</v>
      </c>
      <c r="B66" s="44">
        <v>0.32</v>
      </c>
      <c r="C66" s="57" t="s">
        <v>137</v>
      </c>
      <c r="D66" s="53" t="s">
        <v>141</v>
      </c>
      <c r="E66" s="43" t="s">
        <v>13</v>
      </c>
      <c r="F66" s="43" t="s">
        <v>13</v>
      </c>
      <c r="G66" s="46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7">
    <cfRule type="expression" dxfId="20" priority="24" stopIfTrue="1">
      <formula>AND(COUNTIF(#REF!, A8)&gt;1,NOT(ISBLANK(A8)))</formula>
    </cfRule>
  </conditionalFormatting>
  <conditionalFormatting sqref="A11">
    <cfRule type="duplicateValues" dxfId="19" priority="23"/>
  </conditionalFormatting>
  <conditionalFormatting sqref="A12:A13 A8:A10">
    <cfRule type="duplicateValues" dxfId="18" priority="22"/>
  </conditionalFormatting>
  <conditionalFormatting sqref="A14:A15">
    <cfRule type="duplicateValues" dxfId="17" priority="21"/>
  </conditionalFormatting>
  <conditionalFormatting sqref="A16:A28">
    <cfRule type="duplicateValues" dxfId="16" priority="330862"/>
  </conditionalFormatting>
  <conditionalFormatting sqref="A29:A33">
    <cfRule type="duplicateValues" dxfId="15" priority="18"/>
  </conditionalFormatting>
  <conditionalFormatting sqref="A34:A53">
    <cfRule type="duplicateValues" dxfId="14" priority="330870"/>
  </conditionalFormatting>
  <conditionalFormatting sqref="A54:A55">
    <cfRule type="duplicateValues" dxfId="13" priority="16"/>
  </conditionalFormatting>
  <conditionalFormatting sqref="A56:A57">
    <cfRule type="duplicateValues" dxfId="12" priority="15"/>
  </conditionalFormatting>
  <conditionalFormatting sqref="A58:A59">
    <cfRule type="duplicateValues" dxfId="11" priority="13"/>
    <cfRule type="expression" dxfId="10" priority="14" stopIfTrue="1">
      <formula>AND(COUNTIF(#REF!, A58)&gt;1,NOT(ISBLANK(A58)))</formula>
    </cfRule>
  </conditionalFormatting>
  <conditionalFormatting sqref="A60:A65">
    <cfRule type="duplicateValues" dxfId="9" priority="330871"/>
    <cfRule type="expression" dxfId="8" priority="330872" stopIfTrue="1">
      <formula>AND(COUNTIF(#REF!, A60)&gt;1,NOT(ISBLANK(A60)))</formula>
    </cfRule>
  </conditionalFormatting>
  <conditionalFormatting sqref="A66">
    <cfRule type="duplicateValues" dxfId="7" priority="330873"/>
    <cfRule type="expression" dxfId="6" priority="330874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2:C6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4"/>
  <sheetViews>
    <sheetView workbookViewId="0">
      <selection activeCell="K21" sqref="K21"/>
    </sheetView>
  </sheetViews>
  <sheetFormatPr defaultRowHeight="12.45" x14ac:dyDescent="0.3"/>
  <cols>
    <col min="2" max="2" width="7.69140625" bestFit="1" customWidth="1"/>
    <col min="3" max="3" width="7" customWidth="1"/>
    <col min="4" max="4" width="70.15234375" bestFit="1" customWidth="1"/>
  </cols>
  <sheetData>
    <row r="1" spans="1:7" x14ac:dyDescent="0.3">
      <c r="A1" s="43" t="s">
        <v>3</v>
      </c>
      <c r="B1" s="44" t="s">
        <v>9</v>
      </c>
      <c r="C1" s="45" t="s">
        <v>8</v>
      </c>
      <c r="D1" s="43" t="s">
        <v>11</v>
      </c>
      <c r="E1" s="43" t="s">
        <v>4</v>
      </c>
      <c r="F1" s="46" t="s">
        <v>5</v>
      </c>
      <c r="G1" s="46" t="s">
        <v>6</v>
      </c>
    </row>
    <row r="2" spans="1:7" x14ac:dyDescent="0.3">
      <c r="A2" s="43">
        <v>22467</v>
      </c>
      <c r="B2" s="14"/>
      <c r="C2" s="45" t="s">
        <v>424</v>
      </c>
      <c r="D2" s="47" t="s">
        <v>17</v>
      </c>
      <c r="E2" s="55">
        <v>24</v>
      </c>
      <c r="F2" s="55">
        <v>1475</v>
      </c>
      <c r="G2" s="55">
        <v>2300</v>
      </c>
    </row>
    <row r="3" spans="1:7" x14ac:dyDescent="0.3">
      <c r="A3" s="43">
        <v>27996</v>
      </c>
      <c r="B3" s="14"/>
      <c r="C3" s="45" t="s">
        <v>1156</v>
      </c>
      <c r="D3" s="47" t="s">
        <v>18</v>
      </c>
      <c r="E3" s="55">
        <v>17</v>
      </c>
      <c r="F3" s="55">
        <v>1090</v>
      </c>
      <c r="G3" s="55">
        <v>1700</v>
      </c>
    </row>
    <row r="4" spans="1:7" x14ac:dyDescent="0.3">
      <c r="A4" s="43">
        <v>29695</v>
      </c>
      <c r="B4" s="14"/>
      <c r="C4" s="45" t="s">
        <v>1157</v>
      </c>
      <c r="D4" s="47" t="s">
        <v>19</v>
      </c>
      <c r="E4" s="55">
        <v>52</v>
      </c>
      <c r="F4" s="55">
        <v>3208</v>
      </c>
      <c r="G4" s="55">
        <v>5000</v>
      </c>
    </row>
    <row r="5" spans="1:7" x14ac:dyDescent="0.3">
      <c r="A5" s="43">
        <v>29706</v>
      </c>
      <c r="B5" s="14"/>
      <c r="C5" s="45" t="s">
        <v>415</v>
      </c>
      <c r="D5" s="47" t="s">
        <v>26</v>
      </c>
      <c r="E5" s="55">
        <v>29</v>
      </c>
      <c r="F5" s="55">
        <v>1797</v>
      </c>
      <c r="G5" s="55">
        <v>2800</v>
      </c>
    </row>
    <row r="6" spans="1:7" x14ac:dyDescent="0.3">
      <c r="A6" s="43">
        <v>31750</v>
      </c>
      <c r="B6" s="14"/>
      <c r="C6" s="45" t="s">
        <v>1158</v>
      </c>
      <c r="D6" s="47" t="s">
        <v>34</v>
      </c>
      <c r="E6" s="55">
        <v>24</v>
      </c>
      <c r="F6" s="55">
        <v>1475</v>
      </c>
      <c r="G6" s="55">
        <v>2300</v>
      </c>
    </row>
    <row r="7" spans="1:7" x14ac:dyDescent="0.3">
      <c r="A7" s="86">
        <v>37285</v>
      </c>
      <c r="B7" s="14"/>
      <c r="C7" s="45" t="s">
        <v>21</v>
      </c>
      <c r="D7" s="47" t="s">
        <v>73</v>
      </c>
      <c r="E7" s="55">
        <v>52</v>
      </c>
      <c r="F7" s="55">
        <v>3208</v>
      </c>
      <c r="G7" s="55">
        <v>5000</v>
      </c>
    </row>
    <row r="8" spans="1:7" x14ac:dyDescent="0.3">
      <c r="A8" s="86">
        <v>37289</v>
      </c>
      <c r="B8" s="14"/>
      <c r="C8" s="45" t="s">
        <v>416</v>
      </c>
      <c r="D8" s="47" t="s">
        <v>74</v>
      </c>
      <c r="E8" s="55">
        <v>52</v>
      </c>
      <c r="F8" s="55">
        <v>3208</v>
      </c>
      <c r="G8" s="55">
        <v>5000</v>
      </c>
    </row>
    <row r="9" spans="1:7" x14ac:dyDescent="0.3">
      <c r="A9" s="86">
        <v>37290</v>
      </c>
      <c r="B9" s="14"/>
      <c r="C9" s="45" t="s">
        <v>416</v>
      </c>
      <c r="D9" s="47" t="s">
        <v>75</v>
      </c>
      <c r="E9" s="55">
        <v>52</v>
      </c>
      <c r="F9" s="55">
        <v>3208</v>
      </c>
      <c r="G9" s="55">
        <v>5000</v>
      </c>
    </row>
    <row r="10" spans="1:7" x14ac:dyDescent="0.3">
      <c r="A10" s="86">
        <v>37293</v>
      </c>
      <c r="B10" s="14"/>
      <c r="C10" s="45" t="s">
        <v>137</v>
      </c>
      <c r="D10" s="47" t="s">
        <v>20</v>
      </c>
      <c r="E10" s="55">
        <v>52</v>
      </c>
      <c r="F10" s="55">
        <v>3208</v>
      </c>
      <c r="G10" s="55">
        <v>5000</v>
      </c>
    </row>
    <row r="11" spans="1:7" x14ac:dyDescent="0.3">
      <c r="A11" s="86">
        <v>38556</v>
      </c>
      <c r="B11" s="14"/>
      <c r="C11" s="45" t="s">
        <v>21</v>
      </c>
      <c r="D11" s="47" t="s">
        <v>25</v>
      </c>
      <c r="E11" s="55">
        <v>24</v>
      </c>
      <c r="F11" s="55">
        <v>1475</v>
      </c>
      <c r="G11" s="55">
        <v>2300</v>
      </c>
    </row>
    <row r="12" spans="1:7" x14ac:dyDescent="0.3">
      <c r="A12" s="86">
        <v>38557</v>
      </c>
      <c r="B12" s="14"/>
      <c r="C12" s="45" t="s">
        <v>21</v>
      </c>
      <c r="D12" s="47" t="s">
        <v>22</v>
      </c>
      <c r="E12" s="55">
        <v>29</v>
      </c>
      <c r="F12" s="55">
        <v>1797</v>
      </c>
      <c r="G12" s="55">
        <v>2800</v>
      </c>
    </row>
    <row r="13" spans="1:7" x14ac:dyDescent="0.3">
      <c r="A13" s="86">
        <v>38558</v>
      </c>
      <c r="B13" s="14"/>
      <c r="C13" s="45" t="s">
        <v>21</v>
      </c>
      <c r="D13" s="47" t="s">
        <v>23</v>
      </c>
      <c r="E13" s="55">
        <v>29</v>
      </c>
      <c r="F13" s="55">
        <v>1797</v>
      </c>
      <c r="G13" s="55">
        <v>2800</v>
      </c>
    </row>
    <row r="14" spans="1:7" x14ac:dyDescent="0.3">
      <c r="A14" s="86">
        <v>38559</v>
      </c>
      <c r="B14" s="14"/>
      <c r="C14" s="45" t="s">
        <v>21</v>
      </c>
      <c r="D14" s="47" t="s">
        <v>24</v>
      </c>
      <c r="E14" s="55">
        <v>29</v>
      </c>
      <c r="F14" s="55">
        <v>1797</v>
      </c>
      <c r="G14" s="55">
        <v>2800</v>
      </c>
    </row>
    <row r="15" spans="1:7" x14ac:dyDescent="0.3">
      <c r="A15" s="86">
        <v>38836</v>
      </c>
      <c r="B15" s="14"/>
      <c r="C15" s="45" t="s">
        <v>21</v>
      </c>
      <c r="D15" s="47" t="s">
        <v>76</v>
      </c>
      <c r="E15" s="55">
        <v>50</v>
      </c>
      <c r="F15" s="55">
        <v>2887</v>
      </c>
      <c r="G15" s="55">
        <v>4500</v>
      </c>
    </row>
    <row r="16" spans="1:7" x14ac:dyDescent="0.3">
      <c r="A16" s="86">
        <v>38838</v>
      </c>
      <c r="B16" s="14"/>
      <c r="C16" s="45" t="s">
        <v>21</v>
      </c>
      <c r="D16" s="47" t="s">
        <v>77</v>
      </c>
      <c r="E16" s="55">
        <v>50</v>
      </c>
      <c r="F16" s="55">
        <v>2887</v>
      </c>
      <c r="G16" s="55">
        <v>4500</v>
      </c>
    </row>
    <row r="17" spans="1:7" x14ac:dyDescent="0.3">
      <c r="A17" s="86">
        <v>40745</v>
      </c>
      <c r="B17" s="14"/>
      <c r="C17" s="45" t="s">
        <v>137</v>
      </c>
      <c r="D17" s="47" t="s">
        <v>72</v>
      </c>
      <c r="E17" s="55">
        <v>70</v>
      </c>
      <c r="F17" s="55">
        <v>3850</v>
      </c>
      <c r="G17" s="55">
        <v>6000</v>
      </c>
    </row>
    <row r="18" spans="1:7" x14ac:dyDescent="0.3">
      <c r="A18" s="86">
        <v>45306</v>
      </c>
      <c r="B18" s="14"/>
      <c r="C18" s="45" t="s">
        <v>21</v>
      </c>
      <c r="D18" s="47" t="s">
        <v>29</v>
      </c>
      <c r="E18" s="55">
        <v>70</v>
      </c>
      <c r="F18" s="55">
        <v>3850</v>
      </c>
      <c r="G18" s="55">
        <v>6000</v>
      </c>
    </row>
    <row r="19" spans="1:7" x14ac:dyDescent="0.3">
      <c r="A19" s="86">
        <v>45307</v>
      </c>
      <c r="B19" s="14"/>
      <c r="C19" s="45" t="s">
        <v>21</v>
      </c>
      <c r="D19" s="47" t="s">
        <v>28</v>
      </c>
      <c r="E19" s="55">
        <v>70</v>
      </c>
      <c r="F19" s="55">
        <v>3850</v>
      </c>
      <c r="G19" s="55">
        <v>6000</v>
      </c>
    </row>
    <row r="20" spans="1:7" x14ac:dyDescent="0.3">
      <c r="A20" s="86">
        <v>45309</v>
      </c>
      <c r="B20" s="14"/>
      <c r="C20" s="45" t="s">
        <v>1159</v>
      </c>
      <c r="D20" s="47" t="s">
        <v>81</v>
      </c>
      <c r="E20" s="55">
        <v>24</v>
      </c>
      <c r="F20" s="55">
        <v>1475</v>
      </c>
      <c r="G20" s="55">
        <v>2300</v>
      </c>
    </row>
    <row r="21" spans="1:7" x14ac:dyDescent="0.3">
      <c r="A21" s="86">
        <v>46068</v>
      </c>
      <c r="B21" s="14"/>
      <c r="C21" s="45" t="s">
        <v>21</v>
      </c>
      <c r="D21" s="47" t="s">
        <v>35</v>
      </c>
      <c r="E21" s="55">
        <v>1</v>
      </c>
      <c r="F21" s="55">
        <v>38</v>
      </c>
      <c r="G21" s="55">
        <v>119</v>
      </c>
    </row>
    <row r="22" spans="1:7" x14ac:dyDescent="0.3">
      <c r="A22" s="86">
        <v>46664</v>
      </c>
      <c r="B22" s="14"/>
      <c r="C22" s="45" t="s">
        <v>21</v>
      </c>
      <c r="D22" s="47" t="s">
        <v>27</v>
      </c>
      <c r="E22" s="55">
        <v>14</v>
      </c>
      <c r="F22" s="55">
        <v>449</v>
      </c>
      <c r="G22" s="55">
        <v>1399</v>
      </c>
    </row>
    <row r="23" spans="1:7" x14ac:dyDescent="0.3">
      <c r="A23" s="86">
        <v>46685</v>
      </c>
      <c r="B23" s="14"/>
      <c r="C23" s="45" t="s">
        <v>21</v>
      </c>
      <c r="D23" s="47" t="s">
        <v>359</v>
      </c>
      <c r="E23" s="55">
        <v>7</v>
      </c>
      <c r="F23" s="55">
        <v>224</v>
      </c>
      <c r="G23" s="55">
        <v>699</v>
      </c>
    </row>
    <row r="24" spans="1:7" x14ac:dyDescent="0.3">
      <c r="A24" s="86">
        <v>47417</v>
      </c>
      <c r="B24" s="14"/>
      <c r="C24" s="45" t="s">
        <v>21</v>
      </c>
      <c r="D24" s="47" t="s">
        <v>27</v>
      </c>
      <c r="E24" s="55">
        <v>10</v>
      </c>
      <c r="F24" s="55">
        <v>321</v>
      </c>
      <c r="G24" s="55">
        <v>999</v>
      </c>
    </row>
  </sheetData>
  <sortState xmlns:xlrd2="http://schemas.microsoft.com/office/spreadsheetml/2017/richdata2" ref="A2:G22">
    <sortCondition ref="A2:A22"/>
  </sortState>
  <conditionalFormatting sqref="A2:A8">
    <cfRule type="expression" dxfId="5" priority="3" stopIfTrue="1">
      <formula>AND(COUNTIF(#REF!, A2)&gt;1,NOT(ISBLANK(A2)))</formula>
    </cfRule>
  </conditionalFormatting>
  <conditionalFormatting sqref="A9:A18">
    <cfRule type="duplicateValues" dxfId="4" priority="330881"/>
  </conditionalFormatting>
  <conditionalFormatting sqref="A9:A24">
    <cfRule type="expression" dxfId="3" priority="330832" stopIfTrue="1">
      <formula>AND(COUNTIF($B$11:$B$11, A9)&gt;1,NOT(ISBLANK(A9)))</formula>
    </cfRule>
  </conditionalFormatting>
  <conditionalFormatting sqref="A19:A20">
    <cfRule type="duplicateValues" dxfId="2" priority="330704"/>
  </conditionalFormatting>
  <conditionalFormatting sqref="A21:A24">
    <cfRule type="duplicateValues" dxfId="1" priority="330891"/>
  </conditionalFormatting>
  <pageMargins left="0.7" right="0.7" top="0.75" bottom="0.75" header="0.3" footer="0.3"/>
  <pageSetup paperSize="9" orientation="portrait" r:id="rId1"/>
  <ignoredErrors>
    <ignoredError sqref="C2:C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6"/>
  <sheetViews>
    <sheetView workbookViewId="0">
      <selection activeCell="J21" sqref="J21"/>
    </sheetView>
  </sheetViews>
  <sheetFormatPr defaultRowHeight="12.45" x14ac:dyDescent="0.3"/>
  <cols>
    <col min="4" max="4" width="47" customWidth="1"/>
  </cols>
  <sheetData>
    <row r="1" spans="1:7" x14ac:dyDescent="0.3">
      <c r="A1" s="43" t="s">
        <v>3</v>
      </c>
      <c r="B1" s="44" t="s">
        <v>9</v>
      </c>
      <c r="C1" s="45" t="s">
        <v>8</v>
      </c>
      <c r="D1" s="43" t="s">
        <v>11</v>
      </c>
      <c r="E1" s="43" t="s">
        <v>4</v>
      </c>
      <c r="F1" s="46" t="s">
        <v>5</v>
      </c>
      <c r="G1" s="46" t="s">
        <v>6</v>
      </c>
    </row>
    <row r="2" spans="1:7" x14ac:dyDescent="0.3">
      <c r="A2" s="54"/>
      <c r="B2" s="58"/>
      <c r="C2" s="57"/>
      <c r="D2" s="47"/>
      <c r="E2" s="43"/>
      <c r="F2" s="46"/>
      <c r="G2" s="46"/>
    </row>
    <row r="3" spans="1:7" x14ac:dyDescent="0.3">
      <c r="A3" s="54"/>
      <c r="B3" s="58"/>
      <c r="C3" s="57"/>
      <c r="D3" s="47"/>
      <c r="E3" s="43"/>
      <c r="F3" s="46"/>
      <c r="G3" s="46"/>
    </row>
    <row r="4" spans="1:7" x14ac:dyDescent="0.3">
      <c r="A4" s="54"/>
      <c r="B4" s="58"/>
      <c r="C4" s="57"/>
      <c r="D4" s="47"/>
      <c r="E4" s="43"/>
      <c r="F4" s="46"/>
      <c r="G4" s="46"/>
    </row>
    <row r="5" spans="1:7" x14ac:dyDescent="0.3">
      <c r="A5" s="54"/>
      <c r="B5" s="58"/>
      <c r="C5" s="57"/>
      <c r="D5" s="47"/>
      <c r="E5" s="43"/>
      <c r="F5" s="46"/>
      <c r="G5" s="46"/>
    </row>
    <row r="6" spans="1:7" x14ac:dyDescent="0.3">
      <c r="A6" s="54"/>
      <c r="B6" s="58"/>
      <c r="C6" s="57"/>
      <c r="D6" s="47"/>
      <c r="E6" s="43"/>
      <c r="F6" s="46"/>
      <c r="G6" s="46"/>
    </row>
  </sheetData>
  <sortState xmlns:xlrd2="http://schemas.microsoft.com/office/spreadsheetml/2017/richdata2" ref="A2:A6">
    <sortCondition ref="A2:A6"/>
  </sortState>
  <conditionalFormatting sqref="A2:A6">
    <cfRule type="expression" dxfId="0" priority="1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 КАТАЛОГ`24 (1)</vt:lpstr>
      <vt:lpstr>10 КАТАЛОГ`24 (2)</vt:lpstr>
      <vt:lpstr>10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2024-06-19T19:56:58Z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