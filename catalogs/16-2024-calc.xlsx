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2088C510-AA2B-4841-AA35-1219B1FC0A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ЛЬКУЛЯТОР" sheetId="1" r:id="rId1"/>
    <sheet name="18.11-07.12.202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G3" i="1"/>
  <c r="F3" i="1"/>
  <c r="E3" i="1"/>
  <c r="D3" i="1"/>
  <c r="C3" i="1"/>
  <c r="G2" i="1" l="1"/>
  <c r="E2" i="1"/>
  <c r="F2" i="1"/>
</calcChain>
</file>

<file path=xl/sharedStrings.xml><?xml version="1.0" encoding="utf-8"?>
<sst xmlns="http://schemas.openxmlformats.org/spreadsheetml/2006/main" count="3540" uniqueCount="2471">
  <si>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</si>
  <si>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</si>
  <si>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</si>
  <si>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</si>
  <si>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</si>
  <si>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</si>
  <si>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</si>
  <si>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</si>
  <si>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</si>
  <si>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</si>
  <si>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</si>
  <si>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</si>
  <si>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</si>
  <si>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</si>
  <si>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</si>
  <si>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</si>
  <si>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 xml:space="preserve">ТУАЛЕТНАЯ ВОДА GLACIER </t>
  </si>
  <si>
    <t>КЛЕТОЧНЫЙ КРЕМ МОЛОДОСТИ DIAMOND CELLULAR</t>
  </si>
  <si>
    <t>НОЧНОЙ ВОССТАНАВЛИВАЮЩИЙ КЛЕТОЧНЫЙ КРЕМ DIAMOND CELLULAR</t>
  </si>
  <si>
    <t xml:space="preserve">                                                                                                    - СЛОНОВАЯ КОСТЬ</t>
  </si>
  <si>
    <t>МИЦЕЛЛЯРНЫЙ ОЧИЩАЮЩИЙ ЛОСЬОН DIAMOND CELLULAR</t>
  </si>
  <si>
    <t>ЖЕНСКАЯ ПАРФЮМЕРНАЯ ВОДА LOVE POTION</t>
  </si>
  <si>
    <t>СПОНЖИ ДЛЯ МАКИЯЖА</t>
  </si>
  <si>
    <t>ТОЧИЛКА ДЛЯ КАРАНДАШЕЙ</t>
  </si>
  <si>
    <t>ТУАЛЕТНАЯ ВОДА GLACIER</t>
  </si>
  <si>
    <t>ТУАЛЕТНАЯ ВОДА ELVIE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</si>
  <si>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</si>
  <si>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</si>
  <si>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</si>
  <si>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МОЧАЛКА ДЛЯ ДУША</t>
  </si>
  <si>
    <t>ПАРФЮМЕРНАЯ ВОДА AMBER ELIXIR</t>
  </si>
  <si>
    <t>ПАРФЮМИРОВАННЫЙ КРЕМ ДЛЯ ТЕЛА AMBER ELIXIR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</si>
  <si>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</si>
  <si>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</si>
  <si>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</si>
  <si>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13659</t>
  </si>
  <si>
    <t>18437</t>
  </si>
  <si>
    <t>21339</t>
  </si>
  <si>
    <t>11037</t>
  </si>
  <si>
    <t>11365</t>
  </si>
  <si>
    <t>22443</t>
  </si>
  <si>
    <t/>
  </si>
  <si>
    <t>52</t>
  </si>
  <si>
    <t>23</t>
  </si>
  <si>
    <t>5</t>
  </si>
  <si>
    <t>21</t>
  </si>
  <si>
    <t>11</t>
  </si>
  <si>
    <t>47</t>
  </si>
  <si>
    <t>46</t>
  </si>
  <si>
    <t>43</t>
  </si>
  <si>
    <t>7</t>
  </si>
  <si>
    <t>8</t>
  </si>
  <si>
    <t>149</t>
  </si>
  <si>
    <t>144</t>
  </si>
  <si>
    <t>13</t>
  </si>
  <si>
    <t>10</t>
  </si>
  <si>
    <t>15</t>
  </si>
  <si>
    <t>16</t>
  </si>
  <si>
    <t>14</t>
  </si>
  <si>
    <t>17</t>
  </si>
  <si>
    <t>29</t>
  </si>
  <si>
    <t>МУЖСКИЕ ДУХИ GIORDANI GOLD ESSENZA ELIXIR (ПРОБНИК)</t>
  </si>
  <si>
    <t>НАБОР СПЕЦИАЛЬНЫХ СМЯГЧАЮЩИХ СРЕДСТВ</t>
  </si>
  <si>
    <t>КРЕМОВАЯ ГУБНАЯ ПОМАДА С БЛЕСТЯЩИМ СТЕРЖНЕМ THE ONE - НЕПОВТОРИМЫЙ НЮД</t>
  </si>
  <si>
    <t xml:space="preserve">                                                                                                              - ВПЕЧАТЛЯЮЩИЙ РОЗОВЫЙ</t>
  </si>
  <si>
    <t xml:space="preserve">                                                                                                              - АЛЫЙ РУБИН</t>
  </si>
  <si>
    <t>ЖИДКОЕ МЫЛО ДЛЯ РУК И ТЕЛА С ЛИМОНОМ И ВЕРБЕНОЙ ESSENSE &amp; CO.</t>
  </si>
  <si>
    <t>ЛОСЬОН ДЛЯ РУК И ТЕЛА С ЛИМОНОМ И ВЕРБЕНОЙ ESSENSE &amp; CO.</t>
  </si>
  <si>
    <t>ГЕЛЬ-ЛАК ДЛЯ НОГТЕЙ THE ONE - ГЛАМУРНЫЙ ЗЕЛЁНЫЙ</t>
  </si>
  <si>
    <t xml:space="preserve">                                                        - ЭФФЕКТНЫЙ РОЗОВЫЙ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</si>
  <si>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</si>
  <si>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</si>
  <si>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>ЖИДКОЕ МЫЛО ДЛЯ РУК И ТЕЛА С ЛИМОНОМ И ВЕРБЕНОЙ ESSENSE &amp; CO. (РЕФИЛ)</t>
  </si>
  <si>
    <t>ПАРФЮМИРОВАННЫЙ КРЕМ ДЛЯ ТЕЛА LOVE POTION</t>
  </si>
  <si>
    <t>ПАРФЮМИРОВАННЫЙ КРЕМ ДЛЯ ТЕЛА ECLAT FEMME WEEKEND</t>
  </si>
  <si>
    <t>ПАРФЮМИРОВАННЫЙ КРЕМ ДЛЯ ТЕЛА POSSESS</t>
  </si>
  <si>
    <t>ПАРФЮМИРОВАННЫЙ КРЕМ ДЛЯ ТЕЛА DIVINE EXCLUSIVE</t>
  </si>
  <si>
    <t>ПАРФЮМИРОВАННЫЙ КРЕМ ДЛЯ ТЕЛА ECLAT FEMME</t>
  </si>
  <si>
    <t>МНОГОФУНКЦИОНАЛЬНАЯ ТУШЬ ДЛЯ РЕСНИЦ 5 В 1 THE ONE WONDER LASH. ПРАЗДНИЧНЫЙ ВЫПУСК – ЧЁРНЫЙ</t>
  </si>
  <si>
    <t>ПОДВОДКА ДЛЯ ГЛАЗ THE ONE WONDER LINER - ЗОЛОТОЙ</t>
  </si>
  <si>
    <t>МАССАЖНАЯ ПЕРЧАТКА</t>
  </si>
  <si>
    <t>НАБОР КИСТЕЙ ДЛЯ МАКИЯЖА</t>
  </si>
  <si>
    <t>СИЛИКОНОВЫЙ СПОНЖ ДЛЯ МАКИЯЖА</t>
  </si>
  <si>
    <t>КОСМЕТИЧКА</t>
  </si>
  <si>
    <t>НАБОР ПИЛОК ДЛЯ НОГТЕЙ</t>
  </si>
  <si>
    <t>ЧАСЫ С ИЗУМРУДНЫМ ЦИФЕРБЛАТОМ</t>
  </si>
  <si>
    <t>СЕРЬГИ-ГВОЗДИКИ С ИЗУМРУДНЫМИ КРИСТАЛЛАМИ</t>
  </si>
  <si>
    <t>КОЛЬЕ-ЦЕПОЧКА С ИЗУМРУДНЫМИ КРИСТАЛЛАМИ</t>
  </si>
  <si>
    <t>СУМКА С БАНТОМ НА ЦЕПОЧКЕ</t>
  </si>
  <si>
    <t>НАБОР ЗАКОЛОК ДЛЯ ВОЛОС</t>
  </si>
  <si>
    <t>ОБОДОК ДЛЯ ВОЛОС СО СТРАЗАМИ</t>
  </si>
  <si>
    <t>НАБОР УКРАШЕНИЙ С НАТУРАЛЬНОЙ ШПИНЕЛЬЮ</t>
  </si>
  <si>
    <t>НОЧНАЯ МАСКА ДЛЯ ИНТЕНСИВНОГО ВОССТАНОВЛЕНИЯ КОЖИ NOVAGE+. ПРАЗДНИЧНЫЙ ВЫПУСК</t>
  </si>
  <si>
    <t>WELLOSOPHY</t>
  </si>
  <si>
    <t>97</t>
  </si>
  <si>
    <t>КОМПЛЕКС «МУЛЬТИВИТАМИНЫ И МИНЕРАЛЫ» ДЛЯ ДЕТЕЙ</t>
  </si>
  <si>
    <t>94</t>
  </si>
  <si>
    <t>95</t>
  </si>
  <si>
    <t>90</t>
  </si>
  <si>
    <t>89</t>
  </si>
  <si>
    <t>91</t>
  </si>
  <si>
    <t>96</t>
  </si>
  <si>
    <t>126</t>
  </si>
  <si>
    <t>101</t>
  </si>
  <si>
    <t>92</t>
  </si>
  <si>
    <t>93</t>
  </si>
  <si>
    <t>127</t>
  </si>
  <si>
    <t>СУП «НЭЧУРАЛ БАЛАНС» - СПАРЖА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</si>
  <si>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</si>
  <si>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</si>
  <si>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</si>
  <si>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ПРОТЕИНОВЫЙ КОМПЛЕКС</t>
  </si>
  <si>
    <t>КОМПЛЕКС «АСТАКСАНТИН И ЭКСТРАКТ ЧЕРНИКИ»</t>
  </si>
  <si>
    <t>WELLOSOPHY WELLNESS PACK ДЛЯ МУЖЧИН</t>
  </si>
  <si>
    <t>WELLOSOPHY WELLNESS PACK ДЛЯ ЖЕНЩИН</t>
  </si>
  <si>
    <t>ПИТАТЕЛЬНЫЙ СУП ДЛЯ КОНТРОЛЯ ВЕСА - ГРИБНОЙ ВКУС</t>
  </si>
  <si>
    <t>БАЛЬЗАМ ДЛЯ КОЖИ ВОКРУГ ГЛАЗ WELLOSOPHY - УВЛАЖНЕНИЕ И ВОССТАНОВЛЕНИЕ</t>
  </si>
  <si>
    <t xml:space="preserve">ОЧИЩАЮЩЕЕ СРЕДСТВО ДЛЯ ЛИЦА WELLOSOPHY - СИЯНИЕ И БАЛАНС </t>
  </si>
  <si>
    <t xml:space="preserve">МАСКА ДЛЯ ЛИЦА WELLOSOPHY - ОТШЕЛУШИВАНИЕ И ТОНИЗИРОВАНИЕ </t>
  </si>
  <si>
    <t>НУТРИКОМПЛЕКС ДЛЯ КОЖИ, ВОЛОС И НОГТЕЙ</t>
  </si>
  <si>
    <t>НОЧНОЙ ЭЛИКСИР WELLOSOPHY - ВОССТАНОВЛЕНИЕ И РАЗГЛАЖИВАНИЕ</t>
  </si>
  <si>
    <t>МИСТ ДЛЯ ЛИЦА WELLOSOPHY - ВОССТАНОВЛЕНИЕ И УВЛАЖНЕНИЕ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</si>
  <si>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</si>
  <si>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</si>
  <si>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</si>
  <si>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</si>
  <si>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МЕРНАЯ ЛОЖКА</t>
  </si>
  <si>
    <t>СКРЕБОК ГУАША ДЛЯ ЛИЦА</t>
  </si>
  <si>
    <t>ОХЛАЖДАЮЩЕЕ ПОЛОТЕНЦЕ</t>
  </si>
  <si>
    <t>ШЕЙКЕР</t>
  </si>
  <si>
    <t>НАБОР КОНТЕЙНЕРОВ</t>
  </si>
  <si>
    <t>БАЗОВЫЙ НАБОР ДЛЯ УХОДА ЗА КОЖЕЙ WELLOSOPHY + КОМПЛЕКС «АСТАКСАНТИН И ЭКСТРАКТ ЧЕРНИКИ</t>
  </si>
  <si>
    <t>ДЕКОРАТИВНАЯ КОСМЕТИКА</t>
  </si>
  <si>
    <t>ПОМАДЫ, БЛЕСКИ И КАРАНДАШИ ДЛЯ ГУБ</t>
  </si>
  <si>
    <t>81</t>
  </si>
  <si>
    <t>85</t>
  </si>
  <si>
    <t>167</t>
  </si>
  <si>
    <t>166</t>
  </si>
  <si>
    <t>73</t>
  </si>
  <si>
    <t>72</t>
  </si>
  <si>
    <t>80</t>
  </si>
  <si>
    <t>35</t>
  </si>
  <si>
    <t>86</t>
  </si>
  <si>
    <t>74</t>
  </si>
  <si>
    <t>78</t>
  </si>
  <si>
    <t>79</t>
  </si>
  <si>
    <t>77</t>
  </si>
  <si>
    <t>76</t>
  </si>
  <si>
    <t>75</t>
  </si>
  <si>
    <t>128</t>
  </si>
  <si>
    <t>9</t>
  </si>
  <si>
    <t>31</t>
  </si>
  <si>
    <t>69</t>
  </si>
  <si>
    <t>164</t>
  </si>
  <si>
    <t>84</t>
  </si>
  <si>
    <t>129</t>
  </si>
  <si>
    <t>71</t>
  </si>
  <si>
    <t>165</t>
  </si>
  <si>
    <t>70</t>
  </si>
  <si>
    <t>87</t>
  </si>
  <si>
    <t>82</t>
  </si>
  <si>
    <t>83</t>
  </si>
  <si>
    <t>171</t>
  </si>
  <si>
    <t>59</t>
  </si>
  <si>
    <t>177</t>
  </si>
  <si>
    <t>55</t>
  </si>
  <si>
    <t>33</t>
  </si>
  <si>
    <t>49</t>
  </si>
  <si>
    <t>51</t>
  </si>
  <si>
    <t>44</t>
  </si>
  <si>
    <t>175</t>
  </si>
  <si>
    <t>57</t>
  </si>
  <si>
    <t>179</t>
  </si>
  <si>
    <t>54</t>
  </si>
  <si>
    <t>53</t>
  </si>
  <si>
    <t>45</t>
  </si>
  <si>
    <t>32</t>
  </si>
  <si>
    <t>173</t>
  </si>
  <si>
    <t>58</t>
  </si>
  <si>
    <t>34</t>
  </si>
  <si>
    <t>56</t>
  </si>
  <si>
    <t>170</t>
  </si>
  <si>
    <t>61</t>
  </si>
  <si>
    <t>64</t>
  </si>
  <si>
    <t>65</t>
  </si>
  <si>
    <t>62</t>
  </si>
  <si>
    <t>169</t>
  </si>
  <si>
    <t>41</t>
  </si>
  <si>
    <t>38</t>
  </si>
  <si>
    <t>39</t>
  </si>
  <si>
    <t>37</t>
  </si>
  <si>
    <t>36</t>
  </si>
  <si>
    <t>135</t>
  </si>
  <si>
    <t>161</t>
  </si>
  <si>
    <t>141</t>
  </si>
  <si>
    <t>27</t>
  </si>
  <si>
    <t>137</t>
  </si>
  <si>
    <t>138</t>
  </si>
  <si>
    <t>139</t>
  </si>
  <si>
    <t>159</t>
  </si>
  <si>
    <t>158</t>
  </si>
  <si>
    <t>140</t>
  </si>
  <si>
    <t>136</t>
  </si>
  <si>
    <t>131</t>
  </si>
  <si>
    <t>122</t>
  </si>
  <si>
    <t>146</t>
  </si>
  <si>
    <t>156</t>
  </si>
  <si>
    <t>22</t>
  </si>
  <si>
    <t>142</t>
  </si>
  <si>
    <t>148</t>
  </si>
  <si>
    <t>132</t>
  </si>
  <si>
    <t>143</t>
  </si>
  <si>
    <t>25</t>
  </si>
  <si>
    <t>117</t>
  </si>
  <si>
    <t>116</t>
  </si>
  <si>
    <t>153</t>
  </si>
  <si>
    <t>151</t>
  </si>
  <si>
    <t>67</t>
  </si>
  <si>
    <t>66</t>
  </si>
  <si>
    <t>114</t>
  </si>
  <si>
    <t>160</t>
  </si>
  <si>
    <t>157</t>
  </si>
  <si>
    <t>24</t>
  </si>
  <si>
    <t>154</t>
  </si>
  <si>
    <t>152</t>
  </si>
  <si>
    <t>155</t>
  </si>
  <si>
    <t>163</t>
  </si>
  <si>
    <t>120</t>
  </si>
  <si>
    <t>112</t>
  </si>
  <si>
    <t>121</t>
  </si>
  <si>
    <t>107</t>
  </si>
  <si>
    <t>108</t>
  </si>
  <si>
    <t>109</t>
  </si>
  <si>
    <t>110</t>
  </si>
  <si>
    <t>111</t>
  </si>
  <si>
    <t>113</t>
  </si>
  <si>
    <t>119</t>
  </si>
  <si>
    <t>105</t>
  </si>
  <si>
    <t>118</t>
  </si>
  <si>
    <t>123</t>
  </si>
  <si>
    <t>125</t>
  </si>
  <si>
    <t>124</t>
  </si>
  <si>
    <t>115</t>
  </si>
  <si>
    <t>99</t>
  </si>
  <si>
    <t>63</t>
  </si>
  <si>
    <t>145</t>
  </si>
  <si>
    <t>150</t>
  </si>
  <si>
    <t>106</t>
  </si>
  <si>
    <t>103</t>
  </si>
  <si>
    <t>104</t>
  </si>
  <si>
    <t>133</t>
  </si>
  <si>
    <t>18</t>
  </si>
  <si>
    <t>50</t>
  </si>
  <si>
    <t>42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</si>
  <si>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</si>
  <si>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</si>
  <si>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</si>
  <si>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</si>
  <si>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</si>
  <si>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</si>
  <si>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</si>
  <si>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</si>
  <si>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</si>
  <si>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</si>
  <si>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</si>
  <si>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</si>
  <si>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</si>
  <si>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</si>
  <si>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</si>
  <si>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</si>
  <si>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</si>
  <si>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</si>
  <si>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</si>
  <si>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</si>
  <si>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</si>
  <si>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</si>
  <si>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</si>
  <si>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</si>
  <si>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</si>
  <si>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</si>
  <si>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</si>
  <si>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</si>
  <si>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</si>
  <si>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</si>
  <si>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</si>
  <si>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</si>
  <si>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</si>
  <si>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</si>
  <si>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</si>
  <si>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ТЕРРАКОТА </t>
  </si>
  <si>
    <t xml:space="preserve">                                                                        - МАЛИНА </t>
  </si>
  <si>
    <t xml:space="preserve">                                                                        - ОРХИДЕЯ</t>
  </si>
  <si>
    <t xml:space="preserve">                                                                        - ФУКСИЯ </t>
  </si>
  <si>
    <t xml:space="preserve">                                                                        - КОРАЛЛ 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</si>
  <si>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</si>
  <si>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</si>
  <si>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МАРСАЛА</t>
  </si>
  <si>
    <t xml:space="preserve">                                                                        - МОККО</t>
  </si>
  <si>
    <t xml:space="preserve">                                                                        - ВИНОГРАД</t>
  </si>
  <si>
    <t xml:space="preserve">                                                                        - СЛИВА </t>
  </si>
  <si>
    <t xml:space="preserve">САТИНОВАЯ ГУБНАЯ ПОМАДА GIORDANI GOLD ICONIC  - НЕЖНЫЙ НЮД </t>
  </si>
  <si>
    <t xml:space="preserve">                                                                                              - ГЛЯНЦЕВЫЙ ЛИЛОВЫЙ 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</si>
  <si>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</si>
  <si>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</si>
  <si>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</si>
  <si>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</si>
  <si>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</si>
  <si>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</si>
  <si>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 </t>
  </si>
  <si>
    <t xml:space="preserve">                                                                                              - КОРОЛЕВСКИЙ ГРАНАТ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</si>
  <si>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</si>
  <si>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</si>
  <si>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</si>
  <si>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</si>
  <si>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</si>
  <si>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</si>
  <si>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</si>
  <si>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</si>
  <si>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</si>
  <si>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</si>
  <si>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</si>
  <si>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</si>
  <si>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</si>
  <si>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</si>
  <si>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</si>
  <si>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</si>
  <si>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</si>
  <si>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</si>
  <si>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</si>
  <si>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</si>
  <si>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</si>
  <si>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</si>
  <si>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</si>
  <si>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</si>
  <si>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</si>
  <si>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</si>
  <si>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</si>
  <si>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</si>
  <si>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</si>
  <si>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</si>
  <si>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</si>
  <si>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</si>
  <si>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</si>
  <si>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</si>
  <si>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</si>
  <si>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</si>
  <si>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</si>
  <si>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</si>
  <si>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МУЛЬТИАКТИВНЫЙ БАЛЬЗАМ ДЛЯ ГУБ SPF 15 THE ONE - РОЗОВЫЙ</t>
  </si>
  <si>
    <t>КАРАНДАШИ ДЛЯ ГЛАЗ И БРОВЕЙ, ПОДВОДКА ДЛЯ ГЛАЗ, ПОМАДА ДЛЯ БРОВЕЙ</t>
  </si>
  <si>
    <t xml:space="preserve">ЖИДКАЯ ПОДВОДКА ONCOLOUR - ЧЕРНЫЙ 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</si>
  <si>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</si>
  <si>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- СРЕДНИЙ КОРИЧНЕВЫЙ</t>
  </si>
  <si>
    <t>УХАЖИВАЮЩАЯ ПОДВОДКА ДЛЯ ГЛАЗ GG - ЧЁРНЫЙ</t>
  </si>
  <si>
    <t>КАРАНДАШ ДЛЯ ГЛАЗ THE ONE - ЧЁРНЫЙ</t>
  </si>
  <si>
    <t xml:space="preserve">                                                      - КОРИЧНЕВЫЙ</t>
  </si>
  <si>
    <t>СТОЙКИЙ МАРКЕР-ПОДВОДКА ДЛЯ ГЛАЗ В БОЛЬШОМ ОБЪЕМЕ THE ONE - ЧЕРНЫЙ</t>
  </si>
  <si>
    <t>ТУШЬ ДЛЯ БРОВЕЙ THE ONE - КОРИЧНЕВЫЙ</t>
  </si>
  <si>
    <t xml:space="preserve">                                                - ТЁМНО-КОРИЧНЕВЫЙ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</si>
  <si>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</si>
  <si>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</si>
  <si>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</si>
  <si>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ПИНЦЕТ ДЛЯ БРОВЕЙ</t>
  </si>
  <si>
    <t>ЗАЩИТНАЯ НАКЛАДКА-ТРАФАРЕТ ДЛЯ МАКИЯЖА ГЛАЗ</t>
  </si>
  <si>
    <t>ГЕЛЬ-ФИКСАТОР ДЛЯ БРОВЕЙ THE ONE</t>
  </si>
  <si>
    <t xml:space="preserve">ТУШЬ ДЛЯ РЕСНИЦ </t>
  </si>
  <si>
    <t>ОБЪЕМНАЯ ТУШЬ ДЛЯ РЕСНИЦ ONCOLOUR - ЧЕРНЫЙ</t>
  </si>
  <si>
    <t>ТУШЬ С ЭФФЕКТОМ ГИПНОТИЧЕСКОГО ВЗГЛЯДА THE ONE HYPNOTIC DEPTH - ЧЁРНЫЙ</t>
  </si>
  <si>
    <t>СУПЕРТУШЬ ДЛЯ РЕСНИЦ GIORDANI GOLD - ЧЁРНЫЙ</t>
  </si>
  <si>
    <t>ТУШЬ С ЭКСТРЕМАЛЬНЫМ ОБЪЁМОМ THE ONE TREMENDOUS - ЧЁРНЫЙ</t>
  </si>
  <si>
    <t>ТУШЬ С ЭФФЕКТОМ КОШАЧЬИХ ГЛАЗ THE ONE TREMENDOUS - ЧЁРНЫЙ</t>
  </si>
  <si>
    <t>ТУШЬ ДЛЯ РЕСНИЦ 360° С ЭФФЕКТОМ ПОДКРУЧИВАНИЯ THE ONE - ЧЁРНЫЙ</t>
  </si>
  <si>
    <t>ЦВЕТНАЯ ТУШЬ THE ONE HYPNOTIC COLOUR - ЯРКИЙ РОЗОВЫЙ</t>
  </si>
  <si>
    <t xml:space="preserve">                                                                        - ТРЕНДОВЫЙ ФИОЛЕТОВЫЙ</t>
  </si>
  <si>
    <t xml:space="preserve">                                                                        - ПРОХЛАДНЫЙ МЯТНЫЙ</t>
  </si>
  <si>
    <t>ВОДОСТОЙКАЯ СУПЕРТУШЬ ДЛЯ РЕСНИЦ GIORDANI GOLD</t>
  </si>
  <si>
    <t>УДЛИНЯЮЩАЯ ТУШЬ ДЛЯ РЕСНИЦ ONCOLOUR - ЧЕРНЫЙ</t>
  </si>
  <si>
    <t>ТЕНИ ДЛЯ ВЕК</t>
  </si>
  <si>
    <t>ПАЛЕТКА ТЕНЕЙ ДЛЯ ВЕК ONCOLOUR - ШОКОЛАДНЫЙ БУМ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</si>
  <si>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</si>
  <si>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</si>
  <si>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ТЕНИ-КАРАНДАШ ДЛЯ ВЕК THE ONE COLOUR - СЕРЕБРО</t>
  </si>
  <si>
    <t xml:space="preserve">                                                                    - СЛИВА</t>
  </si>
  <si>
    <t xml:space="preserve">                                                                    - ШАМПАНСКОЕ </t>
  </si>
  <si>
    <t xml:space="preserve">                                                                    - ЗОЛОТО </t>
  </si>
  <si>
    <t xml:space="preserve">                                                                    - ИНДИГО 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</si>
  <si>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</si>
  <si>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</si>
  <si>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>ЖИДКИЕ ТЕНИ С ЭФФЕКТОМ "МЕТАЛЛИК" THE ONE - ГОЛУБОЙ</t>
  </si>
  <si>
    <t>ТЕНИ-КАРАНДАШ ДЛЯ ВЕК THE ONE COLOUR UNLIMITED - УЛЬТРАФИОЛЕТ</t>
  </si>
  <si>
    <t xml:space="preserve">                                                                                    - ЗЕФИР</t>
  </si>
  <si>
    <t>ДВУСТОРОННИЕ ТЕНИ-ПОДВОДКА ДЛЯ ВЕК ONCOLOUR - ЛИЛОВЫЙ КРЕМ</t>
  </si>
  <si>
    <t xml:space="preserve">                                                                                   - МЯГКИЙ НЮД</t>
  </si>
  <si>
    <t>СТОЙКИЕ ТЕНИ-КАРАНДАШ ДЛЯ ВЕК THE ONE COLOUR - МАГНЕТИЧЕСКИЙ ПЕРСИКОВЫЙ</t>
  </si>
  <si>
    <t xml:space="preserve">                                                                                   - ИЗЫСКАННЫЙ РОЗОВЫЙ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</si>
  <si>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</si>
  <si>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</si>
  <si>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</si>
  <si>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>ТОНАЛЬНЫЕ ОСНОВЫ, РУМЯНА, ПУДРЫ, КОНСИЛЛЕРЫ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</si>
  <si>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</si>
  <si>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</si>
  <si>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</si>
  <si>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</si>
  <si>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</si>
  <si>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</si>
  <si>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</si>
  <si>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</si>
  <si>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ЖИДКИЙ ХАЙЛАЙТЕР THE ONE ILLUSKIN</t>
  </si>
  <si>
    <t>КОМПАКТНАЯ ПУДРА ONCOLOUR - НЕЖНЫЙ БЕЖЕВЫЙ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</si>
  <si>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</si>
  <si>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</si>
  <si>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</si>
  <si>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 xml:space="preserve">                                                                                      - ТЁМНЫЙ БЕЖ</t>
  </si>
  <si>
    <t>ТОНАЛЬНЫЙ ФЛЮИД ДЛЯ СИЯНИЯ КОЖИ ONCOLOUR - СВЕТЛЫЙ</t>
  </si>
  <si>
    <t>РУМЯНА-БРОНЗЕР В ШАРИКАХ GG - НАТУРАЛЬНОЕ СИЯНИЕ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</si>
  <si>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</si>
  <si>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СВЕТЛЫЙ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</si>
  <si>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</si>
  <si>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</si>
  <si>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</si>
  <si>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</si>
  <si>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</si>
  <si>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</si>
  <si>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АНТИВОЗРАСТНАЯ ОСНОВА ПОД МАКИЯЖ С ПРЕБИОТИЧЕСКОЙ СЫВОРОТКОЙ GIORDANI GOLD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</si>
  <si>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</si>
  <si>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</si>
  <si>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</si>
  <si>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</si>
  <si>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</si>
  <si>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</si>
  <si>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</si>
  <si>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ТЁПЛЫЙ БРОНЗОВЫЙ</t>
  </si>
  <si>
    <t xml:space="preserve">                                                                                                                                          - ТЁПЛАЯ КАРАМЕЛЬ</t>
  </si>
  <si>
    <t xml:space="preserve">                                                                                                                                          - ТЁПЛЫЙ ШОКОЛАД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</si>
  <si>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</si>
  <si>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</si>
  <si>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</si>
  <si>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</si>
  <si>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</si>
  <si>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</si>
  <si>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</si>
  <si>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</si>
  <si>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</si>
  <si>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</si>
  <si>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</si>
  <si>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СТИК ДЛЯ МАКИЯЖА THE ONE - СОЛНЕЧНЫЙ РУМЯНЕЦ</t>
  </si>
  <si>
    <t xml:space="preserve">                                                    - ЗОЛОТИСТЫЙ ЗАКАТ</t>
  </si>
  <si>
    <t>ЛАКИ И ПОКРЫТИЯ ДЛЯ НОГТЕЙ</t>
  </si>
  <si>
    <t>ЛАК ДЛЯ НОГТЕЙ ONCOLOUR - НЮД</t>
  </si>
  <si>
    <t xml:space="preserve">                                                 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</si>
  <si>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</si>
  <si>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</si>
  <si>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</si>
  <si>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</si>
  <si>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НЕЗАБУДКА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</si>
  <si>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</si>
  <si>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</si>
  <si>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</si>
  <si>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ЧИЛИ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</si>
  <si>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</si>
  <si>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</si>
  <si>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</si>
  <si>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 xml:space="preserve">                                                  - ШОКОЛАДНОЕ МОЛОКО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</si>
  <si>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</si>
  <si>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</si>
  <si>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</si>
  <si>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СИЯЮЩИЙ КОРАЛЛ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</si>
  <si>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</si>
  <si>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</si>
  <si>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</si>
  <si>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</si>
  <si>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 xml:space="preserve">                                                        - СОЛНЕЧНЫЙ ПУНШ</t>
  </si>
  <si>
    <t>ГЕЛЬ-ЛАК ДЛЯ НОГТЕЙ THE ONE - ДЕРЗКИЙ ЗОЛОТОЙ</t>
  </si>
  <si>
    <t xml:space="preserve">                                                   - ШИКАРНЫЙ БЕЖ</t>
  </si>
  <si>
    <t>УКРЕПЛЯЮЩЕЕ ПОКРЫТИЕ ДЛЯ НОГТЕЙ THE ONE EXPERT CARE</t>
  </si>
  <si>
    <t>АРОМАТЫ</t>
  </si>
  <si>
    <t>ДЛЯ НЕЁ</t>
  </si>
  <si>
    <t xml:space="preserve">ТУАЛЕТНАЯ ВОДА WOMEN'S COLLECTION WHITE LILAC </t>
  </si>
  <si>
    <t>ПАРФЮМЕРНАЯ ВОДА AMBER ELIXIR MYSTERY</t>
  </si>
  <si>
    <t>ТУАЛЕТНАЯ ВОДА JOYCE ROSE</t>
  </si>
  <si>
    <t xml:space="preserve">ТУАЛЕТНАЯ ВОДА JOYCE JADE </t>
  </si>
  <si>
    <t>ПАРФЮМЕРНАЯ ВОДА DIVINE EXCLUSIVE</t>
  </si>
  <si>
    <t>ПАРФЮМИРОВАННЫЙ СПРЕЙ ДЛЯ ТЕЛА LOVE POTION BLOSSOM KISS</t>
  </si>
  <si>
    <t>ПАРФЮМЕРНАЯ ВОДА GIORDANI GOLD GOOD AS GOLD</t>
  </si>
  <si>
    <t xml:space="preserve">ЖЕНСКИЕ ДУХИ GIORDANI GOLD ESSENZA SUPREME </t>
  </si>
  <si>
    <t>ПАРФЮМЕРНАЯ ВОДА MAGNETISTA (МИНИ-СПРЕЙ)</t>
  </si>
  <si>
    <t>ПАРФЮМЕРНАЯ ВОДА DIVINE. МИНИ-СПРЕЙ</t>
  </si>
  <si>
    <t xml:space="preserve">ТУАЛЕТНАЯ ВОДА ECLAT FEMME WEEKEND </t>
  </si>
  <si>
    <t>ТУАЛЕТНАЯ ВОДА ECLAT FEMME</t>
  </si>
  <si>
    <t>ПАРФЮМЕРНАЯ ВОДА POSSESS</t>
  </si>
  <si>
    <t xml:space="preserve">ПАРФЮМИРОВАННЫЙ СПРЕЙ-ДЕЗОДОРАНТ ДЛЯ ТЕЛА POSSESS </t>
  </si>
  <si>
    <t>ПАРФЮМЕРНАЯ ВОДА MAGNETISTA</t>
  </si>
  <si>
    <t>ТУАЛЕТНАЯ ВОДА LUCIA</t>
  </si>
  <si>
    <t>ПАРФЮМЕРНАЯ ВОДА GIORDANI GOLD ESSENZA. МИНИ-СПРЕЙ</t>
  </si>
  <si>
    <t>ПАРФЮМЕРНАЯ ВОДА AMBER ELIXIR CRYSTAL</t>
  </si>
  <si>
    <t>ПАРФЮМИРОВАННЫЙ СПРЕЙ-ДЕЗОДОРАНТ ДЛЯ ТЕЛА GG ESSENZA</t>
  </si>
  <si>
    <t>ТУАЛЕТНАЯ ВОДА ECLAT FEMME WEEKEND. МИНИ-СПРЕЙ</t>
  </si>
  <si>
    <t>ТУАЛЕТНАЯ ВОДА WOMEN'S COLLECTION OSMANTHUS INFUSION</t>
  </si>
  <si>
    <t>ПАРФЮМЕРНАЯ ВОДА AMBER ELIXIR. МИНИ-СПРЕЙ</t>
  </si>
  <si>
    <t>ПАРФЮМЕРНАЯ ВОДА POSSESS. МИНИ-СПРЕЙ</t>
  </si>
  <si>
    <t>ТУАЛЕТНАЯ ВОДА GREATER</t>
  </si>
  <si>
    <t>ЖЕНСКАЯ ПАРФЮМЕРНАЯ ВОДА NORDIC WATERS</t>
  </si>
  <si>
    <t>ПАРФЮМЕРНАЯ ВОДА VOLARE TENDER</t>
  </si>
  <si>
    <t>ДУХИ ALL OR NOTHING AMPLIFIED</t>
  </si>
  <si>
    <t xml:space="preserve">ТУАЛЕТНАЯ ВОДА ECLAT AMOUR INTENSITÉ </t>
  </si>
  <si>
    <t>ТУАЛЕТНАЯ ВОДА ECLAT MADEMOISELLE</t>
  </si>
  <si>
    <t xml:space="preserve">ЖЕНСКИЕ ДУХИ GIORDANI GOLD ESSENZA </t>
  </si>
  <si>
    <t>ПАРФЮМЕРНАЯ ВОДА MISS GIORDANI FLORAL</t>
  </si>
  <si>
    <t>ДЛЯ НЕГО</t>
  </si>
  <si>
    <t>ТУАЛЕТНАЯ ВОДА MEN'S COLLECTION CITRUS TONIC</t>
  </si>
  <si>
    <t>ТУАЛЕТНАЯ ВОДА BE THE LEGEND</t>
  </si>
  <si>
    <t>МУЖСКАЯ ТУАЛЕТНАЯ ВОДА POSSESS</t>
  </si>
  <si>
    <t>ПАРФЮМЕРНАЯ ВОДА POSSESS THE SECRET MAN</t>
  </si>
  <si>
    <t xml:space="preserve">МУЖСКАЯ ПАРФЮМЕРНАЯ ВОДА ECLAT STYLE </t>
  </si>
  <si>
    <t xml:space="preserve">ТУАЛЕТНАЯ ВОДА ДЛЯ НЕГО ECLAT TOUJOURS </t>
  </si>
  <si>
    <t>ТУАЛЕТНАЯ ВОДА DEBONAIR GENTLEWOODS</t>
  </si>
  <si>
    <t xml:space="preserve">ТУАЛЕТНАЯ ВОДА GLACIER FIRE </t>
  </si>
  <si>
    <t>ТУАЛЕТНАЯ ВОДА MISTER GIORDANI AQUA</t>
  </si>
  <si>
    <t>ТУАЛЕТНАЯ ВОДА ECLAT HOMME</t>
  </si>
  <si>
    <t>ТУАЛЕТНАЯ ВОДА VENTURE UNLIMITED</t>
  </si>
  <si>
    <t>ТУАЛЕТНАЯ ВОДА VENTURE POWER</t>
  </si>
  <si>
    <t>ТУАЛЕТНАЯ ВОДА MEN'S COLLECTION WILD GREEN</t>
  </si>
  <si>
    <t>ТУАЛЕТНАЯ ВОДА SIGNATURE GENERATION FOR HIM</t>
  </si>
  <si>
    <t>ТУАЛЕТНАЯ ВОДА MEN'S COLLECTION AGAVE POWER</t>
  </si>
  <si>
    <t>УХОД ДЛЯ ВОЛОС</t>
  </si>
  <si>
    <t>НЕВИДИМЫЙ ГЕЛЬ ДЛЯ УКЛАДКИ ВОЛОС NORTH FOR MEN</t>
  </si>
  <si>
    <t xml:space="preserve">МАСКА ДЛЯ ВОЛОС С ЦЕННЫМИ МАСЛАМИ ELEO </t>
  </si>
  <si>
    <t>ПИТАТЕЛЬНОЕ МАСЛО ДЛЯ ВОЛОС ELEO</t>
  </si>
  <si>
    <t>НОЧНОЕ ВОССТАНАВЛИВАЮЩЕЕ МАСЛО-ЭЛИКСИР ДЛЯ ВОЛОС ELEO</t>
  </si>
  <si>
    <t>ШАМПУНЬ ДЛЯ ЖИРНЫХ ВОЛОС С ОРГАНИЧЕСКИМИ ЛИМОНОМ И МЯТОЙ LOVE NATURE</t>
  </si>
  <si>
    <t>ШАМПУНЬ ПРОТИВ ПЕРХОТИ LOVE NATURE</t>
  </si>
  <si>
    <t>ШАМПУНЬ-УХОД 2 В 1 ДЛЯ ВСЕХ ТИПОВ ВОЛОС LOVE NATURE. БОЛЬШОЙ ОБЪЁМ</t>
  </si>
  <si>
    <t>ПИТАТЕЛЬНОЕ МАСЛО ДЛЯ СУХИХ ВОЛОС С ОРГАНИЧЕСКОЙ ПШЕНИЦЕЙ И КОКОСОМ LOVE NATURE</t>
  </si>
  <si>
    <t>ПИТАТЕЛЬНАЯ МАСКА-СМУЗИ ДЛЯ ВОЛОС С ОРГАНИЧЕСКИМ АВОКАДО LOVE NATURE</t>
  </si>
  <si>
    <t>ШАМПУНЬ ПРОТИВ ВЫПАДЕНИЯ ВОЛОС DUOLOGI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</si>
  <si>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</si>
  <si>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</si>
  <si>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</si>
  <si>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ВОССТАНАВЛИВАЮЩАЯ СЫВОРОТКА ДЛЯ СЕКУЩИХСЯ ВОЛОС DUOLOGI</t>
  </si>
  <si>
    <t>ТОНИК ДЛЯ КОЖИ ГОЛОВЫ ПРОТИВ ВЫПАДЕНИЯ ВОЛОС DUOLOGI</t>
  </si>
  <si>
    <t>МУЛЬТИФУНКЦИОНАЛЬНЫЙ СС-СПРЕЙ ДЛЯ ВОЛОС DUOLOGI</t>
  </si>
  <si>
    <t>НЕСМЫВАЕМЫЙ КРЕМ-УХОД ДЛЯ ВОЛОС 2 В 1 DUOLOGI</t>
  </si>
  <si>
    <t>ШАМПУНЬ ДЛЯ ВОЛОС И ТЕЛА ДЛЯ ЧУВСТВИТЕЛЬНОЙ КОЖИ NORTH FOR MEN SENSITIVE PROTECT</t>
  </si>
  <si>
    <t>МАССАЖНАЯ ЩЁТКА ДЛЯ ВОЛОС STYLERPRO</t>
  </si>
  <si>
    <t>СКЕЛЕТНАЯ ЩЁТКА ДЛЯ ВОЛОС STYLERPRO</t>
  </si>
  <si>
    <t>ЩЁТКА ДЛЯ РАСПУТЫВАНИЯ ВОЛОС STYLERPRO</t>
  </si>
  <si>
    <t>МАССАЖЁР ДЛЯ КОЖИ ГОЛОВЫ DUOLOGI</t>
  </si>
  <si>
    <t>ПОВЯЗКА НА ГОЛОВУ</t>
  </si>
  <si>
    <t>УХОД ДЛЯ ТЕЛА</t>
  </si>
  <si>
    <t>СПЕЦИАЛЬНОЕ СМЯГЧАЮЩЕЕ СРЕДСТВО</t>
  </si>
  <si>
    <t>МЫЛО "ЯБЛОКО И КОРИЦА"</t>
  </si>
  <si>
    <t>МАССАЖНОЕ МЫЛО-СКРАБ SWEDISH SPA</t>
  </si>
  <si>
    <t>УВЛАЖНЯЮЩЕЕ МАСЛО ДЛЯ ТЕЛА SWEDISH SPA</t>
  </si>
  <si>
    <t>ЗАЩИТНЫЙ ГЕЛЬ ДЛЯ ИНТИМНОЙ ГИГИЕНЫ FEMINELLE</t>
  </si>
  <si>
    <t>УСПОКАИВАЮЩИЙ ГЕЛЬ ДЛЯ ИНТИМНОЙ ГИГИЕНЫ FEMINELLE</t>
  </si>
  <si>
    <t>МЫЛО FROSTED DREAMS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</si>
  <si>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</si>
  <si>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</si>
  <si>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</si>
  <si>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</si>
  <si>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ОТШЕЛУШИВАЮЩИЙ ГЕЛЬ ДЛЯ ДУША С МАЛИНОЙ LOVE NATURE. БОЛЬШОЙ ОБЪЁМ</t>
  </si>
  <si>
    <t>УХАЖИВАЮЩЕЕ МЫЛО С ОРГАНИЧЕСКИМ ОВСОМ И АБРИКОСОМ LOVE NATURE</t>
  </si>
  <si>
    <t>ОТШЕЛУШИВАЮЩЕЕ МЫЛО С МЯТОЙ И МАЛИНОЙ LOVE NATURE</t>
  </si>
  <si>
    <t>ПИТАТЕЛЬНОЕ МАСЛО ДЛЯ ТЕЛА, ЛИЦА И ВОЛОС С ОРГАНИЧЕСКИМ АВОКАДО LOVE NATURE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</si>
  <si>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</si>
  <si>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</si>
  <si>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</si>
  <si>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МЫЛО NORTH FOR MEN ULTIMATE BALANCE</t>
  </si>
  <si>
    <t>МЫЛО COZY BY THE FIREPLACE</t>
  </si>
  <si>
    <t>ПИТАТЕЛЬНОЕ ЖИДКОЕ МЫЛО С ОРГАНИЧЕСКИМ МАСЛОМ КАКАО И КОКОСА LOVE NATURE</t>
  </si>
  <si>
    <t>ГЕЛЬ ДЛЯ ДУША С ОКЕАНСКИМ АККОРДОМ SCENTS &amp; MOMENTS</t>
  </si>
  <si>
    <t>ГЕЛЬ ДЛЯ ДУША С ПИОНОМ SCENTS &amp; MOMENTS</t>
  </si>
  <si>
    <t>МЫЛО LOVE AT FIRST SIGHT</t>
  </si>
  <si>
    <t>СКРАБ ДЛЯ ТЕЛА THE BODY EDITION</t>
  </si>
  <si>
    <t>ГЕЛЬ ДЛЯ ДУША С СОСНОЙ И ЭВКАЛИПТОМ SCENTS &amp; MOMENT</t>
  </si>
  <si>
    <t>ПИТАТЕЛЬНЫЙ КРЕМ ДЛЯ ТЕЛА С ОРГАНИЧЕСКИМ МАСЛОМ КАКАО И КОКОСА LOVE NATURE</t>
  </si>
  <si>
    <t>ЗАЩИТНЫЙ ГЕЛЬ ДЛЯ ИНТИМНОЙ ГИГИЕНЫ FEMINELLE (РЕФИЛ)</t>
  </si>
  <si>
    <t>ТАЛЬК ДЛЯ ТЕЛА С ЦВЕТОЧНЫМ АРОМАТОМ LOVE NATURE</t>
  </si>
  <si>
    <t>ТАЛЬК ДЛЯ ТЕЛА С АРОМАТОМ ЖАСМИНА И САНДАЛА LOVE NATURE</t>
  </si>
  <si>
    <t>ТАЛЬК ДЛЯ ТЕЛА С АРОМАТОМ ЛАВАНДЫ И МЯТЫ LOVE NATURE</t>
  </si>
  <si>
    <t>МОЧАЛКА-ВАРЕЖКА</t>
  </si>
  <si>
    <t>ГЕЛЬ ДЛЯ ДУША С РОЗОВЫМ ГРЕЙПФРУТОМ SCENTS &amp; MOMENTS</t>
  </si>
  <si>
    <t>АРОМАТНОЕ МЫЛО С ЦИТРУСОМ И РОЖДЕСТВЕНСКИМИ СПЕЦИЯМИ HAPPY HOLIDAYS</t>
  </si>
  <si>
    <t>ОТШЕЛУШИВАЮЩАЯ МОЧАЛКА ДЛЯ ДУША С УГЛЁМ</t>
  </si>
  <si>
    <t>АНТИЦЕЛЛЮЛИТНЫЙ МАССАЖЁР THE BODY EDITION</t>
  </si>
  <si>
    <t>ГЕЛЬ ДЛЯ ДУША С ОРГАНИЧЕСКИМ АЛОЭ ВЕРА SIMPLE JOYS LOVE NATURE</t>
  </si>
  <si>
    <t>МЫЛО MILK &amp; HONEY GOLD - ЖАСМИН</t>
  </si>
  <si>
    <t>ОБНОВЛЯЮЩЕЕ МЫЛО BEAUTANICALS</t>
  </si>
  <si>
    <t>CМЯГЧАЮЩЕЕ СРЕДСТВО С МАСЛОМ ЧЁРНОЙ СМОРОДИНЫ</t>
  </si>
  <si>
    <t>СПЕЦИАЛЬНОЕ СМЯГЧАЮЩЕЕ СРЕДСТВО С МАСЛОМ МАЛИНОВЫХ СЕМЯН</t>
  </si>
  <si>
    <t>ДЕЗОДОРАНТЫ</t>
  </si>
  <si>
    <t>ДЕЗОДОРАНТ-АНТИПЕРСПИРАНТ ДЛЯ ТЕЛА ECLAT HOMME</t>
  </si>
  <si>
    <t>ДЕЗОДОРАНТ-АНТИПЕРСПИРАНТ ДЛЯ НОГ 36-ЧАСОВОГО ДЕЙСТВИЯ FEET UP ADVANCED</t>
  </si>
  <si>
    <t>ДЕЗОДОРАНТ-АНТИПЕРСПИРАНТ ДЛЯ ЭКСТРЕМАЛЬНОЙ ЗАЩИТЫ ACTIVELLE</t>
  </si>
  <si>
    <t>СПРЕЙ ДЕЗОДОРАНТ С УХАЖИВАЮЩИМ КОМПЛЕКСОМ ACTIVELLE</t>
  </si>
  <si>
    <t xml:space="preserve">ШАРИКОВЫЙ ДЕЗОДОРАНТ-АНТИПЕРСПИРАНТ BE THE LEGEND </t>
  </si>
  <si>
    <t>ШАРИКОВЫЙ ДЕЗОДОРАНТ БЕЗ БЕЛЫХ СЛЕДОВ ACTIVELLE</t>
  </si>
  <si>
    <t>ШАРИКОВЫЙ ДЕЗОДОРАНТ-АНТИПЕРСПИРАНТ C ВЫРАВНИВАЮЩИМ ТОН КОЖИ ЭФФЕКТОМ ACTIVELLE</t>
  </si>
  <si>
    <t>КРЕМОВЫЙ ДЕЗОДОРАНТC ВЫРАВНИВАЮЩИМ ТОН КОЖИ ЭФФЕКТОМ ACTIVELLE</t>
  </si>
  <si>
    <t>ШАРИКОВЫЙ ДЕЗОДОРАНТ-АНТИПЕРСПИРАНТ ДЛЯ МАКСИМАЛЬНОЙ СВЕЖЕСТИ ACTIVELLE  </t>
  </si>
  <si>
    <t>ШАРИКОВЫЙ ДЕЗОДОРАНТ-АНТИПЕРСПИРАНТ NORTH FOR MEN SUBZERO</t>
  </si>
  <si>
    <t>ШАРИКОВЫЙ ДЕЗОДОРАНТ-АНТИПЕРСПИРАНТ ДЛЯ ЧУВСТВИТЕЛЬНОЙ КОЖИ NORTH FOR MEN SENSITIVE PROTECT</t>
  </si>
  <si>
    <t>ШАРИКОВЫЙ ДЕЗОДОРАНТ-АНТИПЕРСПИРАНТ ECLAT FEMME WEEKEND</t>
  </si>
  <si>
    <t>УХОД ДЛЯ РУК</t>
  </si>
  <si>
    <t>ПИТАТЕЛЬНАЯ МАСКА ДЛЯ РУК SWEDISH SPA</t>
  </si>
  <si>
    <t>ИНТЕНСИВНЫЙ АНТИВОЗРАСТНОЙ КРЕМ ДЛЯ РУК С SPF 25 NOVAGE</t>
  </si>
  <si>
    <t>ПЕРЧАТКИ ДЛЯ УХОДА ЗА КОЖЕЙ РУК (С СЕНСОРНОЙ ФУНКЦИЕЙ)</t>
  </si>
  <si>
    <t>СЫВОРОТКА ДЛЯ НОГТЕЙ THE ONE EXPERT CARE</t>
  </si>
  <si>
    <t>ЩИПЧИКИ ДЛЯ КУТИКУЛЫ</t>
  </si>
  <si>
    <t>4-СТОРОННЯЯ ПИЛКА ДЛЯ НОГТЕЙ</t>
  </si>
  <si>
    <t>НАБОР ДЛЯ МАНИКЮРА</t>
  </si>
  <si>
    <t>АППАРАТ ДЛЯ МАНИКЮРА</t>
  </si>
  <si>
    <t>ЖИДКОСТЬ ДЛЯ БЕРЕЖНОГО СНЯТИЯ ЛАКА THE ONE EXPERT CARE</t>
  </si>
  <si>
    <t>ПАРФЮМИРОВАННЫЙ КРЕМ ДЛЯ РУК GREATER</t>
  </si>
  <si>
    <t>КРЕМ ДЛЯ РУК С ОРГАНИЧЕСКИМ МАСЛОМ АВОКАДО LOVE NATURE</t>
  </si>
  <si>
    <t>НАБОР КРЕМОВ ДЛЯ РУК AFTERNOON TEA</t>
  </si>
  <si>
    <t>МИНИ-КРЕМ ДЛЯ РУК</t>
  </si>
  <si>
    <t>ТОНИЗИРУЮЩИЙ КРЕМ ДЛЯ РУК С ЛИМОНОМ, ОРГАНИЧЕСКОЙ МОРКОВЬЮ И ИМБИРЁМ LOVE NATURE</t>
  </si>
  <si>
    <t>ЖИДКОЕ МЫЛО ДЛЯ РУК И ТЕЛА MILK &amp; HONEY GOLD - ЖАСМИН</t>
  </si>
  <si>
    <t>КРЕМ ДЛЯ РУК И ТЕЛА MILK &amp; HONEY GOLD - ЖАСМИН</t>
  </si>
  <si>
    <t>УХОД ДЛЯ НОГ</t>
  </si>
  <si>
    <t>СЫВОРОТКА-РЯЗМЯГЧИТЕЛЬ МОЗОЛЕЙ И НАТОПТЫШЕЙ FEET UP ANVANCED</t>
  </si>
  <si>
    <t>ГЕЛЕВЫЕ НАКЛЕЙКИ ДЛЯ ОБУВИ</t>
  </si>
  <si>
    <t>ГЕЛЕВЫЕ ПОДУШЕЧКИ ДЛЯ ЗАДНИКОВ ОБУВИ</t>
  </si>
  <si>
    <t>ПОДУШЕЧКИ ДЛЯ ОБУВИ</t>
  </si>
  <si>
    <t>НОЧНОЙ УВЛАЖНЯЮЩИЙ КРЕМ ДЛЯ НОГ FEET UP EVERYDAY</t>
  </si>
  <si>
    <t>КРЕМ-АНТИПЕРСПИРАНТ ДЛЯ НОГ FEET UP EVERYDAY</t>
  </si>
  <si>
    <t>СМЯГЧАЮЩИЙ КРЕМ ДЛЯ НОГ FEET UP EVERYDAY</t>
  </si>
  <si>
    <t>ПИТАТЕЛЬНЫЙ КРЕМ ДЛЯ НОГ С ЭКСТРАКТОМ СЛИВЫ И МАСЛОМ ШИ FEET UP</t>
  </si>
  <si>
    <t>ТЁРКА ДЛЯ НОГ</t>
  </si>
  <si>
    <t>ШЛИФОВАЛЬНАЯ ПИЛКА ДЛЯ НОГ</t>
  </si>
  <si>
    <t>УХОД ДЛЯ КОЖИ ЛИЦА</t>
  </si>
  <si>
    <t>ИНСТРУМЕНТ ДЛЯ ОЧИСТКИ ЛИЦА</t>
  </si>
  <si>
    <t>CРЕДСТВО ДЛЯ СНЯТИЯ ВОДОСТОЙКОЙ КОСМЕТИКИ С ГЛАЗ THE ONE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</si>
  <si>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</si>
  <si>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</si>
  <si>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</si>
  <si>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</si>
  <si>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ОЧИЩАЮЩИЙ ГЕЛЬ-ТОНИК ДЛЯ УМЫВАНИЯ NOVAGE</t>
  </si>
  <si>
    <t>УНИВЕРСАЛЬНЫЙ УВЛАЖНЯЮЩИЙ КРЕМ ДЛЯ ЛИЦА И ТЕЛА ESSENTIALS</t>
  </si>
  <si>
    <t>ЩЁТОЧКА ДЛЯ ОЧИЩЕНИЯ ЛИЦА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</si>
  <si>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</si>
  <si>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</si>
  <si>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</si>
  <si>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</si>
  <si>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ЩЁТКА ДЛЯ ОЧИЩЕНИЯ ЛИЦА</t>
  </si>
  <si>
    <t>ДНЕВНОЙ КРЕМ-КОМФОРТ NOVAGE SKINRELIEF PRO RESILIENT SPF 30</t>
  </si>
  <si>
    <t>СЫВОРОТКА-КОНЦЕНТРАТ ДЛЯ ПОВЫШЕНИЯ УПРУГОСТИ КОЖИ С ПЕПТИДАМИ NOVAGE PROCEUTICALS</t>
  </si>
  <si>
    <t>ОЧИЩАЮЩИЙ ГЕЛЬ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</si>
  <si>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</si>
  <si>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</si>
  <si>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</si>
  <si>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</si>
  <si>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</si>
  <si>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</si>
  <si>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</si>
  <si>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</si>
  <si>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</si>
  <si>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</si>
  <si>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</si>
  <si>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</si>
  <si>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МУЛЬТИФУНКЦИОНАЛЬНЫЙ ЗАЩИТНЫЙ КРЕМ ДЛЯ ЛИЦА SPF 50 NOVAGE+ PROCEUTICALS</t>
  </si>
  <si>
    <t>УВЛАЖНЯЮЩАЯ МАСКА ДЛЯ ЛИЦА C ГРАНАТОМ LOVE NATURE</t>
  </si>
  <si>
    <t>МАСКА ДЛЯ ЛИЦА С ЭФФЕКТОМ ПИЛИНГА WAUNT</t>
  </si>
  <si>
    <t>СЫВОРОТКА-МАСЛО С ЭФФЕКТОМ СИЯНИЯ КОЖИ WAUNT</t>
  </si>
  <si>
    <t>СТИК ДЛЯ КОЖИ ВОКРУГ ГЛАЗ WAUNT «ЭФФЕКТ СВЕЖЕГО ВЗГЛЯДА»</t>
  </si>
  <si>
    <t>СРЕДСТВО ДЛЯ УМЫВАНИЯ PURE SKIN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</si>
  <si>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</si>
  <si>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</si>
  <si>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</si>
  <si>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</si>
  <si>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КОСМЕТИЧЕСКИЕ ПАТЧИ С КИВИ LOVE NATURE</t>
  </si>
  <si>
    <t>ВОССТАНАВЛИВАЮЩИЕ КАПСУЛЫ ДЛЯ ЛИЦА С КОНЦЕНТРАТОМ МАСЕЛ NOVAGE+</t>
  </si>
  <si>
    <t>КРЕМ-ЛИФТИНГ ДЛЯ КОЖИ ВОКРУГ ГЛАЗ NOVAGE+ LIFT + FIRM</t>
  </si>
  <si>
    <t>СЫВОРОТКА ДЛЯ ИНТЕНСИВНОГО УВЛАЖНЕНИЯ NOVAGE+ PROCEUTICALS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</si>
  <si>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</si>
  <si>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</si>
  <si>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</si>
  <si>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УВЛАЖНЯЮЩАЯ МИЦЕЛЛЯРНАЯ ВОДА OPTIMALS</t>
  </si>
  <si>
    <t>ГЛУБОКО ОЧИЩАЮЩИЙ ГЕЛЬ С ФРУКТОВЫМИ КИСЛОТАМИ OPTIMALS</t>
  </si>
  <si>
    <t>ОТШЕЛУШИВАЮЩИЙ СКРАБ ДЛЯ ЛИЦА OPTIMALS</t>
  </si>
  <si>
    <t>УВЛАЖНЯЮЩАЯ МАСКА ДЛЯ ВСЕХ ТИПОВ КОЖИ OPTIMALS</t>
  </si>
  <si>
    <t>ПИТАТЕЛЬНЫЙ БУСТЕР ДЛЯ ЛИЦА OPTIMALS</t>
  </si>
  <si>
    <t>КОМПЛЕКСНЫЙ ЛИФТИНГ-УХОД NOVAGE+ LIFT + FIRM (НАСЫЩЕННАЯ ТЕКСТУРА)</t>
  </si>
  <si>
    <t>ВЫРАВНИВАЮЩИЙ КРЕМ ДЛЯ ЛИЦА С SPF 10 GLOW ESSENTIALS</t>
  </si>
  <si>
    <t>ОЧИЩАЮЩЕЕ СРЕДСТВО ДЛЯ ЛИЦА 3 В 1 GLOW ESSENTIALS</t>
  </si>
  <si>
    <t>ОЧИЩАЮЩАЯ МАСКА ДЛЯ ЛИЦА С ВЕРБЕНОЙ LOVE NATURE</t>
  </si>
  <si>
    <t>МУЛЬТИФУНКЦИОНАЛЬНОЕ ОЧИЩАЮЩЕЕ СРЕДСТВО OPTIMALS URBAN GUARD 3D</t>
  </si>
  <si>
    <t>УВЛАЖНЯЮЩИЙ СПРЕЙ ДЛЯ ЛИЦА OPTIMALS URBAN GUARD 3D</t>
  </si>
  <si>
    <t>ЗАЩИТНЫЙ ДНЕВНОЙ КРЕМ OPTIMALS URBAN GUARD 3D SPF 25</t>
  </si>
  <si>
    <t>ЗАЩИТНЫЙ НОЧНОЙ КРЕМ OPTIMALS URBAN GUARD 3D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</si>
  <si>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</si>
  <si>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</si>
  <si>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МАТИРУЮЩИЙ РОЛИК</t>
  </si>
  <si>
    <t>ОЧИЩАЮЩАЯ ЩЁТКА ДЛЯ ЛИЦА</t>
  </si>
  <si>
    <t>ГЕЛЕВАЯ МАСКА ДЛЯ ЛИЦА С ОРГАНИЧЕСКОЙ МАРАКУЙЕЙ ДЛЯ УВЛАЖНЕНИЯ КОЖИ LOVE NATURE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</si>
  <si>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</si>
  <si>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</si>
  <si>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ПИТАТЕЛЬНЫЙ КРЕМ ДЛЯ ЛИЦА С ЭКСТРАКТОМ ЧИА И ОРГАНИЧЕСКИМ МЁДОМ LOVE NATURE</t>
  </si>
  <si>
    <t>ПИТАТЕЛЬНАЯ МАСКА ДЛЯ ЛИЦА С ЭКСТРАКТОМ ЧИА И ОРГАНИЧЕСКИМ МЁДОМ LOVE NATURE</t>
  </si>
  <si>
    <t>УСПОКАИВАЮЩАЯ МИЦЕЛЛЯРНАЯ ВОДА С ЭКСТРАКТОМ ЧИА И ОРГАНИЧЕСКИМ МЁДОМ LOVE NATURE</t>
  </si>
  <si>
    <t>УВЛАЖНЯЮЩИЙ ТОНИК С ОРГАНИЧЕСКИМ АЛОЭ ВЕРА И ЭКСТРАКТОМ АНАНАСА LOVE NATURE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</si>
  <si>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</si>
  <si>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</si>
  <si>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</si>
  <si>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</si>
  <si>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</si>
  <si>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</si>
  <si>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ДВУСТОРОННЯЯ ЩЁТКА ДЛЯ ОЧИЩЕНИЯ ЛИЦА</t>
  </si>
  <si>
    <t>ГУБКА ДЛЯ ОЧИЩЕНИЯ ЛИЦА</t>
  </si>
  <si>
    <t>МНОГОРАЗОВЫЕ ХЛОПКОВЫЕ ДИСКИ ДЛЯ ОЧИЩЕНИЯ КОЖИ</t>
  </si>
  <si>
    <t>СРЕДСТВО ДЛЯ УМЫВАНИЯ И СКРАБ 2-В-1 NOVAGE MEN</t>
  </si>
  <si>
    <t>ТОНИЗИРУЮЩИЙ ГЕЛЬ ДЛЯ КОЖИ ВОКРУГ ГЛАЗ NOVAGE MEN</t>
  </si>
  <si>
    <t>УВЛАЖНЯЮЩАЯ ЭНЕРГОСЫВОРОТКА ДЛЯ ЛИЦА NOVAGE MEN</t>
  </si>
  <si>
    <t>УВЛАЖНЯЮЩИЙ ГЕЛЬ-КРЕМ ПРОТИВ СТАРЕНИЯ КОЖИ NOVAGE MEN</t>
  </si>
  <si>
    <t>ГЕЛЬ 2-В-1 ДЛЯ БРИТЬЯ И УМЫВАНИЯ ДЛЯ ЧУВСТВИТЕЛЬНОЙ КОЖИ NORTH FOR MEN SENSITIVE PROTECT</t>
  </si>
  <si>
    <t>ПЕНА ДЛЯ БРИТЬЯ И УМЫВАНИЯ 2 В 1 NORTH FOR MEN SUBZERO</t>
  </si>
  <si>
    <t>УВЛАЖНЯЮЩИЙ ГЕЛЬ ПОСЛЕ БРИТЬЯ NORTH FOR MEN SUBZERO</t>
  </si>
  <si>
    <t>ДЕТСКАЯ СЕРИЯ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</si>
  <si>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</si>
  <si>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</si>
  <si>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</si>
  <si>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И ТЕЛА С ЯБЛОКОМ LOVE NATURE</t>
  </si>
  <si>
    <t>ДЕТСКИЙ ШАМПУНЬ ДЛЯ ВОЛОС И ТЕЛА С КЛУБНИКОЙ LOVE NATURE</t>
  </si>
  <si>
    <t>ДЕТСКОЕ МЫЛО С КЛУБНИКОЙ LOVE NATURE</t>
  </si>
  <si>
    <t>МЯГКАЯ ДЕТСКАЯ ЗУБНАЯ ЩЁТКА OPTIFRESH (РОЗОВАЯ)</t>
  </si>
  <si>
    <t>ДЕТСКАЯ ЗУБНАЯ ПАСТА С КЛУБНИЧНЫМ ВКУСОМ OPTIFRESH</t>
  </si>
  <si>
    <t>ДЕТСКОЕ МЫЛО  LOVE NATURE</t>
  </si>
  <si>
    <t>ЗУБНЫЕ ПАСТЫ И ЩЁТКИ</t>
  </si>
  <si>
    <t>ОТБЕЛИВАЮЩАЯ ЗУБНАЯ ПАСТА OPTIFRESH</t>
  </si>
  <si>
    <t>ЗУБНАЯ ЩЁТКА СРЕДНЕЙ ЖЁСТКОСТИ OPTIFRESH (ГОЛУБАЯ)</t>
  </si>
  <si>
    <t>ЗУБНАЯ ПАСТА С ТРАВЯНЫМИ МАСЛАМИ OPTIFRESH</t>
  </si>
  <si>
    <t>НАБОРЫ КОСМЕТИЧЕСКИХ И ПАРФЮМЕРНЫХ СРЕДСТВ</t>
  </si>
  <si>
    <t>КОМПЛЕКСНЫЙ УХОД ДЛЯ МУЖСКОЙ КОЖИ NOVAGE MEN</t>
  </si>
  <si>
    <t>КОМПЛЕКСНЫЙ ОМОЛАЖИВАЮЩИЙ УХОД NOVAGE TIME RESTORE</t>
  </si>
  <si>
    <t>ПОДАРОЧНЫЙ НАБОР GIORDANI GOLD GOOD AS GOLD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</si>
  <si>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</si>
  <si>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</si>
  <si>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</si>
  <si>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</si>
  <si>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</si>
  <si>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</si>
  <si>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</si>
  <si>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</si>
  <si>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ПОДАРОЧНЫЙ НАБОР NORDIC WATERS</t>
  </si>
  <si>
    <t xml:space="preserve">ТУАЛЕТНАЯ ВОДА + ДЕЗОДОРАНТ-АНТИПЕРСПИРАНТ </t>
  </si>
  <si>
    <t>ТОНИК + КРЕМ ДЛЯ ЛИЦА + ГЕЛЬ ДЛЯ УМЫВАНИЯ</t>
  </si>
  <si>
    <t xml:space="preserve">МАСКА ДЛЯ ВОЛОС + КРЕМ ДЛЯ НОГ + ГЕЛЬ ДЛЯ ДУША </t>
  </si>
  <si>
    <t xml:space="preserve">ТУАЛЕТНАЯ ВОДА + ШАМПУНЬ ДЛЯ ВОЛОС И ТЕЛА + МОЧАЛКА ДЛЯ ДУША </t>
  </si>
  <si>
    <t xml:space="preserve">ПАРФЮМЕРНАЯ ВОДА + СМЯГЧАЮЩЕЕ СРЕДСТВО </t>
  </si>
  <si>
    <t xml:space="preserve">ТУАЛЕТНАЯ ВОДА + ЖИДКИЕ ТЕНИ </t>
  </si>
  <si>
    <t xml:space="preserve">ТУАЛЕТНАЯ ВОДА + ДЕЗОДОРАНТ-АНТИПЕРСПИРАНТ + КРЕМ ДЛЯ ТЕЛА </t>
  </si>
  <si>
    <t xml:space="preserve">ТУАЛЕТНАЯ ВОДА + ГЕЛЬ ДЛЯ УКЛАДКИ ВОЛОС </t>
  </si>
  <si>
    <t xml:space="preserve">ТУАЛЕТНАЯ ВОДА + ГЕЛЬ ДЛЯ ДУША </t>
  </si>
  <si>
    <t xml:space="preserve">СПРЕЙ ДЛЯ ТЕЛА + ГЕЛЬ ДЛЯ ДУША </t>
  </si>
  <si>
    <t>БАЛЬЗАМ ДЛЯ ГУБ + ГЕЛЬ ДЛЯ БРОВЕЙ</t>
  </si>
  <si>
    <t xml:space="preserve">КРЕМ ДЛЯ КОЖИ ВОКРУГ ГЛАЗ + СПЕЦИАЛЬНОЕ СМЯГЧАЮЩЕЕ СРЕДСТВО </t>
  </si>
  <si>
    <t xml:space="preserve">КРЕМ ДЛЯ ВЕК + СПЕЦИАЛЬНОЕ СМЯГЧАЮЩЕЕ СРЕДСТВО </t>
  </si>
  <si>
    <t>КИСТИ</t>
  </si>
  <si>
    <t>КИСТЬ ДЛЯ КОНСИЛЕРА THE ONE</t>
  </si>
  <si>
    <t>ДВУСТОРОННЯЯ КИСТЬ ДЛЯ БРОВЕЙ THE ONE</t>
  </si>
  <si>
    <t>КОВРИК ДЛЯ МЫТЬЯ КИСТЕЙ</t>
  </si>
  <si>
    <t>ШЕЛКОВИСТАЯ КИСТЬ ДЛЯ ТОНАЛЬНОЙ ОСНОВЫ GIORDANI GOLD</t>
  </si>
  <si>
    <t>КИСТЬ ДЛЯ КРЕМА И СЫВОРОТКИ</t>
  </si>
  <si>
    <t>АКСЕССУАРЫ</t>
  </si>
  <si>
    <t>ОРГАНАЙЗЕР ДЛЯ УКРАШЕНИЙ</t>
  </si>
  <si>
    <t>СУМКА-ТРАНСФОРМЕР С ВЫДВИЖНЫМИ КОЛЁСАМИ</t>
  </si>
  <si>
    <t>ПОДАРОЧНЫЙ ПАКЕТ С ЗИМНИМ ПРИНТОМ БОЛЬШОЙ ДЛЯ НЕЁ</t>
  </si>
  <si>
    <t>ПОДАРОЧНЫЙ ПАКЕТ С ЗИМНИМ ПРИНТОМ БОЛЬШОЙ ДЛЯ НЕГО</t>
  </si>
  <si>
    <t>МАССАЖЁР ДЛЯ КОЖИ ВОКРУГ ГЛАЗ</t>
  </si>
  <si>
    <t>ШАРФ</t>
  </si>
  <si>
    <t>НАБОР РАЗНОЦВЕТНЫХ СЕРЁГ-ПУСЕТОВ</t>
  </si>
  <si>
    <t>НАБОР УКРАШЕНИЙ С БУСИНАМИ ЖЕМЧУЖНОГО ЦВЕТА</t>
  </si>
  <si>
    <t>ПРОБНИКИ</t>
  </si>
  <si>
    <t>ТУАЛЕТНАЯ ВОДА ECLAT FEMME WEEKEND (ПРОБНИК)</t>
  </si>
  <si>
    <t>ЖЕНСКИЕ ДУХИ GIORDANI GOLD ESSENZA SUPREME (ПРОБНИК СО СПРЕЕМ)</t>
  </si>
  <si>
    <t>ПРОДУКТ</t>
  </si>
  <si>
    <t>31825</t>
  </si>
  <si>
    <t>35661</t>
  </si>
  <si>
    <t>40667</t>
  </si>
  <si>
    <t> 38391</t>
  </si>
  <si>
    <t> 40794</t>
  </si>
  <si>
    <t>38382 </t>
  </si>
  <si>
    <t>38385 </t>
  </si>
  <si>
    <t>38390 </t>
  </si>
  <si>
    <t> 41044</t>
  </si>
  <si>
    <t>41048 </t>
  </si>
  <si>
    <t> 41033</t>
  </si>
  <si>
    <t> 41034</t>
  </si>
  <si>
    <t> 42425</t>
  </si>
  <si>
    <t> 41037</t>
  </si>
  <si>
    <t> 41035</t>
  </si>
  <si>
    <t> 41040</t>
  </si>
  <si>
    <t>41039 </t>
  </si>
  <si>
    <t> 41029</t>
  </si>
  <si>
    <t>41057 </t>
  </si>
  <si>
    <t> 41058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</si>
  <si>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</si>
  <si>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</si>
  <si>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</si>
  <si>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</si>
  <si>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</si>
  <si>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</si>
  <si>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</si>
  <si>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</si>
  <si>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</si>
  <si>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</si>
  <si>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46052</t>
  </si>
  <si>
    <t>46056</t>
  </si>
  <si>
    <t>46057</t>
  </si>
  <si>
    <t>46060</t>
  </si>
  <si>
    <t>46064</t>
  </si>
  <si>
    <t>47005</t>
  </si>
  <si>
    <t>47006</t>
  </si>
  <si>
    <t>47007</t>
  </si>
  <si>
    <t>ТУАЛЕТНАЯ ВОДА ASCENDANT</t>
  </si>
  <si>
    <t>ТУАЛЕТНАЯ ВОДА LOVE POTION</t>
  </si>
  <si>
    <t>ПАРФЮМЕРНАЯ ВОДА VOLARE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</si>
  <si>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</si>
  <si>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</si>
  <si>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</si>
  <si>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</si>
  <si>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</si>
  <si>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</si>
  <si>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</si>
  <si>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</si>
  <si>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>GIORDANI GOLD ESSENZA PARFUM VIAL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</si>
  <si>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</si>
  <si>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</si>
  <si>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</si>
  <si>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</si>
  <si>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</si>
  <si>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LUCIA BRIGHT AURA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</si>
  <si>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</si>
  <si>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</si>
  <si>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</si>
  <si>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</si>
  <si>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>ПАРФЮМЕРНАЯ ВОДА INFINITA</t>
  </si>
  <si>
    <t xml:space="preserve">ТУАЛЕТНАЯ ВОДА JOYCE ROSE </t>
  </si>
  <si>
    <t xml:space="preserve">ТУАЛЕТНАЯ ВОДА JOYCE TURQUOISE </t>
  </si>
  <si>
    <t>ПАРФЮМЕРНАЯ ВОДА VOLARE MOMENTS</t>
  </si>
  <si>
    <t xml:space="preserve">ТУАЛЕТНАЯ ВОДА GLACIER ROCK </t>
  </si>
  <si>
    <t xml:space="preserve">ТУАЛЕТНАЯ ВОДА DEBONAIR </t>
  </si>
  <si>
    <t>ТУАЛЕТНАЯ ВОДА JOYCE JADE</t>
  </si>
  <si>
    <t>ПАРФЮМЕРНАЯ ВОДА ASCENDANT INTENSE</t>
  </si>
  <si>
    <t>ЖЕНСКИЕ ДУХИ GIORDANI GOLD ESSENZA SUPREME (ПРОБНИК)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</si>
  <si>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</si>
  <si>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</si>
  <si>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</si>
  <si>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</si>
  <si>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</si>
  <si>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>ТУАЛЕТНАЯ ВОДА GLACIER EXTREME</t>
  </si>
  <si>
    <t>ДУХИ ALL OR NOTHING</t>
  </si>
  <si>
    <t xml:space="preserve">СЫВОРОТКА-КОМФОРТ ДЛЯ ЛИЦА NOVAGE SKINRELIEF PRO RESILIENT </t>
  </si>
  <si>
    <t xml:space="preserve">НОЧНОЙ КРЕМ-КОМФОРТ NOVAGE SKINRELIEF PRO RESILIENT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</si>
  <si>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</si>
  <si>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</si>
  <si>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</si>
  <si>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</si>
  <si>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</si>
  <si>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</si>
  <si>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</si>
  <si>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</si>
  <si>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</si>
  <si>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</si>
  <si>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</si>
  <si>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</si>
  <si>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</si>
  <si>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ТУАЛЕТНАЯ ВОДА SIGNATURE GENERATION FOR HER</t>
  </si>
  <si>
    <t xml:space="preserve">ПАРФЮМЕРНАЯ ВОДА POSSESS ABSOLUTE </t>
  </si>
  <si>
    <t>ЛЕГКИЙ МУЛЬТИАКТИВНЫЙ ДНЕВНОЙ КРЕМ NOVAGE+ SPF 30</t>
  </si>
  <si>
    <t xml:space="preserve">ЛЕГКИЙ ДНЕВНОЙ КРЕМ NOVAGE+ </t>
  </si>
  <si>
    <t xml:space="preserve">НАСЫЩЕННЫЙ МУЛЬТИАКТИВНЫЙ ДНЕВНОЙ КРЕМ NOVAGE+ SPF 30 </t>
  </si>
  <si>
    <t>НАСЫЩЕННЫЙ ДНЕВНОЙ КРЕМ NOVAGE+</t>
  </si>
  <si>
    <t xml:space="preserve">КРЕМ ДЛЯ КОЖИ ВОКРУГ ГЛАЗ ПРОТИВ ПИГМЕНТАЦИИ NOVAGE+ BRIGHT INTENSE </t>
  </si>
  <si>
    <t xml:space="preserve">КРЕМ-ЛИФТИНГ ДЛЯ КОЖИ ВОКРУГ ГЛАЗ NOVAGE+ LIFT+ FIRM </t>
  </si>
  <si>
    <t xml:space="preserve">СЫВОРОТКА ДЛЯ ЛИЦА ПРОТИВ МОРЩИН NOVAGE+ WRINKLE SMOOTH </t>
  </si>
  <si>
    <t xml:space="preserve">ОЧИЩАЮЩИЙ ГЕЛЬ ДЛЯ ЛИЦА NOVAGE+ </t>
  </si>
  <si>
    <t>ОЧИЩАЮЩЕЕ МАСЛО ДЛЯ ЛИЦА NOVAGE+</t>
  </si>
  <si>
    <t xml:space="preserve">НАСЫЩЕННЫЙ МУЛЬТИАКТИВНЫЙ НОЧНОЙ КРЕМ NOVAGE+ 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</si>
  <si>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</si>
  <si>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</si>
  <si>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</si>
  <si>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ТУАЛЕТНАЯ ВОДА OH! SWEET DULCE DE LECHE</t>
  </si>
  <si>
    <t>ПАРФЮМЕРНАЯ ВОДА LOVE POTION SENSUAL RUBY</t>
  </si>
  <si>
    <t>ТУАЛЕТНАЯ ВОДА WHISPERS OF ME</t>
  </si>
  <si>
    <t>ПАРФЮМЕРНАЯ ВОДА INFINITA MY SUNSHINE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</si>
  <si>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</si>
  <si>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</si>
  <si>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</si>
  <si>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</si>
  <si>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</si>
  <si>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</si>
  <si>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</si>
  <si>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</si>
  <si>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</si>
  <si>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</si>
  <si>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</si>
  <si>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</si>
  <si>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</si>
  <si>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 xml:space="preserve">САТИНОВАЯ ГУБНАЯ ПОМАДА GIORDANI GOLD  - НЕЖНЫЙ НЮД </t>
  </si>
  <si>
    <t xml:space="preserve">                                                                                                       - ГЛЯНЦЕВЫЙ ЛИЛОВЫЙ </t>
  </si>
  <si>
    <t xml:space="preserve">                                                                                                      - РОСКОШНАЯ ОРХИДЕЯ</t>
  </si>
  <si>
    <t xml:space="preserve">                                                                                                      - ШЕЛКОВИСТАЯ РОЗА</t>
  </si>
  <si>
    <t xml:space="preserve">                                                                                                      - СЛИВОЧНЫЙ МОККО </t>
  </si>
  <si>
    <t xml:space="preserve">                                                                                                      - ШИКАРНАЯ СЛИВА</t>
  </si>
  <si>
    <t xml:space="preserve">                                                                                                      - ИЗЫСКАННЫЙ ЯГОДНЫЙ </t>
  </si>
  <si>
    <t xml:space="preserve">                                                                                                      - БЕЗУПРЕЧНЫЙ РОЗОВЫЙ</t>
  </si>
  <si>
    <t xml:space="preserve">                                                                                                      - АТЛАСНЫЙ КРАСНЫЙ </t>
  </si>
  <si>
    <t xml:space="preserve">                                                                                                      - КОРОЛЕВСКИЙ ГРАНАТ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</si>
  <si>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</si>
  <si>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</si>
  <si>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</si>
  <si>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</si>
  <si>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</si>
  <si>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</si>
  <si>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</si>
  <si>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</si>
  <si>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ПАРФЮМЕРНАЯ ВОДА POSSESS ABSOLUTE MAN</t>
  </si>
  <si>
    <t>ПАРФЮМЕРНАЯ ВОДА DIVINE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</si>
  <si>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</si>
  <si>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</si>
  <si>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</si>
  <si>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</si>
  <si>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</si>
  <si>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</si>
  <si>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</si>
  <si>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</si>
  <si>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</si>
  <si>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>ТУАЛЕТНАЯ ВОДА VENTURE</t>
  </si>
  <si>
    <t xml:space="preserve">ТУАЛЕТНАЯ ВОДА VENTURE UNLIMITED </t>
  </si>
  <si>
    <t>ТУАЛЕТНАЯ ВОДА EXCITE FOR HIM</t>
  </si>
  <si>
    <t xml:space="preserve">ТУАЛЕТНАЯ ВОДА SCOPE TIME LOOP </t>
  </si>
  <si>
    <t xml:space="preserve">ТУАЛЕТНАЯ ВОДА SCOPE EARTH WONDER </t>
  </si>
  <si>
    <t>КРЕМ ДЛЯ ЛИЦА WELLOSOPHY - РАЗГЛАЖИВАНИЕ И ОБНОВЛЕНИЕ</t>
  </si>
  <si>
    <t>ГЕЛЬ-СЫВОРОТКА ДЛЯ ЛИЦА WELLOSOPHY - ОМОЛОЖЕНИЕ И ВОССТАНОВЛЕНИЕ</t>
  </si>
  <si>
    <t xml:space="preserve">ТОНАЛЬНАЯ ОСНОВА С ЭФФЕКТОМ СИЯНИЯ THE ONE - НЕЙТРАЛЬНЫЙ ВАНИЛЬНЫЙ </t>
  </si>
  <si>
    <t xml:space="preserve">                                                                                           - ТЁПЛЫЙ БЕЖ</t>
  </si>
  <si>
    <t>ТУАЛЕТНАЯ ВОДА ECLAT TOUJOURS INTENSITÉ</t>
  </si>
  <si>
    <t>ШАМПУНЬ ПРОТИВ ПЕРХОТИ DUOLOGI</t>
  </si>
  <si>
    <t>НАСЫЩЕННЫЙ КРЕМ-КОНДИЦИОНЕР ДЛЯ ВОЛОС DUOLOGI</t>
  </si>
  <si>
    <t>МУЖСКАЯ ПАРФЮМЕРНАЯ ВОДА NORDIC WATERS INFINITE BLUE</t>
  </si>
  <si>
    <t>ЖЕНСКАЯ ПАРФЮМЕРНАЯ ВОДА NORDIC WATERS INFINITE BLUE</t>
  </si>
  <si>
    <t xml:space="preserve">ПАРФЮМЕРНАЯ ВОДА MISS GIORDANI FLORAL </t>
  </si>
  <si>
    <t>ПОДТЯГИВАЮЩИЙ ДНЕВНОЙ КРЕМ SPF20 ROYAL VELVET</t>
  </si>
  <si>
    <t>ПОДТЯГИВАЮЩИЙ КРЕМ ДЛЯ ВЕК ROYAL VELVET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</si>
  <si>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</si>
  <si>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</si>
  <si>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</si>
  <si>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</si>
  <si>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</si>
  <si>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</si>
  <si>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</si>
  <si>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</si>
  <si>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</si>
  <si>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</si>
  <si>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</si>
  <si>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</si>
  <si>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</si>
  <si>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</si>
  <si>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</si>
  <si>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МУЛЬТИАКТИВНЫЙ БАЛЬЗАМ ДЛЯ ГУБ SPF 15 THE ONE  - КОРАЛЛОВЫЙ</t>
  </si>
  <si>
    <t xml:space="preserve">                                                                                            - МАЛИНОВЫЙ</t>
  </si>
  <si>
    <t>МАТОВАЯ ПОМАДА ONCOLOUR  - МЯГКИЙ ПЕРСИК</t>
  </si>
  <si>
    <t xml:space="preserve">                                                    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</si>
  <si>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</si>
  <si>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</si>
  <si>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</si>
  <si>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</si>
  <si>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</si>
  <si>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</si>
  <si>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СУПЕРСТОЙКАЯ МАТОВАЯ ПОМАДА THE ONE  - РОЗА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</si>
  <si>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</si>
  <si>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</si>
  <si>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</si>
  <si>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</si>
  <si>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</si>
  <si>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</si>
  <si>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</si>
  <si>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</si>
  <si>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КРЕМОВАЯ ГУБНАЯ ПОМАДА В МИНИ-ФОРМАТЕ ONCOLOUR - МЯГКАЯ КОРИЦА</t>
  </si>
  <si>
    <t xml:space="preserve">                                                                                    - ПЕРСИКОВЫЙ НЮД</t>
  </si>
  <si>
    <t>ТУШЬ ДЛЯ РЕСНИЦ, ПОДВОДКА ДЛЯ ГЛАЗ, КАРАНДАШИ ДЛЯ БРОВЕЙ, ГЛАЗ, ТЕНИ ДЛЯ ВЕК</t>
  </si>
  <si>
    <t>ЩИПЧИКИ ДЛЯ ЗАВИВКИ РЕСНИЦ</t>
  </si>
  <si>
    <t>НОЖНИЦЫ ДЛЯ БРОВЕЙ С РАСЧЁСКОЙ</t>
  </si>
  <si>
    <t>ПОДВОДКА ДЛЯ ГЛАЗ THE ONE WONDER LINER - ЧЁРНЫЙ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</si>
  <si>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</si>
  <si>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</si>
  <si>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</si>
  <si>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</si>
  <si>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</si>
  <si>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НАБОР ДЛЯ МАКИЯЖА БРОВЕЙ И ГЛАЗ THE ONE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</si>
  <si>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</si>
  <si>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</si>
  <si>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</si>
  <si>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</si>
  <si>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БЕЖЕВЫЙ</t>
  </si>
  <si>
    <t>МНОГОФУНКЦИОНАЛЬНАЯ ТУШЬ ДЛЯ РЕСНИЦ 5 В 1 THE ONE WONDERLASH - ЧЁРНЫЙ</t>
  </si>
  <si>
    <t>ТУШЬ ДЛЯ РЕСНИЦ 5 В 1 THE ONE C ЭФФЕКТОМ HD - ЧЁРНЫЙ</t>
  </si>
  <si>
    <t>ПУДРОВЫЕ ТЕНИ ДЛЯ БРОВЕЙ THE ONE - СВЕТЛЫЙ КОРИЧНЕВЫЙ</t>
  </si>
  <si>
    <t xml:space="preserve">                                                                - СРЕДНИЙ КОРИЧНЕВЫЙ</t>
  </si>
  <si>
    <t>ПОДВОДКА ДЛЯ ГЛАЗ THE ONE WONDER LINER - МОРОЗНЫЙ ИНЕЙ</t>
  </si>
  <si>
    <t>ТОНАЛЬНЫЕ ОСНОВЫ, ПУДРЫ, КОНСИЛЛЕРЫ, РУМЯНА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</si>
  <si>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</si>
  <si>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</si>
  <si>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</si>
  <si>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СТИК ДЛЯ МАКИЯЖА THE ONE - ХАЙЛАЙТЕР</t>
  </si>
  <si>
    <t>РАССЫПЧАТАЯ ПУДРА THE ONE MAKE-UP PRO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</si>
  <si>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</si>
  <si>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</si>
  <si>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</si>
  <si>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</si>
  <si>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</si>
  <si>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</si>
  <si>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РУМЯНА-БРОНЗЕР В ШАРИКАХ GIORDANI GOLD - ЕСТЕСТВЕННЫЙ РУМЯНЕЦ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</si>
  <si>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</si>
  <si>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</si>
  <si>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</si>
  <si>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</si>
  <si>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</si>
  <si>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</si>
  <si>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</si>
  <si>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</si>
  <si>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ЗАКРЕПЛЯЮЩЕЕ БЫСТРОСОХНУЩЕЕ ПОКРЫТИЕ ДЛЯ ЛАКА THE ONE PRO WEAR</t>
  </si>
  <si>
    <t>ЗАКРЕПЛЯЮЩЕЕ ПОКРЫТИЕ ДЛЯ ГЕЛЬ-ЛАКА THE ONE</t>
  </si>
  <si>
    <t>ГЕЛЬ-ЛАК ДЛЯ НОГТЕЙ THE ONE - АЛЫЙ ЗАКАТ</t>
  </si>
  <si>
    <t xml:space="preserve">                                                        - ДИВНЫЙ КРАСНЫЙ </t>
  </si>
  <si>
    <t xml:space="preserve">                                                        - РОЗОВОЕ НЕБО </t>
  </si>
  <si>
    <t xml:space="preserve">                                                        - СОЛНЕЧНЫЙ НЮД </t>
  </si>
  <si>
    <t>ЛАК ДЛЯ НОГТЕЙ ONCOLOUR - УЮТНАЯ КОРИЦА</t>
  </si>
  <si>
    <t xml:space="preserve">                                                              - ОГНЕННЫЙ КРАСНЫЙ</t>
  </si>
  <si>
    <t xml:space="preserve">                                                              - ПРЯНЫЙ ЧАЙ</t>
  </si>
  <si>
    <t xml:space="preserve">                                                              - МАГИЧЕСКИЙ МОККО</t>
  </si>
  <si>
    <t xml:space="preserve">ЛАК ДЛЯ НОГТЕЙ THE ONE - СЛАДКОЕ КИВИ </t>
  </si>
  <si>
    <t xml:space="preserve">                                              - НЕЖНЫЙ ПЕРСИК</t>
  </si>
  <si>
    <t xml:space="preserve">                                              - СОЧНЫЙ АРБУЗ</t>
  </si>
  <si>
    <t>МУЖСКАЯ ПАРФЮМЕРНАЯ ВОДА NORDIC WATERS</t>
  </si>
  <si>
    <t>ПАРФЮМЕРНАЯ ВОДА POSSESS ABSOLUTE</t>
  </si>
  <si>
    <t>ТУАЛЕТНАЯ ВОДА SO FEVER ECSTATIC HIM</t>
  </si>
  <si>
    <t>СПРЕЙ ДЕЗОДОРАНТ ДЛЯ ЭКСТРЕМАЛЬНОЙ ЗАЩИТЫ ACTIVELLE</t>
  </si>
  <si>
    <t>ШАРИКОВЫЙ ДЕЗОДОРАНТ DIVINE</t>
  </si>
  <si>
    <t>ШАРИКОВЫЙ ДЕЗОДОРАНТ-АНТИПЕРСПИРАНТ GIORDANI GOLD MAN</t>
  </si>
  <si>
    <t>ШАРИКОВЫЙ ДЕЗОДОРАНТ-АНТИПЕРСПИРАНТ MISTER GIORDANI</t>
  </si>
  <si>
    <t>ШАРИКОВЫЙ ДЕЗОДОРАНТ-АНТИПЕРСПИРАНТ GLACIER</t>
  </si>
  <si>
    <t>МУЖСКОЙ ШАРИКОВЫЙ ДЕЗОДОРАНТ-АНТИПЕРСПИРАНТ GREATER</t>
  </si>
  <si>
    <t>ЩЁТКА-БРАШИНГ ДЛЯ ВОЛОС STYLERPRO</t>
  </si>
  <si>
    <t>ЩЁТКА ДЛЯ УКЛАДКИ ВОЛОС STYLERPRO</t>
  </si>
  <si>
    <t>ШИРОКАЯ МАССАЖНАЯ ЩЁТКА ДЛЯ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</si>
  <si>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</si>
  <si>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</si>
  <si>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</si>
  <si>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НАБОР АКСЕССУАРОВ ДЛЯ ЗАВИВКИ ВОЛОС</t>
  </si>
  <si>
    <t>ЩЁТКА ДЛЯ РАСПУТЫВАНИЯ ВОЛОС</t>
  </si>
  <si>
    <t>ЗАЩИТНОЕ МАСЛО ДЛЯ ВОЛОС ELEO</t>
  </si>
  <si>
    <t>ГОРЯЧЕЕ МАСЛО ДЛЯ СУХИХ ВОЛОС С ОРГАНИЧЕСКОЙ ПШЕНИЦЕЙ И КОКОСОМ LOVE NATURE</t>
  </si>
  <si>
    <t>ШАМПУНЬ ДЛЯ ИНТЕНСИВНОГО ВОССТАНОВЛЕНИЯ ВОЛОС DUOLOGI</t>
  </si>
  <si>
    <t>ШАМПУНЬ ДЛЯ ИНТЕНСИВНОГО ВОССТАНОВЛЕНИЯ ВОЛОС DUOLOGI (РЕФИЛ)</t>
  </si>
  <si>
    <t>СУХОЙ ШАМПУНЬ ДЛЯ КОНТРОЛЯ ЖИРНОСТИ DUOLOGI</t>
  </si>
  <si>
    <t>УСПОКАИВАЮЩИЙ ТОНИК ДЛЯ КОЖИ ГОЛОВЫ DUOLOGI</t>
  </si>
  <si>
    <t>СКРАБ ДЛЯ КОЖИ ГОЛОВЫ ПРОТИВ ПЕРХОТИ DUOLOGI</t>
  </si>
  <si>
    <t>ТЕРМОЗАЩИТНЫЙ СПРЕЙ ДЛЯ ВОЛОС DUOLOGI</t>
  </si>
  <si>
    <t>ШАМПУНЬ ДЛЯ ВОЛОС И ТЕЛА NORTH FOR MEN SUBZERO</t>
  </si>
  <si>
    <t>ПОЛОТЕНЦЕ-ТЮРБАН ДЛЯ ВОЛОС</t>
  </si>
  <si>
    <t xml:space="preserve">УХОД ДЛЯ РУК </t>
  </si>
  <si>
    <t>ПИЛКА ДЛЯ НОГТЕЙ</t>
  </si>
  <si>
    <t>ИНСТРУМЕНТ ДЛЯ ДЕКОРА НОГТЕЙ</t>
  </si>
  <si>
    <t>МАСЛО ДЛЯ НОГТЕЙ И КУТИКУЛЫ В КАРАНДАШЕ THE ONE EXPERT CARE</t>
  </si>
  <si>
    <t>ЛОСЬОН ДЛЯ РУК И ТЕЛА С ГРУШЕЙ И БОБАМИ ТОНКА ESSENSE&amp;CO.</t>
  </si>
  <si>
    <t>ЖИДКОЕ МЫЛО ДЛЯ РУК И ТЕЛА С ГРУШЕЙ И БОБАМИ ТОНКА ESSENSE&amp;CO.</t>
  </si>
  <si>
    <t>ЖИДКОЕ МЫЛО ДЛЯ РУК MILK &amp; HONEY GOLD</t>
  </si>
  <si>
    <t>ПИТАТЕЛЬНЫЙ КРЕМ ДЛЯ РУК И ТЕЛА «МОЛОКО И МЕД - ЗОЛОТАЯ СЕРИЯ»</t>
  </si>
  <si>
    <t>УВЛАЖНЯЮЩИЙ КРЕМ ДЛЯ РУК «МОЛОКО И МЕД - ЗОЛОТАЯ СЕРИЯ»</t>
  </si>
  <si>
    <t>КРЕМ ДЛЯ ЗАГРУБЕВШЕЙ КОЖИ НОГ FEET UP ADVANCED</t>
  </si>
  <si>
    <t>ИНТЕНСИВНО УВЛАЖНЯЮЩАЯ МАСКА ДЛЯ НОГ FEET UP ADVANCED</t>
  </si>
  <si>
    <t>ГЕЛЕВЫЕ ПОДУШЕЧКИ ПОД ПЯТКИ</t>
  </si>
  <si>
    <t>САХАРНЫЙ СКРАБ ДЛЯ ТЕЛА MILK &amp; HONEY GOLD</t>
  </si>
  <si>
    <t>КРЕМ-МЫЛО «МОЛОКО И МЕД - ЗОЛОТАЯ СЕРИЯ»</t>
  </si>
  <si>
    <t>СМЯГЧАЮЩИЙ КРЕМ-ГЕЛЬ ДЛЯ ИНТИМНОЙ ГИГИЕНЫ FEMINELLE</t>
  </si>
  <si>
    <t>ЩЁТКА-МАССАЖЁР ДЛЯ ТЕЛА</t>
  </si>
  <si>
    <t>СКРЕБОК ГУАША ДЛЯ ТЕЛА</t>
  </si>
  <si>
    <t>ДВУСТОРОННЯЯ ЩЁТКА ДЛЯ ТЕЛА</t>
  </si>
  <si>
    <t xml:space="preserve">МАССАЖНАЯ ПЕРЧАТКА С УГЛЁМ </t>
  </si>
  <si>
    <t>ОСВЕЖАЮЩИЙ ГЕЛЬ ДЛЯ ИНТИМНОЙ ГИГИЕНЫ FEMINELLE (РЕФИЛ)</t>
  </si>
  <si>
    <t>ОСВЕЖАЮЩИЙ ГЕЛЬ ДЛЯ ДУША С ОКЕАНСКИМ АККОРДОМ SCENTS &amp; MOMENTS</t>
  </si>
  <si>
    <t>РАССЛАБЛЯЮЩИЙ ГЕЛЬ ДЛЯ ДУША С ЛАВАНДОЙ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</si>
  <si>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</si>
  <si>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</si>
  <si>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БОДРЯЩИЙ ГЕЛЬ ДЛЯ ДУША С ОРГАНИЧЕСКОЙ КОКОСОВОЙ ВОДОЙ И ДЫНЕЙ LOVE NATURE</t>
  </si>
  <si>
    <t>УХАЖИВАЮЩИЙ КРЕМ ДЛЯ ДУША С ОРГАНИЧЕСКИМ ОВСОМ И АБРИКОСОМ LOVE NATURE</t>
  </si>
  <si>
    <t>ГЕЛЬ ДЛЯ ДУША С КЛУБНИКОЙ И ЧЁРНОЙ СМОРОДИНОЙ SCENTS &amp; MOMENTS</t>
  </si>
  <si>
    <t>ОСВЕЖАЮЩИЙ ГЕЛЬ ДЛЯ ИНТИМНОЙ ГИГИЕНЫ FEMINELLE. ЛИМИТИРОВАННЫЙ ВЫПУСК</t>
  </si>
  <si>
    <t>МЫЛО NORTH FOR MEN SUBZERO</t>
  </si>
  <si>
    <t>УХАЖИВАЮЩИЙ КРЕМ ДЛЯ ТЕЛА С ОРГАНИЧЕСКИМ ОВСОМ И АБРИКОСОМ LOVE NATURE</t>
  </si>
  <si>
    <t>ЛОСЬОН ДЛЯ ТЕЛА С ОРГАНИЧЕСКОЙ МЯТОЙ И МАЛИНОЙ LOVE NATURE. БОЛЬШОЙ ОБЪЁМ</t>
  </si>
  <si>
    <t>УХОД ДЛЯ ЛИЦА</t>
  </si>
  <si>
    <t>ЭПИЛЯТОР-ПРУЖИНКА ДЛЯ ЛИЦА</t>
  </si>
  <si>
    <t>СПОНЖ КОННЯКУ С УГЛЁМ</t>
  </si>
  <si>
    <t>СПОНЖ КОННЯКУ</t>
  </si>
  <si>
    <t>МЫЛО ДЛЯ ЛИЦА И ТЕЛА GLOW ESSENTIALS</t>
  </si>
  <si>
    <t>АНТИБАКТЕРИАЛЬНЫЙ КАРАНДАШ-КОРРЕКТОР "ЧАЙНОЕ ДЕРЕВО"</t>
  </si>
  <si>
    <t>КРЕМ-ГЕЛЬ ДЛЯ ЛИЦА WAUNT «ЭФФЕКТ МГНОВЕННОГО УВЛАЖНЕНИЯ»</t>
  </si>
  <si>
    <t>ГЕЛЬ ПРОТИВ ПРЫЩЕЙ ДЛЯ ТОЧЕЧНОГО ПРИМЕНЕНИЯ PURE SKIN</t>
  </si>
  <si>
    <t>УВЛАЖНЯЮЩАЯ ЭССЕНЦИЯ-СПРЕЙ ДЛЯ ЛИЦА NOVAGE+ PROCEUTICALS</t>
  </si>
  <si>
    <t>НОЧНОЙ КРЕМ ПРОТИВ ПИГМЕНТАЦИИ OPTIMALS EVEN OUT</t>
  </si>
  <si>
    <t>УСПОКАИВАЮЩИЙ ТОНИК ДЛЯ ЛИЦА OPTIMALS</t>
  </si>
  <si>
    <t xml:space="preserve">МУЛЬТИФУНКЦИОНАЛЬНЫЙ ЗАЩИТНЫЙ КРЕМ ДЛЯ ЛИЦА OPTIMALS C SPF 50 </t>
  </si>
  <si>
    <t>ОЧИЩАЮЩАЯ МАСКА-ПЛЁНКА С УГЛЁМ PURE SKIN</t>
  </si>
  <si>
    <t>ЗУБНЫЕ ПАСТЫ И ЩЕТКИ</t>
  </si>
  <si>
    <t>ЗУБНАЯ ПАСТА ДЛЯ ЧУВСТВИТЕЛЬНЫХ ЗУБОВ OPTIFRESH</t>
  </si>
  <si>
    <t>МЯГКАЯ ЗУБНАЯ ЩЁТКА OPTIFRESH (ЗЕЛЁНАЯ)</t>
  </si>
  <si>
    <t>МЯГКАЯ ДЕТСКАЯ ЗУБНАЯ ЩЁТКА OPTIFRESH (ГОЛУБАЯ)</t>
  </si>
  <si>
    <t>КИСТИ, ТОЧИЛКИ</t>
  </si>
  <si>
    <t>КИСТЬ ДЛЯ ТОНАЛЬНОЙ ОСНОВЫ THE ONE</t>
  </si>
  <si>
    <t>КИСТЬ ДЛЯ ПУДРЫ THE ONE</t>
  </si>
  <si>
    <t>КИСТЬ ДЛЯ РУМЯН THE ONE</t>
  </si>
  <si>
    <t>КИСТЬ ДЛЯ КОНТУРИНГА THE ONE</t>
  </si>
  <si>
    <t>КИСТЬ ДЛЯ ПОМАДЫ THE ONE</t>
  </si>
  <si>
    <t>РАСКЛАДНОЕ ЗЕРКАЛО</t>
  </si>
  <si>
    <t>МУЖСКОЙ ТРИММЕР 4-В-1</t>
  </si>
  <si>
    <t>ТРИММЕР ДЛЯ ЛИЦА И ТЕЛА</t>
  </si>
  <si>
    <t>МНОГОРАЗОВЫЙ БРИТВЕННЫЙ СТАНОК</t>
  </si>
  <si>
    <t>СМЕННЫЕ КАССЕТЫ ДЛЯ БРИТВЕННОГО СТАНКА</t>
  </si>
  <si>
    <t>МУЖСКАЯ КОСМЕТИЧКА</t>
  </si>
  <si>
    <t>ФИГУРНЫЕ СЕРЬГИ</t>
  </si>
  <si>
    <t>КОЛЬЕ С ПОДВЕСКОЙ ЯНТАРНОГО ЦВЕТА</t>
  </si>
  <si>
    <t>СЕРЬГИ С ПОДВЕСКАМИ ЯНТАРНОГО ЦВЕТА</t>
  </si>
  <si>
    <t>МУЖСКИЕ ЧАСЫ НА КОРИЧНЕВОМ РЕМЕШКЕ</t>
  </si>
  <si>
    <t>МУЖСКОЙ КЛЕТЧАТЫЙ ШАРФ</t>
  </si>
  <si>
    <t>НАБОР МУЖСКИХ НОСКОВ</t>
  </si>
  <si>
    <t>МУЖСКОЙ ПЛЕТЁНЫЙ БРАСЛЕТ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</si>
  <si>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</si>
  <si>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</si>
  <si>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</si>
  <si>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</si>
  <si>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</si>
  <si>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</si>
  <si>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</si>
  <si>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</si>
  <si>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</si>
  <si>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</si>
  <si>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</si>
  <si>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</si>
  <si>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</si>
  <si>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</si>
  <si>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</si>
  <si>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</si>
  <si>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</si>
  <si>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</si>
  <si>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</si>
  <si>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</si>
  <si>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</si>
  <si>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</si>
  <si>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</si>
  <si>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</si>
  <si>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</si>
  <si>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</si>
  <si>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</si>
  <si>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</si>
  <si>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</si>
  <si>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</si>
  <si>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</si>
  <si>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</si>
  <si>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</si>
  <si>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ЩИПЧИКИ ДЛЯ ЗАВИВКИ РЕСНИЦ С РАСЧЁСКОЙ</t>
  </si>
  <si>
    <t>УДЛИНЯЮЩАЯ ТУШЬ THE ONE - ЧЕРНЫЙ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</si>
  <si>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</si>
  <si>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</si>
  <si>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</si>
  <si>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ПАЛЕТКА ТЕНЕЙ ДЛЯ ВЕК ONCOLOUR - ПАСТЕЛЬ</t>
  </si>
  <si>
    <t xml:space="preserve">                                                              - СМОКИ</t>
  </si>
  <si>
    <t>МНОГОФУНКЦИОНАЛЬНАЯ ТУШЬ ДЛЯ РЕСНИЦ 5 В 1 THE ONE WONDER LASH XXL - ЧЁРНЫЙ</t>
  </si>
  <si>
    <t>ВОДОСТОЙКАЯ ТУШЬ ДЛЯ РЕСНИЦ 5 В 1 THE ONE WONDER LASH XXL- ЧЕРНЫЙ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</si>
  <si>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</si>
  <si>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</si>
  <si>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</si>
  <si>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</si>
  <si>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</si>
  <si>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УДЛИНЯЮЩАЯ ТУШЬ GIORDANI GOLD ANGEL CARESS - ЧЁРНЫЙ</t>
  </si>
  <si>
    <t xml:space="preserve">СТОЙКИЙ МАРКЕР-ПОДВОДКА ДЛЯ ГЛАЗ THE ONE - ЧЕРНЫЙ </t>
  </si>
  <si>
    <t>ТУШЬ ДЛЯ РЕСНИЦ С ДВОЙНЫМ ЭФФЕКТОМ THE ONE DOUBLE EFFECT - ЧËРНЫЙ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</si>
  <si>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</si>
  <si>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</si>
  <si>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</si>
  <si>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</si>
  <si>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</si>
  <si>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ВЛАГОСТОЙКАЯ ТУШЬ ДЛЯ РЕСНИЦ THE ONE IN ACTION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</si>
  <si>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</si>
  <si>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</si>
  <si>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- СЕРЫЙ ГРАНИТ</t>
  </si>
  <si>
    <t>АДАПТИВНАЯ ТОНАЛЬНАЯ ОСНОВА THE ONE - НЕЙТРАЛЬНЫЙ ВАНИЛЬНЫЙ</t>
  </si>
  <si>
    <t xml:space="preserve">                                                                          - ХОЛОДНЫЙ ФАРФОРОВЫЙ</t>
  </si>
  <si>
    <t xml:space="preserve">                                                                          - НЕЙТРАЛЬНЫЙ НЮД</t>
  </si>
  <si>
    <t xml:space="preserve">                                                                          - ХОЛОДНЫЙ РОЗОВЫЙ</t>
  </si>
  <si>
    <t xml:space="preserve">                                                                          - НЕЙТРАЛЬНЫЙ БЕЖ </t>
  </si>
  <si>
    <t xml:space="preserve">                                                                          - ТЕПЛЫЙ ПЕСОЧНЫЙ</t>
  </si>
  <si>
    <t xml:space="preserve">                                                                          - ЕСТЕСТВЕННЫЙ БЕЖ </t>
  </si>
  <si>
    <t xml:space="preserve">                                                                          - НЕЙТРАЛЬНЫЙ ОЛИВКОВЫЙ</t>
  </si>
  <si>
    <t xml:space="preserve">                                                                          - ТЕПЛЫЙ БЕЖ</t>
  </si>
  <si>
    <t>КОМПАКТНАЯ ПУДРА ONCOLOUR - ФАРФОРОВЫЙ</t>
  </si>
  <si>
    <t>КОНСИЛЕР В СТИКЕ ONCOLOUR - СЛОНОВАЯ КОСТЬ</t>
  </si>
  <si>
    <t xml:space="preserve">                                                      - ЕСТЕСТВЕННЫЙ БЕЖ 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</si>
  <si>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</si>
  <si>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</si>
  <si>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</si>
  <si>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</si>
  <si>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</si>
  <si>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</si>
  <si>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</si>
  <si>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</si>
  <si>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</si>
  <si>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</si>
  <si>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</si>
  <si>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ТЁПЛЫЙ БЕЖ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</si>
  <si>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</si>
  <si>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</si>
  <si>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</si>
  <si>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 xml:space="preserve">                                                                                                                                                  - БЕЖЕВЫЙ</t>
  </si>
  <si>
    <t>ВЫРАВНИВАЮЩАЯ БАЗА ПОД МАКИЯЖ THE ONE MAKE-UP PRO</t>
  </si>
  <si>
    <t>ЖИДКИЕ РУМЯНА-ХАЙЛАЙТЕР THE ONE - НЕЖНЫЙ РОЗОВЫЙ</t>
  </si>
  <si>
    <t xml:space="preserve">                                                                   - ПАСТЕЛЬНЫЙ КОРАЛЛОВЫЙ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</si>
  <si>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</si>
  <si>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</si>
  <si>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</si>
  <si>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 xml:space="preserve">                                                                                     - ТОПЛЕНОЕ МОЛОКО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</si>
  <si>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</si>
  <si>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</si>
  <si>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</si>
  <si>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</si>
  <si>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</si>
  <si>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</si>
  <si>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</si>
  <si>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</si>
  <si>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</si>
  <si>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</si>
  <si>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ТУАЛЕТНАЯ ВОДА MISTER GIORDANI</t>
  </si>
  <si>
    <t>МУЖСКАЯ ТУАЛЕТНАЯ ВОДА GREATER</t>
  </si>
  <si>
    <t>ПАРФЮМЕРНАЯ ВОДА .SE SWEDISH EXPERIENCE BLAZING WARMTH</t>
  </si>
  <si>
    <t xml:space="preserve">ТУАЛЕТНАЯ ВОДА ASCENDANT </t>
  </si>
  <si>
    <t>ТУАЛЕТНАЯ ВОДА DEBONAIR</t>
  </si>
  <si>
    <t>ТУАЛЕТНАЯ ВОДА WOMEN'S COLLECTION CHERRY BLOSSOM</t>
  </si>
  <si>
    <t>СПРЕЙ ДЕЗОДОРАНТ-АНТИПЕРСПИРАНТ БЕЗ БЕЛЫХ СЛЕДОВ ACTIVELLE</t>
  </si>
  <si>
    <t>СПРЕЙ ДЕЗОДОРАНТ-АНТИПЕРСПИРАНТ ДЛЯ МАКСИМАЛЬНОЙ СВЕЖЕСТИ ACTIVELLE</t>
  </si>
  <si>
    <t>КУСАЧКИ ДЛЯ НОГТЕЙ</t>
  </si>
  <si>
    <t>ЛОСЬОН ДЛЯ РУК И ТЕЛА С ДИКИМ МАКОМ И ВАНИЛЬЮ ESSENSE &amp; CO.</t>
  </si>
  <si>
    <t>ЖИДКОЕ МЫЛО ДЛЯ РУК И ТЕЛА С ДИКИМ МАКОМ И ВАНИЛЬЮ ESSENSE &amp; CO.</t>
  </si>
  <si>
    <t>ПЕМЗА ДЛЯ НОГ</t>
  </si>
  <si>
    <t>ИНСТРУМЕНТ ДЛЯ УДАЛЕНИЯ МОЗОЛЕЙ</t>
  </si>
  <si>
    <t>ОТШЕЛУШИВАЮЩИЙ КРЕМ ДЛЯ НОГ FEET UP ADVANCED</t>
  </si>
  <si>
    <t>ОСВЕЖАЮЩИЙ СПРЕЙ-ДЕЗОДОРАНТ ДЛЯ НОГ FEET UP EVERYDAY</t>
  </si>
  <si>
    <t>ПИТАТЕЛЬНАЯ МАСКА ДЛЯ СТУПНЕЙ FEET UP EVERYDAY</t>
  </si>
  <si>
    <t>ОСВЕЖАЮЩИЙ ГЕЛЬ ДЛЯ ИНТИМНОЙ ГИГИЕНЫ FEMINELLE  </t>
  </si>
  <si>
    <t>КРЕМ ДЛЯ ДУША MILK &amp; HONEY GOLD</t>
  </si>
  <si>
    <t>БОДРЯЩИЙ ГЕЛЬ ДЛЯ ДУША LOVE NATURE. БОЛЬШОЙ ОБЪЁМ</t>
  </si>
  <si>
    <t>МЫЛО NORTH FOR MEN ACTIVE CARBON</t>
  </si>
  <si>
    <t>СРЕДСТВО ДЛЯ ДУША, ВОЛОС И УМЫВАНИЯ 3 В 1 NORTH FOR MEN ACTIVE CARBON</t>
  </si>
  <si>
    <t>КРЕМ ДЛЯ ДУША С ОРГАНИЧЕСКИМ МАСЛОМ КАКАО И МЯТОЙ LOVE NATURE</t>
  </si>
  <si>
    <t>ОСВЕЖАЮЩЕЕ ЖИДКОЕ МЫЛО С ОРГАНИЧЕСКИМ ЗЕЛЁНЫМ ЧАЕМ И ОГУРЦОМ LOVE NATURE</t>
  </si>
  <si>
    <t>ГЕЛЬ ДЛЯ ДУША С ОРГАНИЧЕСКИМ МАНГО И МАРАКУЙЕЙ LOVE NATURE</t>
  </si>
  <si>
    <t>ЗАЩИТНОЕ МАСЛО ДЛЯ ТЕЛА, ЛИЦА И ВОЛОС С ОРГАНИЧЕСКОЙ ОЛИВОЙ LOVE NATURE</t>
  </si>
  <si>
    <t>МНОГОРАЗОВАЯ ФИКСИРУЮЩАЯ МАСКА ДЛЯ ЛИЦА</t>
  </si>
  <si>
    <t>ЗАКРЕПЛЯЮЩИЙ СПРЕЙ ДЛЯ МАКИЯЖА THE ONE MAKE-UP PRO</t>
  </si>
  <si>
    <t xml:space="preserve">УВЛАЖНЯЮЩИЙ ГЕЛЬ ПОСЛЕ БРИТЬЯ NORTH FOR MEN SUBZERO </t>
  </si>
  <si>
    <t>ПЕНА ДЛЯ БРИТЬЯ NORTH FOR MEN ACTIVE CARBON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</si>
  <si>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</si>
  <si>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</si>
  <si>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</si>
  <si>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ОЧИЩАЮЩАЯ МАСКА-СКРАБ 2-В-1 ДЛЯ ЛИЦА С ОРГАНИЧЕСКИМ ЧАЙНЫМ ДЕРЕВОМ И ЛАЙМОМ LOVE NATURE</t>
  </si>
  <si>
    <t>ОЧИЩАЮЩИЙ БАЛЬЗАМ ДЛЯ ЛИЦА WAUNT "ЭФФЕКТ ПРЕОБРАЖЕНИЯ"</t>
  </si>
  <si>
    <t>АНТИВОЗРАСТНАЯ СЫВОРОТКА OPTIMALS AGE REVIVE</t>
  </si>
  <si>
    <t>УВЛАЖНЯЮЩИЙ КРЕМ ДЛЯ КОЖИ ВОКРУГ ГЛАЗ OPTIMALS HYDRA RADIANCE</t>
  </si>
  <si>
    <t>УВЛАЖНЯЮЩАЯ СЫВОРОТКА OPTIMALS HYDRA RADIANCE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</si>
  <si>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</si>
  <si>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</si>
  <si>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</si>
  <si>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</si>
  <si>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СРЕДСТВО ДЛЯ ОЧИЩЕНИЯ КОЖИ И ВЫРАВНИВАНИЯ ТОНА OPTIMALS</t>
  </si>
  <si>
    <t>ОМОЛАЖИВАЮЩИЙ БУСТЕР ДЛЯ ЛИЦА OPTIMALS</t>
  </si>
  <si>
    <t>УНИВЕРСАЛЬНЫЙ КРЕМ ДЛЯ ЛИЦА И ТЕЛА С ОРГАНИЧЕСКИМ МАСЛОМ КАКАО И МЯТОЙ LOVE NATURE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</si>
  <si>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</si>
  <si>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</si>
  <si>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</si>
  <si>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</si>
  <si>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ДЕТСКАЯ ГУБКА ДЛЯ КУПАНИЯ LOVE NATURE</t>
  </si>
  <si>
    <t>КИСТЬ ДЛЯ ПУДРЫ И РУМЯН</t>
  </si>
  <si>
    <t>КИСТЬ ДЛЯ ЖИДКИХ И КРЕМОВЫХ ТЕКСТУР THE ONE</t>
  </si>
  <si>
    <t>КИСТЬ ДЛЯ РАСТУШЕВКИ ТЕНЕЙ THE ONE</t>
  </si>
  <si>
    <t>ПИНЦЕТ ДЛЯ УДАЛЕНИЯ ЧЁРНЫХ ТОЧЕК</t>
  </si>
  <si>
    <t>предложение со стр. 13</t>
  </si>
  <si>
    <t>ЦЕНА 999 РУБ. ПРИ ЗАКАЗЕ ЛЮБОГО ПРОДУКТА ИЗ ЭТОГО КАТАЛОГА ИЛИ НА САЙТЕ В ПЕРИОД ДЕЙСТВИЯ КАТАЛОГА (КРОМЕ 47550)</t>
  </si>
  <si>
    <t>предложение со стр. 27</t>
  </si>
  <si>
    <t>МАСКА ДЛЯ ВОЛОС + КРЕМ ДЛЯ НОГ + ГЕЛЬ ДЛЯ ДУША ЗА 699 РУБ.</t>
  </si>
  <si>
    <t>предложение со стр. 31</t>
  </si>
  <si>
    <t>ТУАЛЕТНАЯ ВОДА + ЖИДКИЕ ТЕНИ ЗА 1599 РУБ.</t>
  </si>
  <si>
    <t>предложение со стр. 32</t>
  </si>
  <si>
    <t>ТУАЛЕТНАЯ ВОДА + ГЕЛЬ ДЛЯ ДУША ЗА 1199 РУБ.</t>
  </si>
  <si>
    <t>предложение со стр. 33</t>
  </si>
  <si>
    <t>СПРЕЙ ДЛЯ ТЕЛА + ГЕЛЬ ДЛЯ ДУША ЗА 949 РУБ.</t>
  </si>
  <si>
    <t>предложение со стр. 34</t>
  </si>
  <si>
    <t>ПАРФЮМЕРНАЯ ВОДА + СМЯГЧАЮЩЕЕ СРЕДСТВО ЗА 1299 РУБ.</t>
  </si>
  <si>
    <t>предложение со стр. 35</t>
  </si>
  <si>
    <t>БАЛЬЗАМ ДЛЯ ГУБ + ГЕЛЬ ДЛЯ БРОВЕЙ ЗА 849 РУБ.</t>
  </si>
  <si>
    <t>предложение со стр. 27-35, 43</t>
  </si>
  <si>
    <t>ЦЕНА 49 РУБ. ПРИ ПОКУПКЕ ЛЮБОГО НАБОРА СО СТР. 27-35, 43</t>
  </si>
  <si>
    <t>предложение со стр. 36</t>
  </si>
  <si>
    <t>ТУАЛЕТНАЯ ВОДА + ГЕЛЬ ДЛЯ ДУША ЗА 1299 РУБ.</t>
  </si>
  <si>
    <t>предложение со стр. 37</t>
  </si>
  <si>
    <t>ТУАЛЕТНАЯ ВОДА + ШАМПУНЬ ДЛЯ ВОЛОС И ТЕЛА + МОЧАЛКА ДЛЯ ДУША ЗА 1499 РУБ.</t>
  </si>
  <si>
    <t>предложение со стр. 38</t>
  </si>
  <si>
    <t>ТУАЛЕТНАЯ ВОДА + ГЕЛЬ ДЛЯ УКЛАДКИ ВОЛОС ЗА 1299 РУБ.</t>
  </si>
  <si>
    <t>предложение со стр. 39</t>
  </si>
  <si>
    <t>предложение со стр. 41</t>
  </si>
  <si>
    <t>ТУАЛЕТНАЯ ВОДА + ДЕЗОДОРАНТ-АНТИПЕРСПИРАНТ ЗА 2099 РУБ.</t>
  </si>
  <si>
    <t>предложение со стр. 43</t>
  </si>
  <si>
    <t>ТУАЛЕТНАЯ ВОДА + ДЕЗОДОРАНТ-АНТИПЕРСПИРАНТ + КРЕМ ДЛЯ ТЕЛА ЗА 2499 РУБ.</t>
  </si>
  <si>
    <t>предложение со стр. 36-41</t>
  </si>
  <si>
    <t>ЦЕНА 49 РУБ. ПРИ ПОКУПКЕ ЛЮБОГО НАБОРА СО СТР. 36-41</t>
  </si>
  <si>
    <t>предложение со стр. 44-47</t>
  </si>
  <si>
    <t>ПАРФЮМЕРНАЯ ВОДА MAGNETISTA. МИНИ-СПРЕЙ</t>
  </si>
  <si>
    <t>ПРИ ПОКУПКЕ ЛЮБЫХ ДВУХ ПРОДУКТОВ ЦЕНА КАЖДОГО 549 РУБ.</t>
  </si>
  <si>
    <t>ПРИ ПОКУПКЕ ЛЮБЫХ ДВУХ ПРОДУКТОВ ЦЕНА КАЖДОГО 629 РУБ.</t>
  </si>
  <si>
    <t>предложение со стр. 50</t>
  </si>
  <si>
    <t>ЦЕНА 199 РУБ. ПРИ ЗАКАЗЕ ЛЮБОГО АРОМАТА GIORDANI GOLD ESSENZA (КРОМЕ 47793 И 46055)</t>
  </si>
  <si>
    <t>предложение со стр. 52</t>
  </si>
  <si>
    <t>ЦЕНА 1 РУБ. ПРИ ЗАКАЗЕ ЛЮБОГО ПРОДУКТА ESSENZA СО СТР. 51-53 (КРОМЕ 47793 И 46055)</t>
  </si>
  <si>
    <t>предложение со стр. 61</t>
  </si>
  <si>
    <t>ТУАЛЕТНАЯ ВОДА + ДЕЗОДОРАНТ-АНТИПЕРСПИРАНТ ЗА 1499 РУБ.</t>
  </si>
  <si>
    <t>предложение со стр. 63</t>
  </si>
  <si>
    <t>предложение со стр. 103</t>
  </si>
  <si>
    <t xml:space="preserve">ОЧИЩАЮЩИЙ ГЕЛЬ ДЛЯ ЛИЦА NOVAGE+ (ПРОБНИК) </t>
  </si>
  <si>
    <t>КРЕМ ДЛЯ КОЖИ ВОКРУГ ГЛАЗ ПРОТИВ ПИГМЕНТАЦИИ NOVAGE+ BRIGHT INTENSE (ПРОБНИК)</t>
  </si>
  <si>
    <t>НАСЫЩЕННЫЙ МУЛЬТИАКТИВНЫЙ НОЧНОЙ КРЕМ NOVAGE+ (ПРОБНИК)</t>
  </si>
  <si>
    <t>предложение со стр. 104</t>
  </si>
  <si>
    <t>ОЧИЩАЮЩИЙ ГЕЛЬ ДЛЯ ЛИЦА NOVAGE+ (ПРОБНИК)</t>
  </si>
  <si>
    <t>КРЕМ ДЛЯ КОЖИ ВОКРУГ ГЛАЗ ПРОТИВ МОРЩИН NOVAGE+ WRINKLE SMOOTH (ПРОБНИК)</t>
  </si>
  <si>
    <t>ЛЁГКИЙ МУЛЬТИАКТИВНЫЙ НОЧНОЙ КРЕМ NOVAGE+ (ПРОБНИК)</t>
  </si>
  <si>
    <t>предложение со стр. 105</t>
  </si>
  <si>
    <t>КРЕМ-ЛИФТИНГ ДЛЯ КОЖИ ВОКРУГ ГЛАЗ NOVAGE+ LIFT+ FIRM (ПРОБНИК)</t>
  </si>
  <si>
    <t>предложение со стр. 106</t>
  </si>
  <si>
    <t>предложение со стр. 112</t>
  </si>
  <si>
    <t>предложение со стр. 116</t>
  </si>
  <si>
    <t>КРЕМ ДЛЯ КОЖИ ВОКРУГ ГЛАЗ + СПЕЦИАЛЬНОЕ СМЯГЧАЮЩЕЕ СРЕДСТВО ЗА 599 РУБ.</t>
  </si>
  <si>
    <t>предложение со стр. 117</t>
  </si>
  <si>
    <t>КРЕМ ДЛЯ ВЕК + СПЕЦИАЛЬНОЕ СМЯГЧАЮЩЕЕ СРЕДСТВО ЗА 599 РУБ.</t>
  </si>
  <si>
    <t>предложение со стр. 125</t>
  </si>
  <si>
    <t>ТОНИК + КРЕМ ДЛЯ ЛИЦА + ГЕЛЬ ДЛЯ УМЫВАНИЯ ЗА 899 РУБ.</t>
  </si>
  <si>
    <t>NOVAGE КАТАЛОГ</t>
  </si>
  <si>
    <t>1</t>
  </si>
  <si>
    <t>2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</si>
  <si>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</si>
  <si>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</si>
  <si>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</si>
  <si>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</si>
  <si>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</si>
  <si>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</si>
  <si>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</si>
  <si>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</si>
  <si>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</si>
  <si>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</si>
  <si>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</si>
  <si>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</si>
  <si>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</si>
  <si>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</si>
  <si>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</si>
  <si>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</si>
  <si>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</si>
  <si>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</si>
  <si>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ОЧИЩАЮЩЕЕ МАСЛО ДЛЯ ЛИЦА NOVAGE+ (ПРОБНИК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</si>
  <si>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</si>
  <si>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</si>
  <si>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</si>
  <si>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</si>
  <si>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МАСКА ДЛЯ ЛИЦА С ЭФФЕКТОМ ПИЛИНГА WAUNT (ПРОБНИК)</t>
  </si>
  <si>
    <t>НАБОР ПРОБНИКОВ NOVAGE TIME RESTORE</t>
  </si>
  <si>
    <t>НАБОР ПРОБНИКОВ NOVAGE 3.0 LIFTING</t>
  </si>
  <si>
    <t>НАБОР ПРОБНИКОВ NOVAGE 3.0 BRIGHTENING</t>
  </si>
  <si>
    <t>НАБОР ПРОБНИКОВ NOVAGE 3.0 ANTI-ACNE</t>
  </si>
  <si>
    <t>НАБОР ПРОБНИКОВ NOVAGE 3.0 WRINKLE</t>
  </si>
  <si>
    <t>КАТАЛОГ WELLOSOPHY</t>
  </si>
  <si>
    <t>3</t>
  </si>
  <si>
    <t>4</t>
  </si>
  <si>
    <t>КОМПЛЕКС «МОРСКОЙ КАЛЬЦИЙ И ВИТАМИН D»</t>
  </si>
  <si>
    <t>46055</t>
  </si>
  <si>
    <t>46069</t>
  </si>
  <si>
    <t>46607</t>
  </si>
  <si>
    <t>46608</t>
  </si>
  <si>
    <t>46609</t>
  </si>
  <si>
    <t>46642</t>
  </si>
  <si>
    <t>46643</t>
  </si>
  <si>
    <t>46705</t>
  </si>
  <si>
    <t>46706</t>
  </si>
  <si>
    <t>46707</t>
  </si>
  <si>
    <t>46708</t>
  </si>
  <si>
    <t>46731</t>
  </si>
  <si>
    <t>47012</t>
  </si>
  <si>
    <t>47013</t>
  </si>
  <si>
    <t>47014</t>
  </si>
  <si>
    <t>47015</t>
  </si>
  <si>
    <t>47017</t>
  </si>
  <si>
    <t>47018</t>
  </si>
  <si>
    <t>47100</t>
  </si>
  <si>
    <t>47101</t>
  </si>
  <si>
    <t>47542</t>
  </si>
  <si>
    <t>47543</t>
  </si>
  <si>
    <t>47550</t>
  </si>
  <si>
    <t>47551</t>
  </si>
  <si>
    <t>47552</t>
  </si>
  <si>
    <t>47554</t>
  </si>
  <si>
    <t>47628</t>
  </si>
  <si>
    <t>47630</t>
  </si>
  <si>
    <t>47631</t>
  </si>
  <si>
    <t>47650</t>
  </si>
  <si>
    <t>47652</t>
  </si>
  <si>
    <t>47654</t>
  </si>
  <si>
    <t>47662</t>
  </si>
  <si>
    <t>150838</t>
  </si>
  <si>
    <t>29699</t>
  </si>
  <si>
    <t>29695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</si>
  <si>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</si>
  <si>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</si>
  <si>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</si>
  <si>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</si>
  <si>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</si>
  <si>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</si>
  <si>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</si>
  <si>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</si>
  <si>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</si>
  <si>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</si>
  <si>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</si>
  <si>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45148</t>
  </si>
  <si>
    <t>45149</t>
  </si>
  <si>
    <t>45152</t>
  </si>
  <si>
    <t>45273</t>
  </si>
  <si>
    <t>45289</t>
  </si>
  <si>
    <t>45290</t>
  </si>
  <si>
    <t>45306</t>
  </si>
  <si>
    <t>45307</t>
  </si>
  <si>
    <t>45309</t>
  </si>
  <si>
    <t>45312</t>
  </si>
  <si>
    <t>46068</t>
  </si>
  <si>
    <t>46661</t>
  </si>
  <si>
    <t>46685</t>
  </si>
  <si>
    <t>47417</t>
  </si>
  <si>
    <t>47555</t>
  </si>
  <si>
    <t>47785</t>
  </si>
  <si>
    <t>37728</t>
  </si>
  <si>
    <t>37729</t>
  </si>
  <si>
    <t>37730</t>
  </si>
  <si>
    <t>37731</t>
  </si>
  <si>
    <t>37734</t>
  </si>
  <si>
    <t>37735</t>
  </si>
  <si>
    <t>37736</t>
  </si>
  <si>
    <t>37737</t>
  </si>
  <si>
    <t>38742</t>
  </si>
  <si>
    <t>38743</t>
  </si>
  <si>
    <t>38744</t>
  </si>
  <si>
    <t>38745</t>
  </si>
  <si>
    <t>38749</t>
  </si>
  <si>
    <t>38750</t>
  </si>
  <si>
    <t>38751</t>
  </si>
  <si>
    <t>38755</t>
  </si>
  <si>
    <t>38756</t>
  </si>
  <si>
    <t>38757</t>
  </si>
  <si>
    <t>38760</t>
  </si>
  <si>
    <t>38761</t>
  </si>
  <si>
    <t>38775</t>
  </si>
  <si>
    <t>38776</t>
  </si>
  <si>
    <t>38778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</si>
  <si>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</si>
  <si>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</si>
  <si>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</si>
  <si>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</si>
  <si>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</si>
  <si>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</si>
  <si>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</si>
  <si>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</si>
  <si>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</si>
  <si>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</si>
  <si>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41796</t>
  </si>
  <si>
    <t>41797</t>
  </si>
  <si>
    <t>41798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</si>
  <si>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</si>
  <si>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</si>
  <si>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</si>
  <si>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</si>
  <si>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</si>
  <si>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</si>
  <si>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</si>
  <si>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</si>
  <si>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</si>
  <si>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</si>
  <si>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</si>
  <si>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</si>
  <si>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</si>
  <si>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</si>
  <si>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</si>
  <si>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</si>
  <si>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</si>
  <si>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</si>
  <si>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</si>
  <si>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</si>
  <si>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44551</t>
  </si>
  <si>
    <t>44552</t>
  </si>
  <si>
    <t>44553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</si>
  <si>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</si>
  <si>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</si>
  <si>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</si>
  <si>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</si>
  <si>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</si>
  <si>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</si>
  <si>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</si>
  <si>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</si>
  <si>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</si>
  <si>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</si>
  <si>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</si>
  <si>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</si>
  <si>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</si>
  <si>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</si>
  <si>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</si>
  <si>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</si>
  <si>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</si>
  <si>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</si>
  <si>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</si>
  <si>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</si>
  <si>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</si>
  <si>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</si>
  <si>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</si>
  <si>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</si>
  <si>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</si>
  <si>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38883</t>
  </si>
  <si>
    <t>35424</t>
  </si>
  <si>
    <t>41414</t>
  </si>
  <si>
    <t>41415</t>
  </si>
  <si>
    <t>41437</t>
  </si>
  <si>
    <t>42417</t>
  </si>
  <si>
    <t>42418</t>
  </si>
  <si>
    <t>42779</t>
  </si>
  <si>
    <t>43206</t>
  </si>
  <si>
    <t>43207</t>
  </si>
  <si>
    <t>43985</t>
  </si>
  <si>
    <t>43986</t>
  </si>
  <si>
    <t>43987</t>
  </si>
  <si>
    <t>44002</t>
  </si>
  <si>
    <t>44004</t>
  </si>
  <si>
    <t>46595</t>
  </si>
  <si>
    <t>38929</t>
  </si>
  <si>
    <t>42123</t>
  </si>
  <si>
    <t>42823</t>
  </si>
  <si>
    <t>43135</t>
  </si>
  <si>
    <t>43143</t>
  </si>
  <si>
    <t>46549</t>
  </si>
  <si>
    <t>47480</t>
  </si>
  <si>
    <t>47533</t>
  </si>
  <si>
    <t>47534</t>
  </si>
  <si>
    <t>44655</t>
  </si>
  <si>
    <t>34750</t>
  </si>
  <si>
    <t>40971</t>
  </si>
  <si>
    <t>41011</t>
  </si>
  <si>
    <t>41012</t>
  </si>
  <si>
    <t>42771</t>
  </si>
  <si>
    <t>42773</t>
  </si>
  <si>
    <t>42776</t>
  </si>
  <si>
    <t>42777</t>
  </si>
  <si>
    <t>42778</t>
  </si>
  <si>
    <t>44810</t>
  </si>
  <si>
    <t>44811</t>
  </si>
  <si>
    <t>45363</t>
  </si>
  <si>
    <t>45392</t>
  </si>
  <si>
    <t>45393</t>
  </si>
  <si>
    <t>45930</t>
  </si>
  <si>
    <t>45931</t>
  </si>
  <si>
    <t>46483</t>
  </si>
  <si>
    <t>46484</t>
  </si>
  <si>
    <t>47504</t>
  </si>
  <si>
    <t>47505</t>
  </si>
  <si>
    <t>47506</t>
  </si>
  <si>
    <t>32919</t>
  </si>
  <si>
    <t>32920</t>
  </si>
  <si>
    <t>32921</t>
  </si>
  <si>
    <t>32922</t>
  </si>
  <si>
    <t>32923</t>
  </si>
  <si>
    <t>34647</t>
  </si>
  <si>
    <t>34648</t>
  </si>
  <si>
    <t>34649</t>
  </si>
  <si>
    <t>34650</t>
  </si>
  <si>
    <t>36133</t>
  </si>
  <si>
    <t>38801</t>
  </si>
  <si>
    <t>38805</t>
  </si>
  <si>
    <t>38806</t>
  </si>
  <si>
    <t>38807</t>
  </si>
  <si>
    <t>38808</t>
  </si>
  <si>
    <t>39292</t>
  </si>
  <si>
    <t>40951</t>
  </si>
  <si>
    <t>41107</t>
  </si>
  <si>
    <t>41108</t>
  </si>
  <si>
    <t>41748</t>
  </si>
  <si>
    <t>41749</t>
  </si>
  <si>
    <t>41750</t>
  </si>
  <si>
    <t>41989</t>
  </si>
  <si>
    <t>41990</t>
  </si>
  <si>
    <t>41991</t>
  </si>
  <si>
    <t>42118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</si>
  <si>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</si>
  <si>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</si>
  <si>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</si>
  <si>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</si>
  <si>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</si>
  <si>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</si>
  <si>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</si>
  <si>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</si>
  <si>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</si>
  <si>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</si>
  <si>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43214</t>
  </si>
  <si>
    <t>43215</t>
  </si>
  <si>
    <t>43216</t>
  </si>
  <si>
    <t>43217</t>
  </si>
  <si>
    <t>43243</t>
  </si>
  <si>
    <t>43244</t>
  </si>
  <si>
    <t>43245</t>
  </si>
  <si>
    <t>43246</t>
  </si>
  <si>
    <t>43247</t>
  </si>
  <si>
    <t>43248</t>
  </si>
  <si>
    <t>43249</t>
  </si>
  <si>
    <t>46399</t>
  </si>
  <si>
    <t>46400</t>
  </si>
  <si>
    <t>38974</t>
  </si>
  <si>
    <t>38975</t>
  </si>
  <si>
    <t>38976</t>
  </si>
  <si>
    <t>38977</t>
  </si>
  <si>
    <t>38978</t>
  </si>
  <si>
    <t>38980</t>
  </si>
  <si>
    <t>38981</t>
  </si>
  <si>
    <t>38982</t>
  </si>
  <si>
    <t>38983</t>
  </si>
  <si>
    <t>38986</t>
  </si>
  <si>
    <t>38987</t>
  </si>
  <si>
    <t>38991</t>
  </si>
  <si>
    <t>38997</t>
  </si>
  <si>
    <t>38998</t>
  </si>
  <si>
    <t>40947</t>
  </si>
  <si>
    <t>41187</t>
  </si>
  <si>
    <t>41188</t>
  </si>
  <si>
    <t>41189</t>
  </si>
  <si>
    <t>41190</t>
  </si>
  <si>
    <t>41191</t>
  </si>
  <si>
    <t>41192</t>
  </si>
  <si>
    <t>41195</t>
  </si>
  <si>
    <t>41196</t>
  </si>
  <si>
    <t>41471</t>
  </si>
  <si>
    <t>45870</t>
  </si>
  <si>
    <t>45873</t>
  </si>
  <si>
    <t>41758</t>
  </si>
  <si>
    <t>32438</t>
  </si>
  <si>
    <t>35681</t>
  </si>
  <si>
    <t>37766</t>
  </si>
  <si>
    <t>37772</t>
  </si>
  <si>
    <t>38498</t>
  </si>
  <si>
    <t>38526</t>
  </si>
  <si>
    <t>38533</t>
  </si>
  <si>
    <t>40683</t>
  </si>
  <si>
    <t>40851</t>
  </si>
  <si>
    <t>42041</t>
  </si>
  <si>
    <t>42499</t>
  </si>
  <si>
    <t>42507</t>
  </si>
  <si>
    <t>42519</t>
  </si>
  <si>
    <t>42521</t>
  </si>
  <si>
    <t>42741</t>
  </si>
  <si>
    <t>42751</t>
  </si>
  <si>
    <t>42785</t>
  </si>
  <si>
    <t>42786</t>
  </si>
  <si>
    <t>42865</t>
  </si>
  <si>
    <t>42806</t>
  </si>
  <si>
    <t>43951</t>
  </si>
  <si>
    <t>44327</t>
  </si>
  <si>
    <t>43662</t>
  </si>
  <si>
    <t>43663</t>
  </si>
  <si>
    <t>43118</t>
  </si>
  <si>
    <t>43122</t>
  </si>
  <si>
    <t>46062</t>
  </si>
  <si>
    <t>46217</t>
  </si>
  <si>
    <t>47511</t>
  </si>
  <si>
    <t>46718</t>
  </si>
  <si>
    <t>30058</t>
  </si>
  <si>
    <t>30468</t>
  </si>
  <si>
    <t>33650</t>
  </si>
  <si>
    <t>34522</t>
  </si>
  <si>
    <t>35651</t>
  </si>
  <si>
    <t>42462</t>
  </si>
  <si>
    <t>42739</t>
  </si>
  <si>
    <t>42837</t>
  </si>
  <si>
    <t>42864</t>
  </si>
  <si>
    <t>44307</t>
  </si>
  <si>
    <t>44308</t>
  </si>
  <si>
    <t>44328</t>
  </si>
  <si>
    <t>40797</t>
  </si>
  <si>
    <t>46044</t>
  </si>
  <si>
    <t>34920</t>
  </si>
  <si>
    <t>38599</t>
  </si>
  <si>
    <t>38600</t>
  </si>
  <si>
    <t>38602</t>
  </si>
  <si>
    <t>41354</t>
  </si>
  <si>
    <t>41359</t>
  </si>
  <si>
    <t>41362</t>
  </si>
  <si>
    <t>41568</t>
  </si>
  <si>
    <t>43154</t>
  </si>
  <si>
    <t>44955</t>
  </si>
  <si>
    <t>44956</t>
  </si>
  <si>
    <t>44958</t>
  </si>
  <si>
    <t>44961</t>
  </si>
  <si>
    <t>44964</t>
  </si>
  <si>
    <t>44967</t>
  </si>
  <si>
    <t>44968</t>
  </si>
  <si>
    <t>44990</t>
  </si>
  <si>
    <t>44376</t>
  </si>
  <si>
    <t>46357</t>
  </si>
  <si>
    <t>46359</t>
  </si>
  <si>
    <t>46401</t>
  </si>
  <si>
    <t>46492</t>
  </si>
  <si>
    <t>47094</t>
  </si>
  <si>
    <t>47524</t>
  </si>
  <si>
    <t>12760</t>
  </si>
  <si>
    <t>30895</t>
  </si>
  <si>
    <t>34021</t>
  </si>
  <si>
    <t>34024</t>
  </si>
  <si>
    <t>34498</t>
  </si>
  <si>
    <t>34499</t>
  </si>
  <si>
    <t>38478</t>
  </si>
  <si>
    <t>41488</t>
  </si>
  <si>
    <t>41489</t>
  </si>
  <si>
    <t>41490</t>
  </si>
  <si>
    <t>41493</t>
  </si>
  <si>
    <t>41496</t>
  </si>
  <si>
    <t>41260</t>
  </si>
  <si>
    <t>41277</t>
  </si>
  <si>
    <t>41283</t>
  </si>
  <si>
    <t>41817</t>
  </si>
  <si>
    <t>41819</t>
  </si>
  <si>
    <t>41827</t>
  </si>
  <si>
    <t>43929</t>
  </si>
  <si>
    <t>39476</t>
  </si>
  <si>
    <t>43111</t>
  </si>
  <si>
    <t>44588</t>
  </si>
  <si>
    <t>44589</t>
  </si>
  <si>
    <t>44355</t>
  </si>
  <si>
    <t>44370</t>
  </si>
  <si>
    <t>44371</t>
  </si>
  <si>
    <t>42991</t>
  </si>
  <si>
    <t>43053</t>
  </si>
  <si>
    <t>45106</t>
  </si>
  <si>
    <t>45107</t>
  </si>
  <si>
    <t>45353</t>
  </si>
  <si>
    <t>46726</t>
  </si>
  <si>
    <t>45821</t>
  </si>
  <si>
    <t>45878</t>
  </si>
  <si>
    <t>47545</t>
  </si>
  <si>
    <t>46015</t>
  </si>
  <si>
    <t>47009</t>
  </si>
  <si>
    <t>47072</t>
  </si>
  <si>
    <t>35889</t>
  </si>
  <si>
    <t>36151</t>
  </si>
  <si>
    <t>36152</t>
  </si>
  <si>
    <t>31698</t>
  </si>
  <si>
    <t>33034</t>
  </si>
  <si>
    <t>33142</t>
  </si>
  <si>
    <t>33144</t>
  </si>
  <si>
    <t>34076</t>
  </si>
  <si>
    <t>41303</t>
  </si>
  <si>
    <t>43926</t>
  </si>
  <si>
    <t>43928</t>
  </si>
  <si>
    <t>46381</t>
  </si>
  <si>
    <t>46633</t>
  </si>
  <si>
    <t>44377</t>
  </si>
  <si>
    <t>44991</t>
  </si>
  <si>
    <t>34730</t>
  </si>
  <si>
    <t>35073</t>
  </si>
  <si>
    <t>37607</t>
  </si>
  <si>
    <t>41759</t>
  </si>
  <si>
    <t>42287</t>
  </si>
  <si>
    <t>42289</t>
  </si>
  <si>
    <t>42290</t>
  </si>
  <si>
    <t>44774</t>
  </si>
  <si>
    <t>38722</t>
  </si>
  <si>
    <t>45387</t>
  </si>
  <si>
    <t>44280</t>
  </si>
  <si>
    <t>45816</t>
  </si>
  <si>
    <t>46219</t>
  </si>
  <si>
    <t>46372</t>
  </si>
  <si>
    <t>46634</t>
  </si>
  <si>
    <t>46635</t>
  </si>
  <si>
    <t>35835</t>
  </si>
  <si>
    <t>38336</t>
  </si>
  <si>
    <t>41247</t>
  </si>
  <si>
    <t>41249</t>
  </si>
  <si>
    <t>46373</t>
  </si>
  <si>
    <t>46374</t>
  </si>
  <si>
    <t>46375</t>
  </si>
  <si>
    <t>46636</t>
  </si>
  <si>
    <t>47429</t>
  </si>
  <si>
    <t>47564</t>
  </si>
  <si>
    <t>26825</t>
  </si>
  <si>
    <t>32138</t>
  </si>
  <si>
    <t>32627</t>
  </si>
  <si>
    <t>32628</t>
  </si>
  <si>
    <t>32629</t>
  </si>
  <si>
    <t>32630</t>
  </si>
  <si>
    <t>33984</t>
  </si>
  <si>
    <t>35767</t>
  </si>
  <si>
    <t>38335</t>
  </si>
  <si>
    <t>38382</t>
  </si>
  <si>
    <t>38385</t>
  </si>
  <si>
    <t>38390</t>
  </si>
  <si>
    <t>38391</t>
  </si>
  <si>
    <t>38679</t>
  </si>
  <si>
    <t>40794</t>
  </si>
  <si>
    <t>40880</t>
  </si>
  <si>
    <t>41029</t>
  </si>
  <si>
    <t>41033</t>
  </si>
  <si>
    <t>41034</t>
  </si>
  <si>
    <t>41035</t>
  </si>
  <si>
    <t>41037</t>
  </si>
  <si>
    <t>41039</t>
  </si>
  <si>
    <t>41040</t>
  </si>
  <si>
    <t>41043</t>
  </si>
  <si>
    <t>41044</t>
  </si>
  <si>
    <t>41047</t>
  </si>
  <si>
    <t>41048</t>
  </si>
  <si>
    <t>41057</t>
  </si>
  <si>
    <t>41058</t>
  </si>
  <si>
    <t>41059</t>
  </si>
  <si>
    <t>41102</t>
  </si>
  <si>
    <t>41363</t>
  </si>
  <si>
    <t>41383</t>
  </si>
  <si>
    <t>41387</t>
  </si>
  <si>
    <t>41560</t>
  </si>
  <si>
    <t>41671</t>
  </si>
  <si>
    <t>41672</t>
  </si>
  <si>
    <t>41673</t>
  </si>
  <si>
    <t>41674</t>
  </si>
  <si>
    <t>41675</t>
  </si>
  <si>
    <t>41696</t>
  </si>
  <si>
    <t>42256</t>
  </si>
  <si>
    <t>42425</t>
  </si>
  <si>
    <t>42444</t>
  </si>
  <si>
    <t>42548</t>
  </si>
  <si>
    <t>42549</t>
  </si>
  <si>
    <t>42550</t>
  </si>
  <si>
    <t>42610</t>
  </si>
  <si>
    <t>42613</t>
  </si>
  <si>
    <t>42614</t>
  </si>
  <si>
    <t>42616</t>
  </si>
  <si>
    <t>42639</t>
  </si>
  <si>
    <t>43691</t>
  </si>
  <si>
    <t>43906</t>
  </si>
  <si>
    <t>43908</t>
  </si>
  <si>
    <t>44159</t>
  </si>
  <si>
    <t>44253</t>
  </si>
  <si>
    <t>44257</t>
  </si>
  <si>
    <t>44259</t>
  </si>
  <si>
    <t>44260</t>
  </si>
  <si>
    <t>44399</t>
  </si>
  <si>
    <t>44422</t>
  </si>
  <si>
    <t>45068</t>
  </si>
  <si>
    <t>45082</t>
  </si>
  <si>
    <t>45133</t>
  </si>
  <si>
    <t>46070</t>
  </si>
  <si>
    <t>46071</t>
  </si>
  <si>
    <t>46999</t>
  </si>
  <si>
    <t>47001</t>
  </si>
  <si>
    <t>47002</t>
  </si>
  <si>
    <t>47003</t>
  </si>
  <si>
    <t>47102</t>
  </si>
  <si>
    <t>47103</t>
  </si>
  <si>
    <t>47104</t>
  </si>
  <si>
    <t>47519</t>
  </si>
  <si>
    <t>47523</t>
  </si>
  <si>
    <t>47529</t>
  </si>
  <si>
    <t>33198</t>
  </si>
  <si>
    <t>33199</t>
  </si>
  <si>
    <t>33200</t>
  </si>
  <si>
    <t>33201</t>
  </si>
  <si>
    <t>44378</t>
  </si>
  <si>
    <t>46632</t>
  </si>
  <si>
    <t>46149</t>
  </si>
  <si>
    <t>35772</t>
  </si>
  <si>
    <t>35773</t>
  </si>
  <si>
    <t>35774</t>
  </si>
  <si>
    <t>40775</t>
  </si>
  <si>
    <t>40844</t>
  </si>
  <si>
    <t>40845</t>
  </si>
  <si>
    <t>42453</t>
  </si>
  <si>
    <t>44954</t>
  </si>
  <si>
    <t>45849</t>
  </si>
  <si>
    <t>38874</t>
  </si>
  <si>
    <t>42445</t>
  </si>
  <si>
    <t>44953</t>
  </si>
  <si>
    <t>29446</t>
  </si>
  <si>
    <t>31774</t>
  </si>
  <si>
    <t>44312</t>
  </si>
  <si>
    <t>44480</t>
  </si>
  <si>
    <t>45590</t>
  </si>
  <si>
    <t>45595</t>
  </si>
  <si>
    <t>45608</t>
  </si>
  <si>
    <t>47951</t>
  </si>
  <si>
    <t>47954</t>
  </si>
  <si>
    <t>47957</t>
  </si>
  <si>
    <t>47959</t>
  </si>
  <si>
    <t>147151</t>
  </si>
  <si>
    <t>151479</t>
  </si>
  <si>
    <t>151480</t>
  </si>
  <si>
    <t>151488</t>
  </si>
  <si>
    <t>151490</t>
  </si>
  <si>
    <t>151491</t>
  </si>
  <si>
    <t>151492</t>
  </si>
  <si>
    <t>151494</t>
  </si>
  <si>
    <t>151495</t>
  </si>
  <si>
    <t>547129</t>
  </si>
  <si>
    <t>547142</t>
  </si>
  <si>
    <t>547143</t>
  </si>
  <si>
    <t>547144</t>
  </si>
  <si>
    <t>547145</t>
  </si>
  <si>
    <t>547146</t>
  </si>
  <si>
    <t>547147</t>
  </si>
  <si>
    <t>547148</t>
  </si>
  <si>
    <t>42483</t>
  </si>
  <si>
    <t>42487</t>
  </si>
  <si>
    <t>45736</t>
  </si>
  <si>
    <t>46660</t>
  </si>
  <si>
    <t>47419</t>
  </si>
  <si>
    <t>45913</t>
  </si>
  <si>
    <t>46558</t>
  </si>
  <si>
    <t>46761</t>
  </si>
  <si>
    <t>47092</t>
  </si>
  <si>
    <t>47422</t>
  </si>
  <si>
    <t>47454</t>
  </si>
  <si>
    <t>47556</t>
  </si>
  <si>
    <t>47625</t>
  </si>
  <si>
    <t>47627</t>
  </si>
  <si>
    <t>31292</t>
  </si>
  <si>
    <t>47793</t>
  </si>
  <si>
    <t>30044</t>
  </si>
  <si>
    <t>30129</t>
  </si>
  <si>
    <t>30321</t>
  </si>
  <si>
    <t>30400</t>
  </si>
  <si>
    <t>30557</t>
  </si>
  <si>
    <t>30885</t>
  </si>
  <si>
    <t>31002</t>
  </si>
  <si>
    <t>31003</t>
  </si>
  <si>
    <t>31494</t>
  </si>
  <si>
    <t>31817</t>
  </si>
  <si>
    <t>31824</t>
  </si>
  <si>
    <t>32234</t>
  </si>
  <si>
    <t>32441</t>
  </si>
  <si>
    <t>32442</t>
  </si>
  <si>
    <t>33045</t>
  </si>
  <si>
    <t>33649</t>
  </si>
  <si>
    <t>33653</t>
  </si>
  <si>
    <t>34145</t>
  </si>
  <si>
    <t>34506</t>
  </si>
  <si>
    <t>34612</t>
  </si>
  <si>
    <t>34613</t>
  </si>
  <si>
    <t>35084</t>
  </si>
  <si>
    <t>35198</t>
  </si>
  <si>
    <t>35200</t>
  </si>
  <si>
    <t>35231</t>
  </si>
  <si>
    <t>35232</t>
  </si>
  <si>
    <t>35332</t>
  </si>
  <si>
    <t>35333</t>
  </si>
  <si>
    <t>35534</t>
  </si>
  <si>
    <t>35578</t>
  </si>
  <si>
    <t>35650</t>
  </si>
  <si>
    <t>35652</t>
  </si>
  <si>
    <t>35654</t>
  </si>
  <si>
    <t>35656</t>
  </si>
  <si>
    <t>35658</t>
  </si>
  <si>
    <t>35662</t>
  </si>
  <si>
    <t>35664</t>
  </si>
  <si>
    <t>35666</t>
  </si>
  <si>
    <t>35668</t>
  </si>
  <si>
    <t>35670</t>
  </si>
  <si>
    <t>35674</t>
  </si>
  <si>
    <t>35676</t>
  </si>
  <si>
    <t>38525</t>
  </si>
  <si>
    <t>38535</t>
  </si>
  <si>
    <t>38546</t>
  </si>
  <si>
    <t>38548</t>
  </si>
  <si>
    <t>38569</t>
  </si>
  <si>
    <t>38579</t>
  </si>
  <si>
    <t>38598</t>
  </si>
  <si>
    <t>40722</t>
  </si>
  <si>
    <t>41163</t>
  </si>
  <si>
    <t>41183</t>
  </si>
  <si>
    <t>41185</t>
  </si>
  <si>
    <t>41324</t>
  </si>
  <si>
    <t>41377</t>
  </si>
  <si>
    <t>41378</t>
  </si>
  <si>
    <t>41379</t>
  </si>
  <si>
    <t>41771</t>
  </si>
  <si>
    <t>42379</t>
  </si>
  <si>
    <t>42400</t>
  </si>
  <si>
    <t>42438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</si>
  <si>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</si>
  <si>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</si>
  <si>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</si>
  <si>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</si>
  <si>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</si>
  <si>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</si>
  <si>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</si>
  <si>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</si>
  <si>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</si>
  <si>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</si>
  <si>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42934</t>
  </si>
  <si>
    <t>42994</t>
  </si>
  <si>
    <t>43268</t>
  </si>
  <si>
    <t>43888</t>
  </si>
  <si>
    <t>43889</t>
  </si>
  <si>
    <t>43890</t>
  </si>
  <si>
    <t>43891</t>
  </si>
  <si>
    <t>43892</t>
  </si>
  <si>
    <t>43893</t>
  </si>
  <si>
    <t>43894</t>
  </si>
  <si>
    <t>43896</t>
  </si>
  <si>
    <t>43897</t>
  </si>
  <si>
    <t>43898</t>
  </si>
  <si>
    <t>43899</t>
  </si>
  <si>
    <t>43901</t>
  </si>
  <si>
    <t>43902</t>
  </si>
  <si>
    <t>43904</t>
  </si>
  <si>
    <t>43905</t>
  </si>
  <si>
    <t>43936</t>
  </si>
  <si>
    <t>43937</t>
  </si>
  <si>
    <t>43938</t>
  </si>
  <si>
    <t>43968</t>
  </si>
  <si>
    <t>44289</t>
  </si>
  <si>
    <t>44306</t>
  </si>
  <si>
    <t>44314</t>
  </si>
  <si>
    <t>44316</t>
  </si>
  <si>
    <t>44318</t>
  </si>
  <si>
    <t>44323</t>
  </si>
  <si>
    <t>44647</t>
  </si>
  <si>
    <t>44648</t>
  </si>
  <si>
    <t>44649</t>
  </si>
  <si>
    <t>44650</t>
  </si>
  <si>
    <t>44847</t>
  </si>
  <si>
    <t>44848</t>
  </si>
  <si>
    <t>44849</t>
  </si>
  <si>
    <t>44850</t>
  </si>
  <si>
    <t>44851</t>
  </si>
  <si>
    <t>44852</t>
  </si>
  <si>
    <t>44853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</si>
  <si>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</si>
  <si>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</si>
  <si>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</si>
  <si>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</si>
  <si>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</si>
  <si>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</si>
  <si>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</si>
  <si>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</si>
  <si>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</si>
  <si>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</si>
  <si>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</si>
  <si>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</si>
  <si>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44869</t>
  </si>
  <si>
    <t>44871</t>
  </si>
  <si>
    <t>44872</t>
  </si>
  <si>
    <t>45267</t>
  </si>
  <si>
    <t>45268</t>
  </si>
  <si>
    <t>45269</t>
  </si>
  <si>
    <t>45366</t>
  </si>
  <si>
    <t>45380</t>
  </si>
  <si>
    <t>45395</t>
  </si>
  <si>
    <t>45397</t>
  </si>
  <si>
    <t>45635</t>
  </si>
  <si>
    <t>45636</t>
  </si>
  <si>
    <t>45637</t>
  </si>
  <si>
    <t>45638</t>
  </si>
  <si>
    <t>45639</t>
  </si>
  <si>
    <t>45640</t>
  </si>
  <si>
    <t>45641</t>
  </si>
  <si>
    <t>45695</t>
  </si>
  <si>
    <t>45696</t>
  </si>
  <si>
    <t>45699</t>
  </si>
  <si>
    <t>45880</t>
  </si>
  <si>
    <t>45881</t>
  </si>
  <si>
    <t>45882</t>
  </si>
  <si>
    <t>45891</t>
  </si>
  <si>
    <t>46054</t>
  </si>
  <si>
    <t>46058</t>
  </si>
  <si>
    <t>46059</t>
  </si>
  <si>
    <t>46061</t>
  </si>
  <si>
    <t>46106</t>
  </si>
  <si>
    <t>46107</t>
  </si>
  <si>
    <t>46335</t>
  </si>
  <si>
    <t>46338</t>
  </si>
  <si>
    <t>46340</t>
  </si>
  <si>
    <t>46392</t>
  </si>
  <si>
    <t>46393</t>
  </si>
  <si>
    <t>46573</t>
  </si>
  <si>
    <t>46574</t>
  </si>
  <si>
    <t>46576</t>
  </si>
  <si>
    <t>46606</t>
  </si>
  <si>
    <t>46665</t>
  </si>
  <si>
    <t>46735</t>
  </si>
  <si>
    <t>47221</t>
  </si>
  <si>
    <t>47222</t>
  </si>
  <si>
    <t>47223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</si>
  <si>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</si>
  <si>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</si>
  <si>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</si>
  <si>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</si>
  <si>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</si>
  <si>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</si>
  <si>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</si>
  <si>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</si>
  <si>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</si>
  <si>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</si>
  <si>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</si>
  <si>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</si>
  <si>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</si>
  <si>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</si>
  <si>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</si>
  <si>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38884</t>
  </si>
  <si>
    <t>38885</t>
  </si>
  <si>
    <t>38948</t>
  </si>
  <si>
    <t>39800</t>
  </si>
  <si>
    <t>39801</t>
  </si>
  <si>
    <t>39802</t>
  </si>
  <si>
    <t>39803</t>
  </si>
  <si>
    <t>39805</t>
  </si>
  <si>
    <t>39806</t>
  </si>
  <si>
    <t>39807</t>
  </si>
  <si>
    <t>41799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</si>
  <si>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</si>
  <si>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</si>
  <si>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</si>
  <si>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</si>
  <si>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</si>
  <si>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</si>
  <si>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</si>
  <si>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</si>
  <si>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</si>
  <si>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</si>
  <si>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</si>
  <si>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</si>
  <si>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</si>
  <si>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</si>
  <si>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</si>
  <si>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</si>
  <si>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</si>
  <si>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</si>
  <si>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</si>
  <si>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</si>
  <si>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</si>
  <si>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</si>
  <si>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</si>
  <si>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</si>
  <si>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</si>
  <si>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</si>
  <si>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</si>
  <si>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</si>
  <si>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46394</t>
  </si>
  <si>
    <t>46395</t>
  </si>
  <si>
    <t>46396</t>
  </si>
  <si>
    <t>46397</t>
  </si>
  <si>
    <t>46398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</si>
  <si>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</si>
  <si>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</si>
  <si>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</si>
  <si>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</si>
  <si>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</si>
  <si>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</si>
  <si>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</si>
  <si>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</si>
  <si>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46611</t>
  </si>
  <si>
    <t>46612</t>
  </si>
  <si>
    <t>37449</t>
  </si>
  <si>
    <t>37457</t>
  </si>
  <si>
    <t>44001</t>
  </si>
  <si>
    <t>47220</t>
  </si>
  <si>
    <t>35425</t>
  </si>
  <si>
    <t>47562</t>
  </si>
  <si>
    <t>35742</t>
  </si>
  <si>
    <t>36547</t>
  </si>
  <si>
    <t>36548</t>
  </si>
  <si>
    <t>36550</t>
  </si>
  <si>
    <t>36551</t>
  </si>
  <si>
    <t>36553</t>
  </si>
  <si>
    <t>37738</t>
  </si>
  <si>
    <t>37739</t>
  </si>
  <si>
    <t>37740</t>
  </si>
  <si>
    <t>38814</t>
  </si>
  <si>
    <t>38815</t>
  </si>
  <si>
    <t>40672</t>
  </si>
  <si>
    <t>40697</t>
  </si>
  <si>
    <t>40898</t>
  </si>
  <si>
    <t>41367</t>
  </si>
  <si>
    <t>41368</t>
  </si>
  <si>
    <t>41369</t>
  </si>
  <si>
    <t>41370</t>
  </si>
  <si>
    <t>41371</t>
  </si>
  <si>
    <t>42343</t>
  </si>
  <si>
    <t>45359</t>
  </si>
  <si>
    <t>45360</t>
  </si>
  <si>
    <t>45361</t>
  </si>
  <si>
    <t>45362</t>
  </si>
  <si>
    <t>45364</t>
  </si>
  <si>
    <t>42119</t>
  </si>
  <si>
    <t>42769</t>
  </si>
  <si>
    <t>42780</t>
  </si>
  <si>
    <t>43123</t>
  </si>
  <si>
    <t>43346</t>
  </si>
  <si>
    <t>43347</t>
  </si>
  <si>
    <t>43348</t>
  </si>
  <si>
    <t>43349</t>
  </si>
  <si>
    <t>43350</t>
  </si>
  <si>
    <t>43509</t>
  </si>
  <si>
    <t>46351</t>
  </si>
  <si>
    <t>46352</t>
  </si>
  <si>
    <t>46353</t>
  </si>
  <si>
    <t>47481</t>
  </si>
  <si>
    <t>47482</t>
  </si>
  <si>
    <t>47507</t>
  </si>
  <si>
    <t>35639</t>
  </si>
  <si>
    <t>35640</t>
  </si>
  <si>
    <t>35641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</si>
  <si>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</si>
  <si>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</si>
  <si>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</si>
  <si>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</si>
  <si>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</si>
  <si>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</si>
  <si>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</si>
  <si>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</si>
  <si>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</si>
  <si>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36139</t>
  </si>
  <si>
    <t>38800</t>
  </si>
  <si>
    <t>39913</t>
  </si>
  <si>
    <t>39914</t>
  </si>
  <si>
    <t>42101</t>
  </si>
  <si>
    <t>42102</t>
  </si>
  <si>
    <t>42103</t>
  </si>
  <si>
    <t>42104</t>
  </si>
  <si>
    <t>42105</t>
  </si>
  <si>
    <t>42106</t>
  </si>
  <si>
    <t>42107</t>
  </si>
  <si>
    <t>42112</t>
  </si>
  <si>
    <t>42113</t>
  </si>
  <si>
    <t>42215</t>
  </si>
  <si>
    <t>42216</t>
  </si>
  <si>
    <t>42217</t>
  </si>
  <si>
    <t>43368</t>
  </si>
  <si>
    <t>43369</t>
  </si>
  <si>
    <t>43370</t>
  </si>
  <si>
    <t>43373</t>
  </si>
  <si>
    <t>43416</t>
  </si>
  <si>
    <t>43456</t>
  </si>
  <si>
    <t>43457</t>
  </si>
  <si>
    <t>43458</t>
  </si>
  <si>
    <t>43460</t>
  </si>
  <si>
    <t>43461</t>
  </si>
  <si>
    <t>43462</t>
  </si>
  <si>
    <t>43463</t>
  </si>
  <si>
    <t>43510</t>
  </si>
  <si>
    <t>43511</t>
  </si>
  <si>
    <t>43512</t>
  </si>
  <si>
    <t>44547</t>
  </si>
  <si>
    <t>44915</t>
  </si>
  <si>
    <t>44917</t>
  </si>
  <si>
    <t>44918</t>
  </si>
  <si>
    <t>45551</t>
  </si>
  <si>
    <t>45552</t>
  </si>
  <si>
    <t>46329</t>
  </si>
  <si>
    <t>46330</t>
  </si>
  <si>
    <t>46331</t>
  </si>
  <si>
    <t>46332</t>
  </si>
  <si>
    <t>46333</t>
  </si>
  <si>
    <t>46334</t>
  </si>
  <si>
    <t>41780</t>
  </si>
  <si>
    <t>41781</t>
  </si>
  <si>
    <t>41782</t>
  </si>
  <si>
    <t>41871</t>
  </si>
  <si>
    <t>41872</t>
  </si>
  <si>
    <t>41873</t>
  </si>
  <si>
    <t>41874</t>
  </si>
  <si>
    <t>41877</t>
  </si>
  <si>
    <t>41880</t>
  </si>
  <si>
    <t>41881</t>
  </si>
  <si>
    <t>41882</t>
  </si>
  <si>
    <t>41883</t>
  </si>
  <si>
    <t>41888</t>
  </si>
  <si>
    <t>41890</t>
  </si>
  <si>
    <t>42568</t>
  </si>
  <si>
    <t>43185</t>
  </si>
  <si>
    <t>46666</t>
  </si>
  <si>
    <t>46667</t>
  </si>
  <si>
    <t>46668</t>
  </si>
  <si>
    <t>46669</t>
  </si>
  <si>
    <t>46701</t>
  </si>
  <si>
    <t>46702</t>
  </si>
  <si>
    <t>46703</t>
  </si>
  <si>
    <t>46704</t>
  </si>
  <si>
    <t>47483</t>
  </si>
  <si>
    <t>47484</t>
  </si>
  <si>
    <t>47485</t>
  </si>
  <si>
    <t>33654</t>
  </si>
  <si>
    <t>35665</t>
  </si>
  <si>
    <t>35679</t>
  </si>
  <si>
    <t>38497</t>
  </si>
  <si>
    <t>38550</t>
  </si>
  <si>
    <t>38552</t>
  </si>
  <si>
    <t>38571</t>
  </si>
  <si>
    <t>42490</t>
  </si>
  <si>
    <t>42495</t>
  </si>
  <si>
    <t>42502</t>
  </si>
  <si>
    <t>42726</t>
  </si>
  <si>
    <t>42828</t>
  </si>
  <si>
    <t>42968</t>
  </si>
  <si>
    <t>44288</t>
  </si>
  <si>
    <t>44319</t>
  </si>
  <si>
    <t>45357</t>
  </si>
  <si>
    <t>33147</t>
  </si>
  <si>
    <t>41311</t>
  </si>
  <si>
    <t>41542</t>
  </si>
  <si>
    <t>42204</t>
  </si>
  <si>
    <t>35880</t>
  </si>
  <si>
    <t>46382</t>
  </si>
  <si>
    <t>42524</t>
  </si>
  <si>
    <t>42542</t>
  </si>
  <si>
    <t>44992</t>
  </si>
  <si>
    <t>46358</t>
  </si>
  <si>
    <t>46361</t>
  </si>
  <si>
    <t>46362</t>
  </si>
  <si>
    <t>46402</t>
  </si>
  <si>
    <t>46403</t>
  </si>
  <si>
    <t>46404</t>
  </si>
  <si>
    <t>46656</t>
  </si>
  <si>
    <t>47433</t>
  </si>
  <si>
    <t>38601</t>
  </si>
  <si>
    <t>41308</t>
  </si>
  <si>
    <t>44950</t>
  </si>
  <si>
    <t>44951</t>
  </si>
  <si>
    <t>44957</t>
  </si>
  <si>
    <t>44960</t>
  </si>
  <si>
    <t>44962</t>
  </si>
  <si>
    <t>44965</t>
  </si>
  <si>
    <t>44966</t>
  </si>
  <si>
    <t>45438</t>
  </si>
  <si>
    <t>46631</t>
  </si>
  <si>
    <t>47213</t>
  </si>
  <si>
    <t>42288</t>
  </si>
  <si>
    <t>47423</t>
  </si>
  <si>
    <t>47541</t>
  </si>
  <si>
    <t>41760</t>
  </si>
  <si>
    <t>45800</t>
  </si>
  <si>
    <t>47329</t>
  </si>
  <si>
    <t>45799</t>
  </si>
  <si>
    <t>47328</t>
  </si>
  <si>
    <t>31603</t>
  </si>
  <si>
    <t>31602</t>
  </si>
  <si>
    <t>31606</t>
  </si>
  <si>
    <t>47424</t>
  </si>
  <si>
    <t>47426</t>
  </si>
  <si>
    <t>47427</t>
  </si>
  <si>
    <t>47428</t>
  </si>
  <si>
    <t>33027</t>
  </si>
  <si>
    <t>33028</t>
  </si>
  <si>
    <t>33033</t>
  </si>
  <si>
    <t>46376</t>
  </si>
  <si>
    <t>46377</t>
  </si>
  <si>
    <t>41244</t>
  </si>
  <si>
    <t>31601</t>
  </si>
  <si>
    <t>31604</t>
  </si>
  <si>
    <t>34500</t>
  </si>
  <si>
    <t>34504</t>
  </si>
  <si>
    <t>47431</t>
  </si>
  <si>
    <t>47532</t>
  </si>
  <si>
    <t>47544</t>
  </si>
  <si>
    <t>47547</t>
  </si>
  <si>
    <t>35960</t>
  </si>
  <si>
    <t>43054</t>
  </si>
  <si>
    <t>39377</t>
  </si>
  <si>
    <t>39389</t>
  </si>
  <si>
    <t>39399</t>
  </si>
  <si>
    <t>39426</t>
  </si>
  <si>
    <t>41264</t>
  </si>
  <si>
    <t>41265</t>
  </si>
  <si>
    <t>41519</t>
  </si>
  <si>
    <t>44372</t>
  </si>
  <si>
    <t>44569</t>
  </si>
  <si>
    <t>44575</t>
  </si>
  <si>
    <t>45853</t>
  </si>
  <si>
    <t>46366</t>
  </si>
  <si>
    <t>46470</t>
  </si>
  <si>
    <t>46498</t>
  </si>
  <si>
    <t>47412</t>
  </si>
  <si>
    <t>41262</t>
  </si>
  <si>
    <t>41334</t>
  </si>
  <si>
    <t>41505</t>
  </si>
  <si>
    <t>47418</t>
  </si>
  <si>
    <t>47517</t>
  </si>
  <si>
    <t>47518</t>
  </si>
  <si>
    <t>47520</t>
  </si>
  <si>
    <t>47522</t>
  </si>
  <si>
    <t>29038</t>
  </si>
  <si>
    <t>44008</t>
  </si>
  <si>
    <t>35877</t>
  </si>
  <si>
    <t>43909</t>
  </si>
  <si>
    <t>44574</t>
  </si>
  <si>
    <t>34841</t>
  </si>
  <si>
    <t>34843</t>
  </si>
  <si>
    <t>34845</t>
  </si>
  <si>
    <t>34855</t>
  </si>
  <si>
    <t>35576</t>
  </si>
  <si>
    <t>41032</t>
  </si>
  <si>
    <t>41364</t>
  </si>
  <si>
    <t>41374</t>
  </si>
  <si>
    <t>41676</t>
  </si>
  <si>
    <t>42263</t>
  </si>
  <si>
    <t>42551</t>
  </si>
  <si>
    <t>42553</t>
  </si>
  <si>
    <t>42566</t>
  </si>
  <si>
    <t>42567</t>
  </si>
  <si>
    <t>42580</t>
  </si>
  <si>
    <t>42587</t>
  </si>
  <si>
    <t>42588</t>
  </si>
  <si>
    <t>42589</t>
  </si>
  <si>
    <t>42590</t>
  </si>
  <si>
    <t>42609</t>
  </si>
  <si>
    <t>42671</t>
  </si>
  <si>
    <t>42881</t>
  </si>
  <si>
    <t>44387</t>
  </si>
  <si>
    <t>45855</t>
  </si>
  <si>
    <t>46733</t>
  </si>
  <si>
    <t>46734</t>
  </si>
  <si>
    <t>38873</t>
  </si>
  <si>
    <t>42450</t>
  </si>
  <si>
    <t>40877</t>
  </si>
  <si>
    <t>46364</t>
  </si>
  <si>
    <t>46365</t>
  </si>
  <si>
    <t>47210</t>
  </si>
  <si>
    <t>27730</t>
  </si>
  <si>
    <t>30888</t>
  </si>
  <si>
    <t>42474</t>
  </si>
  <si>
    <t>42478</t>
  </si>
  <si>
    <t>42479</t>
  </si>
  <si>
    <t>42480</t>
  </si>
  <si>
    <t>42482</t>
  </si>
  <si>
    <t>42484</t>
  </si>
  <si>
    <t>42485</t>
  </si>
  <si>
    <t>42488</t>
  </si>
  <si>
    <t>37525</t>
  </si>
  <si>
    <t>45847</t>
  </si>
  <si>
    <t>46028</t>
  </si>
  <si>
    <t>46412</t>
  </si>
  <si>
    <t>46413</t>
  </si>
  <si>
    <t>47211</t>
  </si>
  <si>
    <t>47530</t>
  </si>
  <si>
    <t>47559</t>
  </si>
  <si>
    <t>47587</t>
  </si>
  <si>
    <t>47608</t>
  </si>
  <si>
    <t>47609</t>
  </si>
  <si>
    <t>47657</t>
  </si>
  <si>
    <t>47659</t>
  </si>
  <si>
    <t>47660</t>
  </si>
  <si>
    <t>47661</t>
  </si>
  <si>
    <t>45694</t>
  </si>
  <si>
    <t>46211</t>
  </si>
  <si>
    <t>545784</t>
  </si>
  <si>
    <t>548052</t>
  </si>
  <si>
    <t>548053</t>
  </si>
  <si>
    <t>548054</t>
  </si>
  <si>
    <t>548268</t>
  </si>
  <si>
    <t>46664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</si>
</sst>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b/>
      <sz val="1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ahoma"/>
      <family val="2"/>
      <charset val="204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b/>
      <sz val="11"/>
      <color indexed="8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52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49" fontId="3" fillId="0" borderId="1" xfId="2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9" fontId="3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0" fontId="7" fillId="0" borderId="0" xfId="0" applyFont="1"/>
    <xf numFmtId="10" fontId="3" fillId="0" borderId="1" xfId="3" applyNumberFormat="1" applyFont="1" applyBorder="1" applyAlignment="1">
      <alignment horizontal="center"/>
    </xf>
    <xf numFmtId="10" fontId="3" fillId="0" borderId="0" xfId="3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3" fillId="0" borderId="1" xfId="3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4" xfId="2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2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/>
    </xf>
    <xf numFmtId="0" fontId="2" fillId="0" borderId="4" xfId="1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3" fillId="4" borderId="7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9" fontId="3" fillId="4" borderId="8" xfId="2" applyNumberFormat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1" fontId="3" fillId="4" borderId="8" xfId="2" applyNumberFormat="1" applyFont="1" applyFill="1" applyBorder="1" applyAlignment="1">
      <alignment horizontal="center" vertical="center"/>
    </xf>
    <xf numFmtId="2" fontId="3" fillId="4" borderId="8" xfId="2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9" fontId="2" fillId="0" borderId="11" xfId="2" applyNumberFormat="1" applyFont="1" applyBorder="1" applyAlignment="1">
      <alignment horizontal="center" vertical="center"/>
    </xf>
    <xf numFmtId="1" fontId="2" fillId="0" borderId="1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0" fontId="8" fillId="0" borderId="13" xfId="2" applyFont="1" applyBorder="1" applyAlignment="1">
      <alignment vertical="center"/>
    </xf>
    <xf numFmtId="0" fontId="3" fillId="0" borderId="11" xfId="2" applyFont="1" applyBorder="1" applyAlignment="1">
      <alignment horizontal="center" vertical="center"/>
    </xf>
    <xf numFmtId="3" fontId="2" fillId="0" borderId="11" xfId="2" applyNumberFormat="1" applyFont="1" applyBorder="1" applyAlignment="1">
      <alignment horizontal="center" vertical="center"/>
    </xf>
    <xf numFmtId="3" fontId="2" fillId="0" borderId="14" xfId="2" applyNumberFormat="1" applyFont="1" applyBorder="1" applyAlignment="1">
      <alignment horizontal="center" vertical="center"/>
    </xf>
    <xf numFmtId="0" fontId="3" fillId="4" borderId="15" xfId="3" applyFont="1" applyFill="1" applyBorder="1" applyAlignment="1">
      <alignment horizontal="center" vertical="center"/>
    </xf>
    <xf numFmtId="0" fontId="3" fillId="4" borderId="16" xfId="3" applyFont="1" applyFill="1" applyBorder="1" applyAlignment="1">
      <alignment horizontal="center" vertical="center"/>
    </xf>
    <xf numFmtId="9" fontId="3" fillId="4" borderId="16" xfId="2" applyNumberFormat="1" applyFont="1" applyFill="1" applyBorder="1" applyAlignment="1">
      <alignment horizontal="center" vertical="center"/>
    </xf>
    <xf numFmtId="0" fontId="3" fillId="4" borderId="16" xfId="2" applyFont="1" applyFill="1" applyBorder="1" applyAlignment="1">
      <alignment horizontal="center" vertical="center"/>
    </xf>
    <xf numFmtId="1" fontId="3" fillId="4" borderId="16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7" xfId="2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8" fillId="0" borderId="5" xfId="2" applyFont="1" applyBorder="1" applyAlignment="1">
      <alignment vertical="center"/>
    </xf>
    <xf numFmtId="0" fontId="7" fillId="0" borderId="5" xfId="2" applyFont="1" applyBorder="1" applyAlignment="1">
      <alignment horizontal="left" vertical="center"/>
    </xf>
    <xf numFmtId="0" fontId="7" fillId="0" borderId="13" xfId="2" applyFont="1" applyBorder="1" applyAlignment="1">
      <alignment horizontal="left" vertical="center"/>
    </xf>
    <xf numFmtId="0" fontId="7" fillId="4" borderId="7" xfId="3" applyFont="1" applyFill="1" applyBorder="1" applyAlignment="1">
      <alignment horizontal="center" vertical="center"/>
    </xf>
    <xf numFmtId="0" fontId="7" fillId="4" borderId="8" xfId="3" applyFont="1" applyFill="1" applyBorder="1" applyAlignment="1">
      <alignment horizontal="center" vertical="center"/>
    </xf>
    <xf numFmtId="9" fontId="7" fillId="4" borderId="8" xfId="2" applyNumberFormat="1" applyFont="1" applyFill="1" applyBorder="1" applyAlignment="1">
      <alignment horizontal="center" vertical="center"/>
    </xf>
    <xf numFmtId="1" fontId="7" fillId="4" borderId="8" xfId="2" applyNumberFormat="1" applyFont="1" applyFill="1" applyBorder="1" applyAlignment="1">
      <alignment horizontal="center" vertical="center"/>
    </xf>
    <xf numFmtId="2" fontId="7" fillId="4" borderId="8" xfId="2" applyNumberFormat="1" applyFont="1" applyFill="1" applyBorder="1" applyAlignment="1">
      <alignment horizontal="center" vertical="center"/>
    </xf>
    <xf numFmtId="9" fontId="2" fillId="0" borderId="1" xfId="2" applyNumberFormat="1" applyFon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4" borderId="7" xfId="3" applyFont="1" applyFill="1" applyBorder="1" applyAlignment="1">
      <alignment horizontal="center"/>
    </xf>
    <xf numFmtId="0" fontId="7" fillId="4" borderId="19" xfId="3" applyFont="1" applyFill="1" applyBorder="1"/>
    <xf numFmtId="0" fontId="0" fillId="4" borderId="8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3" fillId="4" borderId="7" xfId="0" applyFont="1" applyFill="1" applyBorder="1" applyAlignment="1">
      <alignment horizontal="left"/>
    </xf>
    <xf numFmtId="10" fontId="3" fillId="4" borderId="8" xfId="3" applyNumberFormat="1" applyFont="1" applyFill="1" applyBorder="1" applyAlignment="1">
      <alignment horizontal="center"/>
    </xf>
    <xf numFmtId="0" fontId="7" fillId="4" borderId="8" xfId="2" applyFont="1" applyFill="1" applyBorder="1" applyAlignment="1">
      <alignment horizontal="left" vertical="center"/>
    </xf>
    <xf numFmtId="0" fontId="2" fillId="4" borderId="8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/>
    </xf>
    <xf numFmtId="0" fontId="3" fillId="0" borderId="1" xfId="0" applyFont="1" applyFill="1" applyBorder="1"/>
    <xf numFmtId="9" fontId="7" fillId="0" borderId="1" xfId="2" applyNumberFormat="1" applyFont="1" applyBorder="1" applyAlignment="1">
      <alignment horizontal="left" vertical="center"/>
    </xf>
    <xf numFmtId="3" fontId="3" fillId="0" borderId="1" xfId="2" applyNumberFormat="1" applyFont="1" applyBorder="1" applyAlignment="1">
      <alignment horizontal="center" vertical="center"/>
    </xf>
    <xf numFmtId="0" fontId="3" fillId="4" borderId="7" xfId="2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18" xfId="0" applyFill="1" applyBorder="1"/>
    <xf numFmtId="0" fontId="10" fillId="0" borderId="1" xfId="0" applyFont="1" applyBorder="1"/>
    <xf numFmtId="164" fontId="2" fillId="6" borderId="1" xfId="1" applyFont="1" applyFill="1" applyBorder="1" applyAlignment="1">
      <alignment horizontal="center" vertical="center" wrapText="1"/>
    </xf>
    <xf numFmtId="1" fontId="15" fillId="0" borderId="6" xfId="0" applyNumberFormat="1" applyFont="1" applyBorder="1" applyAlignment="1">
      <alignment horizontal="center" vertical="center" wrapText="1"/>
    </xf>
    <xf numFmtId="3" fontId="15" fillId="0" borderId="6" xfId="0" applyNumberFormat="1" applyFont="1" applyBorder="1" applyAlignment="1">
      <alignment horizontal="center" vertical="center" wrapText="1"/>
    </xf>
    <xf numFmtId="3" fontId="15" fillId="4" borderId="6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3" fontId="16" fillId="4" borderId="1" xfId="1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/>
    </xf>
    <xf numFmtId="1" fontId="15" fillId="0" borderId="1" xfId="0" applyNumberFormat="1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3" fontId="15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2" applyFont="1" applyBorder="1" applyAlignment="1">
      <alignment vertical="center"/>
    </xf>
    <xf numFmtId="0" fontId="8" fillId="0" borderId="1" xfId="2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0" fontId="11" fillId="4" borderId="8" xfId="0" applyFont="1" applyFill="1" applyBorder="1"/>
    <xf numFmtId="0" fontId="2" fillId="5" borderId="20" xfId="0" applyFont="1" applyFill="1" applyBorder="1" applyAlignment="1">
      <alignment horizontal="center"/>
    </xf>
    <xf numFmtId="9" fontId="2" fillId="0" borderId="21" xfId="2" applyNumberFormat="1" applyFont="1" applyBorder="1" applyAlignment="1">
      <alignment horizontal="center" vertical="center"/>
    </xf>
    <xf numFmtId="1" fontId="2" fillId="0" borderId="21" xfId="2" applyNumberFormat="1" applyFont="1" applyBorder="1" applyAlignment="1">
      <alignment horizontal="center" vertical="center"/>
    </xf>
    <xf numFmtId="1" fontId="3" fillId="0" borderId="6" xfId="2" applyNumberFormat="1" applyFont="1" applyBorder="1" applyAlignment="1">
      <alignment horizontal="center" vertical="center"/>
    </xf>
    <xf numFmtId="0" fontId="8" fillId="0" borderId="6" xfId="2" applyFont="1" applyBorder="1" applyAlignment="1">
      <alignment vertical="center"/>
    </xf>
    <xf numFmtId="0" fontId="3" fillId="0" borderId="21" xfId="2" applyFont="1" applyBorder="1" applyAlignment="1">
      <alignment horizontal="center" vertical="center"/>
    </xf>
    <xf numFmtId="3" fontId="2" fillId="0" borderId="21" xfId="2" applyNumberFormat="1" applyFont="1" applyBorder="1" applyAlignment="1">
      <alignment horizontal="center" vertical="center"/>
    </xf>
    <xf numFmtId="3" fontId="2" fillId="0" borderId="22" xfId="2" applyNumberFormat="1" applyFont="1" applyBorder="1" applyAlignment="1">
      <alignment horizontal="center" vertical="center"/>
    </xf>
    <xf numFmtId="0" fontId="13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4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9525</xdr:colOff>
      <xdr:row>37</xdr:row>
      <xdr:rowOff>104775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1258</xdr:row>
      <xdr:rowOff>0</xdr:rowOff>
    </xdr:from>
    <xdr:to>
      <xdr:col>4</xdr:col>
      <xdr:colOff>9525</xdr:colOff>
      <xdr:row>1258</xdr:row>
      <xdr:rowOff>104775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1258</xdr:row>
      <xdr:rowOff>0</xdr:rowOff>
    </xdr:from>
    <xdr:to>
      <xdr:col>4</xdr:col>
      <xdr:colOff>9525</xdr:colOff>
      <xdr:row>1258</xdr:row>
      <xdr:rowOff>104775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68" name="Line 876">
          <a:extLst>
            <a:ext uri="{FF2B5EF4-FFF2-40B4-BE49-F238E27FC236}">
              <a16:creationId xmlns:a16="http://schemas.microsoft.com/office/drawing/2014/main" id="{CA02A911-DE08-08B5-1F39-F46049225DDA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69" name="Line 877">
          <a:extLst>
            <a:ext uri="{FF2B5EF4-FFF2-40B4-BE49-F238E27FC236}">
              <a16:creationId xmlns:a16="http://schemas.microsoft.com/office/drawing/2014/main" id="{6E369C80-712E-DB44-0E8E-6F1B4000D93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0" name="Line 878">
          <a:extLst>
            <a:ext uri="{FF2B5EF4-FFF2-40B4-BE49-F238E27FC236}">
              <a16:creationId xmlns:a16="http://schemas.microsoft.com/office/drawing/2014/main" id="{41AD26B0-3755-4255-C685-9C8CF65CCC2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1" name="Line 879">
          <a:extLst>
            <a:ext uri="{FF2B5EF4-FFF2-40B4-BE49-F238E27FC236}">
              <a16:creationId xmlns:a16="http://schemas.microsoft.com/office/drawing/2014/main" id="{55AF7C5B-8332-9ABD-580E-1D500BE25B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2" name="Line 880">
          <a:extLst>
            <a:ext uri="{FF2B5EF4-FFF2-40B4-BE49-F238E27FC236}">
              <a16:creationId xmlns:a16="http://schemas.microsoft.com/office/drawing/2014/main" id="{DD498BE4-F1FE-805C-BF9A-D38FCCBC33C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3" name="Line 881">
          <a:extLst>
            <a:ext uri="{FF2B5EF4-FFF2-40B4-BE49-F238E27FC236}">
              <a16:creationId xmlns:a16="http://schemas.microsoft.com/office/drawing/2014/main" id="{AB56CDA8-F341-8FCF-F7CE-6615733A8CF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4" name="Line 882">
          <a:extLst>
            <a:ext uri="{FF2B5EF4-FFF2-40B4-BE49-F238E27FC236}">
              <a16:creationId xmlns:a16="http://schemas.microsoft.com/office/drawing/2014/main" id="{9413D926-1C32-279A-6A39-9215007E87A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5" name="Line 883">
          <a:extLst>
            <a:ext uri="{FF2B5EF4-FFF2-40B4-BE49-F238E27FC236}">
              <a16:creationId xmlns:a16="http://schemas.microsoft.com/office/drawing/2014/main" id="{541E189B-C114-8A20-9867-FD2D3E2946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6" name="Line 884">
          <a:extLst>
            <a:ext uri="{FF2B5EF4-FFF2-40B4-BE49-F238E27FC236}">
              <a16:creationId xmlns:a16="http://schemas.microsoft.com/office/drawing/2014/main" id="{1ECC4F80-D3D2-ECD9-0AB5-698F2C193D2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7" name="Line 885">
          <a:extLst>
            <a:ext uri="{FF2B5EF4-FFF2-40B4-BE49-F238E27FC236}">
              <a16:creationId xmlns:a16="http://schemas.microsoft.com/office/drawing/2014/main" id="{FDFC464A-4EBD-B416-E08B-54AEB845707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8" name="Line 886">
          <a:extLst>
            <a:ext uri="{FF2B5EF4-FFF2-40B4-BE49-F238E27FC236}">
              <a16:creationId xmlns:a16="http://schemas.microsoft.com/office/drawing/2014/main" id="{60702F3A-65E6-DB3D-C4F9-7A04A6E95B7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79" name="Line 887">
          <a:extLst>
            <a:ext uri="{FF2B5EF4-FFF2-40B4-BE49-F238E27FC236}">
              <a16:creationId xmlns:a16="http://schemas.microsoft.com/office/drawing/2014/main" id="{29A68E1B-1F8C-FFEE-A607-0F833DA22A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0" name="Line 888">
          <a:extLst>
            <a:ext uri="{FF2B5EF4-FFF2-40B4-BE49-F238E27FC236}">
              <a16:creationId xmlns:a16="http://schemas.microsoft.com/office/drawing/2014/main" id="{F74F84B1-6BC6-10BC-A3A2-06ED757889D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1" name="Line 889">
          <a:extLst>
            <a:ext uri="{FF2B5EF4-FFF2-40B4-BE49-F238E27FC236}">
              <a16:creationId xmlns:a16="http://schemas.microsoft.com/office/drawing/2014/main" id="{1209B76F-6027-9A00-FEEC-C3E4A14D87E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2" name="Line 890">
          <a:extLst>
            <a:ext uri="{FF2B5EF4-FFF2-40B4-BE49-F238E27FC236}">
              <a16:creationId xmlns:a16="http://schemas.microsoft.com/office/drawing/2014/main" id="{4B0BEAF4-9F17-4A41-E86A-F15007DE538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3" name="Line 891">
          <a:extLst>
            <a:ext uri="{FF2B5EF4-FFF2-40B4-BE49-F238E27FC236}">
              <a16:creationId xmlns:a16="http://schemas.microsoft.com/office/drawing/2014/main" id="{375334EC-2DED-2E93-96A3-6456D0C73A2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4" name="Line 892">
          <a:extLst>
            <a:ext uri="{FF2B5EF4-FFF2-40B4-BE49-F238E27FC236}">
              <a16:creationId xmlns:a16="http://schemas.microsoft.com/office/drawing/2014/main" id="{1C28FFA6-DE7D-04F0-8F51-C42211DFDA1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5" name="Line 893">
          <a:extLst>
            <a:ext uri="{FF2B5EF4-FFF2-40B4-BE49-F238E27FC236}">
              <a16:creationId xmlns:a16="http://schemas.microsoft.com/office/drawing/2014/main" id="{EA6A2AD2-6106-57FB-C4CA-8350234100B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6" name="Drawing 100">
          <a:extLst>
            <a:ext uri="{FF2B5EF4-FFF2-40B4-BE49-F238E27FC236}">
              <a16:creationId xmlns:a16="http://schemas.microsoft.com/office/drawing/2014/main" id="{FA91269B-E146-17E8-5B71-FEEF4D05A50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7" name="Line 895">
          <a:extLst>
            <a:ext uri="{FF2B5EF4-FFF2-40B4-BE49-F238E27FC236}">
              <a16:creationId xmlns:a16="http://schemas.microsoft.com/office/drawing/2014/main" id="{E575E874-EAB8-D35B-E181-E1D6A4651306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8" name="Line 896">
          <a:extLst>
            <a:ext uri="{FF2B5EF4-FFF2-40B4-BE49-F238E27FC236}">
              <a16:creationId xmlns:a16="http://schemas.microsoft.com/office/drawing/2014/main" id="{CBBAAC73-2050-CA1D-5FAA-ED3BD77DF25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89" name="Line 897">
          <a:extLst>
            <a:ext uri="{FF2B5EF4-FFF2-40B4-BE49-F238E27FC236}">
              <a16:creationId xmlns:a16="http://schemas.microsoft.com/office/drawing/2014/main" id="{1C1A3489-26A1-D776-582C-0720752A01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0" name="Line 898">
          <a:extLst>
            <a:ext uri="{FF2B5EF4-FFF2-40B4-BE49-F238E27FC236}">
              <a16:creationId xmlns:a16="http://schemas.microsoft.com/office/drawing/2014/main" id="{E9EB4203-69D1-D28A-97B1-CF74100ACDD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1" name="Line 899">
          <a:extLst>
            <a:ext uri="{FF2B5EF4-FFF2-40B4-BE49-F238E27FC236}">
              <a16:creationId xmlns:a16="http://schemas.microsoft.com/office/drawing/2014/main" id="{C27426C5-7603-963C-8D09-28428D590FFE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2" name="Line 900">
          <a:extLst>
            <a:ext uri="{FF2B5EF4-FFF2-40B4-BE49-F238E27FC236}">
              <a16:creationId xmlns:a16="http://schemas.microsoft.com/office/drawing/2014/main" id="{D3DE9F81-6D04-F6DC-674E-ADF9306449E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3" name="Line 901">
          <a:extLst>
            <a:ext uri="{FF2B5EF4-FFF2-40B4-BE49-F238E27FC236}">
              <a16:creationId xmlns:a16="http://schemas.microsoft.com/office/drawing/2014/main" id="{7E9F6334-D76E-6ACF-6B68-4ACB5C4E147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4" name="Line 902">
          <a:extLst>
            <a:ext uri="{FF2B5EF4-FFF2-40B4-BE49-F238E27FC236}">
              <a16:creationId xmlns:a16="http://schemas.microsoft.com/office/drawing/2014/main" id="{F730D6FA-A06A-D9E3-D499-67CB499CFD6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5" name="Line 903">
          <a:extLst>
            <a:ext uri="{FF2B5EF4-FFF2-40B4-BE49-F238E27FC236}">
              <a16:creationId xmlns:a16="http://schemas.microsoft.com/office/drawing/2014/main" id="{1B45B85C-91BE-8E79-D980-E26A4EA1EF5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6" name="Line 904">
          <a:extLst>
            <a:ext uri="{FF2B5EF4-FFF2-40B4-BE49-F238E27FC236}">
              <a16:creationId xmlns:a16="http://schemas.microsoft.com/office/drawing/2014/main" id="{368C252E-D010-8976-6F67-6D9FC2334F4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7" name="Drawing 59">
          <a:extLst>
            <a:ext uri="{FF2B5EF4-FFF2-40B4-BE49-F238E27FC236}">
              <a16:creationId xmlns:a16="http://schemas.microsoft.com/office/drawing/2014/main" id="{A501217A-3295-E1D4-AF56-F7BAE2D740CF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8" name="Line 906">
          <a:extLst>
            <a:ext uri="{FF2B5EF4-FFF2-40B4-BE49-F238E27FC236}">
              <a16:creationId xmlns:a16="http://schemas.microsoft.com/office/drawing/2014/main" id="{4D4D9520-79EB-6385-49BB-C75397C6D56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399" name="Line 907">
          <a:extLst>
            <a:ext uri="{FF2B5EF4-FFF2-40B4-BE49-F238E27FC236}">
              <a16:creationId xmlns:a16="http://schemas.microsoft.com/office/drawing/2014/main" id="{8EA77BBD-B616-9596-7C6A-DCF741372B0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0" name="Line 908">
          <a:extLst>
            <a:ext uri="{FF2B5EF4-FFF2-40B4-BE49-F238E27FC236}">
              <a16:creationId xmlns:a16="http://schemas.microsoft.com/office/drawing/2014/main" id="{08670BEC-7EBF-8B38-8DDF-13ABFE8BF8F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1" name="Line 909">
          <a:extLst>
            <a:ext uri="{FF2B5EF4-FFF2-40B4-BE49-F238E27FC236}">
              <a16:creationId xmlns:a16="http://schemas.microsoft.com/office/drawing/2014/main" id="{2B07F982-7D1A-BBEB-4E33-CEEA6F2C0265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2" name="Line 910">
          <a:extLst>
            <a:ext uri="{FF2B5EF4-FFF2-40B4-BE49-F238E27FC236}">
              <a16:creationId xmlns:a16="http://schemas.microsoft.com/office/drawing/2014/main" id="{1F19ED56-ECC9-1E4A-D6C3-219DFCBD30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3" name="Line 1984">
          <a:extLst>
            <a:ext uri="{FF2B5EF4-FFF2-40B4-BE49-F238E27FC236}">
              <a16:creationId xmlns:a16="http://schemas.microsoft.com/office/drawing/2014/main" id="{7DCB2C49-C8FC-097F-76CD-B011DDB1782D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4" name="Line 1985">
          <a:extLst>
            <a:ext uri="{FF2B5EF4-FFF2-40B4-BE49-F238E27FC236}">
              <a16:creationId xmlns:a16="http://schemas.microsoft.com/office/drawing/2014/main" id="{58FF567B-057E-5AEE-B5ED-E45F7BC3587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5" name="Line 1986">
          <a:extLst>
            <a:ext uri="{FF2B5EF4-FFF2-40B4-BE49-F238E27FC236}">
              <a16:creationId xmlns:a16="http://schemas.microsoft.com/office/drawing/2014/main" id="{048E6469-D6DE-15A9-A26B-893A29803E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6" name="Line 1987">
          <a:extLst>
            <a:ext uri="{FF2B5EF4-FFF2-40B4-BE49-F238E27FC236}">
              <a16:creationId xmlns:a16="http://schemas.microsoft.com/office/drawing/2014/main" id="{4535368D-1B0D-D06E-9325-082196B0C4A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7" name="Line 1988">
          <a:extLst>
            <a:ext uri="{FF2B5EF4-FFF2-40B4-BE49-F238E27FC236}">
              <a16:creationId xmlns:a16="http://schemas.microsoft.com/office/drawing/2014/main" id="{0CC900BB-BDE8-70E2-B8C4-A74D8F861C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8" name="Line 1989">
          <a:extLst>
            <a:ext uri="{FF2B5EF4-FFF2-40B4-BE49-F238E27FC236}">
              <a16:creationId xmlns:a16="http://schemas.microsoft.com/office/drawing/2014/main" id="{27310FE8-63BE-BD11-9AE1-367F421E3F1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09" name="Line 1990">
          <a:extLst>
            <a:ext uri="{FF2B5EF4-FFF2-40B4-BE49-F238E27FC236}">
              <a16:creationId xmlns:a16="http://schemas.microsoft.com/office/drawing/2014/main" id="{FAC70715-7347-C86F-949E-A4CF44A24A6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0" name="Line 1991">
          <a:extLst>
            <a:ext uri="{FF2B5EF4-FFF2-40B4-BE49-F238E27FC236}">
              <a16:creationId xmlns:a16="http://schemas.microsoft.com/office/drawing/2014/main" id="{3D9F9F98-C3E7-5012-32DA-F8863D8A475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1" name="Line 1992">
          <a:extLst>
            <a:ext uri="{FF2B5EF4-FFF2-40B4-BE49-F238E27FC236}">
              <a16:creationId xmlns:a16="http://schemas.microsoft.com/office/drawing/2014/main" id="{91CBDA89-50F4-2407-4EFE-363702852E0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2" name="Line 1993">
          <a:extLst>
            <a:ext uri="{FF2B5EF4-FFF2-40B4-BE49-F238E27FC236}">
              <a16:creationId xmlns:a16="http://schemas.microsoft.com/office/drawing/2014/main" id="{3B524C1D-53C9-9527-6B88-416EB117FA4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3" name="Line 1994">
          <a:extLst>
            <a:ext uri="{FF2B5EF4-FFF2-40B4-BE49-F238E27FC236}">
              <a16:creationId xmlns:a16="http://schemas.microsoft.com/office/drawing/2014/main" id="{0EE1DA65-1681-4AF2-AD12-33FAB296C5F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4" name="Line 1995">
          <a:extLst>
            <a:ext uri="{FF2B5EF4-FFF2-40B4-BE49-F238E27FC236}">
              <a16:creationId xmlns:a16="http://schemas.microsoft.com/office/drawing/2014/main" id="{13D7C556-10D8-A699-728C-A20FF92083C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5" name="Line 1996">
          <a:extLst>
            <a:ext uri="{FF2B5EF4-FFF2-40B4-BE49-F238E27FC236}">
              <a16:creationId xmlns:a16="http://schemas.microsoft.com/office/drawing/2014/main" id="{117F1A23-82DA-4122-09E3-12EDF13B7AD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6" name="Line 1997">
          <a:extLst>
            <a:ext uri="{FF2B5EF4-FFF2-40B4-BE49-F238E27FC236}">
              <a16:creationId xmlns:a16="http://schemas.microsoft.com/office/drawing/2014/main" id="{762E540B-5314-0B8A-4560-CA786A2E2D8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7" name="Line 1998">
          <a:extLst>
            <a:ext uri="{FF2B5EF4-FFF2-40B4-BE49-F238E27FC236}">
              <a16:creationId xmlns:a16="http://schemas.microsoft.com/office/drawing/2014/main" id="{845FAE8E-B3F1-B38D-B86C-8CD937A1BBC1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8" name="Line 1999">
          <a:extLst>
            <a:ext uri="{FF2B5EF4-FFF2-40B4-BE49-F238E27FC236}">
              <a16:creationId xmlns:a16="http://schemas.microsoft.com/office/drawing/2014/main" id="{0C119E97-7D03-C04D-CC60-8806C1C8ED3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19" name="Line 2000">
          <a:extLst>
            <a:ext uri="{FF2B5EF4-FFF2-40B4-BE49-F238E27FC236}">
              <a16:creationId xmlns:a16="http://schemas.microsoft.com/office/drawing/2014/main" id="{ABDB2F6C-FDE5-02DB-8AC6-37E56B17352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0" name="Line 2001">
          <a:extLst>
            <a:ext uri="{FF2B5EF4-FFF2-40B4-BE49-F238E27FC236}">
              <a16:creationId xmlns:a16="http://schemas.microsoft.com/office/drawing/2014/main" id="{FD619302-0E8C-DEA2-29F0-AA155FBDA8F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1" name="Drawing 100">
          <a:extLst>
            <a:ext uri="{FF2B5EF4-FFF2-40B4-BE49-F238E27FC236}">
              <a16:creationId xmlns:a16="http://schemas.microsoft.com/office/drawing/2014/main" id="{3D7F9CCF-573C-87AA-9C6D-D10952EDA11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2" name="Line 2003">
          <a:extLst>
            <a:ext uri="{FF2B5EF4-FFF2-40B4-BE49-F238E27FC236}">
              <a16:creationId xmlns:a16="http://schemas.microsoft.com/office/drawing/2014/main" id="{BD73EAD0-E38D-21DE-3499-D96D14E47082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3" name="Line 2004">
          <a:extLst>
            <a:ext uri="{FF2B5EF4-FFF2-40B4-BE49-F238E27FC236}">
              <a16:creationId xmlns:a16="http://schemas.microsoft.com/office/drawing/2014/main" id="{A581362E-211B-38B3-B4EE-A6A49273E61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4" name="Line 2005">
          <a:extLst>
            <a:ext uri="{FF2B5EF4-FFF2-40B4-BE49-F238E27FC236}">
              <a16:creationId xmlns:a16="http://schemas.microsoft.com/office/drawing/2014/main" id="{FFD94D71-B93C-3188-FB50-17856FC0E72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5" name="Line 2006">
          <a:extLst>
            <a:ext uri="{FF2B5EF4-FFF2-40B4-BE49-F238E27FC236}">
              <a16:creationId xmlns:a16="http://schemas.microsoft.com/office/drawing/2014/main" id="{69B61D16-B2CB-C762-466F-E7ADD52331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6" name="Line 2007">
          <a:extLst>
            <a:ext uri="{FF2B5EF4-FFF2-40B4-BE49-F238E27FC236}">
              <a16:creationId xmlns:a16="http://schemas.microsoft.com/office/drawing/2014/main" id="{93DBF2D4-3501-4F79-9A4D-74E286465AF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7" name="Line 2008">
          <a:extLst>
            <a:ext uri="{FF2B5EF4-FFF2-40B4-BE49-F238E27FC236}">
              <a16:creationId xmlns:a16="http://schemas.microsoft.com/office/drawing/2014/main" id="{C728A721-FAA0-54E5-61C0-BA22049199E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8" name="Line 2009">
          <a:extLst>
            <a:ext uri="{FF2B5EF4-FFF2-40B4-BE49-F238E27FC236}">
              <a16:creationId xmlns:a16="http://schemas.microsoft.com/office/drawing/2014/main" id="{86247CC8-66DF-4D1F-19E0-39F29E5796A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29" name="Line 2010">
          <a:extLst>
            <a:ext uri="{FF2B5EF4-FFF2-40B4-BE49-F238E27FC236}">
              <a16:creationId xmlns:a16="http://schemas.microsoft.com/office/drawing/2014/main" id="{448A960C-E6C2-C038-4453-91C1E60E52C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0" name="Line 2011">
          <a:extLst>
            <a:ext uri="{FF2B5EF4-FFF2-40B4-BE49-F238E27FC236}">
              <a16:creationId xmlns:a16="http://schemas.microsoft.com/office/drawing/2014/main" id="{B487B9FC-DAD8-C49D-EC59-96DC21B1F46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1" name="Line 2012">
          <a:extLst>
            <a:ext uri="{FF2B5EF4-FFF2-40B4-BE49-F238E27FC236}">
              <a16:creationId xmlns:a16="http://schemas.microsoft.com/office/drawing/2014/main" id="{8A144EEC-144D-F130-DB66-BC28C0B7CB4C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2" name="Drawing 59">
          <a:extLst>
            <a:ext uri="{FF2B5EF4-FFF2-40B4-BE49-F238E27FC236}">
              <a16:creationId xmlns:a16="http://schemas.microsoft.com/office/drawing/2014/main" id="{4A4DF75D-6E81-31A3-8F96-4DBD26041582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3" name="Line 2014">
          <a:extLst>
            <a:ext uri="{FF2B5EF4-FFF2-40B4-BE49-F238E27FC236}">
              <a16:creationId xmlns:a16="http://schemas.microsoft.com/office/drawing/2014/main" id="{CF17EB02-E7B7-E0BA-6009-C912677B074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4" name="Line 2015">
          <a:extLst>
            <a:ext uri="{FF2B5EF4-FFF2-40B4-BE49-F238E27FC236}">
              <a16:creationId xmlns:a16="http://schemas.microsoft.com/office/drawing/2014/main" id="{C9C0059A-FCF5-EFE9-C782-E3C1813A783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5" name="Line 2016">
          <a:extLst>
            <a:ext uri="{FF2B5EF4-FFF2-40B4-BE49-F238E27FC236}">
              <a16:creationId xmlns:a16="http://schemas.microsoft.com/office/drawing/2014/main" id="{29F848DD-6B9C-9FF6-5F2D-014AB9CA89A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6" name="Line 2017">
          <a:extLst>
            <a:ext uri="{FF2B5EF4-FFF2-40B4-BE49-F238E27FC236}">
              <a16:creationId xmlns:a16="http://schemas.microsoft.com/office/drawing/2014/main" id="{62AEEE38-E67B-85BD-B231-E6AE694DCC0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1258</xdr:row>
      <xdr:rowOff>0</xdr:rowOff>
    </xdr:from>
    <xdr:to>
      <xdr:col>7</xdr:col>
      <xdr:colOff>0</xdr:colOff>
      <xdr:row>1258</xdr:row>
      <xdr:rowOff>0</xdr:rowOff>
    </xdr:to>
    <xdr:sp macro="" textlink="">
      <xdr:nvSpPr>
        <xdr:cNvPr id="7437" name="Line 2018">
          <a:extLst>
            <a:ext uri="{FF2B5EF4-FFF2-40B4-BE49-F238E27FC236}">
              <a16:creationId xmlns:a16="http://schemas.microsoft.com/office/drawing/2014/main" id="{0B84DB31-5F8C-81DC-7418-DE5AD16B8B8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0</xdr:colOff>
      <xdr:row>1238</xdr:row>
      <xdr:rowOff>0</xdr:rowOff>
    </xdr:from>
    <xdr:to>
      <xdr:col>4</xdr:col>
      <xdr:colOff>9525</xdr:colOff>
      <xdr:row>1238</xdr:row>
      <xdr:rowOff>104775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1238</xdr:row>
      <xdr:rowOff>0</xdr:rowOff>
    </xdr:from>
    <xdr:to>
      <xdr:col>4</xdr:col>
      <xdr:colOff>9525</xdr:colOff>
      <xdr:row>1238</xdr:row>
      <xdr:rowOff>104775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15240</xdr:colOff>
      <xdr:row>36</xdr:row>
      <xdr:rowOff>106680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3000F8C7-0FA3-4DA8-B8C6-ED85E50AE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4943475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15240</xdr:colOff>
      <xdr:row>36</xdr:row>
      <xdr:rowOff>106680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F127AF2B-4CB2-472D-89F0-27AB42188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4943475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15240</xdr:colOff>
      <xdr:row>68</xdr:row>
      <xdr:rowOff>99060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576008D8-489C-4202-BB64-937874820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11658600"/>
          <a:ext cx="1524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15240</xdr:colOff>
      <xdr:row>68</xdr:row>
      <xdr:rowOff>99060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D0E1EF4-0E83-43A0-983E-42E07F329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11658600"/>
          <a:ext cx="1524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tabSelected="1" zoomScale="75" workbookViewId="0">
      <pane ySplit="2" topLeftCell="A3" activePane="bottomLeft" state="frozen"/>
      <selection activeCell="I22" sqref="I22"/>
      <selection pane="bottomLeft" activeCell="J18" sqref="J18"/>
    </sheetView>
  </sheetViews>
  <sheetFormatPr defaultRowHeight="14.25" x14ac:dyDescent="0.2"/>
  <cols>
    <col min="1" max="1" width="9.140625" style="22"/>
    <col min="2" max="2" width="10" style="27" customWidth="1"/>
    <col min="3" max="3" width="17.5703125" style="30" customWidth="1"/>
    <col min="4" max="4" width="76" style="3" customWidth="1"/>
    <col min="5" max="5" width="9.140625" style="3"/>
    <col min="6" max="6" width="12.28515625" style="3" customWidth="1"/>
    <col min="7" max="7" width="11.85546875" style="3" customWidth="1"/>
    <col min="8" max="16384" width="9.140625" style="3"/>
  </cols>
  <sheetData>
    <row r="1" spans="1:8" ht="19.5" customHeight="1" x14ac:dyDescent="0.2">
      <c r="A1" s="19" t="s">
        <v>0</v>
      </c>
      <c r="B1" s="23" t="s">
        <v>1</v>
      </c>
      <c r="C1" s="28" t="s">
        <v>2</v>
      </c>
      <c r="D1" s="31" t="s">
        <v>3</v>
      </c>
      <c r="E1" s="1" t="s">
        <v>4</v>
      </c>
      <c r="F1" s="2" t="s">
        <v>5</v>
      </c>
      <c r="G1" s="2" t="s">
        <v>6</v>
      </c>
    </row>
    <row r="2" spans="1:8" x14ac:dyDescent="0.2">
      <c r="A2" s="20"/>
      <c r="B2" s="24"/>
      <c r="C2" s="29"/>
      <c r="D2" s="32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" customHeight="1" x14ac:dyDescent="0.2">
      <c r="A3" s="18"/>
      <c r="B3" s="25"/>
      <c r="C3" s="6" t="str">
        <f>IF(A3=""," ",VLOOKUP(A3,'18.11-07.12.2024'!A:H,2,FALSE))</f>
        <v xml:space="preserve"> </v>
      </c>
      <c r="D3" s="33" t="str">
        <f>IF(A3=""," ",VLOOKUP(A3,'18.11-07.12.2024'!A:H,5,FALSE))</f>
        <v xml:space="preserve"> </v>
      </c>
      <c r="E3" s="7" t="str">
        <f>IF(A3=""," ",B3*VLOOKUP(A3,'18.11-07.12.2024'!A:H,6,FALSE))</f>
        <v xml:space="preserve"> </v>
      </c>
      <c r="F3" s="7" t="str">
        <f>IF(A3=""," ",B3*VLOOKUP(A3,'18.11-07.12.2024'!A:H,7,FALSE))</f>
        <v xml:space="preserve"> </v>
      </c>
      <c r="G3" s="7" t="str">
        <f>IF(A3=""," ",B3*VLOOKUP(A3,'18.11-07.12.2024'!A:H,8,FALSE))</f>
        <v xml:space="preserve"> </v>
      </c>
    </row>
    <row r="4" spans="1:8" ht="14.1" customHeight="1" x14ac:dyDescent="0.2">
      <c r="A4" s="18"/>
      <c r="B4" s="25"/>
      <c r="C4" s="6" t="str">
        <f>IF(A4=""," ",VLOOKUP(A4,'18.11-07.12.2024'!A:H,2,FALSE))</f>
        <v xml:space="preserve"> </v>
      </c>
      <c r="D4" s="33" t="str">
        <f>IF(A4=""," ",VLOOKUP(A4,'18.11-07.12.2024'!A:H,5,FALSE))</f>
        <v xml:space="preserve"> </v>
      </c>
      <c r="E4" s="7" t="str">
        <f>IF(A4=""," ",B4*VLOOKUP(A4,'18.11-07.12.2024'!A:H,6,FALSE))</f>
        <v xml:space="preserve"> </v>
      </c>
      <c r="F4" s="7" t="str">
        <f>IF(A4=""," ",B4*VLOOKUP(A4,'18.11-07.12.2024'!A:H,7,FALSE))</f>
        <v xml:space="preserve"> </v>
      </c>
      <c r="G4" s="7" t="str">
        <f>IF(A4=""," ",B4*VLOOKUP(A4,'18.11-07.12.2024'!A:H,8,FALSE))</f>
        <v xml:space="preserve"> </v>
      </c>
    </row>
    <row r="5" spans="1:8" ht="14.1" customHeight="1" x14ac:dyDescent="0.2">
      <c r="A5" s="18"/>
      <c r="B5" s="25"/>
      <c r="C5" s="6" t="str">
        <f>IF(A5=""," ",VLOOKUP(A5,'18.11-07.12.2024'!A:H,2,FALSE))</f>
        <v xml:space="preserve"> </v>
      </c>
      <c r="D5" s="33" t="str">
        <f>IF(A5=""," ",VLOOKUP(A5,'18.11-07.12.2024'!A:H,5,FALSE))</f>
        <v xml:space="preserve"> </v>
      </c>
      <c r="E5" s="7" t="str">
        <f>IF(A5=""," ",B5*VLOOKUP(A5,'18.11-07.12.2024'!A:H,6,FALSE))</f>
        <v xml:space="preserve"> </v>
      </c>
      <c r="F5" s="7" t="str">
        <f>IF(A5=""," ",B5*VLOOKUP(A5,'18.11-07.12.2024'!A:H,7,FALSE))</f>
        <v xml:space="preserve"> </v>
      </c>
      <c r="G5" s="7" t="str">
        <f>IF(A5=""," ",B5*VLOOKUP(A5,'18.11-07.12.2024'!A:H,8,FALSE))</f>
        <v xml:space="preserve"> </v>
      </c>
    </row>
    <row r="6" spans="1:8" ht="14.1" customHeight="1" x14ac:dyDescent="0.2">
      <c r="A6" s="18"/>
      <c r="B6" s="25"/>
      <c r="C6" s="6" t="str">
        <f>IF(A6=""," ",VLOOKUP(A6,'18.11-07.12.2024'!A:H,2,FALSE))</f>
        <v xml:space="preserve"> </v>
      </c>
      <c r="D6" s="33" t="str">
        <f>IF(A6=""," ",VLOOKUP(A6,'18.11-07.12.2024'!A:H,5,FALSE))</f>
        <v xml:space="preserve"> </v>
      </c>
      <c r="E6" s="7" t="str">
        <f>IF(A6=""," ",B6*VLOOKUP(A6,'18.11-07.12.2024'!A:H,6,FALSE))</f>
        <v xml:space="preserve"> </v>
      </c>
      <c r="F6" s="7" t="str">
        <f>IF(A6=""," ",B6*VLOOKUP(A6,'18.11-07.12.2024'!A:H,7,FALSE))</f>
        <v xml:space="preserve"> </v>
      </c>
      <c r="G6" s="7" t="str">
        <f>IF(A6=""," ",B6*VLOOKUP(A6,'18.11-07.12.2024'!A:H,8,FALSE))</f>
        <v xml:space="preserve"> </v>
      </c>
    </row>
    <row r="7" spans="1:8" ht="14.1" customHeight="1" x14ac:dyDescent="0.2">
      <c r="A7" s="18"/>
      <c r="B7" s="25"/>
      <c r="C7" s="6" t="str">
        <f>IF(A7=""," ",VLOOKUP(A7,'18.11-07.12.2024'!A:H,2,FALSE))</f>
        <v xml:space="preserve"> </v>
      </c>
      <c r="D7" s="33" t="str">
        <f>IF(A7=""," ",VLOOKUP(A7,'18.11-07.12.2024'!A:H,5,FALSE))</f>
        <v xml:space="preserve"> </v>
      </c>
      <c r="E7" s="7" t="str">
        <f>IF(A7=""," ",B7*VLOOKUP(A7,'18.11-07.12.2024'!A:H,6,FALSE))</f>
        <v xml:space="preserve"> </v>
      </c>
      <c r="F7" s="7" t="str">
        <f>IF(A7=""," ",B7*VLOOKUP(A7,'18.11-07.12.2024'!A:H,7,FALSE))</f>
        <v xml:space="preserve"> </v>
      </c>
      <c r="G7" s="7" t="str">
        <f>IF(A7=""," ",B7*VLOOKUP(A7,'18.11-07.12.2024'!A:H,8,FALSE))</f>
        <v xml:space="preserve"> </v>
      </c>
    </row>
    <row r="8" spans="1:8" ht="14.1" customHeight="1" x14ac:dyDescent="0.2">
      <c r="A8" s="18"/>
      <c r="B8" s="25"/>
      <c r="C8" s="6" t="str">
        <f>IF(A8=""," ",VLOOKUP(A8,'18.11-07.12.2024'!A:H,2,FALSE))</f>
        <v xml:space="preserve"> </v>
      </c>
      <c r="D8" s="33" t="str">
        <f>IF(A8=""," ",VLOOKUP(A8,'18.11-07.12.2024'!A:H,5,FALSE))</f>
        <v xml:space="preserve"> </v>
      </c>
      <c r="E8" s="7" t="str">
        <f>IF(A8=""," ",B8*VLOOKUP(A8,'18.11-07.12.2024'!A:H,6,FALSE))</f>
        <v xml:space="preserve"> </v>
      </c>
      <c r="F8" s="7" t="str">
        <f>IF(A8=""," ",B8*VLOOKUP(A8,'18.11-07.12.2024'!A:H,7,FALSE))</f>
        <v xml:space="preserve"> </v>
      </c>
      <c r="G8" s="7" t="str">
        <f>IF(A8=""," ",B8*VLOOKUP(A8,'18.11-07.12.2024'!A:H,8,FALSE))</f>
        <v xml:space="preserve"> </v>
      </c>
    </row>
    <row r="9" spans="1:8" ht="14.1" customHeight="1" x14ac:dyDescent="0.2">
      <c r="A9" s="18"/>
      <c r="B9" s="25"/>
      <c r="C9" s="6" t="str">
        <f>IF(A9=""," ",VLOOKUP(A9,'18.11-07.12.2024'!A:H,2,FALSE))</f>
        <v xml:space="preserve"> </v>
      </c>
      <c r="D9" s="33" t="str">
        <f>IF(A9=""," ",VLOOKUP(A9,'18.11-07.12.2024'!A:H,5,FALSE))</f>
        <v xml:space="preserve"> </v>
      </c>
      <c r="E9" s="7" t="str">
        <f>IF(A9=""," ",B9*VLOOKUP(A9,'18.11-07.12.2024'!A:H,6,FALSE))</f>
        <v xml:space="preserve"> </v>
      </c>
      <c r="F9" s="7" t="str">
        <f>IF(A9=""," ",B9*VLOOKUP(A9,'18.11-07.12.2024'!A:H,7,FALSE))</f>
        <v xml:space="preserve"> </v>
      </c>
      <c r="G9" s="7" t="str">
        <f>IF(A9=""," ",B9*VLOOKUP(A9,'18.11-07.12.2024'!A:H,8,FALSE))</f>
        <v xml:space="preserve"> </v>
      </c>
    </row>
    <row r="10" spans="1:8" ht="14.1" customHeight="1" x14ac:dyDescent="0.2">
      <c r="A10" s="18"/>
      <c r="B10" s="25"/>
      <c r="C10" s="6" t="str">
        <f>IF(A10=""," ",VLOOKUP(A10,'18.11-07.12.2024'!A:H,2,FALSE))</f>
        <v xml:space="preserve"> </v>
      </c>
      <c r="D10" s="33" t="str">
        <f>IF(A10=""," ",VLOOKUP(A10,'18.11-07.12.2024'!A:H,5,FALSE))</f>
        <v xml:space="preserve"> </v>
      </c>
      <c r="E10" s="7" t="str">
        <f>IF(A10=""," ",B10*VLOOKUP(A10,'18.11-07.12.2024'!A:H,6,FALSE))</f>
        <v xml:space="preserve"> </v>
      </c>
      <c r="F10" s="7" t="str">
        <f>IF(A10=""," ",B10*VLOOKUP(A10,'18.11-07.12.2024'!A:H,7,FALSE))</f>
        <v xml:space="preserve"> </v>
      </c>
      <c r="G10" s="7" t="str">
        <f>IF(A10=""," ",B10*VLOOKUP(A10,'18.11-07.12.2024'!A:H,8,FALSE))</f>
        <v xml:space="preserve"> </v>
      </c>
    </row>
    <row r="11" spans="1:8" ht="14.1" customHeight="1" x14ac:dyDescent="0.2">
      <c r="A11" s="18"/>
      <c r="B11" s="25"/>
      <c r="C11" s="6" t="str">
        <f>IF(A11=""," ",VLOOKUP(A11,'18.11-07.12.2024'!A:H,2,FALSE))</f>
        <v xml:space="preserve"> </v>
      </c>
      <c r="D11" s="33" t="str">
        <f>IF(A11=""," ",VLOOKUP(A11,'18.11-07.12.2024'!A:H,5,FALSE))</f>
        <v xml:space="preserve"> </v>
      </c>
      <c r="E11" s="7" t="str">
        <f>IF(A11=""," ",B11*VLOOKUP(A11,'18.11-07.12.2024'!A:H,6,FALSE))</f>
        <v xml:space="preserve"> </v>
      </c>
      <c r="F11" s="7" t="str">
        <f>IF(A11=""," ",B11*VLOOKUP(A11,'18.11-07.12.2024'!A:H,7,FALSE))</f>
        <v xml:space="preserve"> </v>
      </c>
      <c r="G11" s="7" t="str">
        <f>IF(A11=""," ",B11*VLOOKUP(A11,'18.11-07.12.2024'!A:H,8,FALSE))</f>
        <v xml:space="preserve"> </v>
      </c>
    </row>
    <row r="12" spans="1:8" ht="14.1" customHeight="1" x14ac:dyDescent="0.2">
      <c r="A12" s="18"/>
      <c r="B12" s="25"/>
      <c r="C12" s="6" t="str">
        <f>IF(A12=""," ",VLOOKUP(A12,'18.11-07.12.2024'!A:H,2,FALSE))</f>
        <v xml:space="preserve"> </v>
      </c>
      <c r="D12" s="33" t="str">
        <f>IF(A12=""," ",VLOOKUP(A12,'18.11-07.12.2024'!A:H,5,FALSE))</f>
        <v xml:space="preserve"> </v>
      </c>
      <c r="E12" s="7" t="str">
        <f>IF(A12=""," ",B12*VLOOKUP(A12,'18.11-07.12.2024'!A:H,6,FALSE))</f>
        <v xml:space="preserve"> </v>
      </c>
      <c r="F12" s="7" t="str">
        <f>IF(A12=""," ",B12*VLOOKUP(A12,'18.11-07.12.2024'!A:H,7,FALSE))</f>
        <v xml:space="preserve"> </v>
      </c>
      <c r="G12" s="7" t="str">
        <f>IF(A12=""," ",B12*VLOOKUP(A12,'18.11-07.12.2024'!A:H,8,FALSE))</f>
        <v xml:space="preserve"> </v>
      </c>
    </row>
    <row r="13" spans="1:8" ht="14.1" customHeight="1" x14ac:dyDescent="0.2">
      <c r="A13" s="18"/>
      <c r="B13" s="25"/>
      <c r="C13" s="6" t="str">
        <f>IF(A13=""," ",VLOOKUP(A13,'18.11-07.12.2024'!A:H,2,FALSE))</f>
        <v xml:space="preserve"> </v>
      </c>
      <c r="D13" s="33" t="str">
        <f>IF(A13=""," ",VLOOKUP(A13,'18.11-07.12.2024'!A:H,5,FALSE))</f>
        <v xml:space="preserve"> </v>
      </c>
      <c r="E13" s="7" t="str">
        <f>IF(A13=""," ",B13*VLOOKUP(A13,'18.11-07.12.2024'!A:H,6,FALSE))</f>
        <v xml:space="preserve"> </v>
      </c>
      <c r="F13" s="7" t="str">
        <f>IF(A13=""," ",B13*VLOOKUP(A13,'18.11-07.12.2024'!A:H,7,FALSE))</f>
        <v xml:space="preserve"> </v>
      </c>
      <c r="G13" s="7" t="str">
        <f>IF(A13=""," ",B13*VLOOKUP(A13,'18.11-07.12.2024'!A:H,8,FALSE))</f>
        <v xml:space="preserve"> </v>
      </c>
    </row>
    <row r="14" spans="1:8" ht="14.1" customHeight="1" x14ac:dyDescent="0.2">
      <c r="A14" s="18"/>
      <c r="B14" s="25"/>
      <c r="C14" s="6" t="str">
        <f>IF(A14=""," ",VLOOKUP(A14,'18.11-07.12.2024'!A:H,2,FALSE))</f>
        <v xml:space="preserve"> </v>
      </c>
      <c r="D14" s="33" t="str">
        <f>IF(A14=""," ",VLOOKUP(A14,'18.11-07.12.2024'!A:H,5,FALSE))</f>
        <v xml:space="preserve"> </v>
      </c>
      <c r="E14" s="7" t="str">
        <f>IF(A14=""," ",B14*VLOOKUP(A14,'18.11-07.12.2024'!A:H,6,FALSE))</f>
        <v xml:space="preserve"> </v>
      </c>
      <c r="F14" s="7" t="str">
        <f>IF(A14=""," ",B14*VLOOKUP(A14,'18.11-07.12.2024'!A:H,7,FALSE))</f>
        <v xml:space="preserve"> </v>
      </c>
      <c r="G14" s="7" t="str">
        <f>IF(A14=""," ",B14*VLOOKUP(A14,'18.11-07.12.2024'!A:H,8,FALSE))</f>
        <v xml:space="preserve"> </v>
      </c>
    </row>
    <row r="15" spans="1:8" ht="14.1" customHeight="1" x14ac:dyDescent="0.2">
      <c r="A15" s="18"/>
      <c r="B15" s="25"/>
      <c r="C15" s="6" t="str">
        <f>IF(A15=""," ",VLOOKUP(A15,'18.11-07.12.2024'!A:H,2,FALSE))</f>
        <v xml:space="preserve"> </v>
      </c>
      <c r="D15" s="33" t="str">
        <f>IF(A15=""," ",VLOOKUP(A15,'18.11-07.12.2024'!A:H,5,FALSE))</f>
        <v xml:space="preserve"> </v>
      </c>
      <c r="E15" s="7" t="str">
        <f>IF(A15=""," ",B15*VLOOKUP(A15,'18.11-07.12.2024'!A:H,6,FALSE))</f>
        <v xml:space="preserve"> </v>
      </c>
      <c r="F15" s="7" t="str">
        <f>IF(A15=""," ",B15*VLOOKUP(A15,'18.11-07.12.2024'!A:H,7,FALSE))</f>
        <v xml:space="preserve"> </v>
      </c>
      <c r="G15" s="7" t="str">
        <f>IF(A15=""," ",B15*VLOOKUP(A15,'18.11-07.12.2024'!A:H,8,FALSE))</f>
        <v xml:space="preserve"> </v>
      </c>
    </row>
    <row r="16" spans="1:8" ht="14.1" customHeight="1" x14ac:dyDescent="0.2">
      <c r="A16" s="18"/>
      <c r="B16" s="25"/>
      <c r="C16" s="6" t="str">
        <f>IF(A16=""," ",VLOOKUP(A16,'18.11-07.12.2024'!A:H,2,FALSE))</f>
        <v xml:space="preserve"> </v>
      </c>
      <c r="D16" s="33" t="str">
        <f>IF(A16=""," ",VLOOKUP(A16,'18.11-07.12.2024'!A:H,5,FALSE))</f>
        <v xml:space="preserve"> </v>
      </c>
      <c r="E16" s="7" t="str">
        <f>IF(A16=""," ",B16*VLOOKUP(A16,'18.11-07.12.2024'!A:H,6,FALSE))</f>
        <v xml:space="preserve"> </v>
      </c>
      <c r="F16" s="7" t="str">
        <f>IF(A16=""," ",B16*VLOOKUP(A16,'18.11-07.12.2024'!A:H,7,FALSE))</f>
        <v xml:space="preserve"> </v>
      </c>
      <c r="G16" s="7" t="str">
        <f>IF(A16=""," ",B16*VLOOKUP(A16,'18.11-07.12.2024'!A:H,8,FALSE))</f>
        <v xml:space="preserve"> </v>
      </c>
    </row>
    <row r="17" spans="1:7" ht="14.1" customHeight="1" x14ac:dyDescent="0.2">
      <c r="A17" s="18"/>
      <c r="B17" s="25"/>
      <c r="C17" s="6" t="str">
        <f>IF(A17=""," ",VLOOKUP(A17,'18.11-07.12.2024'!A:H,2,FALSE))</f>
        <v xml:space="preserve"> </v>
      </c>
      <c r="D17" s="33" t="str">
        <f>IF(A17=""," ",VLOOKUP(A17,'18.11-07.12.2024'!A:H,5,FALSE))</f>
        <v xml:space="preserve"> </v>
      </c>
      <c r="E17" s="7" t="str">
        <f>IF(A17=""," ",B17*VLOOKUP(A17,'18.11-07.12.2024'!A:H,6,FALSE))</f>
        <v xml:space="preserve"> </v>
      </c>
      <c r="F17" s="7" t="str">
        <f>IF(A17=""," ",B17*VLOOKUP(A17,'18.11-07.12.2024'!A:H,7,FALSE))</f>
        <v xml:space="preserve"> </v>
      </c>
      <c r="G17" s="7" t="str">
        <f>IF(A17=""," ",B17*VLOOKUP(A17,'18.11-07.12.2024'!A:H,8,FALSE))</f>
        <v xml:space="preserve"> </v>
      </c>
    </row>
    <row r="18" spans="1:7" ht="14.1" customHeight="1" x14ac:dyDescent="0.2">
      <c r="A18" s="18"/>
      <c r="B18" s="25"/>
      <c r="C18" s="6" t="str">
        <f>IF(A18=""," ",VLOOKUP(A18,'18.11-07.12.2024'!A:H,2,FALSE))</f>
        <v xml:space="preserve"> </v>
      </c>
      <c r="D18" s="33" t="str">
        <f>IF(A18=""," ",VLOOKUP(A18,'18.11-07.12.2024'!A:H,5,FALSE))</f>
        <v xml:space="preserve"> </v>
      </c>
      <c r="E18" s="7" t="str">
        <f>IF(A18=""," ",B18*VLOOKUP(A18,'18.11-07.12.2024'!A:H,6,FALSE))</f>
        <v xml:space="preserve"> </v>
      </c>
      <c r="F18" s="7" t="str">
        <f>IF(A18=""," ",B18*VLOOKUP(A18,'18.11-07.12.2024'!A:H,7,FALSE))</f>
        <v xml:space="preserve"> </v>
      </c>
      <c r="G18" s="7" t="str">
        <f>IF(A18=""," ",B18*VLOOKUP(A18,'18.11-07.12.2024'!A:H,8,FALSE))</f>
        <v xml:space="preserve"> </v>
      </c>
    </row>
    <row r="19" spans="1:7" ht="14.1" customHeight="1" x14ac:dyDescent="0.2">
      <c r="A19" s="18"/>
      <c r="B19" s="25"/>
      <c r="C19" s="6" t="str">
        <f>IF(A19=""," ",VLOOKUP(A19,'18.11-07.12.2024'!A:H,2,FALSE))</f>
        <v xml:space="preserve"> </v>
      </c>
      <c r="D19" s="33" t="str">
        <f>IF(A19=""," ",VLOOKUP(A19,'18.11-07.12.2024'!A:H,5,FALSE))</f>
        <v xml:space="preserve"> </v>
      </c>
      <c r="E19" s="7" t="str">
        <f>IF(A19=""," ",B19*VLOOKUP(A19,'18.11-07.12.2024'!A:H,6,FALSE))</f>
        <v xml:space="preserve"> </v>
      </c>
      <c r="F19" s="7" t="str">
        <f>IF(A19=""," ",B19*VLOOKUP(A19,'18.11-07.12.2024'!A:H,7,FALSE))</f>
        <v xml:space="preserve"> </v>
      </c>
      <c r="G19" s="7" t="str">
        <f>IF(A19=""," ",B19*VLOOKUP(A19,'18.11-07.12.2024'!A:H,8,FALSE))</f>
        <v xml:space="preserve"> </v>
      </c>
    </row>
    <row r="20" spans="1:7" ht="14.1" customHeight="1" x14ac:dyDescent="0.2">
      <c r="A20" s="18"/>
      <c r="B20" s="25"/>
      <c r="C20" s="6" t="str">
        <f>IF(A20=""," ",VLOOKUP(A20,'18.11-07.12.2024'!A:H,2,FALSE))</f>
        <v xml:space="preserve"> </v>
      </c>
      <c r="D20" s="33" t="str">
        <f>IF(A20=""," ",VLOOKUP(A20,'18.11-07.12.2024'!A:H,5,FALSE))</f>
        <v xml:space="preserve"> </v>
      </c>
      <c r="E20" s="7" t="str">
        <f>IF(A20=""," ",B20*VLOOKUP(A20,'18.11-07.12.2024'!A:H,6,FALSE))</f>
        <v xml:space="preserve"> </v>
      </c>
      <c r="F20" s="7" t="str">
        <f>IF(A20=""," ",B20*VLOOKUP(A20,'18.11-07.12.2024'!A:H,7,FALSE))</f>
        <v xml:space="preserve"> </v>
      </c>
      <c r="G20" s="7" t="str">
        <f>IF(A20=""," ",B20*VLOOKUP(A20,'18.11-07.12.2024'!A:H,8,FALSE))</f>
        <v xml:space="preserve"> </v>
      </c>
    </row>
    <row r="21" spans="1:7" ht="14.1" customHeight="1" x14ac:dyDescent="0.2">
      <c r="A21" s="18"/>
      <c r="B21" s="25"/>
      <c r="C21" s="6" t="str">
        <f>IF(A21=""," ",VLOOKUP(A21,'18.11-07.12.2024'!A:H,2,FALSE))</f>
        <v xml:space="preserve"> </v>
      </c>
      <c r="D21" s="33" t="str">
        <f>IF(A21=""," ",VLOOKUP(A21,'18.11-07.12.2024'!A:H,5,FALSE))</f>
        <v xml:space="preserve"> </v>
      </c>
      <c r="E21" s="7" t="str">
        <f>IF(A21=""," ",B21*VLOOKUP(A21,'18.11-07.12.2024'!A:H,6,FALSE))</f>
        <v xml:space="preserve"> </v>
      </c>
      <c r="F21" s="7" t="str">
        <f>IF(A21=""," ",B21*VLOOKUP(A21,'18.11-07.12.2024'!A:H,7,FALSE))</f>
        <v xml:space="preserve"> </v>
      </c>
      <c r="G21" s="7" t="str">
        <f>IF(A21=""," ",B21*VLOOKUP(A21,'18.11-07.12.2024'!A:H,8,FALSE))</f>
        <v xml:space="preserve"> </v>
      </c>
    </row>
    <row r="22" spans="1:7" ht="14.1" customHeight="1" x14ac:dyDescent="0.2">
      <c r="A22" s="18"/>
      <c r="B22" s="25"/>
      <c r="C22" s="6" t="str">
        <f>IF(A22=""," ",VLOOKUP(A22,'18.11-07.12.2024'!A:H,2,FALSE))</f>
        <v xml:space="preserve"> </v>
      </c>
      <c r="D22" s="33" t="str">
        <f>IF(A22=""," ",VLOOKUP(A22,'18.11-07.12.2024'!A:H,5,FALSE))</f>
        <v xml:space="preserve"> </v>
      </c>
      <c r="E22" s="7" t="str">
        <f>IF(A22=""," ",B22*VLOOKUP(A22,'18.11-07.12.2024'!A:H,6,FALSE))</f>
        <v xml:space="preserve"> </v>
      </c>
      <c r="F22" s="7" t="str">
        <f>IF(A22=""," ",B22*VLOOKUP(A22,'18.11-07.12.2024'!A:H,7,FALSE))</f>
        <v xml:space="preserve"> </v>
      </c>
      <c r="G22" s="7" t="str">
        <f>IF(A22=""," ",B22*VLOOKUP(A22,'18.11-07.12.2024'!A:H,8,FALSE))</f>
        <v xml:space="preserve"> </v>
      </c>
    </row>
    <row r="23" spans="1:7" ht="14.1" customHeight="1" x14ac:dyDescent="0.2">
      <c r="A23" s="18"/>
      <c r="B23" s="25"/>
      <c r="C23" s="6" t="str">
        <f>IF(A23=""," ",VLOOKUP(A23,'18.11-07.12.2024'!A:H,2,FALSE))</f>
        <v xml:space="preserve"> </v>
      </c>
      <c r="D23" s="33" t="str">
        <f>IF(A23=""," ",VLOOKUP(A23,'18.11-07.12.2024'!A:H,5,FALSE))</f>
        <v xml:space="preserve"> </v>
      </c>
      <c r="E23" s="7" t="str">
        <f>IF(A23=""," ",B23*VLOOKUP(A23,'18.11-07.12.2024'!A:H,6,FALSE))</f>
        <v xml:space="preserve"> </v>
      </c>
      <c r="F23" s="7" t="str">
        <f>IF(A23=""," ",B23*VLOOKUP(A23,'18.11-07.12.2024'!A:H,7,FALSE))</f>
        <v xml:space="preserve"> </v>
      </c>
      <c r="G23" s="7" t="str">
        <f>IF(A23=""," ",B23*VLOOKUP(A23,'18.11-07.12.2024'!A:H,8,FALSE))</f>
        <v xml:space="preserve"> </v>
      </c>
    </row>
    <row r="24" spans="1:7" ht="14.1" customHeight="1" x14ac:dyDescent="0.2">
      <c r="A24" s="18"/>
      <c r="B24" s="25"/>
      <c r="C24" s="6" t="str">
        <f>IF(A24=""," ",VLOOKUP(A24,'18.11-07.12.2024'!A:H,2,FALSE))</f>
        <v xml:space="preserve"> </v>
      </c>
      <c r="D24" s="33" t="str">
        <f>IF(A24=""," ",VLOOKUP(A24,'18.11-07.12.2024'!A:H,5,FALSE))</f>
        <v xml:space="preserve"> </v>
      </c>
      <c r="E24" s="7" t="str">
        <f>IF(A24=""," ",B24*VLOOKUP(A24,'18.11-07.12.2024'!A:H,6,FALSE))</f>
        <v xml:space="preserve"> </v>
      </c>
      <c r="F24" s="7" t="str">
        <f>IF(A24=""," ",B24*VLOOKUP(A24,'18.11-07.12.2024'!A:H,7,FALSE))</f>
        <v xml:space="preserve"> </v>
      </c>
      <c r="G24" s="7" t="str">
        <f>IF(A24=""," ",B24*VLOOKUP(A24,'18.11-07.12.2024'!A:H,8,FALSE))</f>
        <v xml:space="preserve"> </v>
      </c>
    </row>
    <row r="25" spans="1:7" ht="14.1" customHeight="1" x14ac:dyDescent="0.2">
      <c r="A25" s="18"/>
      <c r="B25" s="25"/>
      <c r="C25" s="6" t="str">
        <f>IF(A25=""," ",VLOOKUP(A25,'18.11-07.12.2024'!A:H,2,FALSE))</f>
        <v xml:space="preserve"> </v>
      </c>
      <c r="D25" s="33" t="str">
        <f>IF(A25=""," ",VLOOKUP(A25,'18.11-07.12.2024'!A:H,5,FALSE))</f>
        <v xml:space="preserve"> </v>
      </c>
      <c r="E25" s="7" t="str">
        <f>IF(A25=""," ",B25*VLOOKUP(A25,'18.11-07.12.2024'!A:H,6,FALSE))</f>
        <v xml:space="preserve"> </v>
      </c>
      <c r="F25" s="7" t="str">
        <f>IF(A25=""," ",B25*VLOOKUP(A25,'18.11-07.12.2024'!A:H,7,FALSE))</f>
        <v xml:space="preserve"> </v>
      </c>
      <c r="G25" s="7" t="str">
        <f>IF(A25=""," ",B25*VLOOKUP(A25,'18.11-07.12.2024'!A:H,8,FALSE))</f>
        <v xml:space="preserve"> </v>
      </c>
    </row>
    <row r="26" spans="1:7" ht="14.1" customHeight="1" x14ac:dyDescent="0.2">
      <c r="A26" s="18"/>
      <c r="B26" s="25"/>
      <c r="C26" s="6" t="str">
        <f>IF(A26=""," ",VLOOKUP(A26,'18.11-07.12.2024'!A:H,2,FALSE))</f>
        <v xml:space="preserve"> </v>
      </c>
      <c r="D26" s="33" t="str">
        <f>IF(A26=""," ",VLOOKUP(A26,'18.11-07.12.2024'!A:H,5,FALSE))</f>
        <v xml:space="preserve"> </v>
      </c>
      <c r="E26" s="7" t="str">
        <f>IF(A26=""," ",B26*VLOOKUP(A26,'18.11-07.12.2024'!A:H,6,FALSE))</f>
        <v xml:space="preserve"> </v>
      </c>
      <c r="F26" s="7" t="str">
        <f>IF(A26=""," ",B26*VLOOKUP(A26,'18.11-07.12.2024'!A:H,7,FALSE))</f>
        <v xml:space="preserve"> </v>
      </c>
      <c r="G26" s="7" t="str">
        <f>IF(A26=""," ",B26*VLOOKUP(A26,'18.11-07.12.2024'!A:H,8,FALSE))</f>
        <v xml:space="preserve"> </v>
      </c>
    </row>
    <row r="27" spans="1:7" ht="14.1" customHeight="1" x14ac:dyDescent="0.2">
      <c r="A27" s="18"/>
      <c r="B27" s="25"/>
      <c r="C27" s="6" t="str">
        <f>IF(A27=""," ",VLOOKUP(A27,'18.11-07.12.2024'!A:H,2,FALSE))</f>
        <v xml:space="preserve"> </v>
      </c>
      <c r="D27" s="33" t="str">
        <f>IF(A27=""," ",VLOOKUP(A27,'18.11-07.12.2024'!A:H,5,FALSE))</f>
        <v xml:space="preserve"> </v>
      </c>
      <c r="E27" s="7" t="str">
        <f>IF(A27=""," ",B27*VLOOKUP(A27,'18.11-07.12.2024'!A:H,6,FALSE))</f>
        <v xml:space="preserve"> </v>
      </c>
      <c r="F27" s="7" t="str">
        <f>IF(A27=""," ",B27*VLOOKUP(A27,'18.11-07.12.2024'!A:H,7,FALSE))</f>
        <v xml:space="preserve"> </v>
      </c>
      <c r="G27" s="7" t="str">
        <f>IF(A27=""," ",B27*VLOOKUP(A27,'18.11-07.12.2024'!A:H,8,FALSE))</f>
        <v xml:space="preserve"> </v>
      </c>
    </row>
    <row r="28" spans="1:7" ht="14.1" customHeight="1" x14ac:dyDescent="0.2">
      <c r="A28" s="18"/>
      <c r="B28" s="25"/>
      <c r="C28" s="6" t="str">
        <f>IF(A28=""," ",VLOOKUP(A28,'18.11-07.12.2024'!A:H,2,FALSE))</f>
        <v xml:space="preserve"> </v>
      </c>
      <c r="D28" s="33" t="str">
        <f>IF(A28=""," ",VLOOKUP(A28,'18.11-07.12.2024'!A:H,5,FALSE))</f>
        <v xml:space="preserve"> </v>
      </c>
      <c r="E28" s="7" t="str">
        <f>IF(A28=""," ",B28*VLOOKUP(A28,'18.11-07.12.2024'!A:H,6,FALSE))</f>
        <v xml:space="preserve"> </v>
      </c>
      <c r="F28" s="7" t="str">
        <f>IF(A28=""," ",B28*VLOOKUP(A28,'18.11-07.12.2024'!A:H,7,FALSE))</f>
        <v xml:space="preserve"> </v>
      </c>
      <c r="G28" s="7" t="str">
        <f>IF(A28=""," ",B28*VLOOKUP(A28,'18.11-07.12.2024'!A:H,8,FALSE))</f>
        <v xml:space="preserve"> </v>
      </c>
    </row>
    <row r="29" spans="1:7" ht="14.1" customHeight="1" x14ac:dyDescent="0.2">
      <c r="A29" s="18"/>
      <c r="B29" s="25"/>
      <c r="C29" s="6" t="str">
        <f>IF(A29=""," ",VLOOKUP(A29,'18.11-07.12.2024'!A:H,2,FALSE))</f>
        <v xml:space="preserve"> </v>
      </c>
      <c r="D29" s="33" t="str">
        <f>IF(A29=""," ",VLOOKUP(A29,'18.11-07.12.2024'!A:H,5,FALSE))</f>
        <v xml:space="preserve"> </v>
      </c>
      <c r="E29" s="7" t="str">
        <f>IF(A29=""," ",B29*VLOOKUP(A29,'18.11-07.12.2024'!A:H,6,FALSE))</f>
        <v xml:space="preserve"> </v>
      </c>
      <c r="F29" s="7" t="str">
        <f>IF(A29=""," ",B29*VLOOKUP(A29,'18.11-07.12.2024'!A:H,7,FALSE))</f>
        <v xml:space="preserve"> </v>
      </c>
      <c r="G29" s="7" t="str">
        <f>IF(A29=""," ",B29*VLOOKUP(A29,'18.11-07.12.2024'!A:H,8,FALSE))</f>
        <v xml:space="preserve"> </v>
      </c>
    </row>
    <row r="30" spans="1:7" ht="14.1" customHeight="1" x14ac:dyDescent="0.2">
      <c r="A30" s="18"/>
      <c r="B30" s="25"/>
      <c r="C30" s="6" t="str">
        <f>IF(A30=""," ",VLOOKUP(A30,'18.11-07.12.2024'!A:H,2,FALSE))</f>
        <v xml:space="preserve"> </v>
      </c>
      <c r="D30" s="33" t="str">
        <f>IF(A30=""," ",VLOOKUP(A30,'18.11-07.12.2024'!A:H,5,FALSE))</f>
        <v xml:space="preserve"> </v>
      </c>
      <c r="E30" s="7" t="str">
        <f>IF(A30=""," ",B30*VLOOKUP(A30,'18.11-07.12.2024'!A:H,6,FALSE))</f>
        <v xml:space="preserve"> </v>
      </c>
      <c r="F30" s="7" t="str">
        <f>IF(A30=""," ",B30*VLOOKUP(A30,'18.11-07.12.2024'!A:H,7,FALSE))</f>
        <v xml:space="preserve"> </v>
      </c>
      <c r="G30" s="7" t="str">
        <f>IF(A30=""," ",B30*VLOOKUP(A30,'18.11-07.12.2024'!A:H,8,FALSE))</f>
        <v xml:space="preserve"> </v>
      </c>
    </row>
    <row r="31" spans="1:7" ht="14.1" customHeight="1" x14ac:dyDescent="0.2">
      <c r="A31" s="18"/>
      <c r="B31" s="25"/>
      <c r="C31" s="6" t="str">
        <f>IF(A31=""," ",VLOOKUP(A31,'18.11-07.12.2024'!A:H,2,FALSE))</f>
        <v xml:space="preserve"> </v>
      </c>
      <c r="D31" s="33" t="str">
        <f>IF(A31=""," ",VLOOKUP(A31,'18.11-07.12.2024'!A:H,5,FALSE))</f>
        <v xml:space="preserve"> </v>
      </c>
      <c r="E31" s="7" t="str">
        <f>IF(A31=""," ",B31*VLOOKUP(A31,'18.11-07.12.2024'!A:H,6,FALSE))</f>
        <v xml:space="preserve"> </v>
      </c>
      <c r="F31" s="7" t="str">
        <f>IF(A31=""," ",B31*VLOOKUP(A31,'18.11-07.12.2024'!A:H,7,FALSE))</f>
        <v xml:space="preserve"> </v>
      </c>
      <c r="G31" s="7" t="str">
        <f>IF(A31=""," ",B31*VLOOKUP(A31,'18.11-07.12.2024'!A:H,8,FALSE))</f>
        <v xml:space="preserve"> </v>
      </c>
    </row>
    <row r="32" spans="1:7" ht="14.1" customHeight="1" x14ac:dyDescent="0.2">
      <c r="A32" s="18"/>
      <c r="B32" s="25"/>
      <c r="C32" s="6" t="str">
        <f>IF(A32=""," ",VLOOKUP(A32,'18.11-07.12.2024'!A:H,2,FALSE))</f>
        <v xml:space="preserve"> </v>
      </c>
      <c r="D32" s="33" t="str">
        <f>IF(A32=""," ",VLOOKUP(A32,'18.11-07.12.2024'!A:H,5,FALSE))</f>
        <v xml:space="preserve"> </v>
      </c>
      <c r="E32" s="7" t="str">
        <f>IF(A32=""," ",B32*VLOOKUP(A32,'18.11-07.12.2024'!A:H,6,FALSE))</f>
        <v xml:space="preserve"> </v>
      </c>
      <c r="F32" s="7" t="str">
        <f>IF(A32=""," ",B32*VLOOKUP(A32,'18.11-07.12.2024'!A:H,7,FALSE))</f>
        <v xml:space="preserve"> </v>
      </c>
      <c r="G32" s="7" t="str">
        <f>IF(A32=""," ",B32*VLOOKUP(A32,'18.11-07.12.2024'!A:H,8,FALSE))</f>
        <v xml:space="preserve"> </v>
      </c>
    </row>
    <row r="33" spans="1:7" ht="14.1" customHeight="1" x14ac:dyDescent="0.2">
      <c r="A33" s="18"/>
      <c r="B33" s="25"/>
      <c r="C33" s="6" t="str">
        <f>IF(A33=""," ",VLOOKUP(A33,'18.11-07.12.2024'!A:H,2,FALSE))</f>
        <v xml:space="preserve"> </v>
      </c>
      <c r="D33" s="33" t="str">
        <f>IF(A33=""," ",VLOOKUP(A33,'18.11-07.12.2024'!A:H,5,FALSE))</f>
        <v xml:space="preserve"> </v>
      </c>
      <c r="E33" s="7" t="str">
        <f>IF(A33=""," ",B33*VLOOKUP(A33,'18.11-07.12.2024'!A:H,6,FALSE))</f>
        <v xml:space="preserve"> </v>
      </c>
      <c r="F33" s="7" t="str">
        <f>IF(A33=""," ",B33*VLOOKUP(A33,'18.11-07.12.2024'!A:H,7,FALSE))</f>
        <v xml:space="preserve"> </v>
      </c>
      <c r="G33" s="7" t="str">
        <f>IF(A33=""," ",B33*VLOOKUP(A33,'18.11-07.12.2024'!A:H,8,FALSE))</f>
        <v xml:space="preserve"> </v>
      </c>
    </row>
    <row r="34" spans="1:7" ht="14.1" customHeight="1" x14ac:dyDescent="0.2">
      <c r="A34" s="18"/>
      <c r="B34" s="25"/>
      <c r="C34" s="6" t="str">
        <f>IF(A34=""," ",VLOOKUP(A34,'18.11-07.12.2024'!A:H,2,FALSE))</f>
        <v xml:space="preserve"> </v>
      </c>
      <c r="D34" s="33" t="str">
        <f>IF(A34=""," ",VLOOKUP(A34,'18.11-07.12.2024'!A:H,5,FALSE))</f>
        <v xml:space="preserve"> </v>
      </c>
      <c r="E34" s="7" t="str">
        <f>IF(A34=""," ",B34*VLOOKUP(A34,'18.11-07.12.2024'!A:H,6,FALSE))</f>
        <v xml:space="preserve"> </v>
      </c>
      <c r="F34" s="7" t="str">
        <f>IF(A34=""," ",B34*VLOOKUP(A34,'18.11-07.12.2024'!A:H,7,FALSE))</f>
        <v xml:space="preserve"> </v>
      </c>
      <c r="G34" s="7" t="str">
        <f>IF(A34=""," ",B34*VLOOKUP(A34,'18.11-07.12.2024'!A:H,8,FALSE))</f>
        <v xml:space="preserve"> </v>
      </c>
    </row>
    <row r="35" spans="1:7" ht="14.1" customHeight="1" x14ac:dyDescent="0.2">
      <c r="A35" s="18"/>
      <c r="B35" s="25"/>
      <c r="C35" s="6" t="str">
        <f>IF(A35=""," ",VLOOKUP(A35,'18.11-07.12.2024'!A:H,2,FALSE))</f>
        <v xml:space="preserve"> </v>
      </c>
      <c r="D35" s="33" t="str">
        <f>IF(A35=""," ",VLOOKUP(A35,'18.11-07.12.2024'!A:H,5,FALSE))</f>
        <v xml:space="preserve"> </v>
      </c>
      <c r="E35" s="7" t="str">
        <f>IF(A35=""," ",B35*VLOOKUP(A35,'18.11-07.12.2024'!A:H,6,FALSE))</f>
        <v xml:space="preserve"> </v>
      </c>
      <c r="F35" s="7" t="str">
        <f>IF(A35=""," ",B35*VLOOKUP(A35,'18.11-07.12.2024'!A:H,7,FALSE))</f>
        <v xml:space="preserve"> </v>
      </c>
      <c r="G35" s="7" t="str">
        <f>IF(A35=""," ",B35*VLOOKUP(A35,'18.11-07.12.2024'!A:H,8,FALSE))</f>
        <v xml:space="preserve"> </v>
      </c>
    </row>
    <row r="36" spans="1:7" ht="14.1" customHeight="1" x14ac:dyDescent="0.2">
      <c r="A36" s="18"/>
      <c r="B36" s="25"/>
      <c r="C36" s="6" t="str">
        <f>IF(A36=""," ",VLOOKUP(A36,'18.11-07.12.2024'!A:H,2,FALSE))</f>
        <v xml:space="preserve"> </v>
      </c>
      <c r="D36" s="33" t="str">
        <f>IF(A36=""," ",VLOOKUP(A36,'18.11-07.12.2024'!A:H,5,FALSE))</f>
        <v xml:space="preserve"> </v>
      </c>
      <c r="E36" s="7" t="str">
        <f>IF(A36=""," ",B36*VLOOKUP(A36,'18.11-07.12.2024'!A:H,6,FALSE))</f>
        <v xml:space="preserve"> </v>
      </c>
      <c r="F36" s="7" t="str">
        <f>IF(A36=""," ",B36*VLOOKUP(A36,'18.11-07.12.2024'!A:H,7,FALSE))</f>
        <v xml:space="preserve"> </v>
      </c>
      <c r="G36" s="7" t="str">
        <f>IF(A36=""," ",B36*VLOOKUP(A36,'18.11-07.12.2024'!A:H,8,FALSE))</f>
        <v xml:space="preserve"> </v>
      </c>
    </row>
    <row r="37" spans="1:7" ht="14.1" customHeight="1" x14ac:dyDescent="0.2">
      <c r="A37" s="18"/>
      <c r="B37" s="25"/>
      <c r="C37" s="6" t="str">
        <f>IF(A37=""," ",VLOOKUP(A37,'18.11-07.12.2024'!A:H,2,FALSE))</f>
        <v xml:space="preserve"> </v>
      </c>
      <c r="D37" s="33" t="str">
        <f>IF(A37=""," ",VLOOKUP(A37,'18.11-07.12.2024'!A:H,5,FALSE))</f>
        <v xml:space="preserve"> </v>
      </c>
      <c r="E37" s="7" t="str">
        <f>IF(A37=""," ",B37*VLOOKUP(A37,'18.11-07.12.2024'!A:H,6,FALSE))</f>
        <v xml:space="preserve"> </v>
      </c>
      <c r="F37" s="7" t="str">
        <f>IF(A37=""," ",B37*VLOOKUP(A37,'18.11-07.12.2024'!A:H,7,FALSE))</f>
        <v xml:space="preserve"> </v>
      </c>
      <c r="G37" s="7" t="str">
        <f>IF(A37=""," ",B37*VLOOKUP(A37,'18.11-07.12.2024'!A:H,8,FALSE))</f>
        <v xml:space="preserve"> </v>
      </c>
    </row>
    <row r="38" spans="1:7" ht="14.1" customHeight="1" x14ac:dyDescent="0.2">
      <c r="A38" s="18"/>
      <c r="B38" s="25"/>
      <c r="C38" s="6" t="str">
        <f>IF(A38=""," ",VLOOKUP(A38,'18.11-07.12.2024'!A:H,2,FALSE))</f>
        <v xml:space="preserve"> </v>
      </c>
      <c r="D38" s="33" t="str">
        <f>IF(A38=""," ",VLOOKUP(A38,'18.11-07.12.2024'!A:H,5,FALSE))</f>
        <v xml:space="preserve"> </v>
      </c>
      <c r="E38" s="7" t="str">
        <f>IF(A38=""," ",B38*VLOOKUP(A38,'18.11-07.12.2024'!A:H,6,FALSE))</f>
        <v xml:space="preserve"> </v>
      </c>
      <c r="F38" s="7" t="str">
        <f>IF(A38=""," ",B38*VLOOKUP(A38,'18.11-07.12.2024'!A:H,7,FALSE))</f>
        <v xml:space="preserve"> </v>
      </c>
      <c r="G38" s="7" t="str">
        <f>IF(A38=""," ",B38*VLOOKUP(A38,'18.11-07.12.2024'!A:H,8,FALSE))</f>
        <v xml:space="preserve"> </v>
      </c>
    </row>
    <row r="39" spans="1:7" ht="14.1" customHeight="1" x14ac:dyDescent="0.2">
      <c r="A39" s="18"/>
      <c r="B39" s="25"/>
      <c r="C39" s="6" t="str">
        <f>IF(A39=""," ",VLOOKUP(A39,'18.11-07.12.2024'!A:H,2,FALSE))</f>
        <v xml:space="preserve"> </v>
      </c>
      <c r="D39" s="33" t="str">
        <f>IF(A39=""," ",VLOOKUP(A39,'18.11-07.12.2024'!A:H,5,FALSE))</f>
        <v xml:space="preserve"> </v>
      </c>
      <c r="E39" s="7" t="str">
        <f>IF(A39=""," ",B39*VLOOKUP(A39,'18.11-07.12.2024'!A:H,6,FALSE))</f>
        <v xml:space="preserve"> </v>
      </c>
      <c r="F39" s="7" t="str">
        <f>IF(A39=""," ",B39*VLOOKUP(A39,'18.11-07.12.2024'!A:H,7,FALSE))</f>
        <v xml:space="preserve"> </v>
      </c>
      <c r="G39" s="7" t="str">
        <f>IF(A39=""," ",B39*VLOOKUP(A39,'18.11-07.12.2024'!A:H,8,FALSE))</f>
        <v xml:space="preserve"> </v>
      </c>
    </row>
    <row r="40" spans="1:7" ht="14.1" customHeight="1" x14ac:dyDescent="0.2">
      <c r="A40" s="18"/>
      <c r="B40" s="25"/>
      <c r="C40" s="6" t="str">
        <f>IF(A40=""," ",VLOOKUP(A40,'18.11-07.12.2024'!A:H,2,FALSE))</f>
        <v xml:space="preserve"> </v>
      </c>
      <c r="D40" s="33" t="str">
        <f>IF(A40=""," ",VLOOKUP(A40,'18.11-07.12.2024'!A:H,5,FALSE))</f>
        <v xml:space="preserve"> </v>
      </c>
      <c r="E40" s="7" t="str">
        <f>IF(A40=""," ",B40*VLOOKUP(A40,'18.11-07.12.2024'!A:H,6,FALSE))</f>
        <v xml:space="preserve"> </v>
      </c>
      <c r="F40" s="7" t="str">
        <f>IF(A40=""," ",B40*VLOOKUP(A40,'18.11-07.12.2024'!A:H,7,FALSE))</f>
        <v xml:space="preserve"> </v>
      </c>
      <c r="G40" s="7" t="str">
        <f>IF(A40=""," ",B40*VLOOKUP(A40,'18.11-07.12.2024'!A:H,8,FALSE))</f>
        <v xml:space="preserve"> </v>
      </c>
    </row>
    <row r="41" spans="1:7" ht="14.1" customHeight="1" x14ac:dyDescent="0.2">
      <c r="A41" s="18"/>
      <c r="B41" s="25"/>
      <c r="C41" s="6" t="str">
        <f>IF(A41=""," ",VLOOKUP(A41,'18.11-07.12.2024'!A:H,2,FALSE))</f>
        <v xml:space="preserve"> </v>
      </c>
      <c r="D41" s="33" t="str">
        <f>IF(A41=""," ",VLOOKUP(A41,'18.11-07.12.2024'!A:H,5,FALSE))</f>
        <v xml:space="preserve"> </v>
      </c>
      <c r="E41" s="7" t="str">
        <f>IF(A41=""," ",B41*VLOOKUP(A41,'18.11-07.12.2024'!A:H,6,FALSE))</f>
        <v xml:space="preserve"> </v>
      </c>
      <c r="F41" s="7" t="str">
        <f>IF(A41=""," ",B41*VLOOKUP(A41,'18.11-07.12.2024'!A:H,7,FALSE))</f>
        <v xml:space="preserve"> </v>
      </c>
      <c r="G41" s="7" t="str">
        <f>IF(A41=""," ",B41*VLOOKUP(A41,'18.11-07.12.2024'!A:H,8,FALSE))</f>
        <v xml:space="preserve"> </v>
      </c>
    </row>
    <row r="42" spans="1:7" ht="14.1" customHeight="1" x14ac:dyDescent="0.2">
      <c r="A42" s="18"/>
      <c r="B42" s="25"/>
      <c r="C42" s="6" t="str">
        <f>IF(A42=""," ",VLOOKUP(A42,'18.11-07.12.2024'!A:H,2,FALSE))</f>
        <v xml:space="preserve"> </v>
      </c>
      <c r="D42" s="33" t="str">
        <f>IF(A42=""," ",VLOOKUP(A42,'18.11-07.12.2024'!A:H,5,FALSE))</f>
        <v xml:space="preserve"> </v>
      </c>
      <c r="E42" s="7" t="str">
        <f>IF(A42=""," ",B42*VLOOKUP(A42,'18.11-07.12.2024'!A:H,6,FALSE))</f>
        <v xml:space="preserve"> </v>
      </c>
      <c r="F42" s="7" t="str">
        <f>IF(A42=""," ",B42*VLOOKUP(A42,'18.11-07.12.2024'!A:H,7,FALSE))</f>
        <v xml:space="preserve"> </v>
      </c>
      <c r="G42" s="7" t="str">
        <f>IF(A42=""," ",B42*VLOOKUP(A42,'18.11-07.12.2024'!A:H,8,FALSE))</f>
        <v xml:space="preserve"> </v>
      </c>
    </row>
    <row r="43" spans="1:7" ht="14.1" customHeight="1" x14ac:dyDescent="0.2">
      <c r="A43" s="18"/>
      <c r="B43" s="25"/>
      <c r="C43" s="6" t="str">
        <f>IF(A43=""," ",VLOOKUP(A43,'18.11-07.12.2024'!A:H,2,FALSE))</f>
        <v xml:space="preserve"> </v>
      </c>
      <c r="D43" s="33" t="str">
        <f>IF(A43=""," ",VLOOKUP(A43,'18.11-07.12.2024'!A:H,5,FALSE))</f>
        <v xml:space="preserve"> </v>
      </c>
      <c r="E43" s="7" t="str">
        <f>IF(A43=""," ",B43*VLOOKUP(A43,'18.11-07.12.2024'!A:H,6,FALSE))</f>
        <v xml:space="preserve"> </v>
      </c>
      <c r="F43" s="7" t="str">
        <f>IF(A43=""," ",B43*VLOOKUP(A43,'18.11-07.12.2024'!A:H,7,FALSE))</f>
        <v xml:space="preserve"> </v>
      </c>
      <c r="G43" s="7" t="str">
        <f>IF(A43=""," ",B43*VLOOKUP(A43,'18.11-07.12.2024'!A:H,8,FALSE))</f>
        <v xml:space="preserve"> </v>
      </c>
    </row>
    <row r="44" spans="1:7" ht="14.1" customHeight="1" x14ac:dyDescent="0.2">
      <c r="A44" s="18"/>
      <c r="B44" s="25"/>
      <c r="C44" s="6" t="str">
        <f>IF(A44=""," ",VLOOKUP(A44,'18.11-07.12.2024'!A:H,2,FALSE))</f>
        <v xml:space="preserve"> </v>
      </c>
      <c r="D44" s="33" t="str">
        <f>IF(A44=""," ",VLOOKUP(A44,'18.11-07.12.2024'!A:H,5,FALSE))</f>
        <v xml:space="preserve"> </v>
      </c>
      <c r="E44" s="7" t="str">
        <f>IF(A44=""," ",B44*VLOOKUP(A44,'18.11-07.12.2024'!A:H,6,FALSE))</f>
        <v xml:space="preserve"> </v>
      </c>
      <c r="F44" s="7" t="str">
        <f>IF(A44=""," ",B44*VLOOKUP(A44,'18.11-07.12.2024'!A:H,7,FALSE))</f>
        <v xml:space="preserve"> </v>
      </c>
      <c r="G44" s="7" t="str">
        <f>IF(A44=""," ",B44*VLOOKUP(A44,'18.11-07.12.2024'!A:H,8,FALSE))</f>
        <v xml:space="preserve"> </v>
      </c>
    </row>
    <row r="45" spans="1:7" ht="14.1" customHeight="1" x14ac:dyDescent="0.2">
      <c r="A45" s="18"/>
      <c r="B45" s="25"/>
      <c r="C45" s="6" t="str">
        <f>IF(A45=""," ",VLOOKUP(A45,'18.11-07.12.2024'!A:H,2,FALSE))</f>
        <v xml:space="preserve"> </v>
      </c>
      <c r="D45" s="33" t="str">
        <f>IF(A45=""," ",VLOOKUP(A45,'18.11-07.12.2024'!A:H,5,FALSE))</f>
        <v xml:space="preserve"> </v>
      </c>
      <c r="E45" s="7" t="str">
        <f>IF(A45=""," ",B45*VLOOKUP(A45,'18.11-07.12.2024'!A:H,6,FALSE))</f>
        <v xml:space="preserve"> </v>
      </c>
      <c r="F45" s="7" t="str">
        <f>IF(A45=""," ",B45*VLOOKUP(A45,'18.11-07.12.2024'!A:H,7,FALSE))</f>
        <v xml:space="preserve"> </v>
      </c>
      <c r="G45" s="7" t="str">
        <f>IF(A45=""," ",B45*VLOOKUP(A45,'18.11-07.12.2024'!A:H,8,FALSE))</f>
        <v xml:space="preserve"> </v>
      </c>
    </row>
    <row r="46" spans="1:7" ht="14.1" customHeight="1" x14ac:dyDescent="0.2">
      <c r="A46" s="18"/>
      <c r="B46" s="25"/>
      <c r="C46" s="6" t="str">
        <f>IF(A46=""," ",VLOOKUP(A46,'18.11-07.12.2024'!A:H,2,FALSE))</f>
        <v xml:space="preserve"> </v>
      </c>
      <c r="D46" s="33" t="str">
        <f>IF(A46=""," ",VLOOKUP(A46,'18.11-07.12.2024'!A:H,5,FALSE))</f>
        <v xml:space="preserve"> </v>
      </c>
      <c r="E46" s="7" t="str">
        <f>IF(A46=""," ",B46*VLOOKUP(A46,'18.11-07.12.2024'!A:H,6,FALSE))</f>
        <v xml:space="preserve"> </v>
      </c>
      <c r="F46" s="7" t="str">
        <f>IF(A46=""," ",B46*VLOOKUP(A46,'18.11-07.12.2024'!A:H,7,FALSE))</f>
        <v xml:space="preserve"> </v>
      </c>
      <c r="G46" s="7" t="str">
        <f>IF(A46=""," ",B46*VLOOKUP(A46,'18.11-07.12.2024'!A:H,8,FALSE))</f>
        <v xml:space="preserve"> </v>
      </c>
    </row>
    <row r="47" spans="1:7" ht="14.1" customHeight="1" x14ac:dyDescent="0.2">
      <c r="A47" s="18"/>
      <c r="B47" s="25"/>
      <c r="C47" s="6" t="str">
        <f>IF(A47=""," ",VLOOKUP(A47,'18.11-07.12.2024'!A:H,2,FALSE))</f>
        <v xml:space="preserve"> </v>
      </c>
      <c r="D47" s="33" t="str">
        <f>IF(A47=""," ",VLOOKUP(A47,'18.11-07.12.2024'!A:H,5,FALSE))</f>
        <v xml:space="preserve"> </v>
      </c>
      <c r="E47" s="7" t="str">
        <f>IF(A47=""," ",B47*VLOOKUP(A47,'18.11-07.12.2024'!A:H,6,FALSE))</f>
        <v xml:space="preserve"> </v>
      </c>
      <c r="F47" s="7" t="str">
        <f>IF(A47=""," ",B47*VLOOKUP(A47,'18.11-07.12.2024'!A:H,7,FALSE))</f>
        <v xml:space="preserve"> </v>
      </c>
      <c r="G47" s="7" t="str">
        <f>IF(A47=""," ",B47*VLOOKUP(A47,'18.11-07.12.2024'!A:H,8,FALSE))</f>
        <v xml:space="preserve"> </v>
      </c>
    </row>
    <row r="48" spans="1:7" ht="14.1" customHeight="1" x14ac:dyDescent="0.2">
      <c r="A48" s="18"/>
      <c r="B48" s="25"/>
      <c r="C48" s="6" t="str">
        <f>IF(A48=""," ",VLOOKUP(A48,'18.11-07.12.2024'!A:H,2,FALSE))</f>
        <v xml:space="preserve"> </v>
      </c>
      <c r="D48" s="33" t="str">
        <f>IF(A48=""," ",VLOOKUP(A48,'18.11-07.12.2024'!A:H,5,FALSE))</f>
        <v xml:space="preserve"> </v>
      </c>
      <c r="E48" s="7" t="str">
        <f>IF(A48=""," ",B48*VLOOKUP(A48,'18.11-07.12.2024'!A:H,6,FALSE))</f>
        <v xml:space="preserve"> </v>
      </c>
      <c r="F48" s="7" t="str">
        <f>IF(A48=""," ",B48*VLOOKUP(A48,'18.11-07.12.2024'!A:H,7,FALSE))</f>
        <v xml:space="preserve"> </v>
      </c>
      <c r="G48" s="7" t="str">
        <f>IF(A48=""," ",B48*VLOOKUP(A48,'18.11-07.12.2024'!A:H,8,FALSE))</f>
        <v xml:space="preserve"> </v>
      </c>
    </row>
    <row r="49" spans="1:7" ht="14.1" customHeight="1" x14ac:dyDescent="0.2">
      <c r="A49" s="18"/>
      <c r="B49" s="25"/>
      <c r="C49" s="6" t="str">
        <f>IF(A49=""," ",VLOOKUP(A49,'18.11-07.12.2024'!A:H,2,FALSE))</f>
        <v xml:space="preserve"> </v>
      </c>
      <c r="D49" s="33" t="str">
        <f>IF(A49=""," ",VLOOKUP(A49,'18.11-07.12.2024'!A:H,5,FALSE))</f>
        <v xml:space="preserve"> </v>
      </c>
      <c r="E49" s="7" t="str">
        <f>IF(A49=""," ",B49*VLOOKUP(A49,'18.11-07.12.2024'!A:H,6,FALSE))</f>
        <v xml:space="preserve"> </v>
      </c>
      <c r="F49" s="7" t="str">
        <f>IF(A49=""," ",B49*VLOOKUP(A49,'18.11-07.12.2024'!A:H,7,FALSE))</f>
        <v xml:space="preserve"> </v>
      </c>
      <c r="G49" s="7" t="str">
        <f>IF(A49=""," ",B49*VLOOKUP(A49,'18.11-07.12.2024'!A:H,8,FALSE))</f>
        <v xml:space="preserve"> </v>
      </c>
    </row>
    <row r="50" spans="1:7" ht="14.1" customHeight="1" x14ac:dyDescent="0.2">
      <c r="A50" s="18"/>
      <c r="B50" s="25"/>
      <c r="C50" s="6" t="str">
        <f>IF(A50=""," ",VLOOKUP(A50,'18.11-07.12.2024'!A:H,2,FALSE))</f>
        <v xml:space="preserve"> </v>
      </c>
      <c r="D50" s="33" t="str">
        <f>IF(A50=""," ",VLOOKUP(A50,'18.11-07.12.2024'!A:H,5,FALSE))</f>
        <v xml:space="preserve"> </v>
      </c>
      <c r="E50" s="7" t="str">
        <f>IF(A50=""," ",B50*VLOOKUP(A50,'18.11-07.12.2024'!A:H,6,FALSE))</f>
        <v xml:space="preserve"> </v>
      </c>
      <c r="F50" s="7" t="str">
        <f>IF(A50=""," ",B50*VLOOKUP(A50,'18.11-07.12.2024'!A:H,7,FALSE))</f>
        <v xml:space="preserve"> </v>
      </c>
      <c r="G50" s="7" t="str">
        <f>IF(A50=""," ",B50*VLOOKUP(A50,'18.11-07.12.2024'!A:H,8,FALSE))</f>
        <v xml:space="preserve"> </v>
      </c>
    </row>
    <row r="51" spans="1:7" ht="14.1" customHeight="1" x14ac:dyDescent="0.2">
      <c r="A51" s="18"/>
      <c r="B51" s="25"/>
      <c r="C51" s="6" t="str">
        <f>IF(A51=""," ",VLOOKUP(A51,'18.11-07.12.2024'!A:H,2,FALSE))</f>
        <v xml:space="preserve"> </v>
      </c>
      <c r="D51" s="33" t="str">
        <f>IF(A51=""," ",VLOOKUP(A51,'18.11-07.12.2024'!A:H,5,FALSE))</f>
        <v xml:space="preserve"> </v>
      </c>
      <c r="E51" s="7" t="str">
        <f>IF(A51=""," ",B51*VLOOKUP(A51,'18.11-07.12.2024'!A:H,6,FALSE))</f>
        <v xml:space="preserve"> </v>
      </c>
      <c r="F51" s="7" t="str">
        <f>IF(A51=""," ",B51*VLOOKUP(A51,'18.11-07.12.2024'!A:H,7,FALSE))</f>
        <v xml:space="preserve"> </v>
      </c>
      <c r="G51" s="7" t="str">
        <f>IF(A51=""," ",B51*VLOOKUP(A51,'18.11-07.12.2024'!A:H,8,FALSE))</f>
        <v xml:space="preserve"> </v>
      </c>
    </row>
    <row r="52" spans="1:7" ht="14.1" customHeight="1" x14ac:dyDescent="0.2">
      <c r="A52" s="18"/>
      <c r="B52" s="25"/>
      <c r="C52" s="6" t="str">
        <f>IF(A52=""," ",VLOOKUP(A52,'18.11-07.12.2024'!A:H,2,FALSE))</f>
        <v xml:space="preserve"> </v>
      </c>
      <c r="D52" s="33" t="str">
        <f>IF(A52=""," ",VLOOKUP(A52,'18.11-07.12.2024'!A:H,5,FALSE))</f>
        <v xml:space="preserve"> </v>
      </c>
      <c r="E52" s="7" t="str">
        <f>IF(A52=""," ",B52*VLOOKUP(A52,'18.11-07.12.2024'!A:H,6,FALSE))</f>
        <v xml:space="preserve"> </v>
      </c>
      <c r="F52" s="7" t="str">
        <f>IF(A52=""," ",B52*VLOOKUP(A52,'18.11-07.12.2024'!A:H,7,FALSE))</f>
        <v xml:space="preserve"> </v>
      </c>
      <c r="G52" s="7" t="str">
        <f>IF(A52=""," ",B52*VLOOKUP(A52,'18.11-07.12.2024'!A:H,8,FALSE))</f>
        <v xml:space="preserve"> </v>
      </c>
    </row>
    <row r="53" spans="1:7" ht="14.1" customHeight="1" x14ac:dyDescent="0.2">
      <c r="A53" s="18"/>
      <c r="B53" s="25"/>
      <c r="C53" s="6" t="str">
        <f>IF(A53=""," ",VLOOKUP(A53,'18.11-07.12.2024'!A:H,2,FALSE))</f>
        <v xml:space="preserve"> </v>
      </c>
      <c r="D53" s="33" t="str">
        <f>IF(A53=""," ",VLOOKUP(A53,'18.11-07.12.2024'!A:H,5,FALSE))</f>
        <v xml:space="preserve"> </v>
      </c>
      <c r="E53" s="7" t="str">
        <f>IF(A53=""," ",B53*VLOOKUP(A53,'18.11-07.12.2024'!A:H,6,FALSE))</f>
        <v xml:space="preserve"> </v>
      </c>
      <c r="F53" s="7" t="str">
        <f>IF(A53=""," ",B53*VLOOKUP(A53,'18.11-07.12.2024'!A:H,7,FALSE))</f>
        <v xml:space="preserve"> </v>
      </c>
      <c r="G53" s="7" t="str">
        <f>IF(A53=""," ",B53*VLOOKUP(A53,'18.11-07.12.2024'!A:H,8,FALSE))</f>
        <v xml:space="preserve"> </v>
      </c>
    </row>
    <row r="54" spans="1:7" ht="14.1" customHeight="1" x14ac:dyDescent="0.2">
      <c r="A54" s="18"/>
      <c r="B54" s="25"/>
      <c r="C54" s="6" t="str">
        <f>IF(A54=""," ",VLOOKUP(A54,'18.11-07.12.2024'!A:H,2,FALSE))</f>
        <v xml:space="preserve"> </v>
      </c>
      <c r="D54" s="33" t="str">
        <f>IF(A54=""," ",VLOOKUP(A54,'18.11-07.12.2024'!A:H,5,FALSE))</f>
        <v xml:space="preserve"> </v>
      </c>
      <c r="E54" s="7" t="str">
        <f>IF(A54=""," ",B54*VLOOKUP(A54,'18.11-07.12.2024'!A:H,6,FALSE))</f>
        <v xml:space="preserve"> </v>
      </c>
      <c r="F54" s="7" t="str">
        <f>IF(A54=""," ",B54*VLOOKUP(A54,'18.11-07.12.2024'!A:H,7,FALSE))</f>
        <v xml:space="preserve"> </v>
      </c>
      <c r="G54" s="7" t="str">
        <f>IF(A54=""," ",B54*VLOOKUP(A54,'18.11-07.12.2024'!A:H,8,FALSE))</f>
        <v xml:space="preserve"> </v>
      </c>
    </row>
    <row r="55" spans="1:7" ht="14.1" customHeight="1" x14ac:dyDescent="0.2">
      <c r="A55" s="18"/>
      <c r="B55" s="25"/>
      <c r="C55" s="6" t="str">
        <f>IF(A55=""," ",VLOOKUP(A55,'18.11-07.12.2024'!A:H,2,FALSE))</f>
        <v xml:space="preserve"> </v>
      </c>
      <c r="D55" s="33" t="str">
        <f>IF(A55=""," ",VLOOKUP(A55,'18.11-07.12.2024'!A:H,5,FALSE))</f>
        <v xml:space="preserve"> </v>
      </c>
      <c r="E55" s="7" t="str">
        <f>IF(A55=""," ",B55*VLOOKUP(A55,'18.11-07.12.2024'!A:H,6,FALSE))</f>
        <v xml:space="preserve"> </v>
      </c>
      <c r="F55" s="7" t="str">
        <f>IF(A55=""," ",B55*VLOOKUP(A55,'18.11-07.12.2024'!A:H,7,FALSE))</f>
        <v xml:space="preserve"> </v>
      </c>
      <c r="G55" s="7" t="str">
        <f>IF(A55=""," ",B55*VLOOKUP(A55,'18.11-07.12.2024'!A:H,8,FALSE))</f>
        <v xml:space="preserve"> </v>
      </c>
    </row>
    <row r="56" spans="1:7" ht="14.1" customHeight="1" x14ac:dyDescent="0.2">
      <c r="A56" s="18"/>
      <c r="B56" s="25"/>
      <c r="C56" s="6" t="str">
        <f>IF(A56=""," ",VLOOKUP(A56,'18.11-07.12.2024'!A:H,2,FALSE))</f>
        <v xml:space="preserve"> </v>
      </c>
      <c r="D56" s="33" t="str">
        <f>IF(A56=""," ",VLOOKUP(A56,'18.11-07.12.2024'!A:H,5,FALSE))</f>
        <v xml:space="preserve"> </v>
      </c>
      <c r="E56" s="7" t="str">
        <f>IF(A56=""," ",B56*VLOOKUP(A56,'18.11-07.12.2024'!A:H,6,FALSE))</f>
        <v xml:space="preserve"> </v>
      </c>
      <c r="F56" s="7" t="str">
        <f>IF(A56=""," ",B56*VLOOKUP(A56,'18.11-07.12.2024'!A:H,7,FALSE))</f>
        <v xml:space="preserve"> </v>
      </c>
      <c r="G56" s="7" t="str">
        <f>IF(A56=""," ",B56*VLOOKUP(A56,'18.11-07.12.2024'!A:H,8,FALSE))</f>
        <v xml:space="preserve"> </v>
      </c>
    </row>
    <row r="57" spans="1:7" ht="14.1" customHeight="1" x14ac:dyDescent="0.2">
      <c r="A57" s="18"/>
      <c r="B57" s="25"/>
      <c r="C57" s="6" t="str">
        <f>IF(A57=""," ",VLOOKUP(A57,'18.11-07.12.2024'!A:H,2,FALSE))</f>
        <v xml:space="preserve"> </v>
      </c>
      <c r="D57" s="33" t="str">
        <f>IF(A57=""," ",VLOOKUP(A57,'18.11-07.12.2024'!A:H,5,FALSE))</f>
        <v xml:space="preserve"> </v>
      </c>
      <c r="E57" s="7" t="str">
        <f>IF(A57=""," ",B57*VLOOKUP(A57,'18.11-07.12.2024'!A:H,6,FALSE))</f>
        <v xml:space="preserve"> </v>
      </c>
      <c r="F57" s="7" t="str">
        <f>IF(A57=""," ",B57*VLOOKUP(A57,'18.11-07.12.2024'!A:H,7,FALSE))</f>
        <v xml:space="preserve"> </v>
      </c>
      <c r="G57" s="7" t="str">
        <f>IF(A57=""," ",B57*VLOOKUP(A57,'18.11-07.12.2024'!A:H,8,FALSE))</f>
        <v xml:space="preserve"> </v>
      </c>
    </row>
    <row r="58" spans="1:7" ht="14.1" customHeight="1" x14ac:dyDescent="0.2">
      <c r="A58" s="18"/>
      <c r="B58" s="25"/>
      <c r="C58" s="6" t="str">
        <f>IF(A58=""," ",VLOOKUP(A58,'18.11-07.12.2024'!A:H,2,FALSE))</f>
        <v xml:space="preserve"> </v>
      </c>
      <c r="D58" s="33" t="str">
        <f>IF(A58=""," ",VLOOKUP(A58,'18.11-07.12.2024'!A:H,5,FALSE))</f>
        <v xml:space="preserve"> </v>
      </c>
      <c r="E58" s="7" t="str">
        <f>IF(A58=""," ",B58*VLOOKUP(A58,'18.11-07.12.2024'!A:H,6,FALSE))</f>
        <v xml:space="preserve"> </v>
      </c>
      <c r="F58" s="7" t="str">
        <f>IF(A58=""," ",B58*VLOOKUP(A58,'18.11-07.12.2024'!A:H,7,FALSE))</f>
        <v xml:space="preserve"> </v>
      </c>
      <c r="G58" s="7" t="str">
        <f>IF(A58=""," ",B58*VLOOKUP(A58,'18.11-07.12.2024'!A:H,8,FALSE))</f>
        <v xml:space="preserve"> </v>
      </c>
    </row>
    <row r="59" spans="1:7" ht="14.1" customHeight="1" x14ac:dyDescent="0.2">
      <c r="A59" s="18"/>
      <c r="B59" s="25"/>
      <c r="C59" s="6" t="str">
        <f>IF(A59=""," ",VLOOKUP(A59,'18.11-07.12.2024'!A:H,2,FALSE))</f>
        <v xml:space="preserve"> </v>
      </c>
      <c r="D59" s="33" t="str">
        <f>IF(A59=""," ",VLOOKUP(A59,'18.11-07.12.2024'!A:H,5,FALSE))</f>
        <v xml:space="preserve"> </v>
      </c>
      <c r="E59" s="7" t="str">
        <f>IF(A59=""," ",B59*VLOOKUP(A59,'18.11-07.12.2024'!A:H,6,FALSE))</f>
        <v xml:space="preserve"> </v>
      </c>
      <c r="F59" s="7" t="str">
        <f>IF(A59=""," ",B59*VLOOKUP(A59,'18.11-07.12.2024'!A:H,7,FALSE))</f>
        <v xml:space="preserve"> </v>
      </c>
      <c r="G59" s="7" t="str">
        <f>IF(A59=""," ",B59*VLOOKUP(A59,'18.11-07.12.2024'!A:H,8,FALSE))</f>
        <v xml:space="preserve"> </v>
      </c>
    </row>
    <row r="60" spans="1:7" ht="14.1" customHeight="1" x14ac:dyDescent="0.2">
      <c r="A60" s="18"/>
      <c r="B60" s="25"/>
      <c r="C60" s="6" t="str">
        <f>IF(A60=""," ",VLOOKUP(A60,'18.11-07.12.2024'!A:H,2,FALSE))</f>
        <v xml:space="preserve"> </v>
      </c>
      <c r="D60" s="33" t="str">
        <f>IF(A60=""," ",VLOOKUP(A60,'18.11-07.12.2024'!A:H,5,FALSE))</f>
        <v xml:space="preserve"> </v>
      </c>
      <c r="E60" s="7" t="str">
        <f>IF(A60=""," ",B60*VLOOKUP(A60,'18.11-07.12.2024'!A:H,6,FALSE))</f>
        <v xml:space="preserve"> </v>
      </c>
      <c r="F60" s="7" t="str">
        <f>IF(A60=""," ",B60*VLOOKUP(A60,'18.11-07.12.2024'!A:H,7,FALSE))</f>
        <v xml:space="preserve"> </v>
      </c>
      <c r="G60" s="7" t="str">
        <f>IF(A60=""," ",B60*VLOOKUP(A60,'18.11-07.12.2024'!A:H,8,FALSE))</f>
        <v xml:space="preserve"> </v>
      </c>
    </row>
    <row r="61" spans="1:7" ht="14.1" customHeight="1" x14ac:dyDescent="0.2">
      <c r="A61" s="18"/>
      <c r="B61" s="25"/>
      <c r="C61" s="6" t="str">
        <f>IF(A61=""," ",VLOOKUP(A61,'18.11-07.12.2024'!A:H,2,FALSE))</f>
        <v xml:space="preserve"> </v>
      </c>
      <c r="D61" s="33" t="str">
        <f>IF(A61=""," ",VLOOKUP(A61,'18.11-07.12.2024'!A:H,5,FALSE))</f>
        <v xml:space="preserve"> </v>
      </c>
      <c r="E61" s="7" t="str">
        <f>IF(A61=""," ",B61*VLOOKUP(A61,'18.11-07.12.2024'!A:H,6,FALSE))</f>
        <v xml:space="preserve"> </v>
      </c>
      <c r="F61" s="7" t="str">
        <f>IF(A61=""," ",B61*VLOOKUP(A61,'18.11-07.12.2024'!A:H,7,FALSE))</f>
        <v xml:space="preserve"> </v>
      </c>
      <c r="G61" s="7" t="str">
        <f>IF(A61=""," ",B61*VLOOKUP(A61,'18.11-07.12.2024'!A:H,8,FALSE))</f>
        <v xml:space="preserve"> </v>
      </c>
    </row>
    <row r="62" spans="1:7" ht="14.1" customHeight="1" x14ac:dyDescent="0.2">
      <c r="A62" s="18"/>
      <c r="B62" s="25"/>
      <c r="C62" s="6" t="str">
        <f>IF(A62=""," ",VLOOKUP(A62,'18.11-07.12.2024'!A:H,2,FALSE))</f>
        <v xml:space="preserve"> </v>
      </c>
      <c r="D62" s="33" t="str">
        <f>IF(A62=""," ",VLOOKUP(A62,'18.11-07.12.2024'!A:H,5,FALSE))</f>
        <v xml:space="preserve"> </v>
      </c>
      <c r="E62" s="7" t="str">
        <f>IF(A62=""," ",B62*VLOOKUP(A62,'18.11-07.12.2024'!A:H,6,FALSE))</f>
        <v xml:space="preserve"> </v>
      </c>
      <c r="F62" s="7" t="str">
        <f>IF(A62=""," ",B62*VLOOKUP(A62,'18.11-07.12.2024'!A:H,7,FALSE))</f>
        <v xml:space="preserve"> </v>
      </c>
      <c r="G62" s="7" t="str">
        <f>IF(A62=""," ",B62*VLOOKUP(A62,'18.11-07.12.2024'!A:H,8,FALSE))</f>
        <v xml:space="preserve"> </v>
      </c>
    </row>
    <row r="63" spans="1:7" ht="14.1" customHeight="1" x14ac:dyDescent="0.2">
      <c r="A63" s="18"/>
      <c r="B63" s="25"/>
      <c r="C63" s="6" t="str">
        <f>IF(A63=""," ",VLOOKUP(A63,'18.11-07.12.2024'!A:H,2,FALSE))</f>
        <v xml:space="preserve"> </v>
      </c>
      <c r="D63" s="33" t="str">
        <f>IF(A63=""," ",VLOOKUP(A63,'18.11-07.12.2024'!A:H,5,FALSE))</f>
        <v xml:space="preserve"> </v>
      </c>
      <c r="E63" s="7" t="str">
        <f>IF(A63=""," ",B63*VLOOKUP(A63,'18.11-07.12.2024'!A:H,6,FALSE))</f>
        <v xml:space="preserve"> </v>
      </c>
      <c r="F63" s="7" t="str">
        <f>IF(A63=""," ",B63*VLOOKUP(A63,'18.11-07.12.2024'!A:H,7,FALSE))</f>
        <v xml:space="preserve"> </v>
      </c>
      <c r="G63" s="7" t="str">
        <f>IF(A63=""," ",B63*VLOOKUP(A63,'18.11-07.12.2024'!A:H,8,FALSE))</f>
        <v xml:space="preserve"> </v>
      </c>
    </row>
    <row r="64" spans="1:7" ht="14.1" customHeight="1" x14ac:dyDescent="0.2">
      <c r="A64" s="18"/>
      <c r="B64" s="25"/>
      <c r="C64" s="6" t="str">
        <f>IF(A64=""," ",VLOOKUP(A64,'18.11-07.12.2024'!A:H,2,FALSE))</f>
        <v xml:space="preserve"> </v>
      </c>
      <c r="D64" s="33" t="str">
        <f>IF(A64=""," ",VLOOKUP(A64,'18.11-07.12.2024'!A:H,5,FALSE))</f>
        <v xml:space="preserve"> </v>
      </c>
      <c r="E64" s="7" t="str">
        <f>IF(A64=""," ",B64*VLOOKUP(A64,'18.11-07.12.2024'!A:H,6,FALSE))</f>
        <v xml:space="preserve"> </v>
      </c>
      <c r="F64" s="7" t="str">
        <f>IF(A64=""," ",B64*VLOOKUP(A64,'18.11-07.12.2024'!A:H,7,FALSE))</f>
        <v xml:space="preserve"> </v>
      </c>
      <c r="G64" s="7" t="str">
        <f>IF(A64=""," ",B64*VLOOKUP(A64,'18.11-07.12.2024'!A:H,8,FALSE))</f>
        <v xml:space="preserve"> </v>
      </c>
    </row>
    <row r="65" spans="1:7" ht="14.1" customHeight="1" x14ac:dyDescent="0.2">
      <c r="A65" s="18"/>
      <c r="B65" s="25"/>
      <c r="C65" s="6" t="str">
        <f>IF(A65=""," ",VLOOKUP(A65,'18.11-07.12.2024'!A:H,2,FALSE))</f>
        <v xml:space="preserve"> </v>
      </c>
      <c r="D65" s="33" t="str">
        <f>IF(A65=""," ",VLOOKUP(A65,'18.11-07.12.2024'!A:H,5,FALSE))</f>
        <v xml:space="preserve"> </v>
      </c>
      <c r="E65" s="7" t="str">
        <f>IF(A65=""," ",B65*VLOOKUP(A65,'18.11-07.12.2024'!A:H,6,FALSE))</f>
        <v xml:space="preserve"> </v>
      </c>
      <c r="F65" s="7" t="str">
        <f>IF(A65=""," ",B65*VLOOKUP(A65,'18.11-07.12.2024'!A:H,7,FALSE))</f>
        <v xml:space="preserve"> </v>
      </c>
      <c r="G65" s="7" t="str">
        <f>IF(A65=""," ",B65*VLOOKUP(A65,'18.11-07.12.2024'!A:H,8,FALSE))</f>
        <v xml:space="preserve"> </v>
      </c>
    </row>
    <row r="66" spans="1:7" ht="14.1" customHeight="1" x14ac:dyDescent="0.2">
      <c r="A66" s="18"/>
      <c r="B66" s="25"/>
      <c r="C66" s="6" t="str">
        <f>IF(A66=""," ",VLOOKUP(A66,'18.11-07.12.2024'!A:H,2,FALSE))</f>
        <v xml:space="preserve"> </v>
      </c>
      <c r="D66" s="33" t="str">
        <f>IF(A66=""," ",VLOOKUP(A66,'18.11-07.12.2024'!A:H,5,FALSE))</f>
        <v xml:space="preserve"> </v>
      </c>
      <c r="E66" s="7" t="str">
        <f>IF(A66=""," ",B66*VLOOKUP(A66,'18.11-07.12.2024'!A:H,6,FALSE))</f>
        <v xml:space="preserve"> </v>
      </c>
      <c r="F66" s="7" t="str">
        <f>IF(A66=""," ",B66*VLOOKUP(A66,'18.11-07.12.2024'!A:H,7,FALSE))</f>
        <v xml:space="preserve"> </v>
      </c>
      <c r="G66" s="7" t="str">
        <f>IF(A66=""," ",B66*VLOOKUP(A66,'18.11-07.12.2024'!A:H,8,FALSE))</f>
        <v xml:space="preserve"> </v>
      </c>
    </row>
    <row r="67" spans="1:7" ht="14.1" customHeight="1" x14ac:dyDescent="0.2">
      <c r="A67" s="18"/>
      <c r="B67" s="25"/>
      <c r="C67" s="6" t="str">
        <f>IF(A67=""," ",VLOOKUP(A67,'18.11-07.12.2024'!A:H,2,FALSE))</f>
        <v xml:space="preserve"> </v>
      </c>
      <c r="D67" s="33" t="str">
        <f>IF(A67=""," ",VLOOKUP(A67,'18.11-07.12.2024'!A:H,5,FALSE))</f>
        <v xml:space="preserve"> </v>
      </c>
      <c r="E67" s="7" t="str">
        <f>IF(A67=""," ",B67*VLOOKUP(A67,'18.11-07.12.2024'!A:H,6,FALSE))</f>
        <v xml:space="preserve"> </v>
      </c>
      <c r="F67" s="7" t="str">
        <f>IF(A67=""," ",B67*VLOOKUP(A67,'18.11-07.12.2024'!A:H,7,FALSE))</f>
        <v xml:space="preserve"> </v>
      </c>
      <c r="G67" s="7" t="str">
        <f>IF(A67=""," ",B67*VLOOKUP(A67,'18.11-07.12.2024'!A:H,8,FALSE))</f>
        <v xml:space="preserve"> </v>
      </c>
    </row>
    <row r="68" spans="1:7" ht="14.1" customHeight="1" x14ac:dyDescent="0.2">
      <c r="A68" s="18"/>
      <c r="B68" s="25"/>
      <c r="C68" s="6" t="str">
        <f>IF(A68=""," ",VLOOKUP(A68,'18.11-07.12.2024'!A:H,2,FALSE))</f>
        <v xml:space="preserve"> </v>
      </c>
      <c r="D68" s="33" t="str">
        <f>IF(A68=""," ",VLOOKUP(A68,'18.11-07.12.2024'!A:H,5,FALSE))</f>
        <v xml:space="preserve"> </v>
      </c>
      <c r="E68" s="7" t="str">
        <f>IF(A68=""," ",B68*VLOOKUP(A68,'18.11-07.12.2024'!A:H,6,FALSE))</f>
        <v xml:space="preserve"> </v>
      </c>
      <c r="F68" s="7" t="str">
        <f>IF(A68=""," ",B68*VLOOKUP(A68,'18.11-07.12.2024'!A:H,7,FALSE))</f>
        <v xml:space="preserve"> </v>
      </c>
      <c r="G68" s="7" t="str">
        <f>IF(A68=""," ",B68*VLOOKUP(A68,'18.11-07.12.2024'!A:H,8,FALSE))</f>
        <v xml:space="preserve"> </v>
      </c>
    </row>
    <row r="69" spans="1:7" ht="14.1" customHeight="1" x14ac:dyDescent="0.2">
      <c r="A69" s="18"/>
      <c r="B69" s="25"/>
      <c r="C69" s="6" t="str">
        <f>IF(A69=""," ",VLOOKUP(A69,'18.11-07.12.2024'!A:H,2,FALSE))</f>
        <v xml:space="preserve"> </v>
      </c>
      <c r="D69" s="33" t="str">
        <f>IF(A69=""," ",VLOOKUP(A69,'18.11-07.12.2024'!A:H,5,FALSE))</f>
        <v xml:space="preserve"> </v>
      </c>
      <c r="E69" s="7" t="str">
        <f>IF(A69=""," ",B69*VLOOKUP(A69,'18.11-07.12.2024'!A:H,6,FALSE))</f>
        <v xml:space="preserve"> </v>
      </c>
      <c r="F69" s="7" t="str">
        <f>IF(A69=""," ",B69*VLOOKUP(A69,'18.11-07.12.2024'!A:H,7,FALSE))</f>
        <v xml:space="preserve"> </v>
      </c>
      <c r="G69" s="7" t="str">
        <f>IF(A69=""," ",B69*VLOOKUP(A69,'18.11-07.12.2024'!A:H,8,FALSE))</f>
        <v xml:space="preserve"> </v>
      </c>
    </row>
    <row r="70" spans="1:7" ht="14.1" customHeight="1" x14ac:dyDescent="0.2">
      <c r="A70" s="18"/>
      <c r="B70" s="25"/>
      <c r="C70" s="6" t="str">
        <f>IF(A70=""," ",VLOOKUP(A70,'18.11-07.12.2024'!A:H,2,FALSE))</f>
        <v xml:space="preserve"> </v>
      </c>
      <c r="D70" s="33" t="str">
        <f>IF(A70=""," ",VLOOKUP(A70,'18.11-07.12.2024'!A:H,5,FALSE))</f>
        <v xml:space="preserve"> </v>
      </c>
      <c r="E70" s="7" t="str">
        <f>IF(A70=""," ",B70*VLOOKUP(A70,'18.11-07.12.2024'!A:H,6,FALSE))</f>
        <v xml:space="preserve"> </v>
      </c>
      <c r="F70" s="7" t="str">
        <f>IF(A70=""," ",B70*VLOOKUP(A70,'18.11-07.12.2024'!A:H,7,FALSE))</f>
        <v xml:space="preserve"> </v>
      </c>
      <c r="G70" s="7" t="str">
        <f>IF(A70=""," ",B70*VLOOKUP(A70,'18.11-07.12.2024'!A:H,8,FALSE))</f>
        <v xml:space="preserve"> </v>
      </c>
    </row>
    <row r="71" spans="1:7" ht="14.1" customHeight="1" x14ac:dyDescent="0.2">
      <c r="A71" s="18"/>
      <c r="B71" s="25"/>
      <c r="C71" s="6" t="str">
        <f>IF(A71=""," ",VLOOKUP(A71,'18.11-07.12.2024'!A:H,2,FALSE))</f>
        <v xml:space="preserve"> </v>
      </c>
      <c r="D71" s="33" t="str">
        <f>IF(A71=""," ",VLOOKUP(A71,'18.11-07.12.2024'!A:H,5,FALSE))</f>
        <v xml:space="preserve"> </v>
      </c>
      <c r="E71" s="7" t="str">
        <f>IF(A71=""," ",B71*VLOOKUP(A71,'18.11-07.12.2024'!A:H,6,FALSE))</f>
        <v xml:space="preserve"> </v>
      </c>
      <c r="F71" s="7" t="str">
        <f>IF(A71=""," ",B71*VLOOKUP(A71,'18.11-07.12.2024'!A:H,7,FALSE))</f>
        <v xml:space="preserve"> </v>
      </c>
      <c r="G71" s="7" t="str">
        <f>IF(A71=""," ",B71*VLOOKUP(A71,'18.11-07.12.2024'!A:H,8,FALSE))</f>
        <v xml:space="preserve"> </v>
      </c>
    </row>
    <row r="72" spans="1:7" ht="14.1" customHeight="1" x14ac:dyDescent="0.2">
      <c r="A72" s="18"/>
      <c r="B72" s="25"/>
      <c r="C72" s="6" t="str">
        <f>IF(A72=""," ",VLOOKUP(A72,'18.11-07.12.2024'!A:H,2,FALSE))</f>
        <v xml:space="preserve"> </v>
      </c>
      <c r="D72" s="33" t="str">
        <f>IF(A72=""," ",VLOOKUP(A72,'18.11-07.12.2024'!A:H,5,FALSE))</f>
        <v xml:space="preserve"> </v>
      </c>
      <c r="E72" s="7" t="str">
        <f>IF(A72=""," ",B72*VLOOKUP(A72,'18.11-07.12.2024'!A:H,6,FALSE))</f>
        <v xml:space="preserve"> </v>
      </c>
      <c r="F72" s="7" t="str">
        <f>IF(A72=""," ",B72*VLOOKUP(A72,'18.11-07.12.2024'!A:H,7,FALSE))</f>
        <v xml:space="preserve"> </v>
      </c>
      <c r="G72" s="7" t="str">
        <f>IF(A72=""," ",B72*VLOOKUP(A72,'18.11-07.12.2024'!A:H,8,FALSE))</f>
        <v xml:space="preserve"> </v>
      </c>
    </row>
    <row r="73" spans="1:7" ht="14.1" customHeight="1" x14ac:dyDescent="0.2">
      <c r="A73" s="18"/>
      <c r="B73" s="25"/>
      <c r="C73" s="6" t="str">
        <f>IF(A73=""," ",VLOOKUP(A73,'18.11-07.12.2024'!A:H,2,FALSE))</f>
        <v xml:space="preserve"> </v>
      </c>
      <c r="D73" s="33" t="str">
        <f>IF(A73=""," ",VLOOKUP(A73,'18.11-07.12.2024'!A:H,5,FALSE))</f>
        <v xml:space="preserve"> </v>
      </c>
      <c r="E73" s="7" t="str">
        <f>IF(A73=""," ",B73*VLOOKUP(A73,'18.11-07.12.2024'!A:H,6,FALSE))</f>
        <v xml:space="preserve"> </v>
      </c>
      <c r="F73" s="7" t="str">
        <f>IF(A73=""," ",B73*VLOOKUP(A73,'18.11-07.12.2024'!A:H,7,FALSE))</f>
        <v xml:space="preserve"> </v>
      </c>
      <c r="G73" s="7" t="str">
        <f>IF(A73=""," ",B73*VLOOKUP(A73,'18.11-07.12.2024'!A:H,8,FALSE))</f>
        <v xml:space="preserve"> </v>
      </c>
    </row>
    <row r="74" spans="1:7" ht="14.1" customHeight="1" x14ac:dyDescent="0.2">
      <c r="A74" s="18"/>
      <c r="B74" s="25"/>
      <c r="C74" s="6" t="str">
        <f>IF(A74=""," ",VLOOKUP(A74,'18.11-07.12.2024'!A:H,2,FALSE))</f>
        <v xml:space="preserve"> </v>
      </c>
      <c r="D74" s="33" t="str">
        <f>IF(A74=""," ",VLOOKUP(A74,'18.11-07.12.2024'!A:H,5,FALSE))</f>
        <v xml:space="preserve"> </v>
      </c>
      <c r="E74" s="7" t="str">
        <f>IF(A74=""," ",B74*VLOOKUP(A74,'18.11-07.12.2024'!A:H,6,FALSE))</f>
        <v xml:space="preserve"> </v>
      </c>
      <c r="F74" s="7" t="str">
        <f>IF(A74=""," ",B74*VLOOKUP(A74,'18.11-07.12.2024'!A:H,7,FALSE))</f>
        <v xml:space="preserve"> </v>
      </c>
      <c r="G74" s="7" t="str">
        <f>IF(A74=""," ",B74*VLOOKUP(A74,'18.11-07.12.2024'!A:H,8,FALSE))</f>
        <v xml:space="preserve"> </v>
      </c>
    </row>
    <row r="75" spans="1:7" ht="14.1" customHeight="1" x14ac:dyDescent="0.2">
      <c r="A75" s="18"/>
      <c r="B75" s="25"/>
      <c r="C75" s="6" t="str">
        <f>IF(A75=""," ",VLOOKUP(A75,'18.11-07.12.2024'!A:H,2,FALSE))</f>
        <v xml:space="preserve"> </v>
      </c>
      <c r="D75" s="33" t="str">
        <f>IF(A75=""," ",VLOOKUP(A75,'18.11-07.12.2024'!A:H,5,FALSE))</f>
        <v xml:space="preserve"> </v>
      </c>
      <c r="E75" s="7" t="str">
        <f>IF(A75=""," ",B75*VLOOKUP(A75,'18.11-07.12.2024'!A:H,6,FALSE))</f>
        <v xml:space="preserve"> </v>
      </c>
      <c r="F75" s="7" t="str">
        <f>IF(A75=""," ",B75*VLOOKUP(A75,'18.11-07.12.2024'!A:H,7,FALSE))</f>
        <v xml:space="preserve"> </v>
      </c>
      <c r="G75" s="7" t="str">
        <f>IF(A75=""," ",B75*VLOOKUP(A75,'18.11-07.12.2024'!A:H,8,FALSE))</f>
        <v xml:space="preserve"> </v>
      </c>
    </row>
    <row r="76" spans="1:7" ht="14.1" customHeight="1" x14ac:dyDescent="0.2">
      <c r="A76" s="18"/>
      <c r="B76" s="25"/>
      <c r="C76" s="6" t="str">
        <f>IF(A76=""," ",VLOOKUP(A76,'18.11-07.12.2024'!A:H,2,FALSE))</f>
        <v xml:space="preserve"> </v>
      </c>
      <c r="D76" s="33" t="str">
        <f>IF(A76=""," ",VLOOKUP(A76,'18.11-07.12.2024'!A:H,5,FALSE))</f>
        <v xml:space="preserve"> </v>
      </c>
      <c r="E76" s="7" t="str">
        <f>IF(A76=""," ",B76*VLOOKUP(A76,'18.11-07.12.2024'!A:H,6,FALSE))</f>
        <v xml:space="preserve"> </v>
      </c>
      <c r="F76" s="7" t="str">
        <f>IF(A76=""," ",B76*VLOOKUP(A76,'18.11-07.12.2024'!A:H,7,FALSE))</f>
        <v xml:space="preserve"> </v>
      </c>
      <c r="G76" s="7" t="str">
        <f>IF(A76=""," ",B76*VLOOKUP(A76,'18.11-07.12.2024'!A:H,8,FALSE))</f>
        <v xml:space="preserve"> </v>
      </c>
    </row>
    <row r="77" spans="1:7" ht="14.1" customHeight="1" x14ac:dyDescent="0.2">
      <c r="A77" s="18"/>
      <c r="B77" s="25"/>
      <c r="C77" s="6" t="str">
        <f>IF(A77=""," ",VLOOKUP(A77,'18.11-07.12.2024'!A:H,2,FALSE))</f>
        <v xml:space="preserve"> </v>
      </c>
      <c r="D77" s="33" t="str">
        <f>IF(A77=""," ",VLOOKUP(A77,'18.11-07.12.2024'!A:H,5,FALSE))</f>
        <v xml:space="preserve"> </v>
      </c>
      <c r="E77" s="7" t="str">
        <f>IF(A77=""," ",B77*VLOOKUP(A77,'18.11-07.12.2024'!A:H,6,FALSE))</f>
        <v xml:space="preserve"> </v>
      </c>
      <c r="F77" s="7" t="str">
        <f>IF(A77=""," ",B77*VLOOKUP(A77,'18.11-07.12.2024'!A:H,7,FALSE))</f>
        <v xml:space="preserve"> </v>
      </c>
      <c r="G77" s="7" t="str">
        <f>IF(A77=""," ",B77*VLOOKUP(A77,'18.11-07.12.2024'!A:H,8,FALSE))</f>
        <v xml:space="preserve"> </v>
      </c>
    </row>
    <row r="78" spans="1:7" ht="14.1" customHeight="1" x14ac:dyDescent="0.2">
      <c r="A78" s="18"/>
      <c r="B78" s="25"/>
      <c r="C78" s="6" t="str">
        <f>IF(A78=""," ",VLOOKUP(A78,'18.11-07.12.2024'!A:H,2,FALSE))</f>
        <v xml:space="preserve"> </v>
      </c>
      <c r="D78" s="33" t="str">
        <f>IF(A78=""," ",VLOOKUP(A78,'18.11-07.12.2024'!A:H,5,FALSE))</f>
        <v xml:space="preserve"> </v>
      </c>
      <c r="E78" s="7" t="str">
        <f>IF(A78=""," ",B78*VLOOKUP(A78,'18.11-07.12.2024'!A:H,6,FALSE))</f>
        <v xml:space="preserve"> </v>
      </c>
      <c r="F78" s="7" t="str">
        <f>IF(A78=""," ",B78*VLOOKUP(A78,'18.11-07.12.2024'!A:H,7,FALSE))</f>
        <v xml:space="preserve"> </v>
      </c>
      <c r="G78" s="7" t="str">
        <f>IF(A78=""," ",B78*VLOOKUP(A78,'18.11-07.12.2024'!A:H,8,FALSE))</f>
        <v xml:space="preserve"> </v>
      </c>
    </row>
    <row r="79" spans="1:7" ht="14.1" customHeight="1" x14ac:dyDescent="0.2">
      <c r="A79" s="18"/>
      <c r="B79" s="25"/>
      <c r="C79" s="6" t="str">
        <f>IF(A79=""," ",VLOOKUP(A79,'18.11-07.12.2024'!A:H,2,FALSE))</f>
        <v xml:space="preserve"> </v>
      </c>
      <c r="D79" s="33" t="str">
        <f>IF(A79=""," ",VLOOKUP(A79,'18.11-07.12.2024'!A:H,5,FALSE))</f>
        <v xml:space="preserve"> </v>
      </c>
      <c r="E79" s="7" t="str">
        <f>IF(A79=""," ",B79*VLOOKUP(A79,'18.11-07.12.2024'!A:H,6,FALSE))</f>
        <v xml:space="preserve"> </v>
      </c>
      <c r="F79" s="7" t="str">
        <f>IF(A79=""," ",B79*VLOOKUP(A79,'18.11-07.12.2024'!A:H,7,FALSE))</f>
        <v xml:space="preserve"> </v>
      </c>
      <c r="G79" s="7" t="str">
        <f>IF(A79=""," ",B79*VLOOKUP(A79,'18.11-07.12.2024'!A:H,8,FALSE))</f>
        <v xml:space="preserve"> </v>
      </c>
    </row>
    <row r="80" spans="1:7" ht="14.1" customHeight="1" x14ac:dyDescent="0.2">
      <c r="A80" s="18"/>
      <c r="B80" s="25"/>
      <c r="C80" s="6" t="str">
        <f>IF(A80=""," ",VLOOKUP(A80,'18.11-07.12.2024'!A:H,2,FALSE))</f>
        <v xml:space="preserve"> </v>
      </c>
      <c r="D80" s="33" t="str">
        <f>IF(A80=""," ",VLOOKUP(A80,'18.11-07.12.2024'!A:H,5,FALSE))</f>
        <v xml:space="preserve"> </v>
      </c>
      <c r="E80" s="7" t="str">
        <f>IF(A80=""," ",B80*VLOOKUP(A80,'18.11-07.12.2024'!A:H,6,FALSE))</f>
        <v xml:space="preserve"> </v>
      </c>
      <c r="F80" s="7" t="str">
        <f>IF(A80=""," ",B80*VLOOKUP(A80,'18.11-07.12.2024'!A:H,7,FALSE))</f>
        <v xml:space="preserve"> </v>
      </c>
      <c r="G80" s="7" t="str">
        <f>IF(A80=""," ",B80*VLOOKUP(A80,'18.11-07.12.2024'!A:H,8,FALSE))</f>
        <v xml:space="preserve"> </v>
      </c>
    </row>
    <row r="81" spans="1:7" ht="14.1" customHeight="1" x14ac:dyDescent="0.2">
      <c r="A81" s="18"/>
      <c r="B81" s="25"/>
      <c r="C81" s="6" t="str">
        <f>IF(A81=""," ",VLOOKUP(A81,'18.11-07.12.2024'!A:H,2,FALSE))</f>
        <v xml:space="preserve"> </v>
      </c>
      <c r="D81" s="33" t="str">
        <f>IF(A81=""," ",VLOOKUP(A81,'18.11-07.12.2024'!A:H,5,FALSE))</f>
        <v xml:space="preserve"> </v>
      </c>
      <c r="E81" s="7" t="str">
        <f>IF(A81=""," ",B81*VLOOKUP(A81,'18.11-07.12.2024'!A:H,6,FALSE))</f>
        <v xml:space="preserve"> </v>
      </c>
      <c r="F81" s="7" t="str">
        <f>IF(A81=""," ",B81*VLOOKUP(A81,'18.11-07.12.2024'!A:H,7,FALSE))</f>
        <v xml:space="preserve"> </v>
      </c>
      <c r="G81" s="7" t="str">
        <f>IF(A81=""," ",B81*VLOOKUP(A81,'18.11-07.12.2024'!A:H,8,FALSE))</f>
        <v xml:space="preserve"> </v>
      </c>
    </row>
    <row r="82" spans="1:7" ht="14.1" customHeight="1" x14ac:dyDescent="0.2">
      <c r="A82" s="18"/>
      <c r="B82" s="25"/>
      <c r="C82" s="6" t="str">
        <f>IF(A82=""," ",VLOOKUP(A82,'18.11-07.12.2024'!A:H,2,FALSE))</f>
        <v xml:space="preserve"> </v>
      </c>
      <c r="D82" s="33" t="str">
        <f>IF(A82=""," ",VLOOKUP(A82,'18.11-07.12.2024'!A:H,5,FALSE))</f>
        <v xml:space="preserve"> </v>
      </c>
      <c r="E82" s="7" t="str">
        <f>IF(A82=""," ",B82*VLOOKUP(A82,'18.11-07.12.2024'!A:H,6,FALSE))</f>
        <v xml:space="preserve"> </v>
      </c>
      <c r="F82" s="7" t="str">
        <f>IF(A82=""," ",B82*VLOOKUP(A82,'18.11-07.12.2024'!A:H,7,FALSE))</f>
        <v xml:space="preserve"> </v>
      </c>
      <c r="G82" s="7" t="str">
        <f>IF(A82=""," ",B82*VLOOKUP(A82,'18.11-07.12.2024'!A:H,8,FALSE))</f>
        <v xml:space="preserve"> </v>
      </c>
    </row>
    <row r="83" spans="1:7" ht="14.1" customHeight="1" x14ac:dyDescent="0.2">
      <c r="A83" s="18"/>
      <c r="B83" s="25"/>
      <c r="C83" s="6" t="str">
        <f>IF(A83=""," ",VLOOKUP(A83,'18.11-07.12.2024'!A:H,2,FALSE))</f>
        <v xml:space="preserve"> </v>
      </c>
      <c r="D83" s="33" t="str">
        <f>IF(A83=""," ",VLOOKUP(A83,'18.11-07.12.2024'!A:H,5,FALSE))</f>
        <v xml:space="preserve"> </v>
      </c>
      <c r="E83" s="7" t="str">
        <f>IF(A83=""," ",B83*VLOOKUP(A83,'18.11-07.12.2024'!A:H,6,FALSE))</f>
        <v xml:space="preserve"> </v>
      </c>
      <c r="F83" s="7" t="str">
        <f>IF(A83=""," ",B83*VLOOKUP(A83,'18.11-07.12.2024'!A:H,7,FALSE))</f>
        <v xml:space="preserve"> </v>
      </c>
      <c r="G83" s="7" t="str">
        <f>IF(A83=""," ",B83*VLOOKUP(A83,'18.11-07.12.2024'!A:H,8,FALSE))</f>
        <v xml:space="preserve"> </v>
      </c>
    </row>
    <row r="84" spans="1:7" ht="14.1" customHeight="1" x14ac:dyDescent="0.2">
      <c r="A84" s="18"/>
      <c r="B84" s="25"/>
      <c r="C84" s="6" t="str">
        <f>IF(A84=""," ",VLOOKUP(A84,'18.11-07.12.2024'!A:H,2,FALSE))</f>
        <v xml:space="preserve"> </v>
      </c>
      <c r="D84" s="33" t="str">
        <f>IF(A84=""," ",VLOOKUP(A84,'18.11-07.12.2024'!A:H,5,FALSE))</f>
        <v xml:space="preserve"> </v>
      </c>
      <c r="E84" s="7" t="str">
        <f>IF(A84=""," ",B84*VLOOKUP(A84,'18.11-07.12.2024'!A:H,6,FALSE))</f>
        <v xml:space="preserve"> </v>
      </c>
      <c r="F84" s="7" t="str">
        <f>IF(A84=""," ",B84*VLOOKUP(A84,'18.11-07.12.2024'!A:H,7,FALSE))</f>
        <v xml:space="preserve"> </v>
      </c>
      <c r="G84" s="7" t="str">
        <f>IF(A84=""," ",B84*VLOOKUP(A84,'18.11-07.12.2024'!A:H,8,FALSE))</f>
        <v xml:space="preserve"> </v>
      </c>
    </row>
    <row r="85" spans="1:7" ht="14.1" customHeight="1" x14ac:dyDescent="0.2">
      <c r="A85" s="18"/>
      <c r="B85" s="25"/>
      <c r="C85" s="6" t="str">
        <f>IF(A85=""," ",VLOOKUP(A85,'18.11-07.12.2024'!A:H,2,FALSE))</f>
        <v xml:space="preserve"> </v>
      </c>
      <c r="D85" s="33" t="str">
        <f>IF(A85=""," ",VLOOKUP(A85,'18.11-07.12.2024'!A:H,5,FALSE))</f>
        <v xml:space="preserve"> </v>
      </c>
      <c r="E85" s="7" t="str">
        <f>IF(A85=""," ",B85*VLOOKUP(A85,'18.11-07.12.2024'!A:H,6,FALSE))</f>
        <v xml:space="preserve"> </v>
      </c>
      <c r="F85" s="7" t="str">
        <f>IF(A85=""," ",B85*VLOOKUP(A85,'18.11-07.12.2024'!A:H,7,FALSE))</f>
        <v xml:space="preserve"> </v>
      </c>
      <c r="G85" s="7" t="str">
        <f>IF(A85=""," ",B85*VLOOKUP(A85,'18.11-07.12.2024'!A:H,8,FALSE))</f>
        <v xml:space="preserve"> </v>
      </c>
    </row>
    <row r="86" spans="1:7" ht="14.1" customHeight="1" x14ac:dyDescent="0.2">
      <c r="A86" s="18"/>
      <c r="B86" s="25"/>
      <c r="C86" s="6" t="str">
        <f>IF(A86=""," ",VLOOKUP(A86,'18.11-07.12.2024'!A:H,2,FALSE))</f>
        <v xml:space="preserve"> </v>
      </c>
      <c r="D86" s="33" t="str">
        <f>IF(A86=""," ",VLOOKUP(A86,'18.11-07.12.2024'!A:H,5,FALSE))</f>
        <v xml:space="preserve"> </v>
      </c>
      <c r="E86" s="7" t="str">
        <f>IF(A86=""," ",B86*VLOOKUP(A86,'18.11-07.12.2024'!A:H,6,FALSE))</f>
        <v xml:space="preserve"> </v>
      </c>
      <c r="F86" s="7" t="str">
        <f>IF(A86=""," ",B86*VLOOKUP(A86,'18.11-07.12.2024'!A:H,7,FALSE))</f>
        <v xml:space="preserve"> </v>
      </c>
      <c r="G86" s="7" t="str">
        <f>IF(A86=""," ",B86*VLOOKUP(A86,'18.11-07.12.2024'!A:H,8,FALSE))</f>
        <v xml:space="preserve"> </v>
      </c>
    </row>
    <row r="87" spans="1:7" ht="14.1" customHeight="1" x14ac:dyDescent="0.2">
      <c r="A87" s="18"/>
      <c r="B87" s="25"/>
      <c r="C87" s="6" t="str">
        <f>IF(A87=""," ",VLOOKUP(A87,'18.11-07.12.2024'!A:H,2,FALSE))</f>
        <v xml:space="preserve"> </v>
      </c>
      <c r="D87" s="33" t="str">
        <f>IF(A87=""," ",VLOOKUP(A87,'18.11-07.12.2024'!A:H,5,FALSE))</f>
        <v xml:space="preserve"> </v>
      </c>
      <c r="E87" s="7" t="str">
        <f>IF(A87=""," ",B87*VLOOKUP(A87,'18.11-07.12.2024'!A:H,6,FALSE))</f>
        <v xml:space="preserve"> </v>
      </c>
      <c r="F87" s="7" t="str">
        <f>IF(A87=""," ",B87*VLOOKUP(A87,'18.11-07.12.2024'!A:H,7,FALSE))</f>
        <v xml:space="preserve"> </v>
      </c>
      <c r="G87" s="7" t="str">
        <f>IF(A87=""," ",B87*VLOOKUP(A87,'18.11-07.12.2024'!A:H,8,FALSE))</f>
        <v xml:space="preserve"> </v>
      </c>
    </row>
    <row r="88" spans="1:7" ht="14.1" customHeight="1" x14ac:dyDescent="0.2">
      <c r="A88" s="18"/>
      <c r="B88" s="25"/>
      <c r="C88" s="6" t="str">
        <f>IF(A88=""," ",VLOOKUP(A88,'18.11-07.12.2024'!A:H,2,FALSE))</f>
        <v xml:space="preserve"> </v>
      </c>
      <c r="D88" s="33" t="str">
        <f>IF(A88=""," ",VLOOKUP(A88,'18.11-07.12.2024'!A:H,5,FALSE))</f>
        <v xml:space="preserve"> </v>
      </c>
      <c r="E88" s="7" t="str">
        <f>IF(A88=""," ",B88*VLOOKUP(A88,'18.11-07.12.2024'!A:H,6,FALSE))</f>
        <v xml:space="preserve"> </v>
      </c>
      <c r="F88" s="7" t="str">
        <f>IF(A88=""," ",B88*VLOOKUP(A88,'18.11-07.12.2024'!A:H,7,FALSE))</f>
        <v xml:space="preserve"> </v>
      </c>
      <c r="G88" s="7" t="str">
        <f>IF(A88=""," ",B88*VLOOKUP(A88,'18.11-07.12.2024'!A:H,8,FALSE))</f>
        <v xml:space="preserve"> </v>
      </c>
    </row>
    <row r="89" spans="1:7" ht="14.1" customHeight="1" x14ac:dyDescent="0.2">
      <c r="A89" s="18"/>
      <c r="B89" s="25"/>
      <c r="C89" s="6" t="str">
        <f>IF(A89=""," ",VLOOKUP(A89,'18.11-07.12.2024'!A:H,2,FALSE))</f>
        <v xml:space="preserve"> </v>
      </c>
      <c r="D89" s="33" t="str">
        <f>IF(A89=""," ",VLOOKUP(A89,'18.11-07.12.2024'!A:H,5,FALSE))</f>
        <v xml:space="preserve"> </v>
      </c>
      <c r="E89" s="7" t="str">
        <f>IF(A89=""," ",B89*VLOOKUP(A89,'18.11-07.12.2024'!A:H,6,FALSE))</f>
        <v xml:space="preserve"> </v>
      </c>
      <c r="F89" s="7" t="str">
        <f>IF(A89=""," ",B89*VLOOKUP(A89,'18.11-07.12.2024'!A:H,7,FALSE))</f>
        <v xml:space="preserve"> </v>
      </c>
      <c r="G89" s="7" t="str">
        <f>IF(A89=""," ",B89*VLOOKUP(A89,'18.11-07.12.2024'!A:H,8,FALSE))</f>
        <v xml:space="preserve"> </v>
      </c>
    </row>
    <row r="90" spans="1:7" ht="14.1" customHeight="1" x14ac:dyDescent="0.2">
      <c r="A90" s="18"/>
      <c r="B90" s="25"/>
      <c r="C90" s="6" t="str">
        <f>IF(A90=""," ",VLOOKUP(A90,'18.11-07.12.2024'!A:H,2,FALSE))</f>
        <v xml:space="preserve"> </v>
      </c>
      <c r="D90" s="33" t="str">
        <f>IF(A90=""," ",VLOOKUP(A90,'18.11-07.12.2024'!A:H,5,FALSE))</f>
        <v xml:space="preserve"> </v>
      </c>
      <c r="E90" s="7" t="str">
        <f>IF(A90=""," ",B90*VLOOKUP(A90,'18.11-07.12.2024'!A:H,6,FALSE))</f>
        <v xml:space="preserve"> </v>
      </c>
      <c r="F90" s="7" t="str">
        <f>IF(A90=""," ",B90*VLOOKUP(A90,'18.11-07.12.2024'!A:H,7,FALSE))</f>
        <v xml:space="preserve"> </v>
      </c>
      <c r="G90" s="7" t="str">
        <f>IF(A90=""," ",B90*VLOOKUP(A90,'18.11-07.12.2024'!A:H,8,FALSE))</f>
        <v xml:space="preserve"> </v>
      </c>
    </row>
    <row r="91" spans="1:7" ht="14.1" customHeight="1" x14ac:dyDescent="0.2">
      <c r="A91" s="18"/>
      <c r="B91" s="25"/>
      <c r="C91" s="6" t="str">
        <f>IF(A91=""," ",VLOOKUP(A91,'18.11-07.12.2024'!A:H,2,FALSE))</f>
        <v xml:space="preserve"> </v>
      </c>
      <c r="D91" s="33" t="str">
        <f>IF(A91=""," ",VLOOKUP(A91,'18.11-07.12.2024'!A:H,5,FALSE))</f>
        <v xml:space="preserve"> </v>
      </c>
      <c r="E91" s="7" t="str">
        <f>IF(A91=""," ",B91*VLOOKUP(A91,'18.11-07.12.2024'!A:H,6,FALSE))</f>
        <v xml:space="preserve"> </v>
      </c>
      <c r="F91" s="7" t="str">
        <f>IF(A91=""," ",B91*VLOOKUP(A91,'18.11-07.12.2024'!A:H,7,FALSE))</f>
        <v xml:space="preserve"> </v>
      </c>
      <c r="G91" s="7" t="str">
        <f>IF(A91=""," ",B91*VLOOKUP(A91,'18.11-07.12.2024'!A:H,8,FALSE))</f>
        <v xml:space="preserve"> </v>
      </c>
    </row>
    <row r="92" spans="1:7" ht="14.1" customHeight="1" x14ac:dyDescent="0.2">
      <c r="A92" s="18"/>
      <c r="B92" s="25"/>
      <c r="C92" s="6" t="str">
        <f>IF(A92=""," ",VLOOKUP(A92,'18.11-07.12.2024'!A:H,2,FALSE))</f>
        <v xml:space="preserve"> </v>
      </c>
      <c r="D92" s="33" t="str">
        <f>IF(A92=""," ",VLOOKUP(A92,'18.11-07.12.2024'!A:H,5,FALSE))</f>
        <v xml:space="preserve"> </v>
      </c>
      <c r="E92" s="7" t="str">
        <f>IF(A92=""," ",B92*VLOOKUP(A92,'18.11-07.12.2024'!A:H,6,FALSE))</f>
        <v xml:space="preserve"> </v>
      </c>
      <c r="F92" s="7" t="str">
        <f>IF(A92=""," ",B92*VLOOKUP(A92,'18.11-07.12.2024'!A:H,7,FALSE))</f>
        <v xml:space="preserve"> </v>
      </c>
      <c r="G92" s="7" t="str">
        <f>IF(A92=""," ",B92*VLOOKUP(A92,'18.11-07.12.2024'!A:H,8,FALSE))</f>
        <v xml:space="preserve"> </v>
      </c>
    </row>
    <row r="93" spans="1:7" ht="14.1" customHeight="1" x14ac:dyDescent="0.2">
      <c r="A93" s="18"/>
      <c r="B93" s="25"/>
      <c r="C93" s="6" t="str">
        <f>IF(A93=""," ",VLOOKUP(A93,'18.11-07.12.2024'!A:H,2,FALSE))</f>
        <v xml:space="preserve"> </v>
      </c>
      <c r="D93" s="33" t="str">
        <f>IF(A93=""," ",VLOOKUP(A93,'18.11-07.12.2024'!A:H,5,FALSE))</f>
        <v xml:space="preserve"> </v>
      </c>
      <c r="E93" s="7" t="str">
        <f>IF(A93=""," ",B93*VLOOKUP(A93,'18.11-07.12.2024'!A:H,6,FALSE))</f>
        <v xml:space="preserve"> </v>
      </c>
      <c r="F93" s="7" t="str">
        <f>IF(A93=""," ",B93*VLOOKUP(A93,'18.11-07.12.2024'!A:H,7,FALSE))</f>
        <v xml:space="preserve"> </v>
      </c>
      <c r="G93" s="7" t="str">
        <f>IF(A93=""," ",B93*VLOOKUP(A93,'18.11-07.12.2024'!A:H,8,FALSE))</f>
        <v xml:space="preserve"> </v>
      </c>
    </row>
    <row r="94" spans="1:7" ht="14.1" customHeight="1" x14ac:dyDescent="0.2">
      <c r="A94" s="18"/>
      <c r="B94" s="25"/>
      <c r="C94" s="6" t="str">
        <f>IF(A94=""," ",VLOOKUP(A94,'18.11-07.12.2024'!A:H,2,FALSE))</f>
        <v xml:space="preserve"> </v>
      </c>
      <c r="D94" s="33" t="str">
        <f>IF(A94=""," ",VLOOKUP(A94,'18.11-07.12.2024'!A:H,5,FALSE))</f>
        <v xml:space="preserve"> </v>
      </c>
      <c r="E94" s="7" t="str">
        <f>IF(A94=""," ",B94*VLOOKUP(A94,'18.11-07.12.2024'!A:H,6,FALSE))</f>
        <v xml:space="preserve"> </v>
      </c>
      <c r="F94" s="7" t="str">
        <f>IF(A94=""," ",B94*VLOOKUP(A94,'18.11-07.12.2024'!A:H,7,FALSE))</f>
        <v xml:space="preserve"> </v>
      </c>
      <c r="G94" s="7" t="str">
        <f>IF(A94=""," ",B94*VLOOKUP(A94,'18.11-07.12.2024'!A:H,8,FALSE))</f>
        <v xml:space="preserve"> </v>
      </c>
    </row>
    <row r="95" spans="1:7" ht="14.1" customHeight="1" x14ac:dyDescent="0.2">
      <c r="A95" s="18"/>
      <c r="B95" s="25"/>
      <c r="C95" s="6" t="str">
        <f>IF(A95=""," ",VLOOKUP(A95,'18.11-07.12.2024'!A:H,2,FALSE))</f>
        <v xml:space="preserve"> </v>
      </c>
      <c r="D95" s="33" t="str">
        <f>IF(A95=""," ",VLOOKUP(A95,'18.11-07.12.2024'!A:H,5,FALSE))</f>
        <v xml:space="preserve"> </v>
      </c>
      <c r="E95" s="7" t="str">
        <f>IF(A95=""," ",B95*VLOOKUP(A95,'18.11-07.12.2024'!A:H,6,FALSE))</f>
        <v xml:space="preserve"> </v>
      </c>
      <c r="F95" s="7" t="str">
        <f>IF(A95=""," ",B95*VLOOKUP(A95,'18.11-07.12.2024'!A:H,7,FALSE))</f>
        <v xml:space="preserve"> </v>
      </c>
      <c r="G95" s="7" t="str">
        <f>IF(A95=""," ",B95*VLOOKUP(A95,'18.11-07.12.2024'!A:H,8,FALSE))</f>
        <v xml:space="preserve"> </v>
      </c>
    </row>
    <row r="96" spans="1:7" ht="14.1" customHeight="1" x14ac:dyDescent="0.2">
      <c r="A96" s="18"/>
      <c r="B96" s="25"/>
      <c r="C96" s="6" t="str">
        <f>IF(A96=""," ",VLOOKUP(A96,'18.11-07.12.2024'!A:H,2,FALSE))</f>
        <v xml:space="preserve"> </v>
      </c>
      <c r="D96" s="33" t="str">
        <f>IF(A96=""," ",VLOOKUP(A96,'18.11-07.12.2024'!A:H,5,FALSE))</f>
        <v xml:space="preserve"> </v>
      </c>
      <c r="E96" s="7" t="str">
        <f>IF(A96=""," ",B96*VLOOKUP(A96,'18.11-07.12.2024'!A:H,6,FALSE))</f>
        <v xml:space="preserve"> </v>
      </c>
      <c r="F96" s="7" t="str">
        <f>IF(A96=""," ",B96*VLOOKUP(A96,'18.11-07.12.2024'!A:H,7,FALSE))</f>
        <v xml:space="preserve"> </v>
      </c>
      <c r="G96" s="7" t="str">
        <f>IF(A96=""," ",B96*VLOOKUP(A96,'18.11-07.12.2024'!A:H,8,FALSE))</f>
        <v xml:space="preserve"> </v>
      </c>
    </row>
    <row r="97" spans="1:7" ht="14.1" customHeight="1" x14ac:dyDescent="0.2">
      <c r="A97" s="18"/>
      <c r="B97" s="25"/>
      <c r="C97" s="6" t="str">
        <f>IF(A97=""," ",VLOOKUP(A97,'18.11-07.12.2024'!A:H,2,FALSE))</f>
        <v xml:space="preserve"> </v>
      </c>
      <c r="D97" s="33" t="str">
        <f>IF(A97=""," ",VLOOKUP(A97,'18.11-07.12.2024'!A:H,5,FALSE))</f>
        <v xml:space="preserve"> </v>
      </c>
      <c r="E97" s="7" t="str">
        <f>IF(A97=""," ",B97*VLOOKUP(A97,'18.11-07.12.2024'!A:H,6,FALSE))</f>
        <v xml:space="preserve"> </v>
      </c>
      <c r="F97" s="7" t="str">
        <f>IF(A97=""," ",B97*VLOOKUP(A97,'18.11-07.12.2024'!A:H,7,FALSE))</f>
        <v xml:space="preserve"> </v>
      </c>
      <c r="G97" s="7" t="str">
        <f>IF(A97=""," ",B97*VLOOKUP(A97,'18.11-07.12.2024'!A:H,8,FALSE))</f>
        <v xml:space="preserve"> </v>
      </c>
    </row>
    <row r="98" spans="1:7" ht="14.1" customHeight="1" x14ac:dyDescent="0.2">
      <c r="A98" s="18"/>
      <c r="B98" s="25"/>
      <c r="C98" s="6" t="str">
        <f>IF(A98=""," ",VLOOKUP(A98,'18.11-07.12.2024'!A:H,2,FALSE))</f>
        <v xml:space="preserve"> </v>
      </c>
      <c r="D98" s="33" t="str">
        <f>IF(A98=""," ",VLOOKUP(A98,'18.11-07.12.2024'!A:H,5,FALSE))</f>
        <v xml:space="preserve"> </v>
      </c>
      <c r="E98" s="7" t="str">
        <f>IF(A98=""," ",B98*VLOOKUP(A98,'18.11-07.12.2024'!A:H,6,FALSE))</f>
        <v xml:space="preserve"> </v>
      </c>
      <c r="F98" s="7" t="str">
        <f>IF(A98=""," ",B98*VLOOKUP(A98,'18.11-07.12.2024'!A:H,7,FALSE))</f>
        <v xml:space="preserve"> </v>
      </c>
      <c r="G98" s="7" t="str">
        <f>IF(A98=""," ",B98*VLOOKUP(A98,'18.11-07.12.2024'!A:H,8,FALSE))</f>
        <v xml:space="preserve"> </v>
      </c>
    </row>
    <row r="99" spans="1:7" ht="14.1" customHeight="1" x14ac:dyDescent="0.2">
      <c r="A99" s="18"/>
      <c r="B99" s="25"/>
      <c r="C99" s="6" t="str">
        <f>IF(A99=""," ",VLOOKUP(A99,'18.11-07.12.2024'!A:H,2,FALSE))</f>
        <v xml:space="preserve"> </v>
      </c>
      <c r="D99" s="33" t="str">
        <f>IF(A99=""," ",VLOOKUP(A99,'18.11-07.12.2024'!A:H,5,FALSE))</f>
        <v xml:space="preserve"> </v>
      </c>
      <c r="E99" s="7" t="str">
        <f>IF(A99=""," ",B99*VLOOKUP(A99,'18.11-07.12.2024'!A:H,6,FALSE))</f>
        <v xml:space="preserve"> </v>
      </c>
      <c r="F99" s="7" t="str">
        <f>IF(A99=""," ",B99*VLOOKUP(A99,'18.11-07.12.2024'!A:H,7,FALSE))</f>
        <v xml:space="preserve"> </v>
      </c>
      <c r="G99" s="7" t="str">
        <f>IF(A99=""," ",B99*VLOOKUP(A99,'18.11-07.12.2024'!A:H,8,FALSE))</f>
        <v xml:space="preserve"> </v>
      </c>
    </row>
    <row r="100" spans="1:7" ht="14.1" customHeight="1" x14ac:dyDescent="0.2">
      <c r="A100" s="18"/>
      <c r="B100" s="25"/>
      <c r="C100" s="6" t="str">
        <f>IF(A100=""," ",VLOOKUP(A100,'18.11-07.12.2024'!A:H,2,FALSE))</f>
        <v xml:space="preserve"> </v>
      </c>
      <c r="D100" s="33" t="str">
        <f>IF(A100=""," ",VLOOKUP(A100,'18.11-07.12.2024'!A:H,5,FALSE))</f>
        <v xml:space="preserve"> </v>
      </c>
      <c r="E100" s="7" t="str">
        <f>IF(A100=""," ",B100*VLOOKUP(A100,'18.11-07.12.2024'!A:H,6,FALSE))</f>
        <v xml:space="preserve"> </v>
      </c>
      <c r="F100" s="7" t="str">
        <f>IF(A100=""," ",B100*VLOOKUP(A100,'18.11-07.12.2024'!A:H,7,FALSE))</f>
        <v xml:space="preserve"> </v>
      </c>
      <c r="G100" s="7" t="str">
        <f>IF(A100=""," ",B100*VLOOKUP(A100,'18.11-07.12.2024'!A:H,8,FALSE))</f>
        <v xml:space="preserve"> </v>
      </c>
    </row>
    <row r="101" spans="1:7" ht="14.1" customHeight="1" x14ac:dyDescent="0.2">
      <c r="A101" s="18"/>
      <c r="B101" s="25"/>
      <c r="C101" s="6" t="str">
        <f>IF(A101=""," ",VLOOKUP(A101,'18.11-07.12.2024'!A:H,2,FALSE))</f>
        <v xml:space="preserve"> </v>
      </c>
      <c r="D101" s="33" t="str">
        <f>IF(A101=""," ",VLOOKUP(A101,'18.11-07.12.2024'!A:H,5,FALSE))</f>
        <v xml:space="preserve"> </v>
      </c>
      <c r="E101" s="7" t="str">
        <f>IF(A101=""," ",B101*VLOOKUP(A101,'18.11-07.12.2024'!A:H,6,FALSE))</f>
        <v xml:space="preserve"> </v>
      </c>
      <c r="F101" s="7" t="str">
        <f>IF(A101=""," ",B101*VLOOKUP(A101,'18.11-07.12.2024'!A:H,7,FALSE))</f>
        <v xml:space="preserve"> </v>
      </c>
      <c r="G101" s="7" t="str">
        <f>IF(A101=""," ",B101*VLOOKUP(A101,'18.11-07.12.2024'!A:H,8,FALSE))</f>
        <v xml:space="preserve"> </v>
      </c>
    </row>
    <row r="102" spans="1:7" ht="14.1" customHeight="1" x14ac:dyDescent="0.2">
      <c r="A102" s="18"/>
      <c r="B102" s="25"/>
      <c r="C102" s="6" t="str">
        <f>IF(A102=""," ",VLOOKUP(A102,'18.11-07.12.2024'!A:H,2,FALSE))</f>
        <v xml:space="preserve"> </v>
      </c>
      <c r="D102" s="33" t="str">
        <f>IF(A102=""," ",VLOOKUP(A102,'18.11-07.12.2024'!A:H,5,FALSE))</f>
        <v xml:space="preserve"> </v>
      </c>
      <c r="E102" s="7" t="str">
        <f>IF(A102=""," ",B102*VLOOKUP(A102,'18.11-07.12.2024'!A:H,6,FALSE))</f>
        <v xml:space="preserve"> </v>
      </c>
      <c r="F102" s="7" t="str">
        <f>IF(A102=""," ",B102*VLOOKUP(A102,'18.11-07.12.2024'!A:H,7,FALSE))</f>
        <v xml:space="preserve"> </v>
      </c>
      <c r="G102" s="7" t="str">
        <f>IF(A102=""," ",B102*VLOOKUP(A102,'18.11-07.12.2024'!A:H,8,FALSE))</f>
        <v xml:space="preserve"> </v>
      </c>
    </row>
    <row r="103" spans="1:7" ht="14.1" customHeight="1" x14ac:dyDescent="0.2">
      <c r="A103" s="18"/>
      <c r="B103" s="25"/>
      <c r="C103" s="6" t="str">
        <f>IF(A103=""," ",VLOOKUP(A103,'18.11-07.12.2024'!A:H,2,FALSE))</f>
        <v xml:space="preserve"> </v>
      </c>
      <c r="D103" s="33" t="str">
        <f>IF(A103=""," ",VLOOKUP(A103,'18.11-07.12.2024'!A:H,5,FALSE))</f>
        <v xml:space="preserve"> </v>
      </c>
      <c r="E103" s="7" t="str">
        <f>IF(A103=""," ",B103*VLOOKUP(A103,'18.11-07.12.2024'!A:H,6,FALSE))</f>
        <v xml:space="preserve"> </v>
      </c>
      <c r="F103" s="7" t="str">
        <f>IF(A103=""," ",B103*VLOOKUP(A103,'18.11-07.12.2024'!A:H,7,FALSE))</f>
        <v xml:space="preserve"> </v>
      </c>
      <c r="G103" s="7" t="str">
        <f>IF(A103=""," ",B103*VLOOKUP(A103,'18.11-07.12.2024'!A:H,8,FALSE))</f>
        <v xml:space="preserve"> </v>
      </c>
    </row>
    <row r="104" spans="1:7" ht="14.1" customHeight="1" x14ac:dyDescent="0.2">
      <c r="A104" s="18"/>
      <c r="B104" s="25"/>
      <c r="C104" s="6" t="str">
        <f>IF(A104=""," ",VLOOKUP(A104,'18.11-07.12.2024'!A:H,2,FALSE))</f>
        <v xml:space="preserve"> </v>
      </c>
      <c r="D104" s="33" t="str">
        <f>IF(A104=""," ",VLOOKUP(A104,'18.11-07.12.2024'!A:H,5,FALSE))</f>
        <v xml:space="preserve"> </v>
      </c>
      <c r="E104" s="7" t="str">
        <f>IF(A104=""," ",B104*VLOOKUP(A104,'18.11-07.12.2024'!A:H,6,FALSE))</f>
        <v xml:space="preserve"> </v>
      </c>
      <c r="F104" s="7" t="str">
        <f>IF(A104=""," ",B104*VLOOKUP(A104,'18.11-07.12.2024'!A:H,7,FALSE))</f>
        <v xml:space="preserve"> </v>
      </c>
      <c r="G104" s="7" t="str">
        <f>IF(A104=""," ",B104*VLOOKUP(A104,'18.11-07.12.2024'!A:H,8,FALSE))</f>
        <v xml:space="preserve"> </v>
      </c>
    </row>
    <row r="105" spans="1:7" ht="14.1" customHeight="1" x14ac:dyDescent="0.2">
      <c r="A105" s="18"/>
      <c r="B105" s="25"/>
      <c r="C105" s="6" t="str">
        <f>IF(A105=""," ",VLOOKUP(A105,'18.11-07.12.2024'!A:H,2,FALSE))</f>
        <v xml:space="preserve"> </v>
      </c>
      <c r="D105" s="33" t="str">
        <f>IF(A105=""," ",VLOOKUP(A105,'18.11-07.12.2024'!A:H,5,FALSE))</f>
        <v xml:space="preserve"> </v>
      </c>
      <c r="E105" s="7" t="str">
        <f>IF(A105=""," ",B105*VLOOKUP(A105,'18.11-07.12.2024'!A:H,6,FALSE))</f>
        <v xml:space="preserve"> </v>
      </c>
      <c r="F105" s="7" t="str">
        <f>IF(A105=""," ",B105*VLOOKUP(A105,'18.11-07.12.2024'!A:H,7,FALSE))</f>
        <v xml:space="preserve"> </v>
      </c>
      <c r="G105" s="7" t="str">
        <f>IF(A105=""," ",B105*VLOOKUP(A105,'18.11-07.12.2024'!A:H,8,FALSE))</f>
        <v xml:space="preserve"> </v>
      </c>
    </row>
    <row r="106" spans="1:7" ht="14.1" customHeight="1" x14ac:dyDescent="0.2">
      <c r="A106" s="18"/>
      <c r="B106" s="25"/>
      <c r="C106" s="6" t="str">
        <f>IF(A106=""," ",VLOOKUP(A106,'18.11-07.12.2024'!A:H,2,FALSE))</f>
        <v xml:space="preserve"> </v>
      </c>
      <c r="D106" s="33" t="str">
        <f>IF(A106=""," ",VLOOKUP(A106,'18.11-07.12.2024'!A:H,5,FALSE))</f>
        <v xml:space="preserve"> </v>
      </c>
      <c r="E106" s="7" t="str">
        <f>IF(A106=""," ",B106*VLOOKUP(A106,'18.11-07.12.2024'!A:H,6,FALSE))</f>
        <v xml:space="preserve"> </v>
      </c>
      <c r="F106" s="7" t="str">
        <f>IF(A106=""," ",B106*VLOOKUP(A106,'18.11-07.12.2024'!A:H,7,FALSE))</f>
        <v xml:space="preserve"> </v>
      </c>
      <c r="G106" s="7" t="str">
        <f>IF(A106=""," ",B106*VLOOKUP(A106,'18.11-07.12.2024'!A:H,8,FALSE))</f>
        <v xml:space="preserve"> </v>
      </c>
    </row>
    <row r="107" spans="1:7" ht="14.1" customHeight="1" x14ac:dyDescent="0.2">
      <c r="A107" s="18"/>
      <c r="B107" s="25"/>
      <c r="C107" s="6" t="str">
        <f>IF(A107=""," ",VLOOKUP(A107,'18.11-07.12.2024'!A:H,2,FALSE))</f>
        <v xml:space="preserve"> </v>
      </c>
      <c r="D107" s="33" t="str">
        <f>IF(A107=""," ",VLOOKUP(A107,'18.11-07.12.2024'!A:H,5,FALSE))</f>
        <v xml:space="preserve"> </v>
      </c>
      <c r="E107" s="7" t="str">
        <f>IF(A107=""," ",B107*VLOOKUP(A107,'18.11-07.12.2024'!A:H,6,FALSE))</f>
        <v xml:space="preserve"> </v>
      </c>
      <c r="F107" s="7" t="str">
        <f>IF(A107=""," ",B107*VLOOKUP(A107,'18.11-07.12.2024'!A:H,7,FALSE))</f>
        <v xml:space="preserve"> </v>
      </c>
      <c r="G107" s="7" t="str">
        <f>IF(A107=""," ",B107*VLOOKUP(A107,'18.11-07.12.2024'!A:H,8,FALSE))</f>
        <v xml:space="preserve"> </v>
      </c>
    </row>
    <row r="108" spans="1:7" ht="14.1" customHeight="1" x14ac:dyDescent="0.2">
      <c r="A108" s="18"/>
      <c r="B108" s="25"/>
      <c r="C108" s="6" t="str">
        <f>IF(A108=""," ",VLOOKUP(A108,'18.11-07.12.2024'!A:H,2,FALSE))</f>
        <v xml:space="preserve"> </v>
      </c>
      <c r="D108" s="33" t="str">
        <f>IF(A108=""," ",VLOOKUP(A108,'18.11-07.12.2024'!A:H,5,FALSE))</f>
        <v xml:space="preserve"> </v>
      </c>
      <c r="E108" s="7" t="str">
        <f>IF(A108=""," ",B108*VLOOKUP(A108,'18.11-07.12.2024'!A:H,6,FALSE))</f>
        <v xml:space="preserve"> </v>
      </c>
      <c r="F108" s="7" t="str">
        <f>IF(A108=""," ",B108*VLOOKUP(A108,'18.11-07.12.2024'!A:H,7,FALSE))</f>
        <v xml:space="preserve"> </v>
      </c>
      <c r="G108" s="7" t="str">
        <f>IF(A108=""," ",B108*VLOOKUP(A108,'18.11-07.12.2024'!A:H,8,FALSE))</f>
        <v xml:space="preserve"> </v>
      </c>
    </row>
    <row r="109" spans="1:7" ht="14.1" customHeight="1" x14ac:dyDescent="0.2">
      <c r="A109" s="18"/>
      <c r="B109" s="25"/>
      <c r="C109" s="6" t="str">
        <f>IF(A109=""," ",VLOOKUP(A109,'18.11-07.12.2024'!A:H,2,FALSE))</f>
        <v xml:space="preserve"> </v>
      </c>
      <c r="D109" s="33" t="str">
        <f>IF(A109=""," ",VLOOKUP(A109,'18.11-07.12.2024'!A:H,5,FALSE))</f>
        <v xml:space="preserve"> </v>
      </c>
      <c r="E109" s="7" t="str">
        <f>IF(A109=""," ",B109*VLOOKUP(A109,'18.11-07.12.2024'!A:H,6,FALSE))</f>
        <v xml:space="preserve"> </v>
      </c>
      <c r="F109" s="7" t="str">
        <f>IF(A109=""," ",B109*VLOOKUP(A109,'18.11-07.12.2024'!A:H,7,FALSE))</f>
        <v xml:space="preserve"> </v>
      </c>
      <c r="G109" s="7" t="str">
        <f>IF(A109=""," ",B109*VLOOKUP(A109,'18.11-07.12.2024'!A:H,8,FALSE))</f>
        <v xml:space="preserve"> </v>
      </c>
    </row>
    <row r="110" spans="1:7" ht="14.1" customHeight="1" x14ac:dyDescent="0.2">
      <c r="A110" s="18"/>
      <c r="B110" s="25"/>
      <c r="C110" s="6" t="str">
        <f>IF(A110=""," ",VLOOKUP(A110,'18.11-07.12.2024'!A:H,2,FALSE))</f>
        <v xml:space="preserve"> </v>
      </c>
      <c r="D110" s="33" t="str">
        <f>IF(A110=""," ",VLOOKUP(A110,'18.11-07.12.2024'!A:H,5,FALSE))</f>
        <v xml:space="preserve"> </v>
      </c>
      <c r="E110" s="7" t="str">
        <f>IF(A110=""," ",B110*VLOOKUP(A110,'18.11-07.12.2024'!A:H,6,FALSE))</f>
        <v xml:space="preserve"> </v>
      </c>
      <c r="F110" s="7" t="str">
        <f>IF(A110=""," ",B110*VLOOKUP(A110,'18.11-07.12.2024'!A:H,7,FALSE))</f>
        <v xml:space="preserve"> </v>
      </c>
      <c r="G110" s="7" t="str">
        <f>IF(A110=""," ",B110*VLOOKUP(A110,'18.11-07.12.2024'!A:H,8,FALSE))</f>
        <v xml:space="preserve"> </v>
      </c>
    </row>
    <row r="111" spans="1:7" ht="14.1" customHeight="1" x14ac:dyDescent="0.2">
      <c r="A111" s="18"/>
      <c r="B111" s="25"/>
      <c r="C111" s="6" t="str">
        <f>IF(A111=""," ",VLOOKUP(A111,'18.11-07.12.2024'!A:H,2,FALSE))</f>
        <v xml:space="preserve"> </v>
      </c>
      <c r="D111" s="33" t="str">
        <f>IF(A111=""," ",VLOOKUP(A111,'18.11-07.12.2024'!A:H,5,FALSE))</f>
        <v xml:space="preserve"> </v>
      </c>
      <c r="E111" s="7" t="str">
        <f>IF(A111=""," ",B111*VLOOKUP(A111,'18.11-07.12.2024'!A:H,6,FALSE))</f>
        <v xml:space="preserve"> </v>
      </c>
      <c r="F111" s="7" t="str">
        <f>IF(A111=""," ",B111*VLOOKUP(A111,'18.11-07.12.2024'!A:H,7,FALSE))</f>
        <v xml:space="preserve"> </v>
      </c>
      <c r="G111" s="7" t="str">
        <f>IF(A111=""," ",B111*VLOOKUP(A111,'18.11-07.12.2024'!A:H,8,FALSE))</f>
        <v xml:space="preserve"> </v>
      </c>
    </row>
    <row r="112" spans="1:7" ht="14.1" customHeight="1" x14ac:dyDescent="0.2">
      <c r="A112" s="18"/>
      <c r="B112" s="25"/>
      <c r="C112" s="6" t="str">
        <f>IF(A112=""," ",VLOOKUP(A112,'18.11-07.12.2024'!A:H,2,FALSE))</f>
        <v xml:space="preserve"> </v>
      </c>
      <c r="D112" s="33" t="str">
        <f>IF(A112=""," ",VLOOKUP(A112,'18.11-07.12.2024'!A:H,5,FALSE))</f>
        <v xml:space="preserve"> </v>
      </c>
      <c r="E112" s="7" t="str">
        <f>IF(A112=""," ",B112*VLOOKUP(A112,'18.11-07.12.2024'!A:H,6,FALSE))</f>
        <v xml:space="preserve"> </v>
      </c>
      <c r="F112" s="7" t="str">
        <f>IF(A112=""," ",B112*VLOOKUP(A112,'18.11-07.12.2024'!A:H,7,FALSE))</f>
        <v xml:space="preserve"> </v>
      </c>
      <c r="G112" s="7" t="str">
        <f>IF(A112=""," ",B112*VLOOKUP(A112,'18.11-07.12.2024'!A:H,8,FALSE))</f>
        <v xml:space="preserve"> </v>
      </c>
    </row>
    <row r="113" spans="1:7" ht="14.1" customHeight="1" x14ac:dyDescent="0.2">
      <c r="A113" s="18"/>
      <c r="B113" s="25"/>
      <c r="C113" s="6" t="str">
        <f>IF(A113=""," ",VLOOKUP(A113,'18.11-07.12.2024'!A:H,2,FALSE))</f>
        <v xml:space="preserve"> </v>
      </c>
      <c r="D113" s="33" t="str">
        <f>IF(A113=""," ",VLOOKUP(A113,'18.11-07.12.2024'!A:H,5,FALSE))</f>
        <v xml:space="preserve"> </v>
      </c>
      <c r="E113" s="7" t="str">
        <f>IF(A113=""," ",B113*VLOOKUP(A113,'18.11-07.12.2024'!A:H,6,FALSE))</f>
        <v xml:space="preserve"> </v>
      </c>
      <c r="F113" s="7" t="str">
        <f>IF(A113=""," ",B113*VLOOKUP(A113,'18.11-07.12.2024'!A:H,7,FALSE))</f>
        <v xml:space="preserve"> </v>
      </c>
      <c r="G113" s="7" t="str">
        <f>IF(A113=""," ",B113*VLOOKUP(A113,'18.11-07.12.2024'!A:H,8,FALSE))</f>
        <v xml:space="preserve"> </v>
      </c>
    </row>
    <row r="114" spans="1:7" ht="14.1" customHeight="1" x14ac:dyDescent="0.2">
      <c r="A114" s="18"/>
      <c r="B114" s="25"/>
      <c r="C114" s="6" t="str">
        <f>IF(A114=""," ",VLOOKUP(A114,'18.11-07.12.2024'!A:H,2,FALSE))</f>
        <v xml:space="preserve"> </v>
      </c>
      <c r="D114" s="33" t="str">
        <f>IF(A114=""," ",VLOOKUP(A114,'18.11-07.12.2024'!A:H,5,FALSE))</f>
        <v xml:space="preserve"> </v>
      </c>
      <c r="E114" s="7" t="str">
        <f>IF(A114=""," ",B114*VLOOKUP(A114,'18.11-07.12.2024'!A:H,6,FALSE))</f>
        <v xml:space="preserve"> </v>
      </c>
      <c r="F114" s="7" t="str">
        <f>IF(A114=""," ",B114*VLOOKUP(A114,'18.11-07.12.2024'!A:H,7,FALSE))</f>
        <v xml:space="preserve"> </v>
      </c>
      <c r="G114" s="7" t="str">
        <f>IF(A114=""," ",B114*VLOOKUP(A114,'18.11-07.12.2024'!A:H,8,FALSE))</f>
        <v xml:space="preserve"> </v>
      </c>
    </row>
    <row r="115" spans="1:7" ht="14.1" customHeight="1" x14ac:dyDescent="0.2">
      <c r="A115" s="18"/>
      <c r="B115" s="25"/>
      <c r="C115" s="6" t="str">
        <f>IF(A115=""," ",VLOOKUP(A115,'18.11-07.12.2024'!A:H,2,FALSE))</f>
        <v xml:space="preserve"> </v>
      </c>
      <c r="D115" s="33" t="str">
        <f>IF(A115=""," ",VLOOKUP(A115,'18.11-07.12.2024'!A:H,5,FALSE))</f>
        <v xml:space="preserve"> </v>
      </c>
      <c r="E115" s="7" t="str">
        <f>IF(A115=""," ",B115*VLOOKUP(A115,'18.11-07.12.2024'!A:H,6,FALSE))</f>
        <v xml:space="preserve"> </v>
      </c>
      <c r="F115" s="7" t="str">
        <f>IF(A115=""," ",B115*VLOOKUP(A115,'18.11-07.12.2024'!A:H,7,FALSE))</f>
        <v xml:space="preserve"> </v>
      </c>
      <c r="G115" s="7" t="str">
        <f>IF(A115=""," ",B115*VLOOKUP(A115,'18.11-07.12.2024'!A:H,8,FALSE))</f>
        <v xml:space="preserve"> </v>
      </c>
    </row>
    <row r="116" spans="1:7" ht="14.1" customHeight="1" x14ac:dyDescent="0.2">
      <c r="A116" s="18"/>
      <c r="B116" s="25"/>
      <c r="C116" s="6" t="str">
        <f>IF(A116=""," ",VLOOKUP(A116,'18.11-07.12.2024'!A:H,2,FALSE))</f>
        <v xml:space="preserve"> </v>
      </c>
      <c r="D116" s="33" t="str">
        <f>IF(A116=""," ",VLOOKUP(A116,'18.11-07.12.2024'!A:H,5,FALSE))</f>
        <v xml:space="preserve"> </v>
      </c>
      <c r="E116" s="7" t="str">
        <f>IF(A116=""," ",B116*VLOOKUP(A116,'18.11-07.12.2024'!A:H,6,FALSE))</f>
        <v xml:space="preserve"> </v>
      </c>
      <c r="F116" s="7" t="str">
        <f>IF(A116=""," ",B116*VLOOKUP(A116,'18.11-07.12.2024'!A:H,7,FALSE))</f>
        <v xml:space="preserve"> </v>
      </c>
      <c r="G116" s="7" t="str">
        <f>IF(A116=""," ",B116*VLOOKUP(A116,'18.11-07.12.2024'!A:H,8,FALSE))</f>
        <v xml:space="preserve"> </v>
      </c>
    </row>
    <row r="117" spans="1:7" ht="14.1" customHeight="1" x14ac:dyDescent="0.2">
      <c r="A117" s="18"/>
      <c r="B117" s="25"/>
      <c r="C117" s="6" t="str">
        <f>IF(A117=""," ",VLOOKUP(A117,'18.11-07.12.2024'!A:H,2,FALSE))</f>
        <v xml:space="preserve"> </v>
      </c>
      <c r="D117" s="33" t="str">
        <f>IF(A117=""," ",VLOOKUP(A117,'18.11-07.12.2024'!A:H,5,FALSE))</f>
        <v xml:space="preserve"> </v>
      </c>
      <c r="E117" s="7" t="str">
        <f>IF(A117=""," ",B117*VLOOKUP(A117,'18.11-07.12.2024'!A:H,6,FALSE))</f>
        <v xml:space="preserve"> </v>
      </c>
      <c r="F117" s="7" t="str">
        <f>IF(A117=""," ",B117*VLOOKUP(A117,'18.11-07.12.2024'!A:H,7,FALSE))</f>
        <v xml:space="preserve"> </v>
      </c>
      <c r="G117" s="7" t="str">
        <f>IF(A117=""," ",B117*VLOOKUP(A117,'18.11-07.12.2024'!A:H,8,FALSE))</f>
        <v xml:space="preserve"> </v>
      </c>
    </row>
    <row r="118" spans="1:7" ht="14.1" customHeight="1" x14ac:dyDescent="0.2">
      <c r="A118" s="18"/>
      <c r="B118" s="25"/>
      <c r="C118" s="6" t="str">
        <f>IF(A118=""," ",VLOOKUP(A118,'18.11-07.12.2024'!A:H,2,FALSE))</f>
        <v xml:space="preserve"> </v>
      </c>
      <c r="D118" s="33" t="str">
        <f>IF(A118=""," ",VLOOKUP(A118,'18.11-07.12.2024'!A:H,5,FALSE))</f>
        <v xml:space="preserve"> </v>
      </c>
      <c r="E118" s="7" t="str">
        <f>IF(A118=""," ",B118*VLOOKUP(A118,'18.11-07.12.2024'!A:H,6,FALSE))</f>
        <v xml:space="preserve"> </v>
      </c>
      <c r="F118" s="7" t="str">
        <f>IF(A118=""," ",B118*VLOOKUP(A118,'18.11-07.12.2024'!A:H,7,FALSE))</f>
        <v xml:space="preserve"> </v>
      </c>
      <c r="G118" s="7" t="str">
        <f>IF(A118=""," ",B118*VLOOKUP(A118,'18.11-07.12.2024'!A:H,8,FALSE))</f>
        <v xml:space="preserve"> </v>
      </c>
    </row>
    <row r="119" spans="1:7" ht="14.1" customHeight="1" x14ac:dyDescent="0.2">
      <c r="A119" s="18"/>
      <c r="B119" s="25"/>
      <c r="C119" s="6" t="str">
        <f>IF(A119=""," ",VLOOKUP(A119,'18.11-07.12.2024'!A:H,2,FALSE))</f>
        <v xml:space="preserve"> </v>
      </c>
      <c r="D119" s="33" t="str">
        <f>IF(A119=""," ",VLOOKUP(A119,'18.11-07.12.2024'!A:H,5,FALSE))</f>
        <v xml:space="preserve"> </v>
      </c>
      <c r="E119" s="7" t="str">
        <f>IF(A119=""," ",B119*VLOOKUP(A119,'18.11-07.12.2024'!A:H,6,FALSE))</f>
        <v xml:space="preserve"> </v>
      </c>
      <c r="F119" s="7" t="str">
        <f>IF(A119=""," ",B119*VLOOKUP(A119,'18.11-07.12.2024'!A:H,7,FALSE))</f>
        <v xml:space="preserve"> </v>
      </c>
      <c r="G119" s="7" t="str">
        <f>IF(A119=""," ",B119*VLOOKUP(A119,'18.11-07.12.2024'!A:H,8,FALSE))</f>
        <v xml:space="preserve"> </v>
      </c>
    </row>
    <row r="120" spans="1:7" ht="14.1" customHeight="1" x14ac:dyDescent="0.2">
      <c r="A120" s="18"/>
      <c r="B120" s="25"/>
      <c r="C120" s="6" t="str">
        <f>IF(A120=""," ",VLOOKUP(A120,'18.11-07.12.2024'!A:H,2,FALSE))</f>
        <v xml:space="preserve"> </v>
      </c>
      <c r="D120" s="33" t="str">
        <f>IF(A120=""," ",VLOOKUP(A120,'18.11-07.12.2024'!A:H,5,FALSE))</f>
        <v xml:space="preserve"> </v>
      </c>
      <c r="E120" s="7" t="str">
        <f>IF(A120=""," ",B120*VLOOKUP(A120,'18.11-07.12.2024'!A:H,6,FALSE))</f>
        <v xml:space="preserve"> </v>
      </c>
      <c r="F120" s="7" t="str">
        <f>IF(A120=""," ",B120*VLOOKUP(A120,'18.11-07.12.2024'!A:H,7,FALSE))</f>
        <v xml:space="preserve"> </v>
      </c>
      <c r="G120" s="7" t="str">
        <f>IF(A120=""," ",B120*VLOOKUP(A120,'18.11-07.12.2024'!A:H,8,FALSE))</f>
        <v xml:space="preserve"> </v>
      </c>
    </row>
    <row r="121" spans="1:7" ht="14.1" customHeight="1" x14ac:dyDescent="0.2">
      <c r="A121" s="18"/>
      <c r="B121" s="25"/>
      <c r="C121" s="6" t="str">
        <f>IF(A121=""," ",VLOOKUP(A121,'18.11-07.12.2024'!A:H,2,FALSE))</f>
        <v xml:space="preserve"> </v>
      </c>
      <c r="D121" s="33" t="str">
        <f>IF(A121=""," ",VLOOKUP(A121,'18.11-07.12.2024'!A:H,5,FALSE))</f>
        <v xml:space="preserve"> </v>
      </c>
      <c r="E121" s="7" t="str">
        <f>IF(A121=""," ",B121*VLOOKUP(A121,'18.11-07.12.2024'!A:H,6,FALSE))</f>
        <v xml:space="preserve"> </v>
      </c>
      <c r="F121" s="7" t="str">
        <f>IF(A121=""," ",B121*VLOOKUP(A121,'18.11-07.12.2024'!A:H,7,FALSE))</f>
        <v xml:space="preserve"> </v>
      </c>
      <c r="G121" s="7" t="str">
        <f>IF(A121=""," ",B121*VLOOKUP(A121,'18.11-07.12.2024'!A:H,8,FALSE))</f>
        <v xml:space="preserve"> </v>
      </c>
    </row>
    <row r="122" spans="1:7" ht="14.1" customHeight="1" x14ac:dyDescent="0.2">
      <c r="A122" s="18"/>
      <c r="B122" s="25"/>
      <c r="C122" s="6" t="str">
        <f>IF(A122=""," ",VLOOKUP(A122,'18.11-07.12.2024'!A:H,2,FALSE))</f>
        <v xml:space="preserve"> </v>
      </c>
      <c r="D122" s="33" t="str">
        <f>IF(A122=""," ",VLOOKUP(A122,'18.11-07.12.2024'!A:H,5,FALSE))</f>
        <v xml:space="preserve"> </v>
      </c>
      <c r="E122" s="7" t="str">
        <f>IF(A122=""," ",B122*VLOOKUP(A122,'18.11-07.12.2024'!A:H,6,FALSE))</f>
        <v xml:space="preserve"> </v>
      </c>
      <c r="F122" s="7" t="str">
        <f>IF(A122=""," ",B122*VLOOKUP(A122,'18.11-07.12.2024'!A:H,7,FALSE))</f>
        <v xml:space="preserve"> </v>
      </c>
      <c r="G122" s="7" t="str">
        <f>IF(A122=""," ",B122*VLOOKUP(A122,'18.11-07.12.2024'!A:H,8,FALSE))</f>
        <v xml:space="preserve"> </v>
      </c>
    </row>
    <row r="123" spans="1:7" ht="14.1" customHeight="1" x14ac:dyDescent="0.2">
      <c r="A123" s="18"/>
      <c r="B123" s="25"/>
      <c r="C123" s="6" t="str">
        <f>IF(A123=""," ",VLOOKUP(A123,'18.11-07.12.2024'!A:H,2,FALSE))</f>
        <v xml:space="preserve"> </v>
      </c>
      <c r="D123" s="33" t="str">
        <f>IF(A123=""," ",VLOOKUP(A123,'18.11-07.12.2024'!A:H,5,FALSE))</f>
        <v xml:space="preserve"> </v>
      </c>
      <c r="E123" s="7" t="str">
        <f>IF(A123=""," ",B123*VLOOKUP(A123,'18.11-07.12.2024'!A:H,6,FALSE))</f>
        <v xml:space="preserve"> </v>
      </c>
      <c r="F123" s="7" t="str">
        <f>IF(A123=""," ",B123*VLOOKUP(A123,'18.11-07.12.2024'!A:H,7,FALSE))</f>
        <v xml:space="preserve"> </v>
      </c>
      <c r="G123" s="7" t="str">
        <f>IF(A123=""," ",B123*VLOOKUP(A123,'18.11-07.12.2024'!A:H,8,FALSE))</f>
        <v xml:space="preserve"> </v>
      </c>
    </row>
    <row r="124" spans="1:7" ht="14.1" customHeight="1" x14ac:dyDescent="0.2">
      <c r="A124" s="18"/>
      <c r="B124" s="25"/>
      <c r="C124" s="6" t="str">
        <f>IF(A124=""," ",VLOOKUP(A124,'18.11-07.12.2024'!A:H,2,FALSE))</f>
        <v xml:space="preserve"> </v>
      </c>
      <c r="D124" s="33" t="str">
        <f>IF(A124=""," ",VLOOKUP(A124,'18.11-07.12.2024'!A:H,5,FALSE))</f>
        <v xml:space="preserve"> </v>
      </c>
      <c r="E124" s="7" t="str">
        <f>IF(A124=""," ",B124*VLOOKUP(A124,'18.11-07.12.2024'!A:H,6,FALSE))</f>
        <v xml:space="preserve"> </v>
      </c>
      <c r="F124" s="7" t="str">
        <f>IF(A124=""," ",B124*VLOOKUP(A124,'18.11-07.12.2024'!A:H,7,FALSE))</f>
        <v xml:space="preserve"> </v>
      </c>
      <c r="G124" s="7" t="str">
        <f>IF(A124=""," ",B124*VLOOKUP(A124,'18.11-07.12.2024'!A:H,8,FALSE))</f>
        <v xml:space="preserve"> </v>
      </c>
    </row>
    <row r="125" spans="1:7" ht="14.1" customHeight="1" x14ac:dyDescent="0.2">
      <c r="A125" s="18"/>
      <c r="B125" s="25"/>
      <c r="C125" s="6" t="str">
        <f>IF(A125=""," ",VLOOKUP(A125,'18.11-07.12.2024'!A:H,2,FALSE))</f>
        <v xml:space="preserve"> </v>
      </c>
      <c r="D125" s="33" t="str">
        <f>IF(A125=""," ",VLOOKUP(A125,'18.11-07.12.2024'!A:H,5,FALSE))</f>
        <v xml:space="preserve"> </v>
      </c>
      <c r="E125" s="7" t="str">
        <f>IF(A125=""," ",B125*VLOOKUP(A125,'18.11-07.12.2024'!A:H,6,FALSE))</f>
        <v xml:space="preserve"> </v>
      </c>
      <c r="F125" s="7" t="str">
        <f>IF(A125=""," ",B125*VLOOKUP(A125,'18.11-07.12.2024'!A:H,7,FALSE))</f>
        <v xml:space="preserve"> </v>
      </c>
      <c r="G125" s="7" t="str">
        <f>IF(A125=""," ",B125*VLOOKUP(A125,'18.11-07.12.2024'!A:H,8,FALSE))</f>
        <v xml:space="preserve"> </v>
      </c>
    </row>
    <row r="126" spans="1:7" ht="14.1" customHeight="1" x14ac:dyDescent="0.2">
      <c r="A126" s="18"/>
      <c r="B126" s="25"/>
      <c r="C126" s="6" t="str">
        <f>IF(A126=""," ",VLOOKUP(A126,'18.11-07.12.2024'!A:H,2,FALSE))</f>
        <v xml:space="preserve"> </v>
      </c>
      <c r="D126" s="33" t="str">
        <f>IF(A126=""," ",VLOOKUP(A126,'18.11-07.12.2024'!A:H,5,FALSE))</f>
        <v xml:space="preserve"> </v>
      </c>
      <c r="E126" s="7" t="str">
        <f>IF(A126=""," ",B126*VLOOKUP(A126,'18.11-07.12.2024'!A:H,6,FALSE))</f>
        <v xml:space="preserve"> </v>
      </c>
      <c r="F126" s="7" t="str">
        <f>IF(A126=""," ",B126*VLOOKUP(A126,'18.11-07.12.2024'!A:H,7,FALSE))</f>
        <v xml:space="preserve"> </v>
      </c>
      <c r="G126" s="7" t="str">
        <f>IF(A126=""," ",B126*VLOOKUP(A126,'18.11-07.12.2024'!A:H,8,FALSE))</f>
        <v xml:space="preserve"> </v>
      </c>
    </row>
    <row r="127" spans="1:7" ht="14.1" customHeight="1" x14ac:dyDescent="0.2">
      <c r="A127" s="18"/>
      <c r="B127" s="25"/>
      <c r="C127" s="6" t="str">
        <f>IF(A127=""," ",VLOOKUP(A127,'18.11-07.12.2024'!A:H,2,FALSE))</f>
        <v xml:space="preserve"> </v>
      </c>
      <c r="D127" s="33" t="str">
        <f>IF(A127=""," ",VLOOKUP(A127,'18.11-07.12.2024'!A:H,5,FALSE))</f>
        <v xml:space="preserve"> </v>
      </c>
      <c r="E127" s="7" t="str">
        <f>IF(A127=""," ",B127*VLOOKUP(A127,'18.11-07.12.2024'!A:H,6,FALSE))</f>
        <v xml:space="preserve"> </v>
      </c>
      <c r="F127" s="7" t="str">
        <f>IF(A127=""," ",B127*VLOOKUP(A127,'18.11-07.12.2024'!A:H,7,FALSE))</f>
        <v xml:space="preserve"> </v>
      </c>
      <c r="G127" s="7" t="str">
        <f>IF(A127=""," ",B127*VLOOKUP(A127,'18.11-07.12.2024'!A:H,8,FALSE))</f>
        <v xml:space="preserve"> </v>
      </c>
    </row>
    <row r="128" spans="1:7" ht="14.1" customHeight="1" x14ac:dyDescent="0.2">
      <c r="A128" s="18"/>
      <c r="B128" s="25"/>
      <c r="C128" s="6" t="str">
        <f>IF(A128=""," ",VLOOKUP(A128,'18.11-07.12.2024'!A:H,2,FALSE))</f>
        <v xml:space="preserve"> </v>
      </c>
      <c r="D128" s="33" t="str">
        <f>IF(A128=""," ",VLOOKUP(A128,'18.11-07.12.2024'!A:H,5,FALSE))</f>
        <v xml:space="preserve"> </v>
      </c>
      <c r="E128" s="7" t="str">
        <f>IF(A128=""," ",B128*VLOOKUP(A128,'18.11-07.12.2024'!A:H,6,FALSE))</f>
        <v xml:space="preserve"> </v>
      </c>
      <c r="F128" s="7" t="str">
        <f>IF(A128=""," ",B128*VLOOKUP(A128,'18.11-07.12.2024'!A:H,7,FALSE))</f>
        <v xml:space="preserve"> </v>
      </c>
      <c r="G128" s="7" t="str">
        <f>IF(A128=""," ",B128*VLOOKUP(A128,'18.11-07.12.2024'!A:H,8,FALSE))</f>
        <v xml:space="preserve"> </v>
      </c>
    </row>
    <row r="129" spans="1:7" ht="14.1" customHeight="1" x14ac:dyDescent="0.2">
      <c r="A129" s="18"/>
      <c r="B129" s="25"/>
      <c r="C129" s="6" t="str">
        <f>IF(A129=""," ",VLOOKUP(A129,'18.11-07.12.2024'!A:H,2,FALSE))</f>
        <v xml:space="preserve"> </v>
      </c>
      <c r="D129" s="33" t="str">
        <f>IF(A129=""," ",VLOOKUP(A129,'18.11-07.12.2024'!A:H,5,FALSE))</f>
        <v xml:space="preserve"> </v>
      </c>
      <c r="E129" s="7" t="str">
        <f>IF(A129=""," ",B129*VLOOKUP(A129,'18.11-07.12.2024'!A:H,6,FALSE))</f>
        <v xml:space="preserve"> </v>
      </c>
      <c r="F129" s="7" t="str">
        <f>IF(A129=""," ",B129*VLOOKUP(A129,'18.11-07.12.2024'!A:H,7,FALSE))</f>
        <v xml:space="preserve"> </v>
      </c>
      <c r="G129" s="7" t="str">
        <f>IF(A129=""," ",B129*VLOOKUP(A129,'18.11-07.12.2024'!A:H,8,FALSE))</f>
        <v xml:space="preserve"> </v>
      </c>
    </row>
    <row r="130" spans="1:7" ht="14.1" customHeight="1" x14ac:dyDescent="0.2">
      <c r="A130" s="18"/>
      <c r="B130" s="25"/>
      <c r="C130" s="6" t="str">
        <f>IF(A130=""," ",VLOOKUP(A130,'18.11-07.12.2024'!A:H,2,FALSE))</f>
        <v xml:space="preserve"> </v>
      </c>
      <c r="D130" s="33" t="str">
        <f>IF(A130=""," ",VLOOKUP(A130,'18.11-07.12.2024'!A:H,5,FALSE))</f>
        <v xml:space="preserve"> </v>
      </c>
      <c r="E130" s="7" t="str">
        <f>IF(A130=""," ",B130*VLOOKUP(A130,'18.11-07.12.2024'!A:H,6,FALSE))</f>
        <v xml:space="preserve"> </v>
      </c>
      <c r="F130" s="7" t="str">
        <f>IF(A130=""," ",B130*VLOOKUP(A130,'18.11-07.12.2024'!A:H,7,FALSE))</f>
        <v xml:space="preserve"> </v>
      </c>
      <c r="G130" s="7" t="str">
        <f>IF(A130=""," ",B130*VLOOKUP(A130,'18.11-07.12.2024'!A:H,8,FALSE))</f>
        <v xml:space="preserve"> </v>
      </c>
    </row>
    <row r="131" spans="1:7" ht="14.1" customHeight="1" x14ac:dyDescent="0.2">
      <c r="A131" s="18"/>
      <c r="B131" s="25"/>
      <c r="C131" s="6" t="str">
        <f>IF(A131=""," ",VLOOKUP(A131,'18.11-07.12.2024'!A:H,2,FALSE))</f>
        <v xml:space="preserve"> </v>
      </c>
      <c r="D131" s="33" t="str">
        <f>IF(A131=""," ",VLOOKUP(A131,'18.11-07.12.2024'!A:H,5,FALSE))</f>
        <v xml:space="preserve"> </v>
      </c>
      <c r="E131" s="7" t="str">
        <f>IF(A131=""," ",B131*VLOOKUP(A131,'18.11-07.12.2024'!A:H,6,FALSE))</f>
        <v xml:space="preserve"> </v>
      </c>
      <c r="F131" s="7" t="str">
        <f>IF(A131=""," ",B131*VLOOKUP(A131,'18.11-07.12.2024'!A:H,7,FALSE))</f>
        <v xml:space="preserve"> </v>
      </c>
      <c r="G131" s="7" t="str">
        <f>IF(A131=""," ",B131*VLOOKUP(A131,'18.11-07.12.2024'!A:H,8,FALSE))</f>
        <v xml:space="preserve"> </v>
      </c>
    </row>
    <row r="132" spans="1:7" ht="14.1" customHeight="1" x14ac:dyDescent="0.2">
      <c r="A132" s="18"/>
      <c r="B132" s="25"/>
      <c r="C132" s="6" t="str">
        <f>IF(A132=""," ",VLOOKUP(A132,'18.11-07.12.2024'!A:H,2,FALSE))</f>
        <v xml:space="preserve"> </v>
      </c>
      <c r="D132" s="33" t="str">
        <f>IF(A132=""," ",VLOOKUP(A132,'18.11-07.12.2024'!A:H,5,FALSE))</f>
        <v xml:space="preserve"> </v>
      </c>
      <c r="E132" s="7" t="str">
        <f>IF(A132=""," ",B132*VLOOKUP(A132,'18.11-07.12.2024'!A:H,6,FALSE))</f>
        <v xml:space="preserve"> </v>
      </c>
      <c r="F132" s="7" t="str">
        <f>IF(A132=""," ",B132*VLOOKUP(A132,'18.11-07.12.2024'!A:H,7,FALSE))</f>
        <v xml:space="preserve"> </v>
      </c>
      <c r="G132" s="7" t="str">
        <f>IF(A132=""," ",B132*VLOOKUP(A132,'18.11-07.12.2024'!A:H,8,FALSE))</f>
        <v xml:space="preserve"> </v>
      </c>
    </row>
    <row r="133" spans="1:7" ht="14.1" customHeight="1" x14ac:dyDescent="0.2">
      <c r="A133" s="18"/>
      <c r="B133" s="25"/>
      <c r="C133" s="6" t="str">
        <f>IF(A133=""," ",VLOOKUP(A133,'18.11-07.12.2024'!A:H,2,FALSE))</f>
        <v xml:space="preserve"> </v>
      </c>
      <c r="D133" s="33" t="str">
        <f>IF(A133=""," ",VLOOKUP(A133,'18.11-07.12.2024'!A:H,5,FALSE))</f>
        <v xml:space="preserve"> </v>
      </c>
      <c r="E133" s="7" t="str">
        <f>IF(A133=""," ",B133*VLOOKUP(A133,'18.11-07.12.2024'!A:H,6,FALSE))</f>
        <v xml:space="preserve"> </v>
      </c>
      <c r="F133" s="7" t="str">
        <f>IF(A133=""," ",B133*VLOOKUP(A133,'18.11-07.12.2024'!A:H,7,FALSE))</f>
        <v xml:space="preserve"> </v>
      </c>
      <c r="G133" s="7" t="str">
        <f>IF(A133=""," ",B133*VLOOKUP(A133,'18.11-07.12.2024'!A:H,8,FALSE))</f>
        <v xml:space="preserve"> </v>
      </c>
    </row>
    <row r="134" spans="1:7" ht="14.1" customHeight="1" x14ac:dyDescent="0.2">
      <c r="A134" s="18"/>
      <c r="B134" s="25"/>
      <c r="C134" s="6" t="str">
        <f>IF(A134=""," ",VLOOKUP(A134,'18.11-07.12.2024'!A:H,2,FALSE))</f>
        <v xml:space="preserve"> </v>
      </c>
      <c r="D134" s="33" t="str">
        <f>IF(A134=""," ",VLOOKUP(A134,'18.11-07.12.2024'!A:H,5,FALSE))</f>
        <v xml:space="preserve"> </v>
      </c>
      <c r="E134" s="7" t="str">
        <f>IF(A134=""," ",B134*VLOOKUP(A134,'18.11-07.12.2024'!A:H,6,FALSE))</f>
        <v xml:space="preserve"> </v>
      </c>
      <c r="F134" s="7" t="str">
        <f>IF(A134=""," ",B134*VLOOKUP(A134,'18.11-07.12.2024'!A:H,7,FALSE))</f>
        <v xml:space="preserve"> </v>
      </c>
      <c r="G134" s="7" t="str">
        <f>IF(A134=""," ",B134*VLOOKUP(A134,'18.11-07.12.2024'!A:H,8,FALSE))</f>
        <v xml:space="preserve"> </v>
      </c>
    </row>
    <row r="135" spans="1:7" ht="14.1" customHeight="1" x14ac:dyDescent="0.2">
      <c r="A135" s="18"/>
      <c r="B135" s="25"/>
      <c r="C135" s="6" t="str">
        <f>IF(A135=""," ",VLOOKUP(A135,'18.11-07.12.2024'!A:H,2,FALSE))</f>
        <v xml:space="preserve"> </v>
      </c>
      <c r="D135" s="33" t="str">
        <f>IF(A135=""," ",VLOOKUP(A135,'18.11-07.12.2024'!A:H,5,FALSE))</f>
        <v xml:space="preserve"> </v>
      </c>
      <c r="E135" s="7" t="str">
        <f>IF(A135=""," ",B135*VLOOKUP(A135,'18.11-07.12.2024'!A:H,6,FALSE))</f>
        <v xml:space="preserve"> </v>
      </c>
      <c r="F135" s="7" t="str">
        <f>IF(A135=""," ",B135*VLOOKUP(A135,'18.11-07.12.2024'!A:H,7,FALSE))</f>
        <v xml:space="preserve"> </v>
      </c>
      <c r="G135" s="7" t="str">
        <f>IF(A135=""," ",B135*VLOOKUP(A135,'18.11-07.12.2024'!A:H,8,FALSE))</f>
        <v xml:space="preserve"> </v>
      </c>
    </row>
    <row r="136" spans="1:7" ht="14.1" customHeight="1" x14ac:dyDescent="0.2">
      <c r="A136" s="18"/>
      <c r="B136" s="25"/>
      <c r="C136" s="6" t="str">
        <f>IF(A136=""," ",VLOOKUP(A136,'18.11-07.12.2024'!A:H,2,FALSE))</f>
        <v xml:space="preserve"> </v>
      </c>
      <c r="D136" s="33" t="str">
        <f>IF(A136=""," ",VLOOKUP(A136,'18.11-07.12.2024'!A:H,5,FALSE))</f>
        <v xml:space="preserve"> </v>
      </c>
      <c r="E136" s="7" t="str">
        <f>IF(A136=""," ",B136*VLOOKUP(A136,'18.11-07.12.2024'!A:H,6,FALSE))</f>
        <v xml:space="preserve"> </v>
      </c>
      <c r="F136" s="7" t="str">
        <f>IF(A136=""," ",B136*VLOOKUP(A136,'18.11-07.12.2024'!A:H,7,FALSE))</f>
        <v xml:space="preserve"> </v>
      </c>
      <c r="G136" s="7" t="str">
        <f>IF(A136=""," ",B136*VLOOKUP(A136,'18.11-07.12.2024'!A:H,8,FALSE))</f>
        <v xml:space="preserve"> </v>
      </c>
    </row>
    <row r="137" spans="1:7" ht="14.1" customHeight="1" x14ac:dyDescent="0.2">
      <c r="A137" s="18"/>
      <c r="B137" s="25"/>
      <c r="C137" s="6" t="str">
        <f>IF(A137=""," ",VLOOKUP(A137,'18.11-07.12.2024'!A:H,2,FALSE))</f>
        <v xml:space="preserve"> </v>
      </c>
      <c r="D137" s="33" t="str">
        <f>IF(A137=""," ",VLOOKUP(A137,'18.11-07.12.2024'!A:H,5,FALSE))</f>
        <v xml:space="preserve"> </v>
      </c>
      <c r="E137" s="7" t="str">
        <f>IF(A137=""," ",B137*VLOOKUP(A137,'18.11-07.12.2024'!A:H,6,FALSE))</f>
        <v xml:space="preserve"> </v>
      </c>
      <c r="F137" s="7" t="str">
        <f>IF(A137=""," ",B137*VLOOKUP(A137,'18.11-07.12.2024'!A:H,7,FALSE))</f>
        <v xml:space="preserve"> </v>
      </c>
      <c r="G137" s="7" t="str">
        <f>IF(A137=""," ",B137*VLOOKUP(A137,'18.11-07.12.2024'!A:H,8,FALSE))</f>
        <v xml:space="preserve"> </v>
      </c>
    </row>
    <row r="138" spans="1:7" ht="14.1" customHeight="1" x14ac:dyDescent="0.2">
      <c r="A138" s="18"/>
      <c r="B138" s="25"/>
      <c r="C138" s="6" t="str">
        <f>IF(A138=""," ",VLOOKUP(A138,'18.11-07.12.2024'!A:H,2,FALSE))</f>
        <v xml:space="preserve"> </v>
      </c>
      <c r="D138" s="33" t="str">
        <f>IF(A138=""," ",VLOOKUP(A138,'18.11-07.12.2024'!A:H,5,FALSE))</f>
        <v xml:space="preserve"> </v>
      </c>
      <c r="E138" s="7" t="str">
        <f>IF(A138=""," ",B138*VLOOKUP(A138,'18.11-07.12.2024'!A:H,6,FALSE))</f>
        <v xml:space="preserve"> </v>
      </c>
      <c r="F138" s="7" t="str">
        <f>IF(A138=""," ",B138*VLOOKUP(A138,'18.11-07.12.2024'!A:H,7,FALSE))</f>
        <v xml:space="preserve"> </v>
      </c>
      <c r="G138" s="7" t="str">
        <f>IF(A138=""," ",B138*VLOOKUP(A138,'18.11-07.12.2024'!A:H,8,FALSE))</f>
        <v xml:space="preserve"> </v>
      </c>
    </row>
    <row r="139" spans="1:7" ht="14.1" customHeight="1" x14ac:dyDescent="0.2">
      <c r="A139" s="18"/>
      <c r="B139" s="25"/>
      <c r="C139" s="6" t="str">
        <f>IF(A139=""," ",VLOOKUP(A139,'18.11-07.12.2024'!A:H,2,FALSE))</f>
        <v xml:space="preserve"> </v>
      </c>
      <c r="D139" s="33" t="str">
        <f>IF(A139=""," ",VLOOKUP(A139,'18.11-07.12.2024'!A:H,5,FALSE))</f>
        <v xml:space="preserve"> </v>
      </c>
      <c r="E139" s="7" t="str">
        <f>IF(A139=""," ",B139*VLOOKUP(A139,'18.11-07.12.2024'!A:H,6,FALSE))</f>
        <v xml:space="preserve"> </v>
      </c>
      <c r="F139" s="7" t="str">
        <f>IF(A139=""," ",B139*VLOOKUP(A139,'18.11-07.12.2024'!A:H,7,FALSE))</f>
        <v xml:space="preserve"> </v>
      </c>
      <c r="G139" s="7" t="str">
        <f>IF(A139=""," ",B139*VLOOKUP(A139,'18.11-07.12.2024'!A:H,8,FALSE))</f>
        <v xml:space="preserve"> </v>
      </c>
    </row>
    <row r="140" spans="1:7" ht="14.1" customHeight="1" x14ac:dyDescent="0.2">
      <c r="A140" s="18"/>
      <c r="B140" s="25"/>
      <c r="C140" s="6" t="str">
        <f>IF(A140=""," ",VLOOKUP(A140,'18.11-07.12.2024'!A:H,2,FALSE))</f>
        <v xml:space="preserve"> </v>
      </c>
      <c r="D140" s="33" t="str">
        <f>IF(A140=""," ",VLOOKUP(A140,'18.11-07.12.2024'!A:H,5,FALSE))</f>
        <v xml:space="preserve"> </v>
      </c>
      <c r="E140" s="7" t="str">
        <f>IF(A140=""," ",B140*VLOOKUP(A140,'18.11-07.12.2024'!A:H,6,FALSE))</f>
        <v xml:space="preserve"> </v>
      </c>
      <c r="F140" s="7" t="str">
        <f>IF(A140=""," ",B140*VLOOKUP(A140,'18.11-07.12.2024'!A:H,7,FALSE))</f>
        <v xml:space="preserve"> </v>
      </c>
      <c r="G140" s="7" t="str">
        <f>IF(A140=""," ",B140*VLOOKUP(A140,'18.11-07.12.2024'!A:H,8,FALSE))</f>
        <v xml:space="preserve"> </v>
      </c>
    </row>
    <row r="141" spans="1:7" ht="14.1" customHeight="1" x14ac:dyDescent="0.2">
      <c r="A141" s="18"/>
      <c r="B141" s="25"/>
      <c r="C141" s="6" t="str">
        <f>IF(A141=""," ",VLOOKUP(A141,'18.11-07.12.2024'!A:H,2,FALSE))</f>
        <v xml:space="preserve"> </v>
      </c>
      <c r="D141" s="33" t="str">
        <f>IF(A141=""," ",VLOOKUP(A141,'18.11-07.12.2024'!A:H,5,FALSE))</f>
        <v xml:space="preserve"> </v>
      </c>
      <c r="E141" s="7" t="str">
        <f>IF(A141=""," ",B141*VLOOKUP(A141,'18.11-07.12.2024'!A:H,6,FALSE))</f>
        <v xml:space="preserve"> </v>
      </c>
      <c r="F141" s="7" t="str">
        <f>IF(A141=""," ",B141*VLOOKUP(A141,'18.11-07.12.2024'!A:H,7,FALSE))</f>
        <v xml:space="preserve"> </v>
      </c>
      <c r="G141" s="7" t="str">
        <f>IF(A141=""," ",B141*VLOOKUP(A141,'18.11-07.12.2024'!A:H,8,FALSE))</f>
        <v xml:space="preserve"> </v>
      </c>
    </row>
    <row r="142" spans="1:7" ht="14.1" customHeight="1" x14ac:dyDescent="0.2">
      <c r="A142" s="18"/>
      <c r="B142" s="25"/>
      <c r="C142" s="6" t="str">
        <f>IF(A142=""," ",VLOOKUP(A142,'18.11-07.12.2024'!A:H,2,FALSE))</f>
        <v xml:space="preserve"> </v>
      </c>
      <c r="D142" s="33" t="str">
        <f>IF(A142=""," ",VLOOKUP(A142,'18.11-07.12.2024'!A:H,5,FALSE))</f>
        <v xml:space="preserve"> </v>
      </c>
      <c r="E142" s="7" t="str">
        <f>IF(A142=""," ",B142*VLOOKUP(A142,'18.11-07.12.2024'!A:H,6,FALSE))</f>
        <v xml:space="preserve"> </v>
      </c>
      <c r="F142" s="7" t="str">
        <f>IF(A142=""," ",B142*VLOOKUP(A142,'18.11-07.12.2024'!A:H,7,FALSE))</f>
        <v xml:space="preserve"> </v>
      </c>
      <c r="G142" s="7" t="str">
        <f>IF(A142=""," ",B142*VLOOKUP(A142,'18.11-07.12.2024'!A:H,8,FALSE))</f>
        <v xml:space="preserve"> </v>
      </c>
    </row>
    <row r="143" spans="1:7" ht="14.1" customHeight="1" x14ac:dyDescent="0.2">
      <c r="A143" s="18"/>
      <c r="B143" s="25"/>
      <c r="C143" s="6" t="str">
        <f>IF(A143=""," ",VLOOKUP(A143,'18.11-07.12.2024'!A:H,2,FALSE))</f>
        <v xml:space="preserve"> </v>
      </c>
      <c r="D143" s="33" t="str">
        <f>IF(A143=""," ",VLOOKUP(A143,'18.11-07.12.2024'!A:H,5,FALSE))</f>
        <v xml:space="preserve"> </v>
      </c>
      <c r="E143" s="7" t="str">
        <f>IF(A143=""," ",B143*VLOOKUP(A143,'18.11-07.12.2024'!A:H,6,FALSE))</f>
        <v xml:space="preserve"> </v>
      </c>
      <c r="F143" s="7" t="str">
        <f>IF(A143=""," ",B143*VLOOKUP(A143,'18.11-07.12.2024'!A:H,7,FALSE))</f>
        <v xml:space="preserve"> </v>
      </c>
      <c r="G143" s="7" t="str">
        <f>IF(A143=""," ",B143*VLOOKUP(A143,'18.11-07.12.2024'!A:H,8,FALSE))</f>
        <v xml:space="preserve"> </v>
      </c>
    </row>
    <row r="144" spans="1:7" ht="14.1" customHeight="1" x14ac:dyDescent="0.2">
      <c r="A144" s="18"/>
      <c r="B144" s="25"/>
      <c r="C144" s="6" t="str">
        <f>IF(A144=""," ",VLOOKUP(A144,'18.11-07.12.2024'!A:H,2,FALSE))</f>
        <v xml:space="preserve"> </v>
      </c>
      <c r="D144" s="33" t="str">
        <f>IF(A144=""," ",VLOOKUP(A144,'18.11-07.12.2024'!A:H,5,FALSE))</f>
        <v xml:space="preserve"> </v>
      </c>
      <c r="E144" s="7" t="str">
        <f>IF(A144=""," ",B144*VLOOKUP(A144,'18.11-07.12.2024'!A:H,6,FALSE))</f>
        <v xml:space="preserve"> </v>
      </c>
      <c r="F144" s="7" t="str">
        <f>IF(A144=""," ",B144*VLOOKUP(A144,'18.11-07.12.2024'!A:H,7,FALSE))</f>
        <v xml:space="preserve"> </v>
      </c>
      <c r="G144" s="7" t="str">
        <f>IF(A144=""," ",B144*VLOOKUP(A144,'18.11-07.12.2024'!A:H,8,FALSE))</f>
        <v xml:space="preserve"> </v>
      </c>
    </row>
    <row r="145" spans="1:7" ht="14.1" customHeight="1" x14ac:dyDescent="0.2">
      <c r="A145" s="18"/>
      <c r="B145" s="25"/>
      <c r="C145" s="6" t="str">
        <f>IF(A145=""," ",VLOOKUP(A145,'18.11-07.12.2024'!A:H,2,FALSE))</f>
        <v xml:space="preserve"> </v>
      </c>
      <c r="D145" s="33" t="str">
        <f>IF(A145=""," ",VLOOKUP(A145,'18.11-07.12.2024'!A:H,5,FALSE))</f>
        <v xml:space="preserve"> </v>
      </c>
      <c r="E145" s="7" t="str">
        <f>IF(A145=""," ",B145*VLOOKUP(A145,'18.11-07.12.2024'!A:H,6,FALSE))</f>
        <v xml:space="preserve"> </v>
      </c>
      <c r="F145" s="7" t="str">
        <f>IF(A145=""," ",B145*VLOOKUP(A145,'18.11-07.12.2024'!A:H,7,FALSE))</f>
        <v xml:space="preserve"> </v>
      </c>
      <c r="G145" s="7" t="str">
        <f>IF(A145=""," ",B145*VLOOKUP(A145,'18.11-07.12.2024'!A:H,8,FALSE))</f>
        <v xml:space="preserve"> </v>
      </c>
    </row>
    <row r="146" spans="1:7" ht="14.1" customHeight="1" x14ac:dyDescent="0.2">
      <c r="A146" s="18"/>
      <c r="B146" s="25"/>
      <c r="C146" s="6" t="str">
        <f>IF(A146=""," ",VLOOKUP(A146,'18.11-07.12.2024'!A:H,2,FALSE))</f>
        <v xml:space="preserve"> </v>
      </c>
      <c r="D146" s="33" t="str">
        <f>IF(A146=""," ",VLOOKUP(A146,'18.11-07.12.2024'!A:H,5,FALSE))</f>
        <v xml:space="preserve"> </v>
      </c>
      <c r="E146" s="7" t="str">
        <f>IF(A146=""," ",B146*VLOOKUP(A146,'18.11-07.12.2024'!A:H,6,FALSE))</f>
        <v xml:space="preserve"> </v>
      </c>
      <c r="F146" s="7" t="str">
        <f>IF(A146=""," ",B146*VLOOKUP(A146,'18.11-07.12.2024'!A:H,7,FALSE))</f>
        <v xml:space="preserve"> </v>
      </c>
      <c r="G146" s="7" t="str">
        <f>IF(A146=""," ",B146*VLOOKUP(A146,'18.11-07.12.2024'!A:H,8,FALSE))</f>
        <v xml:space="preserve"> </v>
      </c>
    </row>
    <row r="147" spans="1:7" ht="14.1" customHeight="1" x14ac:dyDescent="0.2">
      <c r="A147" s="18"/>
      <c r="B147" s="25"/>
      <c r="C147" s="6" t="str">
        <f>IF(A147=""," ",VLOOKUP(A147,'18.11-07.12.2024'!A:H,2,FALSE))</f>
        <v xml:space="preserve"> </v>
      </c>
      <c r="D147" s="33" t="str">
        <f>IF(A147=""," ",VLOOKUP(A147,'18.11-07.12.2024'!A:H,5,FALSE))</f>
        <v xml:space="preserve"> </v>
      </c>
      <c r="E147" s="7" t="str">
        <f>IF(A147=""," ",B147*VLOOKUP(A147,'18.11-07.12.2024'!A:H,6,FALSE))</f>
        <v xml:space="preserve"> </v>
      </c>
      <c r="F147" s="7" t="str">
        <f>IF(A147=""," ",B147*VLOOKUP(A147,'18.11-07.12.2024'!A:H,7,FALSE))</f>
        <v xml:space="preserve"> </v>
      </c>
      <c r="G147" s="7" t="str">
        <f>IF(A147=""," ",B147*VLOOKUP(A147,'18.11-07.12.2024'!A:H,8,FALSE))</f>
        <v xml:space="preserve"> </v>
      </c>
    </row>
    <row r="148" spans="1:7" ht="14.1" customHeight="1" x14ac:dyDescent="0.2">
      <c r="A148" s="18"/>
      <c r="B148" s="25"/>
      <c r="C148" s="6" t="str">
        <f>IF(A148=""," ",VLOOKUP(A148,'18.11-07.12.2024'!A:H,2,FALSE))</f>
        <v xml:space="preserve"> </v>
      </c>
      <c r="D148" s="33" t="str">
        <f>IF(A148=""," ",VLOOKUP(A148,'18.11-07.12.2024'!A:H,5,FALSE))</f>
        <v xml:space="preserve"> </v>
      </c>
      <c r="E148" s="7" t="str">
        <f>IF(A148=""," ",B148*VLOOKUP(A148,'18.11-07.12.2024'!A:H,6,FALSE))</f>
        <v xml:space="preserve"> </v>
      </c>
      <c r="F148" s="7" t="str">
        <f>IF(A148=""," ",B148*VLOOKUP(A148,'18.11-07.12.2024'!A:H,7,FALSE))</f>
        <v xml:space="preserve"> </v>
      </c>
      <c r="G148" s="7" t="str">
        <f>IF(A148=""," ",B148*VLOOKUP(A148,'18.11-07.12.2024'!A:H,8,FALSE))</f>
        <v xml:space="preserve"> </v>
      </c>
    </row>
    <row r="149" spans="1:7" ht="14.1" customHeight="1" x14ac:dyDescent="0.2">
      <c r="A149" s="18"/>
      <c r="B149" s="25"/>
      <c r="C149" s="6" t="str">
        <f>IF(A149=""," ",VLOOKUP(A149,'18.11-07.12.2024'!A:H,2,FALSE))</f>
        <v xml:space="preserve"> </v>
      </c>
      <c r="D149" s="33" t="str">
        <f>IF(A149=""," ",VLOOKUP(A149,'18.11-07.12.2024'!A:H,5,FALSE))</f>
        <v xml:space="preserve"> </v>
      </c>
      <c r="E149" s="7" t="str">
        <f>IF(A149=""," ",B149*VLOOKUP(A149,'18.11-07.12.2024'!A:H,6,FALSE))</f>
        <v xml:space="preserve"> </v>
      </c>
      <c r="F149" s="7" t="str">
        <f>IF(A149=""," ",B149*VLOOKUP(A149,'18.11-07.12.2024'!A:H,7,FALSE))</f>
        <v xml:space="preserve"> </v>
      </c>
      <c r="G149" s="7" t="str">
        <f>IF(A149=""," ",B149*VLOOKUP(A149,'18.11-07.12.2024'!A:H,8,FALSE))</f>
        <v xml:space="preserve"> </v>
      </c>
    </row>
    <row r="150" spans="1:7" ht="14.1" customHeight="1" x14ac:dyDescent="0.2">
      <c r="A150" s="18"/>
      <c r="B150" s="25"/>
      <c r="C150" s="6" t="str">
        <f>IF(A150=""," ",VLOOKUP(A150,'18.11-07.12.2024'!A:H,2,FALSE))</f>
        <v xml:space="preserve"> </v>
      </c>
      <c r="D150" s="33" t="str">
        <f>IF(A150=""," ",VLOOKUP(A150,'18.11-07.12.2024'!A:H,5,FALSE))</f>
        <v xml:space="preserve"> </v>
      </c>
      <c r="E150" s="7" t="str">
        <f>IF(A150=""," ",B150*VLOOKUP(A150,'18.11-07.12.2024'!A:H,6,FALSE))</f>
        <v xml:space="preserve"> </v>
      </c>
      <c r="F150" s="7" t="str">
        <f>IF(A150=""," ",B150*VLOOKUP(A150,'18.11-07.12.2024'!A:H,7,FALSE))</f>
        <v xml:space="preserve"> </v>
      </c>
      <c r="G150" s="7" t="str">
        <f>IF(A150=""," ",B150*VLOOKUP(A150,'18.11-07.12.2024'!A:H,8,FALSE))</f>
        <v xml:space="preserve"> </v>
      </c>
    </row>
    <row r="151" spans="1:7" ht="14.1" customHeight="1" x14ac:dyDescent="0.2">
      <c r="A151" s="18"/>
      <c r="B151" s="25"/>
      <c r="C151" s="6" t="str">
        <f>IF(A151=""," ",VLOOKUP(A151,'18.11-07.12.2024'!A:H,2,FALSE))</f>
        <v xml:space="preserve"> </v>
      </c>
      <c r="D151" s="33" t="str">
        <f>IF(A151=""," ",VLOOKUP(A151,'18.11-07.12.2024'!A:H,5,FALSE))</f>
        <v xml:space="preserve"> </v>
      </c>
      <c r="E151" s="7" t="str">
        <f>IF(A151=""," ",B151*VLOOKUP(A151,'18.11-07.12.2024'!A:H,6,FALSE))</f>
        <v xml:space="preserve"> </v>
      </c>
      <c r="F151" s="7" t="str">
        <f>IF(A151=""," ",B151*VLOOKUP(A151,'18.11-07.12.2024'!A:H,7,FALSE))</f>
        <v xml:space="preserve"> </v>
      </c>
      <c r="G151" s="7" t="str">
        <f>IF(A151=""," ",B151*VLOOKUP(A151,'18.11-07.12.2024'!A:H,8,FALSE))</f>
        <v xml:space="preserve"> </v>
      </c>
    </row>
    <row r="152" spans="1:7" ht="14.1" customHeight="1" x14ac:dyDescent="0.2">
      <c r="A152" s="18"/>
      <c r="B152" s="25"/>
      <c r="C152" s="6" t="str">
        <f>IF(A152=""," ",VLOOKUP(A152,'18.11-07.12.2024'!A:H,2,FALSE))</f>
        <v xml:space="preserve"> </v>
      </c>
      <c r="D152" s="33" t="str">
        <f>IF(A152=""," ",VLOOKUP(A152,'18.11-07.12.2024'!A:H,5,FALSE))</f>
        <v xml:space="preserve"> </v>
      </c>
      <c r="E152" s="7" t="str">
        <f>IF(A152=""," ",B152*VLOOKUP(A152,'18.11-07.12.2024'!A:H,6,FALSE))</f>
        <v xml:space="preserve"> </v>
      </c>
      <c r="F152" s="7" t="str">
        <f>IF(A152=""," ",B152*VLOOKUP(A152,'18.11-07.12.2024'!A:H,7,FALSE))</f>
        <v xml:space="preserve"> </v>
      </c>
      <c r="G152" s="7" t="str">
        <f>IF(A152=""," ",B152*VLOOKUP(A152,'18.11-07.12.2024'!A:H,8,FALSE))</f>
        <v xml:space="preserve"> </v>
      </c>
    </row>
    <row r="153" spans="1:7" ht="14.1" customHeight="1" x14ac:dyDescent="0.2">
      <c r="A153" s="18"/>
      <c r="B153" s="25"/>
      <c r="C153" s="6" t="str">
        <f>IF(A153=""," ",VLOOKUP(A153,'18.11-07.12.2024'!A:H,2,FALSE))</f>
        <v xml:space="preserve"> </v>
      </c>
      <c r="D153" s="33" t="str">
        <f>IF(A153=""," ",VLOOKUP(A153,'18.11-07.12.2024'!A:H,5,FALSE))</f>
        <v xml:space="preserve"> </v>
      </c>
      <c r="E153" s="7" t="str">
        <f>IF(A153=""," ",B153*VLOOKUP(A153,'18.11-07.12.2024'!A:H,6,FALSE))</f>
        <v xml:space="preserve"> </v>
      </c>
      <c r="F153" s="7" t="str">
        <f>IF(A153=""," ",B153*VLOOKUP(A153,'18.11-07.12.2024'!A:H,7,FALSE))</f>
        <v xml:space="preserve"> </v>
      </c>
      <c r="G153" s="7" t="str">
        <f>IF(A153=""," ",B153*VLOOKUP(A153,'18.11-07.12.2024'!A:H,8,FALSE))</f>
        <v xml:space="preserve"> </v>
      </c>
    </row>
    <row r="154" spans="1:7" ht="14.1" customHeight="1" x14ac:dyDescent="0.2">
      <c r="A154" s="18"/>
      <c r="B154" s="25"/>
      <c r="C154" s="6" t="str">
        <f>IF(A154=""," ",VLOOKUP(A154,'18.11-07.12.2024'!A:H,2,FALSE))</f>
        <v xml:space="preserve"> </v>
      </c>
      <c r="D154" s="33" t="str">
        <f>IF(A154=""," ",VLOOKUP(A154,'18.11-07.12.2024'!A:H,5,FALSE))</f>
        <v xml:space="preserve"> </v>
      </c>
      <c r="E154" s="7" t="str">
        <f>IF(A154=""," ",B154*VLOOKUP(A154,'18.11-07.12.2024'!A:H,6,FALSE))</f>
        <v xml:space="preserve"> </v>
      </c>
      <c r="F154" s="7" t="str">
        <f>IF(A154=""," ",B154*VLOOKUP(A154,'18.11-07.12.2024'!A:H,7,FALSE))</f>
        <v xml:space="preserve"> </v>
      </c>
      <c r="G154" s="7" t="str">
        <f>IF(A154=""," ",B154*VLOOKUP(A154,'18.11-07.12.2024'!A:H,8,FALSE))</f>
        <v xml:space="preserve"> </v>
      </c>
    </row>
    <row r="155" spans="1:7" ht="14.1" customHeight="1" x14ac:dyDescent="0.2">
      <c r="A155" s="18"/>
      <c r="B155" s="25"/>
      <c r="C155" s="6" t="str">
        <f>IF(A155=""," ",VLOOKUP(A155,'18.11-07.12.2024'!A:H,2,FALSE))</f>
        <v xml:space="preserve"> </v>
      </c>
      <c r="D155" s="33" t="str">
        <f>IF(A155=""," ",VLOOKUP(A155,'18.11-07.12.2024'!A:H,5,FALSE))</f>
        <v xml:space="preserve"> </v>
      </c>
      <c r="E155" s="7" t="str">
        <f>IF(A155=""," ",B155*VLOOKUP(A155,'18.11-07.12.2024'!A:H,6,FALSE))</f>
        <v xml:space="preserve"> </v>
      </c>
      <c r="F155" s="7" t="str">
        <f>IF(A155=""," ",B155*VLOOKUP(A155,'18.11-07.12.2024'!A:H,7,FALSE))</f>
        <v xml:space="preserve"> </v>
      </c>
      <c r="G155" s="7" t="str">
        <f>IF(A155=""," ",B155*VLOOKUP(A155,'18.11-07.12.2024'!A:H,8,FALSE))</f>
        <v xml:space="preserve"> </v>
      </c>
    </row>
    <row r="156" spans="1:7" ht="14.1" customHeight="1" x14ac:dyDescent="0.2">
      <c r="A156" s="18"/>
      <c r="B156" s="25"/>
      <c r="C156" s="6" t="str">
        <f>IF(A156=""," ",VLOOKUP(A156,'18.11-07.12.2024'!A:H,2,FALSE))</f>
        <v xml:space="preserve"> </v>
      </c>
      <c r="D156" s="33" t="str">
        <f>IF(A156=""," ",VLOOKUP(A156,'18.11-07.12.2024'!A:H,5,FALSE))</f>
        <v xml:space="preserve"> </v>
      </c>
      <c r="E156" s="7" t="str">
        <f>IF(A156=""," ",B156*VLOOKUP(A156,'18.11-07.12.2024'!A:H,6,FALSE))</f>
        <v xml:space="preserve"> </v>
      </c>
      <c r="F156" s="7" t="str">
        <f>IF(A156=""," ",B156*VLOOKUP(A156,'18.11-07.12.2024'!A:H,7,FALSE))</f>
        <v xml:space="preserve"> </v>
      </c>
      <c r="G156" s="7" t="str">
        <f>IF(A156=""," ",B156*VLOOKUP(A156,'18.11-07.12.2024'!A:H,8,FALSE))</f>
        <v xml:space="preserve"> </v>
      </c>
    </row>
    <row r="157" spans="1:7" ht="14.1" customHeight="1" x14ac:dyDescent="0.2">
      <c r="A157" s="18"/>
      <c r="B157" s="25"/>
      <c r="C157" s="6" t="str">
        <f>IF(A157=""," ",VLOOKUP(A157,'18.11-07.12.2024'!A:H,2,FALSE))</f>
        <v xml:space="preserve"> </v>
      </c>
      <c r="D157" s="33" t="str">
        <f>IF(A157=""," ",VLOOKUP(A157,'18.11-07.12.2024'!A:H,5,FALSE))</f>
        <v xml:space="preserve"> </v>
      </c>
      <c r="E157" s="7" t="str">
        <f>IF(A157=""," ",B157*VLOOKUP(A157,'18.11-07.12.2024'!A:H,6,FALSE))</f>
        <v xml:space="preserve"> </v>
      </c>
      <c r="F157" s="7" t="str">
        <f>IF(A157=""," ",B157*VLOOKUP(A157,'18.11-07.12.2024'!A:H,7,FALSE))</f>
        <v xml:space="preserve"> </v>
      </c>
      <c r="G157" s="7" t="str">
        <f>IF(A157=""," ",B157*VLOOKUP(A157,'18.11-07.12.2024'!A:H,8,FALSE))</f>
        <v xml:space="preserve"> </v>
      </c>
    </row>
    <row r="158" spans="1:7" ht="14.1" customHeight="1" x14ac:dyDescent="0.2">
      <c r="A158" s="18"/>
      <c r="B158" s="25"/>
      <c r="C158" s="6" t="str">
        <f>IF(A158=""," ",VLOOKUP(A158,'18.11-07.12.2024'!A:H,2,FALSE))</f>
        <v xml:space="preserve"> </v>
      </c>
      <c r="D158" s="33" t="str">
        <f>IF(A158=""," ",VLOOKUP(A158,'18.11-07.12.2024'!A:H,5,FALSE))</f>
        <v xml:space="preserve"> </v>
      </c>
      <c r="E158" s="7" t="str">
        <f>IF(A158=""," ",B158*VLOOKUP(A158,'18.11-07.12.2024'!A:H,6,FALSE))</f>
        <v xml:space="preserve"> </v>
      </c>
      <c r="F158" s="7" t="str">
        <f>IF(A158=""," ",B158*VLOOKUP(A158,'18.11-07.12.2024'!A:H,7,FALSE))</f>
        <v xml:space="preserve"> </v>
      </c>
      <c r="G158" s="7" t="str">
        <f>IF(A158=""," ",B158*VLOOKUP(A158,'18.11-07.12.2024'!A:H,8,FALSE))</f>
        <v xml:space="preserve"> </v>
      </c>
    </row>
    <row r="159" spans="1:7" ht="14.1" customHeight="1" x14ac:dyDescent="0.2">
      <c r="A159" s="18"/>
      <c r="B159" s="25"/>
      <c r="C159" s="6" t="str">
        <f>IF(A159=""," ",VLOOKUP(A159,'18.11-07.12.2024'!A:H,2,FALSE))</f>
        <v xml:space="preserve"> </v>
      </c>
      <c r="D159" s="33" t="str">
        <f>IF(A159=""," ",VLOOKUP(A159,'18.11-07.12.2024'!A:H,5,FALSE))</f>
        <v xml:space="preserve"> </v>
      </c>
      <c r="E159" s="7" t="str">
        <f>IF(A159=""," ",B159*VLOOKUP(A159,'18.11-07.12.2024'!A:H,6,FALSE))</f>
        <v xml:space="preserve"> </v>
      </c>
      <c r="F159" s="7" t="str">
        <f>IF(A159=""," ",B159*VLOOKUP(A159,'18.11-07.12.2024'!A:H,7,FALSE))</f>
        <v xml:space="preserve"> </v>
      </c>
      <c r="G159" s="7" t="str">
        <f>IF(A159=""," ",B159*VLOOKUP(A159,'18.11-07.12.2024'!A:H,8,FALSE))</f>
        <v xml:space="preserve"> </v>
      </c>
    </row>
    <row r="160" spans="1:7" ht="14.1" customHeight="1" x14ac:dyDescent="0.2">
      <c r="A160" s="18"/>
      <c r="B160" s="25"/>
      <c r="C160" s="6" t="str">
        <f>IF(A160=""," ",VLOOKUP(A160,'18.11-07.12.2024'!A:H,2,FALSE))</f>
        <v xml:space="preserve"> </v>
      </c>
      <c r="D160" s="33" t="str">
        <f>IF(A160=""," ",VLOOKUP(A160,'18.11-07.12.2024'!A:H,5,FALSE))</f>
        <v xml:space="preserve"> </v>
      </c>
      <c r="E160" s="7" t="str">
        <f>IF(A160=""," ",B160*VLOOKUP(A160,'18.11-07.12.2024'!A:H,6,FALSE))</f>
        <v xml:space="preserve"> </v>
      </c>
      <c r="F160" s="7" t="str">
        <f>IF(A160=""," ",B160*VLOOKUP(A160,'18.11-07.12.2024'!A:H,7,FALSE))</f>
        <v xml:space="preserve"> </v>
      </c>
      <c r="G160" s="7" t="str">
        <f>IF(A160=""," ",B160*VLOOKUP(A160,'18.11-07.12.2024'!A:H,8,FALSE))</f>
        <v xml:space="preserve"> </v>
      </c>
    </row>
    <row r="161" spans="1:7" ht="14.1" customHeight="1" x14ac:dyDescent="0.2">
      <c r="A161" s="18"/>
      <c r="B161" s="25"/>
      <c r="C161" s="6" t="str">
        <f>IF(A161=""," ",VLOOKUP(A161,'18.11-07.12.2024'!A:H,2,FALSE))</f>
        <v xml:space="preserve"> </v>
      </c>
      <c r="D161" s="33" t="str">
        <f>IF(A161=""," ",VLOOKUP(A161,'18.11-07.12.2024'!A:H,5,FALSE))</f>
        <v xml:space="preserve"> </v>
      </c>
      <c r="E161" s="7" t="str">
        <f>IF(A161=""," ",B161*VLOOKUP(A161,'18.11-07.12.2024'!A:H,6,FALSE))</f>
        <v xml:space="preserve"> </v>
      </c>
      <c r="F161" s="7" t="str">
        <f>IF(A161=""," ",B161*VLOOKUP(A161,'18.11-07.12.2024'!A:H,7,FALSE))</f>
        <v xml:space="preserve"> </v>
      </c>
      <c r="G161" s="7" t="str">
        <f>IF(A161=""," ",B161*VLOOKUP(A161,'18.11-07.12.2024'!A:H,8,FALSE))</f>
        <v xml:space="preserve"> </v>
      </c>
    </row>
    <row r="162" spans="1:7" ht="14.1" customHeight="1" x14ac:dyDescent="0.2">
      <c r="A162" s="18"/>
      <c r="B162" s="25"/>
      <c r="C162" s="6" t="str">
        <f>IF(A162=""," ",VLOOKUP(A162,'18.11-07.12.2024'!A:H,2,FALSE))</f>
        <v xml:space="preserve"> </v>
      </c>
      <c r="D162" s="33" t="str">
        <f>IF(A162=""," ",VLOOKUP(A162,'18.11-07.12.2024'!A:H,5,FALSE))</f>
        <v xml:space="preserve"> </v>
      </c>
      <c r="E162" s="7" t="str">
        <f>IF(A162=""," ",B162*VLOOKUP(A162,'18.11-07.12.2024'!A:H,6,FALSE))</f>
        <v xml:space="preserve"> </v>
      </c>
      <c r="F162" s="7" t="str">
        <f>IF(A162=""," ",B162*VLOOKUP(A162,'18.11-07.12.2024'!A:H,7,FALSE))</f>
        <v xml:space="preserve"> </v>
      </c>
      <c r="G162" s="7" t="str">
        <f>IF(A162=""," ",B162*VLOOKUP(A162,'18.11-07.12.2024'!A:H,8,FALSE))</f>
        <v xml:space="preserve"> </v>
      </c>
    </row>
    <row r="163" spans="1:7" ht="14.1" customHeight="1" x14ac:dyDescent="0.2">
      <c r="A163" s="18"/>
      <c r="B163" s="25"/>
      <c r="C163" s="6" t="str">
        <f>IF(A163=""," ",VLOOKUP(A163,'18.11-07.12.2024'!A:H,2,FALSE))</f>
        <v xml:space="preserve"> </v>
      </c>
      <c r="D163" s="33" t="str">
        <f>IF(A163=""," ",VLOOKUP(A163,'18.11-07.12.2024'!A:H,5,FALSE))</f>
        <v xml:space="preserve"> </v>
      </c>
      <c r="E163" s="7" t="str">
        <f>IF(A163=""," ",B163*VLOOKUP(A163,'18.11-07.12.2024'!A:H,6,FALSE))</f>
        <v xml:space="preserve"> </v>
      </c>
      <c r="F163" s="7" t="str">
        <f>IF(A163=""," ",B163*VLOOKUP(A163,'18.11-07.12.2024'!A:H,7,FALSE))</f>
        <v xml:space="preserve"> </v>
      </c>
      <c r="G163" s="7" t="str">
        <f>IF(A163=""," ",B163*VLOOKUP(A163,'18.11-07.12.2024'!A:H,8,FALSE))</f>
        <v xml:space="preserve"> </v>
      </c>
    </row>
    <row r="164" spans="1:7" ht="14.1" customHeight="1" x14ac:dyDescent="0.2">
      <c r="A164" s="18"/>
      <c r="B164" s="25"/>
      <c r="C164" s="6" t="str">
        <f>IF(A164=""," ",VLOOKUP(A164,'18.11-07.12.2024'!A:H,2,FALSE))</f>
        <v xml:space="preserve"> </v>
      </c>
      <c r="D164" s="33" t="str">
        <f>IF(A164=""," ",VLOOKUP(A164,'18.11-07.12.2024'!A:H,5,FALSE))</f>
        <v xml:space="preserve"> </v>
      </c>
      <c r="E164" s="7" t="str">
        <f>IF(A164=""," ",B164*VLOOKUP(A164,'18.11-07.12.2024'!A:H,6,FALSE))</f>
        <v xml:space="preserve"> </v>
      </c>
      <c r="F164" s="7" t="str">
        <f>IF(A164=""," ",B164*VLOOKUP(A164,'18.11-07.12.2024'!A:H,7,FALSE))</f>
        <v xml:space="preserve"> </v>
      </c>
      <c r="G164" s="7" t="str">
        <f>IF(A164=""," ",B164*VLOOKUP(A164,'18.11-07.12.2024'!A:H,8,FALSE))</f>
        <v xml:space="preserve"> </v>
      </c>
    </row>
    <row r="165" spans="1:7" ht="14.1" customHeight="1" x14ac:dyDescent="0.2">
      <c r="A165" s="18"/>
      <c r="B165" s="25"/>
      <c r="C165" s="6" t="str">
        <f>IF(A165=""," ",VLOOKUP(A165,'18.11-07.12.2024'!A:H,2,FALSE))</f>
        <v xml:space="preserve"> </v>
      </c>
      <c r="D165" s="33" t="str">
        <f>IF(A165=""," ",VLOOKUP(A165,'18.11-07.12.2024'!A:H,5,FALSE))</f>
        <v xml:space="preserve"> </v>
      </c>
      <c r="E165" s="7" t="str">
        <f>IF(A165=""," ",B165*VLOOKUP(A165,'18.11-07.12.2024'!A:H,6,FALSE))</f>
        <v xml:space="preserve"> </v>
      </c>
      <c r="F165" s="7" t="str">
        <f>IF(A165=""," ",B165*VLOOKUP(A165,'18.11-07.12.2024'!A:H,7,FALSE))</f>
        <v xml:space="preserve"> </v>
      </c>
      <c r="G165" s="7" t="str">
        <f>IF(A165=""," ",B165*VLOOKUP(A165,'18.11-07.12.2024'!A:H,8,FALSE))</f>
        <v xml:space="preserve"> </v>
      </c>
    </row>
    <row r="166" spans="1:7" ht="14.1" customHeight="1" x14ac:dyDescent="0.2">
      <c r="A166" s="18"/>
      <c r="B166" s="25"/>
      <c r="C166" s="6" t="str">
        <f>IF(A166=""," ",VLOOKUP(A166,'18.11-07.12.2024'!A:H,2,FALSE))</f>
        <v xml:space="preserve"> </v>
      </c>
      <c r="D166" s="33" t="str">
        <f>IF(A166=""," ",VLOOKUP(A166,'18.11-07.12.2024'!A:H,5,FALSE))</f>
        <v xml:space="preserve"> </v>
      </c>
      <c r="E166" s="7" t="str">
        <f>IF(A166=""," ",B166*VLOOKUP(A166,'18.11-07.12.2024'!A:H,6,FALSE))</f>
        <v xml:space="preserve"> </v>
      </c>
      <c r="F166" s="7" t="str">
        <f>IF(A166=""," ",B166*VLOOKUP(A166,'18.11-07.12.2024'!A:H,7,FALSE))</f>
        <v xml:space="preserve"> </v>
      </c>
      <c r="G166" s="7" t="str">
        <f>IF(A166=""," ",B166*VLOOKUP(A166,'18.11-07.12.2024'!A:H,8,FALSE))</f>
        <v xml:space="preserve"> </v>
      </c>
    </row>
    <row r="167" spans="1:7" ht="14.1" customHeight="1" x14ac:dyDescent="0.2">
      <c r="A167" s="18"/>
      <c r="B167" s="25"/>
      <c r="C167" s="6" t="str">
        <f>IF(A167=""," ",VLOOKUP(A167,'18.11-07.12.2024'!A:H,2,FALSE))</f>
        <v xml:space="preserve"> </v>
      </c>
      <c r="D167" s="33" t="str">
        <f>IF(A167=""," ",VLOOKUP(A167,'18.11-07.12.2024'!A:H,5,FALSE))</f>
        <v xml:space="preserve"> </v>
      </c>
      <c r="E167" s="7" t="str">
        <f>IF(A167=""," ",B167*VLOOKUP(A167,'18.11-07.12.2024'!A:H,6,FALSE))</f>
        <v xml:space="preserve"> </v>
      </c>
      <c r="F167" s="7" t="str">
        <f>IF(A167=""," ",B167*VLOOKUP(A167,'18.11-07.12.2024'!A:H,7,FALSE))</f>
        <v xml:space="preserve"> </v>
      </c>
      <c r="G167" s="7" t="str">
        <f>IF(A167=""," ",B167*VLOOKUP(A167,'18.11-07.12.2024'!A:H,8,FALSE))</f>
        <v xml:space="preserve"> </v>
      </c>
    </row>
    <row r="168" spans="1:7" ht="14.1" customHeight="1" x14ac:dyDescent="0.2">
      <c r="A168" s="18"/>
      <c r="B168" s="25"/>
      <c r="C168" s="6" t="str">
        <f>IF(A168=""," ",VLOOKUP(A168,'18.11-07.12.2024'!A:H,2,FALSE))</f>
        <v xml:space="preserve"> </v>
      </c>
      <c r="D168" s="33" t="str">
        <f>IF(A168=""," ",VLOOKUP(A168,'18.11-07.12.2024'!A:H,5,FALSE))</f>
        <v xml:space="preserve"> </v>
      </c>
      <c r="E168" s="7" t="str">
        <f>IF(A168=""," ",B168*VLOOKUP(A168,'18.11-07.12.2024'!A:H,6,FALSE))</f>
        <v xml:space="preserve"> </v>
      </c>
      <c r="F168" s="7" t="str">
        <f>IF(A168=""," ",B168*VLOOKUP(A168,'18.11-07.12.2024'!A:H,7,FALSE))</f>
        <v xml:space="preserve"> </v>
      </c>
      <c r="G168" s="7" t="str">
        <f>IF(A168=""," ",B168*VLOOKUP(A168,'18.11-07.12.2024'!A:H,8,FALSE))</f>
        <v xml:space="preserve"> </v>
      </c>
    </row>
    <row r="169" spans="1:7" ht="14.1" customHeight="1" x14ac:dyDescent="0.2">
      <c r="A169" s="18"/>
      <c r="B169" s="25"/>
      <c r="C169" s="6" t="str">
        <f>IF(A169=""," ",VLOOKUP(A169,'18.11-07.12.2024'!A:H,2,FALSE))</f>
        <v xml:space="preserve"> </v>
      </c>
      <c r="D169" s="33" t="str">
        <f>IF(A169=""," ",VLOOKUP(A169,'18.11-07.12.2024'!A:H,5,FALSE))</f>
        <v xml:space="preserve"> </v>
      </c>
      <c r="E169" s="7" t="str">
        <f>IF(A169=""," ",B169*VLOOKUP(A169,'18.11-07.12.2024'!A:H,6,FALSE))</f>
        <v xml:space="preserve"> </v>
      </c>
      <c r="F169" s="7" t="str">
        <f>IF(A169=""," ",B169*VLOOKUP(A169,'18.11-07.12.2024'!A:H,7,FALSE))</f>
        <v xml:space="preserve"> </v>
      </c>
      <c r="G169" s="7" t="str">
        <f>IF(A169=""," ",B169*VLOOKUP(A169,'18.11-07.12.2024'!A:H,8,FALSE))</f>
        <v xml:space="preserve"> </v>
      </c>
    </row>
    <row r="170" spans="1:7" ht="14.1" customHeight="1" x14ac:dyDescent="0.2">
      <c r="A170" s="18"/>
      <c r="B170" s="25"/>
      <c r="C170" s="6" t="str">
        <f>IF(A170=""," ",VLOOKUP(A170,'18.11-07.12.2024'!A:H,2,FALSE))</f>
        <v xml:space="preserve"> </v>
      </c>
      <c r="D170" s="33" t="str">
        <f>IF(A170=""," ",VLOOKUP(A170,'18.11-07.12.2024'!A:H,5,FALSE))</f>
        <v xml:space="preserve"> </v>
      </c>
      <c r="E170" s="7" t="str">
        <f>IF(A170=""," ",B170*VLOOKUP(A170,'18.11-07.12.2024'!A:H,6,FALSE))</f>
        <v xml:space="preserve"> </v>
      </c>
      <c r="F170" s="7" t="str">
        <f>IF(A170=""," ",B170*VLOOKUP(A170,'18.11-07.12.2024'!A:H,7,FALSE))</f>
        <v xml:space="preserve"> </v>
      </c>
      <c r="G170" s="7" t="str">
        <f>IF(A170=""," ",B170*VLOOKUP(A170,'18.11-07.12.2024'!A:H,8,FALSE))</f>
        <v xml:space="preserve"> </v>
      </c>
    </row>
    <row r="171" spans="1:7" ht="14.1" customHeight="1" x14ac:dyDescent="0.2">
      <c r="A171" s="18"/>
      <c r="B171" s="25"/>
      <c r="C171" s="6" t="str">
        <f>IF(A171=""," ",VLOOKUP(A171,'18.11-07.12.2024'!A:H,2,FALSE))</f>
        <v xml:space="preserve"> </v>
      </c>
      <c r="D171" s="33" t="str">
        <f>IF(A171=""," ",VLOOKUP(A171,'18.11-07.12.2024'!A:H,5,FALSE))</f>
        <v xml:space="preserve"> </v>
      </c>
      <c r="E171" s="7" t="str">
        <f>IF(A171=""," ",B171*VLOOKUP(A171,'18.11-07.12.2024'!A:H,6,FALSE))</f>
        <v xml:space="preserve"> </v>
      </c>
      <c r="F171" s="7" t="str">
        <f>IF(A171=""," ",B171*VLOOKUP(A171,'18.11-07.12.2024'!A:H,7,FALSE))</f>
        <v xml:space="preserve"> </v>
      </c>
      <c r="G171" s="7" t="str">
        <f>IF(A171=""," ",B171*VLOOKUP(A171,'18.11-07.12.2024'!A:H,8,FALSE))</f>
        <v xml:space="preserve"> </v>
      </c>
    </row>
    <row r="172" spans="1:7" ht="14.1" customHeight="1" x14ac:dyDescent="0.2">
      <c r="A172" s="18"/>
      <c r="B172" s="25"/>
      <c r="C172" s="6" t="str">
        <f>IF(A172=""," ",VLOOKUP(A172,'18.11-07.12.2024'!A:H,2,FALSE))</f>
        <v xml:space="preserve"> </v>
      </c>
      <c r="D172" s="33" t="str">
        <f>IF(A172=""," ",VLOOKUP(A172,'18.11-07.12.2024'!A:H,5,FALSE))</f>
        <v xml:space="preserve"> </v>
      </c>
      <c r="E172" s="7" t="str">
        <f>IF(A172=""," ",B172*VLOOKUP(A172,'18.11-07.12.2024'!A:H,6,FALSE))</f>
        <v xml:space="preserve"> </v>
      </c>
      <c r="F172" s="7" t="str">
        <f>IF(A172=""," ",B172*VLOOKUP(A172,'18.11-07.12.2024'!A:H,7,FALSE))</f>
        <v xml:space="preserve"> </v>
      </c>
      <c r="G172" s="7" t="str">
        <f>IF(A172=""," ",B172*VLOOKUP(A172,'18.11-07.12.2024'!A:H,8,FALSE))</f>
        <v xml:space="preserve"> </v>
      </c>
    </row>
    <row r="173" spans="1:7" ht="14.1" customHeight="1" x14ac:dyDescent="0.2">
      <c r="A173" s="18"/>
      <c r="B173" s="25"/>
      <c r="C173" s="6" t="str">
        <f>IF(A173=""," ",VLOOKUP(A173,'18.11-07.12.2024'!A:H,2,FALSE))</f>
        <v xml:space="preserve"> </v>
      </c>
      <c r="D173" s="33" t="str">
        <f>IF(A173=""," ",VLOOKUP(A173,'18.11-07.12.2024'!A:H,5,FALSE))</f>
        <v xml:space="preserve"> </v>
      </c>
      <c r="E173" s="7" t="str">
        <f>IF(A173=""," ",B173*VLOOKUP(A173,'18.11-07.12.2024'!A:H,6,FALSE))</f>
        <v xml:space="preserve"> </v>
      </c>
      <c r="F173" s="7" t="str">
        <f>IF(A173=""," ",B173*VLOOKUP(A173,'18.11-07.12.2024'!A:H,7,FALSE))</f>
        <v xml:space="preserve"> </v>
      </c>
      <c r="G173" s="7" t="str">
        <f>IF(A173=""," ",B173*VLOOKUP(A173,'18.11-07.12.2024'!A:H,8,FALSE))</f>
        <v xml:space="preserve"> </v>
      </c>
    </row>
    <row r="174" spans="1:7" ht="14.1" customHeight="1" x14ac:dyDescent="0.2">
      <c r="A174" s="18"/>
      <c r="B174" s="25"/>
      <c r="C174" s="6" t="str">
        <f>IF(A174=""," ",VLOOKUP(A174,'18.11-07.12.2024'!A:H,2,FALSE))</f>
        <v xml:space="preserve"> </v>
      </c>
      <c r="D174" s="33" t="str">
        <f>IF(A174=""," ",VLOOKUP(A174,'18.11-07.12.2024'!A:H,5,FALSE))</f>
        <v xml:space="preserve"> </v>
      </c>
      <c r="E174" s="7" t="str">
        <f>IF(A174=""," ",B174*VLOOKUP(A174,'18.11-07.12.2024'!A:H,6,FALSE))</f>
        <v xml:space="preserve"> </v>
      </c>
      <c r="F174" s="7" t="str">
        <f>IF(A174=""," ",B174*VLOOKUP(A174,'18.11-07.12.2024'!A:H,7,FALSE))</f>
        <v xml:space="preserve"> </v>
      </c>
      <c r="G174" s="7" t="str">
        <f>IF(A174=""," ",B174*VLOOKUP(A174,'18.11-07.12.2024'!A:H,8,FALSE))</f>
        <v xml:space="preserve"> </v>
      </c>
    </row>
    <row r="175" spans="1:7" ht="14.1" customHeight="1" x14ac:dyDescent="0.2">
      <c r="A175" s="18"/>
      <c r="B175" s="25"/>
      <c r="C175" s="6" t="str">
        <f>IF(A175=""," ",VLOOKUP(A175,'18.11-07.12.2024'!A:H,2,FALSE))</f>
        <v xml:space="preserve"> </v>
      </c>
      <c r="D175" s="33" t="str">
        <f>IF(A175=""," ",VLOOKUP(A175,'18.11-07.12.2024'!A:H,5,FALSE))</f>
        <v xml:space="preserve"> </v>
      </c>
      <c r="E175" s="7" t="str">
        <f>IF(A175=""," ",B175*VLOOKUP(A175,'18.11-07.12.2024'!A:H,6,FALSE))</f>
        <v xml:space="preserve"> </v>
      </c>
      <c r="F175" s="7" t="str">
        <f>IF(A175=""," ",B175*VLOOKUP(A175,'18.11-07.12.2024'!A:H,7,FALSE))</f>
        <v xml:space="preserve"> </v>
      </c>
      <c r="G175" s="7" t="str">
        <f>IF(A175=""," ",B175*VLOOKUP(A175,'18.11-07.12.2024'!A:H,8,FALSE))</f>
        <v xml:space="preserve"> </v>
      </c>
    </row>
    <row r="176" spans="1:7" ht="14.1" customHeight="1" x14ac:dyDescent="0.2">
      <c r="A176" s="18"/>
      <c r="B176" s="25"/>
      <c r="C176" s="6" t="str">
        <f>IF(A176=""," ",VLOOKUP(A176,'18.11-07.12.2024'!A:H,2,FALSE))</f>
        <v xml:space="preserve"> </v>
      </c>
      <c r="D176" s="33" t="str">
        <f>IF(A176=""," ",VLOOKUP(A176,'18.11-07.12.2024'!A:H,5,FALSE))</f>
        <v xml:space="preserve"> </v>
      </c>
      <c r="E176" s="7" t="str">
        <f>IF(A176=""," ",B176*VLOOKUP(A176,'18.11-07.12.2024'!A:H,6,FALSE))</f>
        <v xml:space="preserve"> </v>
      </c>
      <c r="F176" s="7" t="str">
        <f>IF(A176=""," ",B176*VLOOKUP(A176,'18.11-07.12.2024'!A:H,7,FALSE))</f>
        <v xml:space="preserve"> </v>
      </c>
      <c r="G176" s="7" t="str">
        <f>IF(A176=""," ",B176*VLOOKUP(A176,'18.11-07.12.2024'!A:H,8,FALSE))</f>
        <v xml:space="preserve"> </v>
      </c>
    </row>
    <row r="177" spans="1:7" ht="14.1" customHeight="1" x14ac:dyDescent="0.2">
      <c r="A177" s="18"/>
      <c r="B177" s="25"/>
      <c r="C177" s="6" t="str">
        <f>IF(A177=""," ",VLOOKUP(A177,'18.11-07.12.2024'!A:H,2,FALSE))</f>
        <v xml:space="preserve"> </v>
      </c>
      <c r="D177" s="33" t="str">
        <f>IF(A177=""," ",VLOOKUP(A177,'18.11-07.12.2024'!A:H,5,FALSE))</f>
        <v xml:space="preserve"> </v>
      </c>
      <c r="E177" s="7" t="str">
        <f>IF(A177=""," ",B177*VLOOKUP(A177,'18.11-07.12.2024'!A:H,6,FALSE))</f>
        <v xml:space="preserve"> </v>
      </c>
      <c r="F177" s="7" t="str">
        <f>IF(A177=""," ",B177*VLOOKUP(A177,'18.11-07.12.2024'!A:H,7,FALSE))</f>
        <v xml:space="preserve"> </v>
      </c>
      <c r="G177" s="7" t="str">
        <f>IF(A177=""," ",B177*VLOOKUP(A177,'18.11-07.12.2024'!A:H,8,FALSE))</f>
        <v xml:space="preserve"> </v>
      </c>
    </row>
    <row r="178" spans="1:7" ht="14.1" customHeight="1" x14ac:dyDescent="0.2">
      <c r="A178" s="18"/>
      <c r="B178" s="25"/>
      <c r="C178" s="6" t="str">
        <f>IF(A178=""," ",VLOOKUP(A178,'18.11-07.12.2024'!A:H,2,FALSE))</f>
        <v xml:space="preserve"> </v>
      </c>
      <c r="D178" s="33" t="str">
        <f>IF(A178=""," ",VLOOKUP(A178,'18.11-07.12.2024'!A:H,5,FALSE))</f>
        <v xml:space="preserve"> </v>
      </c>
      <c r="E178" s="7" t="str">
        <f>IF(A178=""," ",B178*VLOOKUP(A178,'18.11-07.12.2024'!A:H,6,FALSE))</f>
        <v xml:space="preserve"> </v>
      </c>
      <c r="F178" s="7" t="str">
        <f>IF(A178=""," ",B178*VLOOKUP(A178,'18.11-07.12.2024'!A:H,7,FALSE))</f>
        <v xml:space="preserve"> </v>
      </c>
      <c r="G178" s="7" t="str">
        <f>IF(A178=""," ",B178*VLOOKUP(A178,'18.11-07.12.2024'!A:H,8,FALSE))</f>
        <v xml:space="preserve"> </v>
      </c>
    </row>
    <row r="179" spans="1:7" ht="14.1" customHeight="1" x14ac:dyDescent="0.2">
      <c r="A179" s="18"/>
      <c r="B179" s="25"/>
      <c r="C179" s="6" t="str">
        <f>IF(A179=""," ",VLOOKUP(A179,'18.11-07.12.2024'!A:H,2,FALSE))</f>
        <v xml:space="preserve"> </v>
      </c>
      <c r="D179" s="33" t="str">
        <f>IF(A179=""," ",VLOOKUP(A179,'18.11-07.12.2024'!A:H,5,FALSE))</f>
        <v xml:space="preserve"> </v>
      </c>
      <c r="E179" s="7" t="str">
        <f>IF(A179=""," ",B179*VLOOKUP(A179,'18.11-07.12.2024'!A:H,6,FALSE))</f>
        <v xml:space="preserve"> </v>
      </c>
      <c r="F179" s="7" t="str">
        <f>IF(A179=""," ",B179*VLOOKUP(A179,'18.11-07.12.2024'!A:H,7,FALSE))</f>
        <v xml:space="preserve"> </v>
      </c>
      <c r="G179" s="7" t="str">
        <f>IF(A179=""," ",B179*VLOOKUP(A179,'18.11-07.12.2024'!A:H,8,FALSE))</f>
        <v xml:space="preserve"> </v>
      </c>
    </row>
    <row r="180" spans="1:7" ht="14.1" customHeight="1" x14ac:dyDescent="0.2">
      <c r="A180" s="18"/>
      <c r="B180" s="25"/>
      <c r="C180" s="6" t="str">
        <f>IF(A180=""," ",VLOOKUP(A180,'18.11-07.12.2024'!A:H,2,FALSE))</f>
        <v xml:space="preserve"> </v>
      </c>
      <c r="D180" s="33" t="str">
        <f>IF(A180=""," ",VLOOKUP(A180,'18.11-07.12.2024'!A:H,5,FALSE))</f>
        <v xml:space="preserve"> </v>
      </c>
      <c r="E180" s="7" t="str">
        <f>IF(A180=""," ",B180*VLOOKUP(A180,'18.11-07.12.2024'!A:H,6,FALSE))</f>
        <v xml:space="preserve"> </v>
      </c>
      <c r="F180" s="7" t="str">
        <f>IF(A180=""," ",B180*VLOOKUP(A180,'18.11-07.12.2024'!A:H,7,FALSE))</f>
        <v xml:space="preserve"> </v>
      </c>
      <c r="G180" s="7" t="str">
        <f>IF(A180=""," ",B180*VLOOKUP(A180,'18.11-07.12.2024'!A:H,8,FALSE))</f>
        <v xml:space="preserve"> </v>
      </c>
    </row>
    <row r="181" spans="1:7" ht="14.1" customHeight="1" x14ac:dyDescent="0.2">
      <c r="A181" s="18"/>
      <c r="B181" s="25"/>
      <c r="C181" s="6" t="str">
        <f>IF(A181=""," ",VLOOKUP(A181,'18.11-07.12.2024'!A:H,2,FALSE))</f>
        <v xml:space="preserve"> </v>
      </c>
      <c r="D181" s="33" t="str">
        <f>IF(A181=""," ",VLOOKUP(A181,'18.11-07.12.2024'!A:H,5,FALSE))</f>
        <v xml:space="preserve"> </v>
      </c>
      <c r="E181" s="7" t="str">
        <f>IF(A181=""," ",B181*VLOOKUP(A181,'18.11-07.12.2024'!A:H,6,FALSE))</f>
        <v xml:space="preserve"> </v>
      </c>
      <c r="F181" s="7" t="str">
        <f>IF(A181=""," ",B181*VLOOKUP(A181,'18.11-07.12.2024'!A:H,7,FALSE))</f>
        <v xml:space="preserve"> </v>
      </c>
      <c r="G181" s="7" t="str">
        <f>IF(A181=""," ",B181*VLOOKUP(A181,'18.11-07.12.2024'!A:H,8,FALSE))</f>
        <v xml:space="preserve"> </v>
      </c>
    </row>
    <row r="182" spans="1:7" ht="14.1" customHeight="1" x14ac:dyDescent="0.2">
      <c r="A182" s="18"/>
      <c r="B182" s="25"/>
      <c r="C182" s="6" t="str">
        <f>IF(A182=""," ",VLOOKUP(A182,'18.11-07.12.2024'!A:H,2,FALSE))</f>
        <v xml:space="preserve"> </v>
      </c>
      <c r="D182" s="33" t="str">
        <f>IF(A182=""," ",VLOOKUP(A182,'18.11-07.12.2024'!A:H,5,FALSE))</f>
        <v xml:space="preserve"> </v>
      </c>
      <c r="E182" s="7" t="str">
        <f>IF(A182=""," ",B182*VLOOKUP(A182,'18.11-07.12.2024'!A:H,6,FALSE))</f>
        <v xml:space="preserve"> </v>
      </c>
      <c r="F182" s="7" t="str">
        <f>IF(A182=""," ",B182*VLOOKUP(A182,'18.11-07.12.2024'!A:H,7,FALSE))</f>
        <v xml:space="preserve"> </v>
      </c>
      <c r="G182" s="7" t="str">
        <f>IF(A182=""," ",B182*VLOOKUP(A182,'18.11-07.12.2024'!A:H,8,FALSE))</f>
        <v xml:space="preserve"> </v>
      </c>
    </row>
    <row r="183" spans="1:7" ht="14.1" customHeight="1" x14ac:dyDescent="0.2">
      <c r="A183" s="18"/>
      <c r="B183" s="25"/>
      <c r="C183" s="6" t="str">
        <f>IF(A183=""," ",VLOOKUP(A183,'18.11-07.12.2024'!A:H,2,FALSE))</f>
        <v xml:space="preserve"> </v>
      </c>
      <c r="D183" s="33" t="str">
        <f>IF(A183=""," ",VLOOKUP(A183,'18.11-07.12.2024'!A:H,5,FALSE))</f>
        <v xml:space="preserve"> </v>
      </c>
      <c r="E183" s="7" t="str">
        <f>IF(A183=""," ",B183*VLOOKUP(A183,'18.11-07.12.2024'!A:H,6,FALSE))</f>
        <v xml:space="preserve"> </v>
      </c>
      <c r="F183" s="7" t="str">
        <f>IF(A183=""," ",B183*VLOOKUP(A183,'18.11-07.12.2024'!A:H,7,FALSE))</f>
        <v xml:space="preserve"> </v>
      </c>
      <c r="G183" s="7" t="str">
        <f>IF(A183=""," ",B183*VLOOKUP(A183,'18.11-07.12.2024'!A:H,8,FALSE))</f>
        <v xml:space="preserve"> </v>
      </c>
    </row>
    <row r="184" spans="1:7" ht="14.1" customHeight="1" x14ac:dyDescent="0.2">
      <c r="A184" s="18"/>
      <c r="B184" s="25"/>
      <c r="C184" s="6" t="str">
        <f>IF(A184=""," ",VLOOKUP(A184,'18.11-07.12.2024'!A:H,2,FALSE))</f>
        <v xml:space="preserve"> </v>
      </c>
      <c r="D184" s="33" t="str">
        <f>IF(A184=""," ",VLOOKUP(A184,'18.11-07.12.2024'!A:H,5,FALSE))</f>
        <v xml:space="preserve"> </v>
      </c>
      <c r="E184" s="7" t="str">
        <f>IF(A184=""," ",B184*VLOOKUP(A184,'18.11-07.12.2024'!A:H,6,FALSE))</f>
        <v xml:space="preserve"> </v>
      </c>
      <c r="F184" s="7" t="str">
        <f>IF(A184=""," ",B184*VLOOKUP(A184,'18.11-07.12.2024'!A:H,7,FALSE))</f>
        <v xml:space="preserve"> </v>
      </c>
      <c r="G184" s="7" t="str">
        <f>IF(A184=""," ",B184*VLOOKUP(A184,'18.11-07.12.2024'!A:H,8,FALSE))</f>
        <v xml:space="preserve"> </v>
      </c>
    </row>
    <row r="185" spans="1:7" ht="14.1" customHeight="1" x14ac:dyDescent="0.2">
      <c r="A185" s="18"/>
      <c r="B185" s="25"/>
      <c r="C185" s="6" t="str">
        <f>IF(A185=""," ",VLOOKUP(A185,'18.11-07.12.2024'!A:H,2,FALSE))</f>
        <v xml:space="preserve"> </v>
      </c>
      <c r="D185" s="33" t="str">
        <f>IF(A185=""," ",VLOOKUP(A185,'18.11-07.12.2024'!A:H,5,FALSE))</f>
        <v xml:space="preserve"> </v>
      </c>
      <c r="E185" s="7" t="str">
        <f>IF(A185=""," ",B185*VLOOKUP(A185,'18.11-07.12.2024'!A:H,6,FALSE))</f>
        <v xml:space="preserve"> </v>
      </c>
      <c r="F185" s="7" t="str">
        <f>IF(A185=""," ",B185*VLOOKUP(A185,'18.11-07.12.2024'!A:H,7,FALSE))</f>
        <v xml:space="preserve"> </v>
      </c>
      <c r="G185" s="7" t="str">
        <f>IF(A185=""," ",B185*VLOOKUP(A185,'18.11-07.12.2024'!A:H,8,FALSE))</f>
        <v xml:space="preserve"> </v>
      </c>
    </row>
    <row r="186" spans="1:7" ht="14.1" customHeight="1" x14ac:dyDescent="0.2">
      <c r="A186" s="18"/>
      <c r="B186" s="25"/>
      <c r="C186" s="6" t="str">
        <f>IF(A186=""," ",VLOOKUP(A186,'18.11-07.12.2024'!A:H,2,FALSE))</f>
        <v xml:space="preserve"> </v>
      </c>
      <c r="D186" s="33" t="str">
        <f>IF(A186=""," ",VLOOKUP(A186,'18.11-07.12.2024'!A:H,5,FALSE))</f>
        <v xml:space="preserve"> </v>
      </c>
      <c r="E186" s="7" t="str">
        <f>IF(A186=""," ",B186*VLOOKUP(A186,'18.11-07.12.2024'!A:H,6,FALSE))</f>
        <v xml:space="preserve"> </v>
      </c>
      <c r="F186" s="7" t="str">
        <f>IF(A186=""," ",B186*VLOOKUP(A186,'18.11-07.12.2024'!A:H,7,FALSE))</f>
        <v xml:space="preserve"> </v>
      </c>
      <c r="G186" s="7" t="str">
        <f>IF(A186=""," ",B186*VLOOKUP(A186,'18.11-07.12.2024'!A:H,8,FALSE))</f>
        <v xml:space="preserve"> </v>
      </c>
    </row>
    <row r="187" spans="1:7" ht="14.1" customHeight="1" x14ac:dyDescent="0.2">
      <c r="A187" s="18"/>
      <c r="B187" s="25"/>
      <c r="C187" s="6" t="str">
        <f>IF(A187=""," ",VLOOKUP(A187,'18.11-07.12.2024'!A:H,2,FALSE))</f>
        <v xml:space="preserve"> </v>
      </c>
      <c r="D187" s="33" t="str">
        <f>IF(A187=""," ",VLOOKUP(A187,'18.11-07.12.2024'!A:H,5,FALSE))</f>
        <v xml:space="preserve"> </v>
      </c>
      <c r="E187" s="7" t="str">
        <f>IF(A187=""," ",B187*VLOOKUP(A187,'18.11-07.12.2024'!A:H,6,FALSE))</f>
        <v xml:space="preserve"> </v>
      </c>
      <c r="F187" s="7" t="str">
        <f>IF(A187=""," ",B187*VLOOKUP(A187,'18.11-07.12.2024'!A:H,7,FALSE))</f>
        <v xml:space="preserve"> </v>
      </c>
      <c r="G187" s="7" t="str">
        <f>IF(A187=""," ",B187*VLOOKUP(A187,'18.11-07.12.2024'!A:H,8,FALSE))</f>
        <v xml:space="preserve"> </v>
      </c>
    </row>
    <row r="188" spans="1:7" ht="14.1" customHeight="1" x14ac:dyDescent="0.2">
      <c r="A188" s="18"/>
      <c r="B188" s="25"/>
      <c r="C188" s="6" t="str">
        <f>IF(A188=""," ",VLOOKUP(A188,'18.11-07.12.2024'!A:H,2,FALSE))</f>
        <v xml:space="preserve"> </v>
      </c>
      <c r="D188" s="33" t="str">
        <f>IF(A188=""," ",VLOOKUP(A188,'18.11-07.12.2024'!A:H,5,FALSE))</f>
        <v xml:space="preserve"> </v>
      </c>
      <c r="E188" s="7" t="str">
        <f>IF(A188=""," ",B188*VLOOKUP(A188,'18.11-07.12.2024'!A:H,6,FALSE))</f>
        <v xml:space="preserve"> </v>
      </c>
      <c r="F188" s="7" t="str">
        <f>IF(A188=""," ",B188*VLOOKUP(A188,'18.11-07.12.2024'!A:H,7,FALSE))</f>
        <v xml:space="preserve"> </v>
      </c>
      <c r="G188" s="7" t="str">
        <f>IF(A188=""," ",B188*VLOOKUP(A188,'18.11-07.12.2024'!A:H,8,FALSE))</f>
        <v xml:space="preserve"> </v>
      </c>
    </row>
    <row r="189" spans="1:7" ht="14.1" customHeight="1" x14ac:dyDescent="0.2">
      <c r="A189" s="18"/>
      <c r="B189" s="25"/>
      <c r="C189" s="6" t="str">
        <f>IF(A189=""," ",VLOOKUP(A189,'18.11-07.12.2024'!A:H,2,FALSE))</f>
        <v xml:space="preserve"> </v>
      </c>
      <c r="D189" s="33" t="str">
        <f>IF(A189=""," ",VLOOKUP(A189,'18.11-07.12.2024'!A:H,5,FALSE))</f>
        <v xml:space="preserve"> </v>
      </c>
      <c r="E189" s="7" t="str">
        <f>IF(A189=""," ",B189*VLOOKUP(A189,'18.11-07.12.2024'!A:H,6,FALSE))</f>
        <v xml:space="preserve"> </v>
      </c>
      <c r="F189" s="7" t="str">
        <f>IF(A189=""," ",B189*VLOOKUP(A189,'18.11-07.12.2024'!A:H,7,FALSE))</f>
        <v xml:space="preserve"> </v>
      </c>
      <c r="G189" s="7" t="str">
        <f>IF(A189=""," ",B189*VLOOKUP(A189,'18.11-07.12.2024'!A:H,8,FALSE))</f>
        <v xml:space="preserve"> </v>
      </c>
    </row>
    <row r="190" spans="1:7" ht="14.1" customHeight="1" x14ac:dyDescent="0.2">
      <c r="A190" s="18"/>
      <c r="B190" s="25"/>
      <c r="C190" s="6" t="str">
        <f>IF(A190=""," ",VLOOKUP(A190,'18.11-07.12.2024'!A:H,2,FALSE))</f>
        <v xml:space="preserve"> </v>
      </c>
      <c r="D190" s="33" t="str">
        <f>IF(A190=""," ",VLOOKUP(A190,'18.11-07.12.2024'!A:H,5,FALSE))</f>
        <v xml:space="preserve"> </v>
      </c>
      <c r="E190" s="7" t="str">
        <f>IF(A190=""," ",B190*VLOOKUP(A190,'18.11-07.12.2024'!A:H,6,FALSE))</f>
        <v xml:space="preserve"> </v>
      </c>
      <c r="F190" s="7" t="str">
        <f>IF(A190=""," ",B190*VLOOKUP(A190,'18.11-07.12.2024'!A:H,7,FALSE))</f>
        <v xml:space="preserve"> </v>
      </c>
      <c r="G190" s="7" t="str">
        <f>IF(A190=""," ",B190*VLOOKUP(A190,'18.11-07.12.2024'!A:H,8,FALSE))</f>
        <v xml:space="preserve"> </v>
      </c>
    </row>
    <row r="191" spans="1:7" ht="14.1" customHeight="1" x14ac:dyDescent="0.2">
      <c r="A191" s="18"/>
      <c r="B191" s="25"/>
      <c r="C191" s="6" t="str">
        <f>IF(A191=""," ",VLOOKUP(A191,'18.11-07.12.2024'!A:H,2,FALSE))</f>
        <v xml:space="preserve"> </v>
      </c>
      <c r="D191" s="33" t="str">
        <f>IF(A191=""," ",VLOOKUP(A191,'18.11-07.12.2024'!A:H,5,FALSE))</f>
        <v xml:space="preserve"> </v>
      </c>
      <c r="E191" s="7" t="str">
        <f>IF(A191=""," ",B191*VLOOKUP(A191,'18.11-07.12.2024'!A:H,6,FALSE))</f>
        <v xml:space="preserve"> </v>
      </c>
      <c r="F191" s="7" t="str">
        <f>IF(A191=""," ",B191*VLOOKUP(A191,'18.11-07.12.2024'!A:H,7,FALSE))</f>
        <v xml:space="preserve"> </v>
      </c>
      <c r="G191" s="7" t="str">
        <f>IF(A191=""," ",B191*VLOOKUP(A191,'18.11-07.12.2024'!A:H,8,FALSE))</f>
        <v xml:space="preserve"> </v>
      </c>
    </row>
    <row r="192" spans="1:7" ht="14.1" customHeight="1" x14ac:dyDescent="0.2">
      <c r="A192" s="18"/>
      <c r="B192" s="25"/>
      <c r="C192" s="6" t="str">
        <f>IF(A192=""," ",VLOOKUP(A192,'18.11-07.12.2024'!A:H,2,FALSE))</f>
        <v xml:space="preserve"> </v>
      </c>
      <c r="D192" s="33" t="str">
        <f>IF(A192=""," ",VLOOKUP(A192,'18.11-07.12.2024'!A:H,5,FALSE))</f>
        <v xml:space="preserve"> </v>
      </c>
      <c r="E192" s="7" t="str">
        <f>IF(A192=""," ",B192*VLOOKUP(A192,'18.11-07.12.2024'!A:H,6,FALSE))</f>
        <v xml:space="preserve"> </v>
      </c>
      <c r="F192" s="7" t="str">
        <f>IF(A192=""," ",B192*VLOOKUP(A192,'18.11-07.12.2024'!A:H,7,FALSE))</f>
        <v xml:space="preserve"> </v>
      </c>
      <c r="G192" s="7" t="str">
        <f>IF(A192=""," ",B192*VLOOKUP(A192,'18.11-07.12.2024'!A:H,8,FALSE))</f>
        <v xml:space="preserve"> </v>
      </c>
    </row>
    <row r="193" spans="1:7" ht="14.1" customHeight="1" x14ac:dyDescent="0.2">
      <c r="A193" s="18"/>
      <c r="B193" s="25"/>
      <c r="C193" s="6" t="str">
        <f>IF(A193=""," ",VLOOKUP(A193,'18.11-07.12.2024'!A:H,2,FALSE))</f>
        <v xml:space="preserve"> </v>
      </c>
      <c r="D193" s="33" t="str">
        <f>IF(A193=""," ",VLOOKUP(A193,'18.11-07.12.2024'!A:H,5,FALSE))</f>
        <v xml:space="preserve"> </v>
      </c>
      <c r="E193" s="7" t="str">
        <f>IF(A193=""," ",B193*VLOOKUP(A193,'18.11-07.12.2024'!A:H,6,FALSE))</f>
        <v xml:space="preserve"> </v>
      </c>
      <c r="F193" s="7" t="str">
        <f>IF(A193=""," ",B193*VLOOKUP(A193,'18.11-07.12.2024'!A:H,7,FALSE))</f>
        <v xml:space="preserve"> </v>
      </c>
      <c r="G193" s="7" t="str">
        <f>IF(A193=""," ",B193*VLOOKUP(A193,'18.11-07.12.2024'!A:H,8,FALSE))</f>
        <v xml:space="preserve"> </v>
      </c>
    </row>
    <row r="194" spans="1:7" ht="14.1" customHeight="1" x14ac:dyDescent="0.2">
      <c r="A194" s="18"/>
      <c r="B194" s="25"/>
      <c r="C194" s="6" t="str">
        <f>IF(A194=""," ",VLOOKUP(A194,'18.11-07.12.2024'!A:H,2,FALSE))</f>
        <v xml:space="preserve"> </v>
      </c>
      <c r="D194" s="33" t="str">
        <f>IF(A194=""," ",VLOOKUP(A194,'18.11-07.12.2024'!A:H,5,FALSE))</f>
        <v xml:space="preserve"> </v>
      </c>
      <c r="E194" s="7" t="str">
        <f>IF(A194=""," ",B194*VLOOKUP(A194,'18.11-07.12.2024'!A:H,6,FALSE))</f>
        <v xml:space="preserve"> </v>
      </c>
      <c r="F194" s="7" t="str">
        <f>IF(A194=""," ",B194*VLOOKUP(A194,'18.11-07.12.2024'!A:H,7,FALSE))</f>
        <v xml:space="preserve"> </v>
      </c>
      <c r="G194" s="7" t="str">
        <f>IF(A194=""," ",B194*VLOOKUP(A194,'18.11-07.12.2024'!A:H,8,FALSE))</f>
        <v xml:space="preserve"> </v>
      </c>
    </row>
    <row r="195" spans="1:7" ht="14.1" customHeight="1" x14ac:dyDescent="0.2">
      <c r="A195" s="18"/>
      <c r="B195" s="25"/>
      <c r="C195" s="6" t="str">
        <f>IF(A195=""," ",VLOOKUP(A195,'18.11-07.12.2024'!A:H,2,FALSE))</f>
        <v xml:space="preserve"> </v>
      </c>
      <c r="D195" s="33" t="str">
        <f>IF(A195=""," ",VLOOKUP(A195,'18.11-07.12.2024'!A:H,5,FALSE))</f>
        <v xml:space="preserve"> </v>
      </c>
      <c r="E195" s="7" t="str">
        <f>IF(A195=""," ",B195*VLOOKUP(A195,'18.11-07.12.2024'!A:H,6,FALSE))</f>
        <v xml:space="preserve"> </v>
      </c>
      <c r="F195" s="7" t="str">
        <f>IF(A195=""," ",B195*VLOOKUP(A195,'18.11-07.12.2024'!A:H,7,FALSE))</f>
        <v xml:space="preserve"> </v>
      </c>
      <c r="G195" s="7" t="str">
        <f>IF(A195=""," ",B195*VLOOKUP(A195,'18.11-07.12.2024'!A:H,8,FALSE))</f>
        <v xml:space="preserve"> </v>
      </c>
    </row>
    <row r="196" spans="1:7" ht="14.1" customHeight="1" x14ac:dyDescent="0.2">
      <c r="A196" s="18"/>
      <c r="B196" s="25"/>
      <c r="C196" s="6" t="str">
        <f>IF(A196=""," ",VLOOKUP(A196,'18.11-07.12.2024'!A:H,2,FALSE))</f>
        <v xml:space="preserve"> </v>
      </c>
      <c r="D196" s="33" t="str">
        <f>IF(A196=""," ",VLOOKUP(A196,'18.11-07.12.2024'!A:H,5,FALSE))</f>
        <v xml:space="preserve"> </v>
      </c>
      <c r="E196" s="7" t="str">
        <f>IF(A196=""," ",B196*VLOOKUP(A196,'18.11-07.12.2024'!A:H,6,FALSE))</f>
        <v xml:space="preserve"> </v>
      </c>
      <c r="F196" s="7" t="str">
        <f>IF(A196=""," ",B196*VLOOKUP(A196,'18.11-07.12.2024'!A:H,7,FALSE))</f>
        <v xml:space="preserve"> </v>
      </c>
      <c r="G196" s="7" t="str">
        <f>IF(A196=""," ",B196*VLOOKUP(A196,'18.11-07.12.2024'!A:H,8,FALSE))</f>
        <v xml:space="preserve"> </v>
      </c>
    </row>
    <row r="197" spans="1:7" ht="14.1" customHeight="1" x14ac:dyDescent="0.2">
      <c r="A197" s="18"/>
      <c r="B197" s="25"/>
      <c r="C197" s="6" t="str">
        <f>IF(A197=""," ",VLOOKUP(A197,'18.11-07.12.2024'!A:H,2,FALSE))</f>
        <v xml:space="preserve"> </v>
      </c>
      <c r="D197" s="33" t="str">
        <f>IF(A197=""," ",VLOOKUP(A197,'18.11-07.12.2024'!A:H,5,FALSE))</f>
        <v xml:space="preserve"> </v>
      </c>
      <c r="E197" s="7" t="str">
        <f>IF(A197=""," ",B197*VLOOKUP(A197,'18.11-07.12.2024'!A:H,6,FALSE))</f>
        <v xml:space="preserve"> </v>
      </c>
      <c r="F197" s="7" t="str">
        <f>IF(A197=""," ",B197*VLOOKUP(A197,'18.11-07.12.2024'!A:H,7,FALSE))</f>
        <v xml:space="preserve"> </v>
      </c>
      <c r="G197" s="7" t="str">
        <f>IF(A197=""," ",B197*VLOOKUP(A197,'18.11-07.12.2024'!A:H,8,FALSE))</f>
        <v xml:space="preserve"> </v>
      </c>
    </row>
    <row r="198" spans="1:7" ht="14.1" customHeight="1" x14ac:dyDescent="0.2">
      <c r="A198" s="18"/>
      <c r="B198" s="25"/>
      <c r="C198" s="6" t="str">
        <f>IF(A198=""," ",VLOOKUP(A198,'18.11-07.12.2024'!A:H,2,FALSE))</f>
        <v xml:space="preserve"> </v>
      </c>
      <c r="D198" s="33" t="str">
        <f>IF(A198=""," ",VLOOKUP(A198,'18.11-07.12.2024'!A:H,5,FALSE))</f>
        <v xml:space="preserve"> </v>
      </c>
      <c r="E198" s="7" t="str">
        <f>IF(A198=""," ",B198*VLOOKUP(A198,'18.11-07.12.2024'!A:H,6,FALSE))</f>
        <v xml:space="preserve"> </v>
      </c>
      <c r="F198" s="7" t="str">
        <f>IF(A198=""," ",B198*VLOOKUP(A198,'18.11-07.12.2024'!A:H,7,FALSE))</f>
        <v xml:space="preserve"> </v>
      </c>
      <c r="G198" s="7" t="str">
        <f>IF(A198=""," ",B198*VLOOKUP(A198,'18.11-07.12.2024'!A:H,8,FALSE))</f>
        <v xml:space="preserve"> </v>
      </c>
    </row>
    <row r="199" spans="1:7" ht="14.1" customHeight="1" x14ac:dyDescent="0.2">
      <c r="A199" s="18"/>
      <c r="B199" s="25"/>
      <c r="C199" s="6" t="str">
        <f>IF(A199=""," ",VLOOKUP(A199,'18.11-07.12.2024'!A:H,2,FALSE))</f>
        <v xml:space="preserve"> </v>
      </c>
      <c r="D199" s="33" t="str">
        <f>IF(A199=""," ",VLOOKUP(A199,'18.11-07.12.2024'!A:H,5,FALSE))</f>
        <v xml:space="preserve"> </v>
      </c>
      <c r="E199" s="7" t="str">
        <f>IF(A199=""," ",B199*VLOOKUP(A199,'18.11-07.12.2024'!A:H,6,FALSE))</f>
        <v xml:space="preserve"> </v>
      </c>
      <c r="F199" s="7" t="str">
        <f>IF(A199=""," ",B199*VLOOKUP(A199,'18.11-07.12.2024'!A:H,7,FALSE))</f>
        <v xml:space="preserve"> </v>
      </c>
      <c r="G199" s="7" t="str">
        <f>IF(A199=""," ",B199*VLOOKUP(A199,'18.11-07.12.2024'!A:H,8,FALSE))</f>
        <v xml:space="preserve"> </v>
      </c>
    </row>
    <row r="200" spans="1:7" ht="14.1" customHeight="1" x14ac:dyDescent="0.2">
      <c r="A200" s="18"/>
      <c r="B200" s="25"/>
      <c r="C200" s="6" t="str">
        <f>IF(A200=""," ",VLOOKUP(A200,'18.11-07.12.2024'!A:H,2,FALSE))</f>
        <v xml:space="preserve"> </v>
      </c>
      <c r="D200" s="33" t="str">
        <f>IF(A200=""," ",VLOOKUP(A200,'18.11-07.12.2024'!A:H,5,FALSE))</f>
        <v xml:space="preserve"> </v>
      </c>
      <c r="E200" s="7" t="str">
        <f>IF(A200=""," ",B200*VLOOKUP(A200,'18.11-07.12.2024'!A:H,6,FALSE))</f>
        <v xml:space="preserve"> </v>
      </c>
      <c r="F200" s="7" t="str">
        <f>IF(A200=""," ",B200*VLOOKUP(A200,'18.11-07.12.2024'!A:H,7,FALSE))</f>
        <v xml:space="preserve"> </v>
      </c>
      <c r="G200" s="7" t="str">
        <f>IF(A200=""," ",B200*VLOOKUP(A200,'18.11-07.12.2024'!A:H,8,FALSE))</f>
        <v xml:space="preserve"> </v>
      </c>
    </row>
    <row r="201" spans="1:7" ht="14.1" customHeight="1" x14ac:dyDescent="0.2">
      <c r="A201" s="18"/>
      <c r="B201" s="25"/>
      <c r="C201" s="6" t="str">
        <f>IF(A201=""," ",VLOOKUP(A201,'18.11-07.12.2024'!A:H,2,FALSE))</f>
        <v xml:space="preserve"> </v>
      </c>
      <c r="D201" s="33" t="str">
        <f>IF(A201=""," ",VLOOKUP(A201,'18.11-07.12.2024'!A:H,5,FALSE))</f>
        <v xml:space="preserve"> </v>
      </c>
      <c r="E201" s="7" t="str">
        <f>IF(A201=""," ",B201*VLOOKUP(A201,'18.11-07.12.2024'!A:H,6,FALSE))</f>
        <v xml:space="preserve"> </v>
      </c>
      <c r="F201" s="7" t="str">
        <f>IF(A201=""," ",B201*VLOOKUP(A201,'18.11-07.12.2024'!A:H,7,FALSE))</f>
        <v xml:space="preserve"> </v>
      </c>
      <c r="G201" s="7" t="str">
        <f>IF(A201=""," ",B201*VLOOKUP(A201,'18.11-07.12.2024'!A:H,8,FALSE))</f>
        <v xml:space="preserve"> </v>
      </c>
    </row>
    <row r="202" spans="1:7" ht="14.1" customHeight="1" x14ac:dyDescent="0.2">
      <c r="A202" s="18"/>
      <c r="B202" s="25"/>
      <c r="C202" s="6" t="str">
        <f>IF(A202=""," ",VLOOKUP(A202,'18.11-07.12.2024'!A:H,2,FALSE))</f>
        <v xml:space="preserve"> </v>
      </c>
      <c r="D202" s="33" t="str">
        <f>IF(A202=""," ",VLOOKUP(A202,'18.11-07.12.2024'!A:H,5,FALSE))</f>
        <v xml:space="preserve"> </v>
      </c>
      <c r="E202" s="7" t="str">
        <f>IF(A202=""," ",B202*VLOOKUP(A202,'18.11-07.12.2024'!A:H,6,FALSE))</f>
        <v xml:space="preserve"> </v>
      </c>
      <c r="F202" s="7" t="str">
        <f>IF(A202=""," ",B202*VLOOKUP(A202,'18.11-07.12.2024'!A:H,7,FALSE))</f>
        <v xml:space="preserve"> </v>
      </c>
      <c r="G202" s="7" t="str">
        <f>IF(A202=""," ",B202*VLOOKUP(A202,'18.11-07.12.2024'!A:H,8,FALSE))</f>
        <v xml:space="preserve"> </v>
      </c>
    </row>
    <row r="203" spans="1:7" ht="14.1" customHeight="1" x14ac:dyDescent="0.2">
      <c r="A203" s="18"/>
      <c r="B203" s="25"/>
      <c r="C203" s="6" t="str">
        <f>IF(A203=""," ",VLOOKUP(A203,'18.11-07.12.2024'!A:H,2,FALSE))</f>
        <v xml:space="preserve"> </v>
      </c>
      <c r="D203" s="33" t="str">
        <f>IF(A203=""," ",VLOOKUP(A203,'18.11-07.12.2024'!A:H,5,FALSE))</f>
        <v xml:space="preserve"> </v>
      </c>
      <c r="E203" s="7" t="str">
        <f>IF(A203=""," ",B203*VLOOKUP(A203,'18.11-07.12.2024'!A:H,6,FALSE))</f>
        <v xml:space="preserve"> </v>
      </c>
      <c r="F203" s="7" t="str">
        <f>IF(A203=""," ",B203*VLOOKUP(A203,'18.11-07.12.2024'!A:H,7,FALSE))</f>
        <v xml:space="preserve"> </v>
      </c>
      <c r="G203" s="7" t="str">
        <f>IF(A203=""," ",B203*VLOOKUP(A203,'18.11-07.12.2024'!A:H,8,FALSE))</f>
        <v xml:space="preserve"> </v>
      </c>
    </row>
    <row r="204" spans="1:7" ht="14.1" customHeight="1" x14ac:dyDescent="0.2">
      <c r="A204" s="18"/>
      <c r="B204" s="25"/>
      <c r="C204" s="6" t="str">
        <f>IF(A204=""," ",VLOOKUP(A204,'18.11-07.12.2024'!A:H,2,FALSE))</f>
        <v xml:space="preserve"> </v>
      </c>
      <c r="D204" s="33" t="str">
        <f>IF(A204=""," ",VLOOKUP(A204,'18.11-07.12.2024'!A:H,5,FALSE))</f>
        <v xml:space="preserve"> </v>
      </c>
      <c r="E204" s="7" t="str">
        <f>IF(A204=""," ",B204*VLOOKUP(A204,'18.11-07.12.2024'!A:H,6,FALSE))</f>
        <v xml:space="preserve"> </v>
      </c>
      <c r="F204" s="7" t="str">
        <f>IF(A204=""," ",B204*VLOOKUP(A204,'18.11-07.12.2024'!A:H,7,FALSE))</f>
        <v xml:space="preserve"> </v>
      </c>
      <c r="G204" s="7" t="str">
        <f>IF(A204=""," ",B204*VLOOKUP(A204,'18.11-07.12.2024'!A:H,8,FALSE))</f>
        <v xml:space="preserve"> </v>
      </c>
    </row>
    <row r="205" spans="1:7" ht="14.1" customHeight="1" x14ac:dyDescent="0.2">
      <c r="A205" s="18"/>
      <c r="B205" s="25"/>
      <c r="C205" s="6" t="str">
        <f>IF(A205=""," ",VLOOKUP(A205,'18.11-07.12.2024'!A:H,2,FALSE))</f>
        <v xml:space="preserve"> </v>
      </c>
      <c r="D205" s="33" t="str">
        <f>IF(A205=""," ",VLOOKUP(A205,'18.11-07.12.2024'!A:H,5,FALSE))</f>
        <v xml:space="preserve"> </v>
      </c>
      <c r="E205" s="7" t="str">
        <f>IF(A205=""," ",B205*VLOOKUP(A205,'18.11-07.12.2024'!A:H,6,FALSE))</f>
        <v xml:space="preserve"> </v>
      </c>
      <c r="F205" s="7" t="str">
        <f>IF(A205=""," ",B205*VLOOKUP(A205,'18.11-07.12.2024'!A:H,7,FALSE))</f>
        <v xml:space="preserve"> </v>
      </c>
      <c r="G205" s="7" t="str">
        <f>IF(A205=""," ",B205*VLOOKUP(A205,'18.11-07.12.2024'!A:H,8,FALSE))</f>
        <v xml:space="preserve"> </v>
      </c>
    </row>
    <row r="206" spans="1:7" ht="14.1" customHeight="1" x14ac:dyDescent="0.2">
      <c r="A206" s="18"/>
      <c r="B206" s="25"/>
      <c r="C206" s="6" t="str">
        <f>IF(A206=""," ",VLOOKUP(A206,'18.11-07.12.2024'!A:H,2,FALSE))</f>
        <v xml:space="preserve"> </v>
      </c>
      <c r="D206" s="33" t="str">
        <f>IF(A206=""," ",VLOOKUP(A206,'18.11-07.12.2024'!A:H,5,FALSE))</f>
        <v xml:space="preserve"> </v>
      </c>
      <c r="E206" s="7" t="str">
        <f>IF(A206=""," ",B206*VLOOKUP(A206,'18.11-07.12.2024'!A:H,6,FALSE))</f>
        <v xml:space="preserve"> </v>
      </c>
      <c r="F206" s="7" t="str">
        <f>IF(A206=""," ",B206*VLOOKUP(A206,'18.11-07.12.2024'!A:H,7,FALSE))</f>
        <v xml:space="preserve"> </v>
      </c>
      <c r="G206" s="7" t="str">
        <f>IF(A206=""," ",B206*VLOOKUP(A206,'18.11-07.12.2024'!A:H,8,FALSE))</f>
        <v xml:space="preserve"> </v>
      </c>
    </row>
    <row r="207" spans="1:7" ht="14.1" customHeight="1" x14ac:dyDescent="0.2">
      <c r="A207" s="18"/>
      <c r="B207" s="25"/>
      <c r="C207" s="6" t="str">
        <f>IF(A207=""," ",VLOOKUP(A207,'18.11-07.12.2024'!A:H,2,FALSE))</f>
        <v xml:space="preserve"> </v>
      </c>
      <c r="D207" s="33" t="str">
        <f>IF(A207=""," ",VLOOKUP(A207,'18.11-07.12.2024'!A:H,5,FALSE))</f>
        <v xml:space="preserve"> </v>
      </c>
      <c r="E207" s="7" t="str">
        <f>IF(A207=""," ",B207*VLOOKUP(A207,'18.11-07.12.2024'!A:H,6,FALSE))</f>
        <v xml:space="preserve"> </v>
      </c>
      <c r="F207" s="7" t="str">
        <f>IF(A207=""," ",B207*VLOOKUP(A207,'18.11-07.12.2024'!A:H,7,FALSE))</f>
        <v xml:space="preserve"> </v>
      </c>
      <c r="G207" s="7" t="str">
        <f>IF(A207=""," ",B207*VLOOKUP(A207,'18.11-07.12.2024'!A:H,8,FALSE))</f>
        <v xml:space="preserve"> </v>
      </c>
    </row>
    <row r="208" spans="1:7" ht="14.1" customHeight="1" x14ac:dyDescent="0.2">
      <c r="A208" s="18"/>
      <c r="B208" s="25"/>
      <c r="C208" s="6" t="str">
        <f>IF(A208=""," ",VLOOKUP(A208,'18.11-07.12.2024'!A:H,2,FALSE))</f>
        <v xml:space="preserve"> </v>
      </c>
      <c r="D208" s="33" t="str">
        <f>IF(A208=""," ",VLOOKUP(A208,'18.11-07.12.2024'!A:H,5,FALSE))</f>
        <v xml:space="preserve"> </v>
      </c>
      <c r="E208" s="7" t="str">
        <f>IF(A208=""," ",B208*VLOOKUP(A208,'18.11-07.12.2024'!A:H,6,FALSE))</f>
        <v xml:space="preserve"> </v>
      </c>
      <c r="F208" s="7" t="str">
        <f>IF(A208=""," ",B208*VLOOKUP(A208,'18.11-07.12.2024'!A:H,7,FALSE))</f>
        <v xml:space="preserve"> </v>
      </c>
      <c r="G208" s="7" t="str">
        <f>IF(A208=""," ",B208*VLOOKUP(A208,'18.11-07.12.2024'!A:H,8,FALSE))</f>
        <v xml:space="preserve"> </v>
      </c>
    </row>
    <row r="209" spans="1:7" ht="14.1" customHeight="1" x14ac:dyDescent="0.2">
      <c r="A209" s="18"/>
      <c r="B209" s="25"/>
      <c r="C209" s="6" t="str">
        <f>IF(A209=""," ",VLOOKUP(A209,'18.11-07.12.2024'!A:H,2,FALSE))</f>
        <v xml:space="preserve"> </v>
      </c>
      <c r="D209" s="33" t="str">
        <f>IF(A209=""," ",VLOOKUP(A209,'18.11-07.12.2024'!A:H,5,FALSE))</f>
        <v xml:space="preserve"> </v>
      </c>
      <c r="E209" s="7" t="str">
        <f>IF(A209=""," ",B209*VLOOKUP(A209,'18.11-07.12.2024'!A:H,6,FALSE))</f>
        <v xml:space="preserve"> </v>
      </c>
      <c r="F209" s="7" t="str">
        <f>IF(A209=""," ",B209*VLOOKUP(A209,'18.11-07.12.2024'!A:H,7,FALSE))</f>
        <v xml:space="preserve"> </v>
      </c>
      <c r="G209" s="7" t="str">
        <f>IF(A209=""," ",B209*VLOOKUP(A209,'18.11-07.12.2024'!A:H,8,FALSE))</f>
        <v xml:space="preserve"> </v>
      </c>
    </row>
    <row r="210" spans="1:7" ht="14.1" customHeight="1" x14ac:dyDescent="0.2">
      <c r="A210" s="18"/>
      <c r="B210" s="25"/>
      <c r="C210" s="6" t="str">
        <f>IF(A210=""," ",VLOOKUP(A210,'18.11-07.12.2024'!A:H,2,FALSE))</f>
        <v xml:space="preserve"> </v>
      </c>
      <c r="D210" s="33" t="str">
        <f>IF(A210=""," ",VLOOKUP(A210,'18.11-07.12.2024'!A:H,5,FALSE))</f>
        <v xml:space="preserve"> </v>
      </c>
      <c r="E210" s="7" t="str">
        <f>IF(A210=""," ",B210*VLOOKUP(A210,'18.11-07.12.2024'!A:H,6,FALSE))</f>
        <v xml:space="preserve"> </v>
      </c>
      <c r="F210" s="7" t="str">
        <f>IF(A210=""," ",B210*VLOOKUP(A210,'18.11-07.12.2024'!A:H,7,FALSE))</f>
        <v xml:space="preserve"> </v>
      </c>
      <c r="G210" s="7" t="str">
        <f>IF(A210=""," ",B210*VLOOKUP(A210,'18.11-07.12.2024'!A:H,8,FALSE))</f>
        <v xml:space="preserve"> </v>
      </c>
    </row>
    <row r="211" spans="1:7" ht="14.1" customHeight="1" x14ac:dyDescent="0.2">
      <c r="A211" s="18"/>
      <c r="B211" s="25"/>
      <c r="C211" s="6" t="str">
        <f>IF(A211=""," ",VLOOKUP(A211,'18.11-07.12.2024'!A:H,2,FALSE))</f>
        <v xml:space="preserve"> </v>
      </c>
      <c r="D211" s="33" t="str">
        <f>IF(A211=""," ",VLOOKUP(A211,'18.11-07.12.2024'!A:H,5,FALSE))</f>
        <v xml:space="preserve"> </v>
      </c>
      <c r="E211" s="7" t="str">
        <f>IF(A211=""," ",B211*VLOOKUP(A211,'18.11-07.12.2024'!A:H,6,FALSE))</f>
        <v xml:space="preserve"> </v>
      </c>
      <c r="F211" s="7" t="str">
        <f>IF(A211=""," ",B211*VLOOKUP(A211,'18.11-07.12.2024'!A:H,7,FALSE))</f>
        <v xml:space="preserve"> </v>
      </c>
      <c r="G211" s="7" t="str">
        <f>IF(A211=""," ",B211*VLOOKUP(A211,'18.11-07.12.2024'!A:H,8,FALSE))</f>
        <v xml:space="preserve"> </v>
      </c>
    </row>
    <row r="212" spans="1:7" ht="14.1" customHeight="1" x14ac:dyDescent="0.2">
      <c r="A212" s="18"/>
      <c r="B212" s="25"/>
      <c r="C212" s="6" t="str">
        <f>IF(A212=""," ",VLOOKUP(A212,'18.11-07.12.2024'!A:H,2,FALSE))</f>
        <v xml:space="preserve"> </v>
      </c>
      <c r="D212" s="33" t="str">
        <f>IF(A212=""," ",VLOOKUP(A212,'18.11-07.12.2024'!A:H,5,FALSE))</f>
        <v xml:space="preserve"> </v>
      </c>
      <c r="E212" s="7" t="str">
        <f>IF(A212=""," ",B212*VLOOKUP(A212,'18.11-07.12.2024'!A:H,6,FALSE))</f>
        <v xml:space="preserve"> </v>
      </c>
      <c r="F212" s="7" t="str">
        <f>IF(A212=""," ",B212*VLOOKUP(A212,'18.11-07.12.2024'!A:H,7,FALSE))</f>
        <v xml:space="preserve"> </v>
      </c>
      <c r="G212" s="7" t="str">
        <f>IF(A212=""," ",B212*VLOOKUP(A212,'18.11-07.12.2024'!A:H,8,FALSE))</f>
        <v xml:space="preserve"> </v>
      </c>
    </row>
    <row r="213" spans="1:7" ht="14.1" customHeight="1" x14ac:dyDescent="0.2">
      <c r="A213" s="18"/>
      <c r="B213" s="25"/>
      <c r="C213" s="6" t="str">
        <f>IF(A213=""," ",VLOOKUP(A213,'18.11-07.12.2024'!A:H,2,FALSE))</f>
        <v xml:space="preserve"> </v>
      </c>
      <c r="D213" s="33" t="str">
        <f>IF(A213=""," ",VLOOKUP(A213,'18.11-07.12.2024'!A:H,5,FALSE))</f>
        <v xml:space="preserve"> </v>
      </c>
      <c r="E213" s="7" t="str">
        <f>IF(A213=""," ",B213*VLOOKUP(A213,'18.11-07.12.2024'!A:H,6,FALSE))</f>
        <v xml:space="preserve"> </v>
      </c>
      <c r="F213" s="7" t="str">
        <f>IF(A213=""," ",B213*VLOOKUP(A213,'18.11-07.12.2024'!A:H,7,FALSE))</f>
        <v xml:space="preserve"> </v>
      </c>
      <c r="G213" s="7" t="str">
        <f>IF(A213=""," ",B213*VLOOKUP(A213,'18.11-07.12.2024'!A:H,8,FALSE))</f>
        <v xml:space="preserve"> </v>
      </c>
    </row>
    <row r="214" spans="1:7" ht="14.1" customHeight="1" x14ac:dyDescent="0.2">
      <c r="A214" s="18"/>
      <c r="B214" s="25"/>
      <c r="C214" s="6" t="str">
        <f>IF(A214=""," ",VLOOKUP(A214,'18.11-07.12.2024'!A:H,2,FALSE))</f>
        <v xml:space="preserve"> </v>
      </c>
      <c r="D214" s="33" t="str">
        <f>IF(A214=""," ",VLOOKUP(A214,'18.11-07.12.2024'!A:H,5,FALSE))</f>
        <v xml:space="preserve"> </v>
      </c>
      <c r="E214" s="7" t="str">
        <f>IF(A214=""," ",B214*VLOOKUP(A214,'18.11-07.12.2024'!A:H,6,FALSE))</f>
        <v xml:space="preserve"> </v>
      </c>
      <c r="F214" s="7" t="str">
        <f>IF(A214=""," ",B214*VLOOKUP(A214,'18.11-07.12.2024'!A:H,7,FALSE))</f>
        <v xml:space="preserve"> </v>
      </c>
      <c r="G214" s="7" t="str">
        <f>IF(A214=""," ",B214*VLOOKUP(A214,'18.11-07.12.2024'!A:H,8,FALSE))</f>
        <v xml:space="preserve"> </v>
      </c>
    </row>
    <row r="215" spans="1:7" ht="14.1" customHeight="1" x14ac:dyDescent="0.2">
      <c r="A215" s="18"/>
      <c r="B215" s="25"/>
      <c r="C215" s="6" t="str">
        <f>IF(A215=""," ",VLOOKUP(A215,'18.11-07.12.2024'!A:H,2,FALSE))</f>
        <v xml:space="preserve"> </v>
      </c>
      <c r="D215" s="33" t="str">
        <f>IF(A215=""," ",VLOOKUP(A215,'18.11-07.12.2024'!A:H,5,FALSE))</f>
        <v xml:space="preserve"> </v>
      </c>
      <c r="E215" s="7" t="str">
        <f>IF(A215=""," ",B215*VLOOKUP(A215,'18.11-07.12.2024'!A:H,6,FALSE))</f>
        <v xml:space="preserve"> </v>
      </c>
      <c r="F215" s="7" t="str">
        <f>IF(A215=""," ",B215*VLOOKUP(A215,'18.11-07.12.2024'!A:H,7,FALSE))</f>
        <v xml:space="preserve"> </v>
      </c>
      <c r="G215" s="7" t="str">
        <f>IF(A215=""," ",B215*VLOOKUP(A215,'18.11-07.12.2024'!A:H,8,FALSE))</f>
        <v xml:space="preserve"> </v>
      </c>
    </row>
    <row r="216" spans="1:7" ht="14.1" customHeight="1" x14ac:dyDescent="0.2">
      <c r="A216" s="18"/>
      <c r="B216" s="25"/>
      <c r="C216" s="6" t="str">
        <f>IF(A216=""," ",VLOOKUP(A216,'18.11-07.12.2024'!A:H,2,FALSE))</f>
        <v xml:space="preserve"> </v>
      </c>
      <c r="D216" s="33" t="str">
        <f>IF(A216=""," ",VLOOKUP(A216,'18.11-07.12.2024'!A:H,5,FALSE))</f>
        <v xml:space="preserve"> </v>
      </c>
      <c r="E216" s="7" t="str">
        <f>IF(A216=""," ",B216*VLOOKUP(A216,'18.11-07.12.2024'!A:H,6,FALSE))</f>
        <v xml:space="preserve"> </v>
      </c>
      <c r="F216" s="7" t="str">
        <f>IF(A216=""," ",B216*VLOOKUP(A216,'18.11-07.12.2024'!A:H,7,FALSE))</f>
        <v xml:space="preserve"> </v>
      </c>
      <c r="G216" s="7" t="str">
        <f>IF(A216=""," ",B216*VLOOKUP(A216,'18.11-07.12.2024'!A:H,8,FALSE))</f>
        <v xml:space="preserve"> </v>
      </c>
    </row>
    <row r="217" spans="1:7" ht="14.1" customHeight="1" x14ac:dyDescent="0.2">
      <c r="A217" s="18"/>
      <c r="B217" s="25"/>
      <c r="C217" s="6" t="str">
        <f>IF(A217=""," ",VLOOKUP(A217,'18.11-07.12.2024'!A:H,2,FALSE))</f>
        <v xml:space="preserve"> </v>
      </c>
      <c r="D217" s="33" t="str">
        <f>IF(A217=""," ",VLOOKUP(A217,'18.11-07.12.2024'!A:H,5,FALSE))</f>
        <v xml:space="preserve"> </v>
      </c>
      <c r="E217" s="7" t="str">
        <f>IF(A217=""," ",B217*VLOOKUP(A217,'18.11-07.12.2024'!A:H,6,FALSE))</f>
        <v xml:space="preserve"> </v>
      </c>
      <c r="F217" s="7" t="str">
        <f>IF(A217=""," ",B217*VLOOKUP(A217,'18.11-07.12.2024'!A:H,7,FALSE))</f>
        <v xml:space="preserve"> </v>
      </c>
      <c r="G217" s="7" t="str">
        <f>IF(A217=""," ",B217*VLOOKUP(A217,'18.11-07.12.2024'!A:H,8,FALSE))</f>
        <v xml:space="preserve"> </v>
      </c>
    </row>
    <row r="218" spans="1:7" ht="14.1" customHeight="1" x14ac:dyDescent="0.2">
      <c r="A218" s="18"/>
      <c r="B218" s="25"/>
      <c r="C218" s="6" t="str">
        <f>IF(A218=""," ",VLOOKUP(A218,'18.11-07.12.2024'!A:H,2,FALSE))</f>
        <v xml:space="preserve"> </v>
      </c>
      <c r="D218" s="33" t="str">
        <f>IF(A218=""," ",VLOOKUP(A218,'18.11-07.12.2024'!A:H,5,FALSE))</f>
        <v xml:space="preserve"> </v>
      </c>
      <c r="E218" s="7" t="str">
        <f>IF(A218=""," ",B218*VLOOKUP(A218,'18.11-07.12.2024'!A:H,6,FALSE))</f>
        <v xml:space="preserve"> </v>
      </c>
      <c r="F218" s="7" t="str">
        <f>IF(A218=""," ",B218*VLOOKUP(A218,'18.11-07.12.2024'!A:H,7,FALSE))</f>
        <v xml:space="preserve"> </v>
      </c>
      <c r="G218" s="7" t="str">
        <f>IF(A218=""," ",B218*VLOOKUP(A218,'18.11-07.12.2024'!A:H,8,FALSE))</f>
        <v xml:space="preserve"> </v>
      </c>
    </row>
    <row r="219" spans="1:7" ht="14.1" customHeight="1" x14ac:dyDescent="0.2">
      <c r="A219" s="18"/>
      <c r="B219" s="25"/>
      <c r="C219" s="6" t="str">
        <f>IF(A219=""," ",VLOOKUP(A219,'18.11-07.12.2024'!A:H,2,FALSE))</f>
        <v xml:space="preserve"> </v>
      </c>
      <c r="D219" s="33" t="str">
        <f>IF(A219=""," ",VLOOKUP(A219,'18.11-07.12.2024'!A:H,5,FALSE))</f>
        <v xml:space="preserve"> </v>
      </c>
      <c r="E219" s="7" t="str">
        <f>IF(A219=""," ",B219*VLOOKUP(A219,'18.11-07.12.2024'!A:H,6,FALSE))</f>
        <v xml:space="preserve"> </v>
      </c>
      <c r="F219" s="7" t="str">
        <f>IF(A219=""," ",B219*VLOOKUP(A219,'18.11-07.12.2024'!A:H,7,FALSE))</f>
        <v xml:space="preserve"> </v>
      </c>
      <c r="G219" s="7" t="str">
        <f>IF(A219=""," ",B219*VLOOKUP(A219,'18.11-07.12.2024'!A:H,8,FALSE))</f>
        <v xml:space="preserve"> </v>
      </c>
    </row>
    <row r="220" spans="1:7" ht="14.1" customHeight="1" x14ac:dyDescent="0.2">
      <c r="A220" s="18"/>
      <c r="B220" s="25"/>
      <c r="C220" s="6" t="str">
        <f>IF(A220=""," ",VLOOKUP(A220,'18.11-07.12.2024'!A:H,2,FALSE))</f>
        <v xml:space="preserve"> </v>
      </c>
      <c r="D220" s="33" t="str">
        <f>IF(A220=""," ",VLOOKUP(A220,'18.11-07.12.2024'!A:H,5,FALSE))</f>
        <v xml:space="preserve"> </v>
      </c>
      <c r="E220" s="7" t="str">
        <f>IF(A220=""," ",B220*VLOOKUP(A220,'18.11-07.12.2024'!A:H,6,FALSE))</f>
        <v xml:space="preserve"> </v>
      </c>
      <c r="F220" s="7" t="str">
        <f>IF(A220=""," ",B220*VLOOKUP(A220,'18.11-07.12.2024'!A:H,7,FALSE))</f>
        <v xml:space="preserve"> </v>
      </c>
      <c r="G220" s="7" t="str">
        <f>IF(A220=""," ",B220*VLOOKUP(A220,'18.11-07.12.2024'!A:H,8,FALSE))</f>
        <v xml:space="preserve"> </v>
      </c>
    </row>
    <row r="221" spans="1:7" ht="14.1" customHeight="1" x14ac:dyDescent="0.2">
      <c r="A221" s="18"/>
      <c r="B221" s="25"/>
      <c r="C221" s="6" t="str">
        <f>IF(A221=""," ",VLOOKUP(A221,'18.11-07.12.2024'!A:H,2,FALSE))</f>
        <v xml:space="preserve"> </v>
      </c>
      <c r="D221" s="33" t="str">
        <f>IF(A221=""," ",VLOOKUP(A221,'18.11-07.12.2024'!A:H,5,FALSE))</f>
        <v xml:space="preserve"> </v>
      </c>
      <c r="E221" s="7" t="str">
        <f>IF(A221=""," ",B221*VLOOKUP(A221,'18.11-07.12.2024'!A:H,6,FALSE))</f>
        <v xml:space="preserve"> </v>
      </c>
      <c r="F221" s="7" t="str">
        <f>IF(A221=""," ",B221*VLOOKUP(A221,'18.11-07.12.2024'!A:H,7,FALSE))</f>
        <v xml:space="preserve"> </v>
      </c>
      <c r="G221" s="7" t="str">
        <f>IF(A221=""," ",B221*VLOOKUP(A221,'18.11-07.12.2024'!A:H,8,FALSE))</f>
        <v xml:space="preserve"> </v>
      </c>
    </row>
    <row r="222" spans="1:7" ht="14.1" customHeight="1" x14ac:dyDescent="0.2">
      <c r="A222" s="18"/>
      <c r="B222" s="25"/>
      <c r="C222" s="6" t="str">
        <f>IF(A222=""," ",VLOOKUP(A222,'18.11-07.12.2024'!A:H,2,FALSE))</f>
        <v xml:space="preserve"> </v>
      </c>
      <c r="D222" s="33" t="str">
        <f>IF(A222=""," ",VLOOKUP(A222,'18.11-07.12.2024'!A:H,5,FALSE))</f>
        <v xml:space="preserve"> </v>
      </c>
      <c r="E222" s="7" t="str">
        <f>IF(A222=""," ",B222*VLOOKUP(A222,'18.11-07.12.2024'!A:H,6,FALSE))</f>
        <v xml:space="preserve"> </v>
      </c>
      <c r="F222" s="7" t="str">
        <f>IF(A222=""," ",B222*VLOOKUP(A222,'18.11-07.12.2024'!A:H,7,FALSE))</f>
        <v xml:space="preserve"> </v>
      </c>
      <c r="G222" s="7" t="str">
        <f>IF(A222=""," ",B222*VLOOKUP(A222,'18.11-07.12.2024'!A:H,8,FALSE))</f>
        <v xml:space="preserve"> </v>
      </c>
    </row>
    <row r="223" spans="1:7" ht="14.1" customHeight="1" x14ac:dyDescent="0.2">
      <c r="A223" s="18"/>
      <c r="B223" s="25"/>
      <c r="C223" s="6" t="str">
        <f>IF(A223=""," ",VLOOKUP(A223,'18.11-07.12.2024'!A:H,2,FALSE))</f>
        <v xml:space="preserve"> </v>
      </c>
      <c r="D223" s="33" t="str">
        <f>IF(A223=""," ",VLOOKUP(A223,'18.11-07.12.2024'!A:H,5,FALSE))</f>
        <v xml:space="preserve"> </v>
      </c>
      <c r="E223" s="7" t="str">
        <f>IF(A223=""," ",B223*VLOOKUP(A223,'18.11-07.12.2024'!A:H,6,FALSE))</f>
        <v xml:space="preserve"> </v>
      </c>
      <c r="F223" s="7" t="str">
        <f>IF(A223=""," ",B223*VLOOKUP(A223,'18.11-07.12.2024'!A:H,7,FALSE))</f>
        <v xml:space="preserve"> </v>
      </c>
      <c r="G223" s="7" t="str">
        <f>IF(A223=""," ",B223*VLOOKUP(A223,'18.11-07.12.2024'!A:H,8,FALSE))</f>
        <v xml:space="preserve"> </v>
      </c>
    </row>
    <row r="224" spans="1:7" ht="14.1" customHeight="1" x14ac:dyDescent="0.2">
      <c r="A224" s="18"/>
      <c r="B224" s="25"/>
      <c r="C224" s="6" t="str">
        <f>IF(A224=""," ",VLOOKUP(A224,'18.11-07.12.2024'!A:H,2,FALSE))</f>
        <v xml:space="preserve"> </v>
      </c>
      <c r="D224" s="33" t="str">
        <f>IF(A224=""," ",VLOOKUP(A224,'18.11-07.12.2024'!A:H,5,FALSE))</f>
        <v xml:space="preserve"> </v>
      </c>
      <c r="E224" s="7" t="str">
        <f>IF(A224=""," ",B224*VLOOKUP(A224,'18.11-07.12.2024'!A:H,6,FALSE))</f>
        <v xml:space="preserve"> </v>
      </c>
      <c r="F224" s="7" t="str">
        <f>IF(A224=""," ",B224*VLOOKUP(A224,'18.11-07.12.2024'!A:H,7,FALSE))</f>
        <v xml:space="preserve"> </v>
      </c>
      <c r="G224" s="7" t="str">
        <f>IF(A224=""," ",B224*VLOOKUP(A224,'18.11-07.12.2024'!A:H,8,FALSE))</f>
        <v xml:space="preserve"> </v>
      </c>
    </row>
    <row r="225" spans="1:7" ht="14.1" customHeight="1" x14ac:dyDescent="0.2">
      <c r="A225" s="18"/>
      <c r="B225" s="25"/>
      <c r="C225" s="6" t="str">
        <f>IF(A225=""," ",VLOOKUP(A225,'18.11-07.12.2024'!A:H,2,FALSE))</f>
        <v xml:space="preserve"> </v>
      </c>
      <c r="D225" s="33" t="str">
        <f>IF(A225=""," ",VLOOKUP(A225,'18.11-07.12.2024'!A:H,5,FALSE))</f>
        <v xml:space="preserve"> </v>
      </c>
      <c r="E225" s="7" t="str">
        <f>IF(A225=""," ",B225*VLOOKUP(A225,'18.11-07.12.2024'!A:H,6,FALSE))</f>
        <v xml:space="preserve"> </v>
      </c>
      <c r="F225" s="7" t="str">
        <f>IF(A225=""," ",B225*VLOOKUP(A225,'18.11-07.12.2024'!A:H,7,FALSE))</f>
        <v xml:space="preserve"> </v>
      </c>
      <c r="G225" s="7" t="str">
        <f>IF(A225=""," ",B225*VLOOKUP(A225,'18.11-07.12.2024'!A:H,8,FALSE))</f>
        <v xml:space="preserve"> </v>
      </c>
    </row>
    <row r="226" spans="1:7" ht="14.1" customHeight="1" x14ac:dyDescent="0.2">
      <c r="A226" s="18"/>
      <c r="B226" s="25"/>
      <c r="C226" s="6" t="str">
        <f>IF(A226=""," ",VLOOKUP(A226,'18.11-07.12.2024'!A:H,2,FALSE))</f>
        <v xml:space="preserve"> </v>
      </c>
      <c r="D226" s="33" t="str">
        <f>IF(A226=""," ",VLOOKUP(A226,'18.11-07.12.2024'!A:H,5,FALSE))</f>
        <v xml:space="preserve"> </v>
      </c>
      <c r="E226" s="7" t="str">
        <f>IF(A226=""," ",B226*VLOOKUP(A226,'18.11-07.12.2024'!A:H,6,FALSE))</f>
        <v xml:space="preserve"> </v>
      </c>
      <c r="F226" s="7" t="str">
        <f>IF(A226=""," ",B226*VLOOKUP(A226,'18.11-07.12.2024'!A:H,7,FALSE))</f>
        <v xml:space="preserve"> </v>
      </c>
      <c r="G226" s="7" t="str">
        <f>IF(A226=""," ",B226*VLOOKUP(A226,'18.11-07.12.2024'!A:H,8,FALSE))</f>
        <v xml:space="preserve"> </v>
      </c>
    </row>
    <row r="227" spans="1:7" ht="14.1" customHeight="1" x14ac:dyDescent="0.2">
      <c r="A227" s="18"/>
      <c r="B227" s="25"/>
      <c r="C227" s="6" t="str">
        <f>IF(A227=""," ",VLOOKUP(A227,'18.11-07.12.2024'!A:H,2,FALSE))</f>
        <v xml:space="preserve"> </v>
      </c>
      <c r="D227" s="33" t="str">
        <f>IF(A227=""," ",VLOOKUP(A227,'18.11-07.12.2024'!A:H,5,FALSE))</f>
        <v xml:space="preserve"> </v>
      </c>
      <c r="E227" s="7" t="str">
        <f>IF(A227=""," ",B227*VLOOKUP(A227,'18.11-07.12.2024'!A:H,6,FALSE))</f>
        <v xml:space="preserve"> </v>
      </c>
      <c r="F227" s="7" t="str">
        <f>IF(A227=""," ",B227*VLOOKUP(A227,'18.11-07.12.2024'!A:H,7,FALSE))</f>
        <v xml:space="preserve"> </v>
      </c>
      <c r="G227" s="7" t="str">
        <f>IF(A227=""," ",B227*VLOOKUP(A227,'18.11-07.12.2024'!A:H,8,FALSE))</f>
        <v xml:space="preserve"> </v>
      </c>
    </row>
    <row r="228" spans="1:7" ht="14.1" customHeight="1" x14ac:dyDescent="0.2">
      <c r="A228" s="18"/>
      <c r="B228" s="25"/>
      <c r="C228" s="6" t="str">
        <f>IF(A228=""," ",VLOOKUP(A228,'18.11-07.12.2024'!A:H,2,FALSE))</f>
        <v xml:space="preserve"> </v>
      </c>
      <c r="D228" s="33" t="str">
        <f>IF(A228=""," ",VLOOKUP(A228,'18.11-07.12.2024'!A:H,5,FALSE))</f>
        <v xml:space="preserve"> </v>
      </c>
      <c r="E228" s="7" t="str">
        <f>IF(A228=""," ",B228*VLOOKUP(A228,'18.11-07.12.2024'!A:H,6,FALSE))</f>
        <v xml:space="preserve"> </v>
      </c>
      <c r="F228" s="7" t="str">
        <f>IF(A228=""," ",B228*VLOOKUP(A228,'18.11-07.12.2024'!A:H,7,FALSE))</f>
        <v xml:space="preserve"> </v>
      </c>
      <c r="G228" s="7" t="str">
        <f>IF(A228=""," ",B228*VLOOKUP(A228,'18.11-07.12.2024'!A:H,8,FALSE))</f>
        <v xml:space="preserve"> </v>
      </c>
    </row>
    <row r="229" spans="1:7" ht="14.1" customHeight="1" x14ac:dyDescent="0.2">
      <c r="A229" s="18"/>
      <c r="B229" s="25"/>
      <c r="C229" s="6" t="str">
        <f>IF(A229=""," ",VLOOKUP(A229,'18.11-07.12.2024'!A:H,2,FALSE))</f>
        <v xml:space="preserve"> </v>
      </c>
      <c r="D229" s="33" t="str">
        <f>IF(A229=""," ",VLOOKUP(A229,'18.11-07.12.2024'!A:H,5,FALSE))</f>
        <v xml:space="preserve"> </v>
      </c>
      <c r="E229" s="7" t="str">
        <f>IF(A229=""," ",B229*VLOOKUP(A229,'18.11-07.12.2024'!A:H,6,FALSE))</f>
        <v xml:space="preserve"> </v>
      </c>
      <c r="F229" s="7" t="str">
        <f>IF(A229=""," ",B229*VLOOKUP(A229,'18.11-07.12.2024'!A:H,7,FALSE))</f>
        <v xml:space="preserve"> </v>
      </c>
      <c r="G229" s="7" t="str">
        <f>IF(A229=""," ",B229*VLOOKUP(A229,'18.11-07.12.2024'!A:H,8,FALSE))</f>
        <v xml:space="preserve"> </v>
      </c>
    </row>
    <row r="230" spans="1:7" ht="14.1" customHeight="1" x14ac:dyDescent="0.2">
      <c r="A230" s="18"/>
      <c r="B230" s="25"/>
      <c r="C230" s="6" t="str">
        <f>IF(A230=""," ",VLOOKUP(A230,'18.11-07.12.2024'!A:H,2,FALSE))</f>
        <v xml:space="preserve"> </v>
      </c>
      <c r="D230" s="33" t="str">
        <f>IF(A230=""," ",VLOOKUP(A230,'18.11-07.12.2024'!A:H,5,FALSE))</f>
        <v xml:space="preserve"> </v>
      </c>
      <c r="E230" s="7" t="str">
        <f>IF(A230=""," ",B230*VLOOKUP(A230,'18.11-07.12.2024'!A:H,6,FALSE))</f>
        <v xml:space="preserve"> </v>
      </c>
      <c r="F230" s="7" t="str">
        <f>IF(A230=""," ",B230*VLOOKUP(A230,'18.11-07.12.2024'!A:H,7,FALSE))</f>
        <v xml:space="preserve"> </v>
      </c>
      <c r="G230" s="7" t="str">
        <f>IF(A230=""," ",B230*VLOOKUP(A230,'18.11-07.12.2024'!A:H,8,FALSE))</f>
        <v xml:space="preserve"> </v>
      </c>
    </row>
    <row r="231" spans="1:7" ht="14.1" customHeight="1" x14ac:dyDescent="0.2">
      <c r="A231" s="18"/>
      <c r="B231" s="25"/>
      <c r="C231" s="6" t="str">
        <f>IF(A231=""," ",VLOOKUP(A231,'18.11-07.12.2024'!A:H,2,FALSE))</f>
        <v xml:space="preserve"> </v>
      </c>
      <c r="D231" s="33" t="str">
        <f>IF(A231=""," ",VLOOKUP(A231,'18.11-07.12.2024'!A:H,5,FALSE))</f>
        <v xml:space="preserve"> </v>
      </c>
      <c r="E231" s="7" t="str">
        <f>IF(A231=""," ",B231*VLOOKUP(A231,'18.11-07.12.2024'!A:H,6,FALSE))</f>
        <v xml:space="preserve"> </v>
      </c>
      <c r="F231" s="7" t="str">
        <f>IF(A231=""," ",B231*VLOOKUP(A231,'18.11-07.12.2024'!A:H,7,FALSE))</f>
        <v xml:space="preserve"> </v>
      </c>
      <c r="G231" s="7" t="str">
        <f>IF(A231=""," ",B231*VLOOKUP(A231,'18.11-07.12.2024'!A:H,8,FALSE))</f>
        <v xml:space="preserve"> </v>
      </c>
    </row>
    <row r="232" spans="1:7" ht="14.1" customHeight="1" x14ac:dyDescent="0.2">
      <c r="A232" s="18"/>
      <c r="B232" s="25"/>
      <c r="C232" s="6" t="str">
        <f>IF(A232=""," ",VLOOKUP(A232,'18.11-07.12.2024'!A:H,2,FALSE))</f>
        <v xml:space="preserve"> </v>
      </c>
      <c r="D232" s="33" t="str">
        <f>IF(A232=""," ",VLOOKUP(A232,'18.11-07.12.2024'!A:H,5,FALSE))</f>
        <v xml:space="preserve"> </v>
      </c>
      <c r="E232" s="7" t="str">
        <f>IF(A232=""," ",B232*VLOOKUP(A232,'18.11-07.12.2024'!A:H,6,FALSE))</f>
        <v xml:space="preserve"> </v>
      </c>
      <c r="F232" s="7" t="str">
        <f>IF(A232=""," ",B232*VLOOKUP(A232,'18.11-07.12.2024'!A:H,7,FALSE))</f>
        <v xml:space="preserve"> </v>
      </c>
      <c r="G232" s="7" t="str">
        <f>IF(A232=""," ",B232*VLOOKUP(A232,'18.11-07.12.2024'!A:H,8,FALSE))</f>
        <v xml:space="preserve"> </v>
      </c>
    </row>
    <row r="233" spans="1:7" ht="14.1" customHeight="1" x14ac:dyDescent="0.2">
      <c r="A233" s="18"/>
      <c r="B233" s="25"/>
      <c r="C233" s="6" t="str">
        <f>IF(A233=""," ",VLOOKUP(A233,'18.11-07.12.2024'!A:H,2,FALSE))</f>
        <v xml:space="preserve"> </v>
      </c>
      <c r="D233" s="33" t="str">
        <f>IF(A233=""," ",VLOOKUP(A233,'18.11-07.12.2024'!A:H,5,FALSE))</f>
        <v xml:space="preserve"> </v>
      </c>
      <c r="E233" s="7" t="str">
        <f>IF(A233=""," ",B233*VLOOKUP(A233,'18.11-07.12.2024'!A:H,6,FALSE))</f>
        <v xml:space="preserve"> </v>
      </c>
      <c r="F233" s="7" t="str">
        <f>IF(A233=""," ",B233*VLOOKUP(A233,'18.11-07.12.2024'!A:H,7,FALSE))</f>
        <v xml:space="preserve"> </v>
      </c>
      <c r="G233" s="7" t="str">
        <f>IF(A233=""," ",B233*VLOOKUP(A233,'18.11-07.12.2024'!A:H,8,FALSE))</f>
        <v xml:space="preserve"> </v>
      </c>
    </row>
    <row r="234" spans="1:7" ht="14.1" customHeight="1" x14ac:dyDescent="0.2">
      <c r="A234" s="18"/>
      <c r="B234" s="25"/>
      <c r="C234" s="6" t="str">
        <f>IF(A234=""," ",VLOOKUP(A234,'18.11-07.12.2024'!A:H,2,FALSE))</f>
        <v xml:space="preserve"> </v>
      </c>
      <c r="D234" s="33" t="str">
        <f>IF(A234=""," ",VLOOKUP(A234,'18.11-07.12.2024'!A:H,5,FALSE))</f>
        <v xml:space="preserve"> </v>
      </c>
      <c r="E234" s="7" t="str">
        <f>IF(A234=""," ",B234*VLOOKUP(A234,'18.11-07.12.2024'!A:H,6,FALSE))</f>
        <v xml:space="preserve"> </v>
      </c>
      <c r="F234" s="7" t="str">
        <f>IF(A234=""," ",B234*VLOOKUP(A234,'18.11-07.12.2024'!A:H,7,FALSE))</f>
        <v xml:space="preserve"> </v>
      </c>
      <c r="G234" s="7" t="str">
        <f>IF(A234=""," ",B234*VLOOKUP(A234,'18.11-07.12.2024'!A:H,8,FALSE))</f>
        <v xml:space="preserve"> </v>
      </c>
    </row>
    <row r="235" spans="1:7" ht="14.1" customHeight="1" x14ac:dyDescent="0.2">
      <c r="A235" s="18"/>
      <c r="B235" s="25"/>
      <c r="C235" s="6" t="str">
        <f>IF(A235=""," ",VLOOKUP(A235,'18.11-07.12.2024'!A:H,2,FALSE))</f>
        <v xml:space="preserve"> </v>
      </c>
      <c r="D235" s="33" t="str">
        <f>IF(A235=""," ",VLOOKUP(A235,'18.11-07.12.2024'!A:H,5,FALSE))</f>
        <v xml:space="preserve"> </v>
      </c>
      <c r="E235" s="7" t="str">
        <f>IF(A235=""," ",B235*VLOOKUP(A235,'18.11-07.12.2024'!A:H,6,FALSE))</f>
        <v xml:space="preserve"> </v>
      </c>
      <c r="F235" s="7" t="str">
        <f>IF(A235=""," ",B235*VLOOKUP(A235,'18.11-07.12.2024'!A:H,7,FALSE))</f>
        <v xml:space="preserve"> </v>
      </c>
      <c r="G235" s="7" t="str">
        <f>IF(A235=""," ",B235*VLOOKUP(A235,'18.11-07.12.2024'!A:H,8,FALSE))</f>
        <v xml:space="preserve"> </v>
      </c>
    </row>
    <row r="236" spans="1:7" ht="14.1" customHeight="1" x14ac:dyDescent="0.2">
      <c r="A236" s="18"/>
      <c r="B236" s="25"/>
      <c r="C236" s="6" t="str">
        <f>IF(A236=""," ",VLOOKUP(A236,'18.11-07.12.2024'!A:H,2,FALSE))</f>
        <v xml:space="preserve"> </v>
      </c>
      <c r="D236" s="33" t="str">
        <f>IF(A236=""," ",VLOOKUP(A236,'18.11-07.12.2024'!A:H,5,FALSE))</f>
        <v xml:space="preserve"> </v>
      </c>
      <c r="E236" s="7" t="str">
        <f>IF(A236=""," ",B236*VLOOKUP(A236,'18.11-07.12.2024'!A:H,6,FALSE))</f>
        <v xml:space="preserve"> </v>
      </c>
      <c r="F236" s="7" t="str">
        <f>IF(A236=""," ",B236*VLOOKUP(A236,'18.11-07.12.2024'!A:H,7,FALSE))</f>
        <v xml:space="preserve"> </v>
      </c>
      <c r="G236" s="7" t="str">
        <f>IF(A236=""," ",B236*VLOOKUP(A236,'18.11-07.12.2024'!A:H,8,FALSE))</f>
        <v xml:space="preserve"> </v>
      </c>
    </row>
    <row r="237" spans="1:7" ht="14.1" customHeight="1" x14ac:dyDescent="0.2">
      <c r="A237" s="18"/>
      <c r="B237" s="25"/>
      <c r="C237" s="6" t="str">
        <f>IF(A237=""," ",VLOOKUP(A237,'18.11-07.12.2024'!A:H,2,FALSE))</f>
        <v xml:space="preserve"> </v>
      </c>
      <c r="D237" s="33" t="str">
        <f>IF(A237=""," ",VLOOKUP(A237,'18.11-07.12.2024'!A:H,5,FALSE))</f>
        <v xml:space="preserve"> </v>
      </c>
      <c r="E237" s="7" t="str">
        <f>IF(A237=""," ",B237*VLOOKUP(A237,'18.11-07.12.2024'!A:H,6,FALSE))</f>
        <v xml:space="preserve"> </v>
      </c>
      <c r="F237" s="7" t="str">
        <f>IF(A237=""," ",B237*VLOOKUP(A237,'18.11-07.12.2024'!A:H,7,FALSE))</f>
        <v xml:space="preserve"> </v>
      </c>
      <c r="G237" s="7" t="str">
        <f>IF(A237=""," ",B237*VLOOKUP(A237,'18.11-07.12.2024'!A:H,8,FALSE))</f>
        <v xml:space="preserve"> </v>
      </c>
    </row>
    <row r="238" spans="1:7" ht="14.1" customHeight="1" x14ac:dyDescent="0.2">
      <c r="A238" s="18"/>
      <c r="B238" s="25"/>
      <c r="C238" s="6" t="str">
        <f>IF(A238=""," ",VLOOKUP(A238,'18.11-07.12.2024'!A:H,2,FALSE))</f>
        <v xml:space="preserve"> </v>
      </c>
      <c r="D238" s="33" t="str">
        <f>IF(A238=""," ",VLOOKUP(A238,'18.11-07.12.2024'!A:H,5,FALSE))</f>
        <v xml:space="preserve"> </v>
      </c>
      <c r="E238" s="7" t="str">
        <f>IF(A238=""," ",B238*VLOOKUP(A238,'18.11-07.12.2024'!A:H,6,FALSE))</f>
        <v xml:space="preserve"> </v>
      </c>
      <c r="F238" s="7" t="str">
        <f>IF(A238=""," ",B238*VLOOKUP(A238,'18.11-07.12.2024'!A:H,7,FALSE))</f>
        <v xml:space="preserve"> </v>
      </c>
      <c r="G238" s="7" t="str">
        <f>IF(A238=""," ",B238*VLOOKUP(A238,'18.11-07.12.2024'!A:H,8,FALSE))</f>
        <v xml:space="preserve"> </v>
      </c>
    </row>
    <row r="239" spans="1:7" ht="14.1" customHeight="1" x14ac:dyDescent="0.2">
      <c r="A239" s="18"/>
      <c r="B239" s="25"/>
      <c r="C239" s="6" t="str">
        <f>IF(A239=""," ",VLOOKUP(A239,'18.11-07.12.2024'!A:H,2,FALSE))</f>
        <v xml:space="preserve"> </v>
      </c>
      <c r="D239" s="33" t="str">
        <f>IF(A239=""," ",VLOOKUP(A239,'18.11-07.12.2024'!A:H,5,FALSE))</f>
        <v xml:space="preserve"> </v>
      </c>
      <c r="E239" s="7" t="str">
        <f>IF(A239=""," ",B239*VLOOKUP(A239,'18.11-07.12.2024'!A:H,6,FALSE))</f>
        <v xml:space="preserve"> </v>
      </c>
      <c r="F239" s="7" t="str">
        <f>IF(A239=""," ",B239*VLOOKUP(A239,'18.11-07.12.2024'!A:H,7,FALSE))</f>
        <v xml:space="preserve"> </v>
      </c>
      <c r="G239" s="7" t="str">
        <f>IF(A239=""," ",B239*VLOOKUP(A239,'18.11-07.12.2024'!A:H,8,FALSE))</f>
        <v xml:space="preserve"> </v>
      </c>
    </row>
    <row r="240" spans="1:7" ht="14.1" customHeight="1" x14ac:dyDescent="0.2">
      <c r="A240" s="18"/>
      <c r="B240" s="25"/>
      <c r="C240" s="6" t="str">
        <f>IF(A240=""," ",VLOOKUP(A240,'18.11-07.12.2024'!A:H,2,FALSE))</f>
        <v xml:space="preserve"> </v>
      </c>
      <c r="D240" s="33" t="str">
        <f>IF(A240=""," ",VLOOKUP(A240,'18.11-07.12.2024'!A:H,5,FALSE))</f>
        <v xml:space="preserve"> </v>
      </c>
      <c r="E240" s="7" t="str">
        <f>IF(A240=""," ",B240*VLOOKUP(A240,'18.11-07.12.2024'!A:H,6,FALSE))</f>
        <v xml:space="preserve"> </v>
      </c>
      <c r="F240" s="7" t="str">
        <f>IF(A240=""," ",B240*VLOOKUP(A240,'18.11-07.12.2024'!A:H,7,FALSE))</f>
        <v xml:space="preserve"> </v>
      </c>
      <c r="G240" s="7" t="str">
        <f>IF(A240=""," ",B240*VLOOKUP(A240,'18.11-07.12.2024'!A:H,8,FALSE))</f>
        <v xml:space="preserve"> </v>
      </c>
    </row>
    <row r="241" spans="1:7" ht="14.1" customHeight="1" x14ac:dyDescent="0.2">
      <c r="A241" s="18"/>
      <c r="B241" s="25"/>
      <c r="C241" s="6" t="str">
        <f>IF(A241=""," ",VLOOKUP(A241,'18.11-07.12.2024'!A:H,2,FALSE))</f>
        <v xml:space="preserve"> </v>
      </c>
      <c r="D241" s="33" t="str">
        <f>IF(A241=""," ",VLOOKUP(A241,'18.11-07.12.2024'!A:H,5,FALSE))</f>
        <v xml:space="preserve"> </v>
      </c>
      <c r="E241" s="7" t="str">
        <f>IF(A241=""," ",B241*VLOOKUP(A241,'18.11-07.12.2024'!A:H,6,FALSE))</f>
        <v xml:space="preserve"> </v>
      </c>
      <c r="F241" s="7" t="str">
        <f>IF(A241=""," ",B241*VLOOKUP(A241,'18.11-07.12.2024'!A:H,7,FALSE))</f>
        <v xml:space="preserve"> </v>
      </c>
      <c r="G241" s="7" t="str">
        <f>IF(A241=""," ",B241*VLOOKUP(A241,'18.11-07.12.2024'!A:H,8,FALSE))</f>
        <v xml:space="preserve"> </v>
      </c>
    </row>
    <row r="242" spans="1:7" ht="14.1" customHeight="1" x14ac:dyDescent="0.2">
      <c r="A242" s="18"/>
      <c r="B242" s="25"/>
      <c r="C242" s="6" t="str">
        <f>IF(A242=""," ",VLOOKUP(A242,'18.11-07.12.2024'!A:H,2,FALSE))</f>
        <v xml:space="preserve"> </v>
      </c>
      <c r="D242" s="33" t="str">
        <f>IF(A242=""," ",VLOOKUP(A242,'18.11-07.12.2024'!A:H,5,FALSE))</f>
        <v xml:space="preserve"> </v>
      </c>
      <c r="E242" s="7" t="str">
        <f>IF(A242=""," ",B242*VLOOKUP(A242,'18.11-07.12.2024'!A:H,6,FALSE))</f>
        <v xml:space="preserve"> </v>
      </c>
      <c r="F242" s="7" t="str">
        <f>IF(A242=""," ",B242*VLOOKUP(A242,'18.11-07.12.2024'!A:H,7,FALSE))</f>
        <v xml:space="preserve"> </v>
      </c>
      <c r="G242" s="7" t="str">
        <f>IF(A242=""," ",B242*VLOOKUP(A242,'18.11-07.12.2024'!A:H,8,FALSE))</f>
        <v xml:space="preserve"> </v>
      </c>
    </row>
    <row r="243" spans="1:7" ht="14.1" customHeight="1" x14ac:dyDescent="0.2">
      <c r="A243" s="18"/>
      <c r="B243" s="25"/>
      <c r="C243" s="6" t="str">
        <f>IF(A243=""," ",VLOOKUP(A243,'18.11-07.12.2024'!A:H,2,FALSE))</f>
        <v xml:space="preserve"> </v>
      </c>
      <c r="D243" s="33" t="str">
        <f>IF(A243=""," ",VLOOKUP(A243,'18.11-07.12.2024'!A:H,5,FALSE))</f>
        <v xml:space="preserve"> </v>
      </c>
      <c r="E243" s="7" t="str">
        <f>IF(A243=""," ",B243*VLOOKUP(A243,'18.11-07.12.2024'!A:H,6,FALSE))</f>
        <v xml:space="preserve"> </v>
      </c>
      <c r="F243" s="7" t="str">
        <f>IF(A243=""," ",B243*VLOOKUP(A243,'18.11-07.12.2024'!A:H,7,FALSE))</f>
        <v xml:space="preserve"> </v>
      </c>
      <c r="G243" s="7" t="str">
        <f>IF(A243=""," ",B243*VLOOKUP(A243,'18.11-07.12.2024'!A:H,8,FALSE))</f>
        <v xml:space="preserve"> </v>
      </c>
    </row>
    <row r="244" spans="1:7" ht="14.1" customHeight="1" x14ac:dyDescent="0.2">
      <c r="A244" s="18"/>
      <c r="B244" s="25"/>
      <c r="C244" s="6" t="str">
        <f>IF(A244=""," ",VLOOKUP(A244,'18.11-07.12.2024'!A:H,2,FALSE))</f>
        <v xml:space="preserve"> </v>
      </c>
      <c r="D244" s="33" t="str">
        <f>IF(A244=""," ",VLOOKUP(A244,'18.11-07.12.2024'!A:H,5,FALSE))</f>
        <v xml:space="preserve"> </v>
      </c>
      <c r="E244" s="7" t="str">
        <f>IF(A244=""," ",B244*VLOOKUP(A244,'18.11-07.12.2024'!A:H,6,FALSE))</f>
        <v xml:space="preserve"> </v>
      </c>
      <c r="F244" s="7" t="str">
        <f>IF(A244=""," ",B244*VLOOKUP(A244,'18.11-07.12.2024'!A:H,7,FALSE))</f>
        <v xml:space="preserve"> </v>
      </c>
      <c r="G244" s="7" t="str">
        <f>IF(A244=""," ",B244*VLOOKUP(A244,'18.11-07.12.2024'!A:H,8,FALSE))</f>
        <v xml:space="preserve"> </v>
      </c>
    </row>
    <row r="245" spans="1:7" ht="14.1" customHeight="1" x14ac:dyDescent="0.2">
      <c r="A245" s="18"/>
      <c r="B245" s="25"/>
      <c r="C245" s="6" t="str">
        <f>IF(A245=""," ",VLOOKUP(A245,'18.11-07.12.2024'!A:H,2,FALSE))</f>
        <v xml:space="preserve"> </v>
      </c>
      <c r="D245" s="33" t="str">
        <f>IF(A245=""," ",VLOOKUP(A245,'18.11-07.12.2024'!A:H,5,FALSE))</f>
        <v xml:space="preserve"> </v>
      </c>
      <c r="E245" s="7" t="str">
        <f>IF(A245=""," ",B245*VLOOKUP(A245,'18.11-07.12.2024'!A:H,6,FALSE))</f>
        <v xml:space="preserve"> </v>
      </c>
      <c r="F245" s="7" t="str">
        <f>IF(A245=""," ",B245*VLOOKUP(A245,'18.11-07.12.2024'!A:H,7,FALSE))</f>
        <v xml:space="preserve"> </v>
      </c>
      <c r="G245" s="7" t="str">
        <f>IF(A245=""," ",B245*VLOOKUP(A245,'18.11-07.12.2024'!A:H,8,FALSE))</f>
        <v xml:space="preserve"> </v>
      </c>
    </row>
    <row r="246" spans="1:7" ht="14.1" customHeight="1" x14ac:dyDescent="0.2">
      <c r="A246" s="18"/>
      <c r="B246" s="25"/>
      <c r="C246" s="6" t="str">
        <f>IF(A246=""," ",VLOOKUP(A246,'18.11-07.12.2024'!A:H,2,FALSE))</f>
        <v xml:space="preserve"> </v>
      </c>
      <c r="D246" s="33" t="str">
        <f>IF(A246=""," ",VLOOKUP(A246,'18.11-07.12.2024'!A:H,5,FALSE))</f>
        <v xml:space="preserve"> </v>
      </c>
      <c r="E246" s="7" t="str">
        <f>IF(A246=""," ",B246*VLOOKUP(A246,'18.11-07.12.2024'!A:H,6,FALSE))</f>
        <v xml:space="preserve"> </v>
      </c>
      <c r="F246" s="7" t="str">
        <f>IF(A246=""," ",B246*VLOOKUP(A246,'18.11-07.12.2024'!A:H,7,FALSE))</f>
        <v xml:space="preserve"> </v>
      </c>
      <c r="G246" s="7" t="str">
        <f>IF(A246=""," ",B246*VLOOKUP(A246,'18.11-07.12.2024'!A:H,8,FALSE))</f>
        <v xml:space="preserve"> </v>
      </c>
    </row>
    <row r="247" spans="1:7" ht="14.1" customHeight="1" x14ac:dyDescent="0.2">
      <c r="A247" s="18"/>
      <c r="B247" s="25"/>
      <c r="C247" s="6" t="str">
        <f>IF(A247=""," ",VLOOKUP(A247,'18.11-07.12.2024'!A:H,2,FALSE))</f>
        <v xml:space="preserve"> </v>
      </c>
      <c r="D247" s="33" t="str">
        <f>IF(A247=""," ",VLOOKUP(A247,'18.11-07.12.2024'!A:H,5,FALSE))</f>
        <v xml:space="preserve"> </v>
      </c>
      <c r="E247" s="7" t="str">
        <f>IF(A247=""," ",B247*VLOOKUP(A247,'18.11-07.12.2024'!A:H,6,FALSE))</f>
        <v xml:space="preserve"> </v>
      </c>
      <c r="F247" s="7" t="str">
        <f>IF(A247=""," ",B247*VLOOKUP(A247,'18.11-07.12.2024'!A:H,7,FALSE))</f>
        <v xml:space="preserve"> </v>
      </c>
      <c r="G247" s="7" t="str">
        <f>IF(A247=""," ",B247*VLOOKUP(A247,'18.11-07.12.2024'!A:H,8,FALSE))</f>
        <v xml:space="preserve"> </v>
      </c>
    </row>
    <row r="248" spans="1:7" ht="14.1" customHeight="1" x14ac:dyDescent="0.2">
      <c r="A248" s="18"/>
      <c r="B248" s="25"/>
      <c r="C248" s="6" t="str">
        <f>IF(A248=""," ",VLOOKUP(A248,'18.11-07.12.2024'!A:H,2,FALSE))</f>
        <v xml:space="preserve"> </v>
      </c>
      <c r="D248" s="33" t="str">
        <f>IF(A248=""," ",VLOOKUP(A248,'18.11-07.12.2024'!A:H,5,FALSE))</f>
        <v xml:space="preserve"> </v>
      </c>
      <c r="E248" s="7" t="str">
        <f>IF(A248=""," ",B248*VLOOKUP(A248,'18.11-07.12.2024'!A:H,6,FALSE))</f>
        <v xml:space="preserve"> </v>
      </c>
      <c r="F248" s="7" t="str">
        <f>IF(A248=""," ",B248*VLOOKUP(A248,'18.11-07.12.2024'!A:H,7,FALSE))</f>
        <v xml:space="preserve"> </v>
      </c>
      <c r="G248" s="7" t="str">
        <f>IF(A248=""," ",B248*VLOOKUP(A248,'18.11-07.12.2024'!A:H,8,FALSE))</f>
        <v xml:space="preserve"> </v>
      </c>
    </row>
    <row r="249" spans="1:7" ht="14.1" customHeight="1" x14ac:dyDescent="0.2">
      <c r="A249" s="18"/>
      <c r="B249" s="25"/>
      <c r="C249" s="6" t="str">
        <f>IF(A249=""," ",VLOOKUP(A249,'18.11-07.12.2024'!A:H,2,FALSE))</f>
        <v xml:space="preserve"> </v>
      </c>
      <c r="D249" s="33" t="str">
        <f>IF(A249=""," ",VLOOKUP(A249,'18.11-07.12.2024'!A:H,5,FALSE))</f>
        <v xml:space="preserve"> </v>
      </c>
      <c r="E249" s="7" t="str">
        <f>IF(A249=""," ",B249*VLOOKUP(A249,'18.11-07.12.2024'!A:H,6,FALSE))</f>
        <v xml:space="preserve"> </v>
      </c>
      <c r="F249" s="7" t="str">
        <f>IF(A249=""," ",B249*VLOOKUP(A249,'18.11-07.12.2024'!A:H,7,FALSE))</f>
        <v xml:space="preserve"> </v>
      </c>
      <c r="G249" s="7" t="str">
        <f>IF(A249=""," ",B249*VLOOKUP(A249,'18.11-07.12.2024'!A:H,8,FALSE))</f>
        <v xml:space="preserve"> </v>
      </c>
    </row>
    <row r="250" spans="1:7" ht="14.1" customHeight="1" x14ac:dyDescent="0.2">
      <c r="A250" s="18"/>
      <c r="B250" s="25"/>
      <c r="C250" s="6" t="str">
        <f>IF(A250=""," ",VLOOKUP(A250,'18.11-07.12.2024'!A:H,2,FALSE))</f>
        <v xml:space="preserve"> </v>
      </c>
      <c r="D250" s="33" t="str">
        <f>IF(A250=""," ",VLOOKUP(A250,'18.11-07.12.2024'!A:H,5,FALSE))</f>
        <v xml:space="preserve"> </v>
      </c>
      <c r="E250" s="7" t="str">
        <f>IF(A250=""," ",B250*VLOOKUP(A250,'18.11-07.12.2024'!A:H,6,FALSE))</f>
        <v xml:space="preserve"> </v>
      </c>
      <c r="F250" s="7" t="str">
        <f>IF(A250=""," ",B250*VLOOKUP(A250,'18.11-07.12.2024'!A:H,7,FALSE))</f>
        <v xml:space="preserve"> </v>
      </c>
      <c r="G250" s="7" t="str">
        <f>IF(A250=""," ",B250*VLOOKUP(A250,'18.11-07.12.2024'!A:H,8,FALSE))</f>
        <v xml:space="preserve"> </v>
      </c>
    </row>
    <row r="251" spans="1:7" ht="14.1" customHeight="1" x14ac:dyDescent="0.2">
      <c r="A251" s="18"/>
      <c r="B251" s="25"/>
      <c r="C251" s="6" t="str">
        <f>IF(A251=""," ",VLOOKUP(A251,'18.11-07.12.2024'!A:H,2,FALSE))</f>
        <v xml:space="preserve"> </v>
      </c>
      <c r="D251" s="33" t="str">
        <f>IF(A251=""," ",VLOOKUP(A251,'18.11-07.12.2024'!A:H,5,FALSE))</f>
        <v xml:space="preserve"> </v>
      </c>
      <c r="E251" s="7" t="str">
        <f>IF(A251=""," ",B251*VLOOKUP(A251,'18.11-07.12.2024'!A:H,6,FALSE))</f>
        <v xml:space="preserve"> </v>
      </c>
      <c r="F251" s="7" t="str">
        <f>IF(A251=""," ",B251*VLOOKUP(A251,'18.11-07.12.2024'!A:H,7,FALSE))</f>
        <v xml:space="preserve"> </v>
      </c>
      <c r="G251" s="7" t="str">
        <f>IF(A251=""," ",B251*VLOOKUP(A251,'18.11-07.12.2024'!A:H,8,FALSE))</f>
        <v xml:space="preserve"> </v>
      </c>
    </row>
    <row r="252" spans="1:7" ht="14.1" customHeight="1" x14ac:dyDescent="0.2">
      <c r="A252" s="18"/>
      <c r="B252" s="25"/>
      <c r="C252" s="6" t="str">
        <f>IF(A252=""," ",VLOOKUP(A252,'18.11-07.12.2024'!A:H,2,FALSE))</f>
        <v xml:space="preserve"> </v>
      </c>
      <c r="D252" s="33" t="str">
        <f>IF(A252=""," ",VLOOKUP(A252,'18.11-07.12.2024'!A:H,5,FALSE))</f>
        <v xml:space="preserve"> </v>
      </c>
      <c r="E252" s="7" t="str">
        <f>IF(A252=""," ",B252*VLOOKUP(A252,'18.11-07.12.2024'!A:H,6,FALSE))</f>
        <v xml:space="preserve"> </v>
      </c>
      <c r="F252" s="7" t="str">
        <f>IF(A252=""," ",B252*VLOOKUP(A252,'18.11-07.12.2024'!A:H,7,FALSE))</f>
        <v xml:space="preserve"> </v>
      </c>
      <c r="G252" s="7" t="str">
        <f>IF(A252=""," ",B252*VLOOKUP(A252,'18.11-07.12.2024'!A:H,8,FALSE))</f>
        <v xml:space="preserve"> </v>
      </c>
    </row>
    <row r="253" spans="1:7" ht="14.1" customHeight="1" x14ac:dyDescent="0.2">
      <c r="A253" s="18"/>
      <c r="B253" s="25"/>
      <c r="C253" s="6" t="str">
        <f>IF(A253=""," ",VLOOKUP(A253,'18.11-07.12.2024'!A:H,2,FALSE))</f>
        <v xml:space="preserve"> </v>
      </c>
      <c r="D253" s="33" t="str">
        <f>IF(A253=""," ",VLOOKUP(A253,'18.11-07.12.2024'!A:H,5,FALSE))</f>
        <v xml:space="preserve"> </v>
      </c>
      <c r="E253" s="7" t="str">
        <f>IF(A253=""," ",B253*VLOOKUP(A253,'18.11-07.12.2024'!A:H,6,FALSE))</f>
        <v xml:space="preserve"> </v>
      </c>
      <c r="F253" s="7" t="str">
        <f>IF(A253=""," ",B253*VLOOKUP(A253,'18.11-07.12.2024'!A:H,7,FALSE))</f>
        <v xml:space="preserve"> </v>
      </c>
      <c r="G253" s="7" t="str">
        <f>IF(A253=""," ",B253*VLOOKUP(A253,'18.11-07.12.2024'!A:H,8,FALSE))</f>
        <v xml:space="preserve"> </v>
      </c>
    </row>
    <row r="254" spans="1:7" ht="14.1" customHeight="1" x14ac:dyDescent="0.2">
      <c r="A254" s="18"/>
      <c r="B254" s="25"/>
      <c r="C254" s="6" t="str">
        <f>IF(A254=""," ",VLOOKUP(A254,'18.11-07.12.2024'!A:H,2,FALSE))</f>
        <v xml:space="preserve"> </v>
      </c>
      <c r="D254" s="33" t="str">
        <f>IF(A254=""," ",VLOOKUP(A254,'18.11-07.12.2024'!A:H,5,FALSE))</f>
        <v xml:space="preserve"> </v>
      </c>
      <c r="E254" s="7" t="str">
        <f>IF(A254=""," ",B254*VLOOKUP(A254,'18.11-07.12.2024'!A:H,6,FALSE))</f>
        <v xml:space="preserve"> </v>
      </c>
      <c r="F254" s="7" t="str">
        <f>IF(A254=""," ",B254*VLOOKUP(A254,'18.11-07.12.2024'!A:H,7,FALSE))</f>
        <v xml:space="preserve"> </v>
      </c>
      <c r="G254" s="7" t="str">
        <f>IF(A254=""," ",B254*VLOOKUP(A254,'18.11-07.12.2024'!A:H,8,FALSE))</f>
        <v xml:space="preserve"> </v>
      </c>
    </row>
    <row r="255" spans="1:7" ht="14.1" customHeight="1" x14ac:dyDescent="0.2">
      <c r="A255" s="18"/>
      <c r="B255" s="25"/>
      <c r="C255" s="6" t="str">
        <f>IF(A255=""," ",VLOOKUP(A255,'18.11-07.12.2024'!A:H,2,FALSE))</f>
        <v xml:space="preserve"> </v>
      </c>
      <c r="D255" s="33" t="str">
        <f>IF(A255=""," ",VLOOKUP(A255,'18.11-07.12.2024'!A:H,5,FALSE))</f>
        <v xml:space="preserve"> </v>
      </c>
      <c r="E255" s="7" t="str">
        <f>IF(A255=""," ",B255*VLOOKUP(A255,'18.11-07.12.2024'!A:H,6,FALSE))</f>
        <v xml:space="preserve"> </v>
      </c>
      <c r="F255" s="7" t="str">
        <f>IF(A255=""," ",B255*VLOOKUP(A255,'18.11-07.12.2024'!A:H,7,FALSE))</f>
        <v xml:space="preserve"> </v>
      </c>
      <c r="G255" s="7" t="str">
        <f>IF(A255=""," ",B255*VLOOKUP(A255,'18.11-07.12.2024'!A:H,8,FALSE))</f>
        <v xml:space="preserve"> </v>
      </c>
    </row>
    <row r="256" spans="1:7" ht="14.1" customHeight="1" x14ac:dyDescent="0.2">
      <c r="A256" s="18"/>
      <c r="B256" s="25"/>
      <c r="C256" s="6" t="str">
        <f>IF(A256=""," ",VLOOKUP(A256,'18.11-07.12.2024'!A:H,2,FALSE))</f>
        <v xml:space="preserve"> </v>
      </c>
      <c r="D256" s="33" t="str">
        <f>IF(A256=""," ",VLOOKUP(A256,'18.11-07.12.2024'!A:H,5,FALSE))</f>
        <v xml:space="preserve"> </v>
      </c>
      <c r="E256" s="7" t="str">
        <f>IF(A256=""," ",B256*VLOOKUP(A256,'18.11-07.12.2024'!A:H,6,FALSE))</f>
        <v xml:space="preserve"> </v>
      </c>
      <c r="F256" s="7" t="str">
        <f>IF(A256=""," ",B256*VLOOKUP(A256,'18.11-07.12.2024'!A:H,7,FALSE))</f>
        <v xml:space="preserve"> </v>
      </c>
      <c r="G256" s="7" t="str">
        <f>IF(A256=""," ",B256*VLOOKUP(A256,'18.11-07.12.2024'!A:H,8,FALSE))</f>
        <v xml:space="preserve"> </v>
      </c>
    </row>
    <row r="257" spans="1:7" ht="14.1" customHeight="1" x14ac:dyDescent="0.2">
      <c r="A257" s="18"/>
      <c r="B257" s="25"/>
      <c r="C257" s="6" t="str">
        <f>IF(A257=""," ",VLOOKUP(A257,'18.11-07.12.2024'!A:H,2,FALSE))</f>
        <v xml:space="preserve"> </v>
      </c>
      <c r="D257" s="33" t="str">
        <f>IF(A257=""," ",VLOOKUP(A257,'18.11-07.12.2024'!A:H,5,FALSE))</f>
        <v xml:space="preserve"> </v>
      </c>
      <c r="E257" s="7" t="str">
        <f>IF(A257=""," ",B257*VLOOKUP(A257,'18.11-07.12.2024'!A:H,6,FALSE))</f>
        <v xml:space="preserve"> </v>
      </c>
      <c r="F257" s="7" t="str">
        <f>IF(A257=""," ",B257*VLOOKUP(A257,'18.11-07.12.2024'!A:H,7,FALSE))</f>
        <v xml:space="preserve"> </v>
      </c>
      <c r="G257" s="7" t="str">
        <f>IF(A257=""," ",B257*VLOOKUP(A257,'18.11-07.12.2024'!A:H,8,FALSE))</f>
        <v xml:space="preserve"> </v>
      </c>
    </row>
    <row r="258" spans="1:7" ht="14.1" customHeight="1" x14ac:dyDescent="0.2">
      <c r="A258" s="18"/>
      <c r="B258" s="25"/>
      <c r="C258" s="6" t="str">
        <f>IF(A258=""," ",VLOOKUP(A258,'18.11-07.12.2024'!A:H,2,FALSE))</f>
        <v xml:space="preserve"> </v>
      </c>
      <c r="D258" s="33" t="str">
        <f>IF(A258=""," ",VLOOKUP(A258,'18.11-07.12.2024'!A:H,5,FALSE))</f>
        <v xml:space="preserve"> </v>
      </c>
      <c r="E258" s="7" t="str">
        <f>IF(A258=""," ",B258*VLOOKUP(A258,'18.11-07.12.2024'!A:H,6,FALSE))</f>
        <v xml:space="preserve"> </v>
      </c>
      <c r="F258" s="7" t="str">
        <f>IF(A258=""," ",B258*VLOOKUP(A258,'18.11-07.12.2024'!A:H,7,FALSE))</f>
        <v xml:space="preserve"> </v>
      </c>
      <c r="G258" s="7" t="str">
        <f>IF(A258=""," ",B258*VLOOKUP(A258,'18.11-07.12.2024'!A:H,8,FALSE))</f>
        <v xml:space="preserve"> </v>
      </c>
    </row>
    <row r="259" spans="1:7" ht="14.1" customHeight="1" x14ac:dyDescent="0.2">
      <c r="A259" s="18"/>
      <c r="B259" s="25"/>
      <c r="C259" s="6" t="str">
        <f>IF(A259=""," ",VLOOKUP(A259,'18.11-07.12.2024'!A:H,2,FALSE))</f>
        <v xml:space="preserve"> </v>
      </c>
      <c r="D259" s="33" t="str">
        <f>IF(A259=""," ",VLOOKUP(A259,'18.11-07.12.2024'!A:H,5,FALSE))</f>
        <v xml:space="preserve"> </v>
      </c>
      <c r="E259" s="7" t="str">
        <f>IF(A259=""," ",B259*VLOOKUP(A259,'18.11-07.12.2024'!A:H,6,FALSE))</f>
        <v xml:space="preserve"> </v>
      </c>
      <c r="F259" s="7" t="str">
        <f>IF(A259=""," ",B259*VLOOKUP(A259,'18.11-07.12.2024'!A:H,7,FALSE))</f>
        <v xml:space="preserve"> </v>
      </c>
      <c r="G259" s="7" t="str">
        <f>IF(A259=""," ",B259*VLOOKUP(A259,'18.11-07.12.2024'!A:H,8,FALSE))</f>
        <v xml:space="preserve"> </v>
      </c>
    </row>
    <row r="260" spans="1:7" ht="14.1" customHeight="1" x14ac:dyDescent="0.2">
      <c r="A260" s="18"/>
      <c r="B260" s="25"/>
      <c r="C260" s="6" t="str">
        <f>IF(A260=""," ",VLOOKUP(A260,'18.11-07.12.2024'!A:H,2,FALSE))</f>
        <v xml:space="preserve"> </v>
      </c>
      <c r="D260" s="33" t="str">
        <f>IF(A260=""," ",VLOOKUP(A260,'18.11-07.12.2024'!A:H,5,FALSE))</f>
        <v xml:space="preserve"> </v>
      </c>
      <c r="E260" s="7" t="str">
        <f>IF(A260=""," ",B260*VLOOKUP(A260,'18.11-07.12.2024'!A:H,6,FALSE))</f>
        <v xml:space="preserve"> </v>
      </c>
      <c r="F260" s="7" t="str">
        <f>IF(A260=""," ",B260*VLOOKUP(A260,'18.11-07.12.2024'!A:H,7,FALSE))</f>
        <v xml:space="preserve"> </v>
      </c>
      <c r="G260" s="7" t="str">
        <f>IF(A260=""," ",B260*VLOOKUP(A260,'18.11-07.12.2024'!A:H,8,FALSE))</f>
        <v xml:space="preserve"> </v>
      </c>
    </row>
    <row r="261" spans="1:7" ht="14.1" customHeight="1" x14ac:dyDescent="0.2">
      <c r="A261" s="18"/>
      <c r="B261" s="25"/>
      <c r="C261" s="6" t="str">
        <f>IF(A261=""," ",VLOOKUP(A261,'18.11-07.12.2024'!A:H,2,FALSE))</f>
        <v xml:space="preserve"> </v>
      </c>
      <c r="D261" s="33" t="str">
        <f>IF(A261=""," ",VLOOKUP(A261,'18.11-07.12.2024'!A:H,5,FALSE))</f>
        <v xml:space="preserve"> </v>
      </c>
      <c r="E261" s="7" t="str">
        <f>IF(A261=""," ",B261*VLOOKUP(A261,'18.11-07.12.2024'!A:H,6,FALSE))</f>
        <v xml:space="preserve"> </v>
      </c>
      <c r="F261" s="7" t="str">
        <f>IF(A261=""," ",B261*VLOOKUP(A261,'18.11-07.12.2024'!A:H,7,FALSE))</f>
        <v xml:space="preserve"> </v>
      </c>
      <c r="G261" s="7" t="str">
        <f>IF(A261=""," ",B261*VLOOKUP(A261,'18.11-07.12.2024'!A:H,8,FALSE))</f>
        <v xml:space="preserve"> </v>
      </c>
    </row>
    <row r="262" spans="1:7" ht="14.1" customHeight="1" x14ac:dyDescent="0.2">
      <c r="A262" s="18"/>
      <c r="B262" s="25"/>
      <c r="C262" s="6" t="str">
        <f>IF(A262=""," ",VLOOKUP(A262,'18.11-07.12.2024'!A:H,2,FALSE))</f>
        <v xml:space="preserve"> </v>
      </c>
      <c r="D262" s="33" t="str">
        <f>IF(A262=""," ",VLOOKUP(A262,'18.11-07.12.2024'!A:H,5,FALSE))</f>
        <v xml:space="preserve"> </v>
      </c>
      <c r="E262" s="7" t="str">
        <f>IF(A262=""," ",B262*VLOOKUP(A262,'18.11-07.12.2024'!A:H,6,FALSE))</f>
        <v xml:space="preserve"> </v>
      </c>
      <c r="F262" s="7" t="str">
        <f>IF(A262=""," ",B262*VLOOKUP(A262,'18.11-07.12.2024'!A:H,7,FALSE))</f>
        <v xml:space="preserve"> </v>
      </c>
      <c r="G262" s="7" t="str">
        <f>IF(A262=""," ",B262*VLOOKUP(A262,'18.11-07.12.2024'!A:H,8,FALSE))</f>
        <v xml:space="preserve"> </v>
      </c>
    </row>
    <row r="263" spans="1:7" ht="14.1" customHeight="1" x14ac:dyDescent="0.2">
      <c r="A263" s="18"/>
      <c r="B263" s="25"/>
      <c r="C263" s="6" t="str">
        <f>IF(A263=""," ",VLOOKUP(A263,'18.11-07.12.2024'!A:H,2,FALSE))</f>
        <v xml:space="preserve"> </v>
      </c>
      <c r="D263" s="33" t="str">
        <f>IF(A263=""," ",VLOOKUP(A263,'18.11-07.12.2024'!A:H,5,FALSE))</f>
        <v xml:space="preserve"> </v>
      </c>
      <c r="E263" s="7" t="str">
        <f>IF(A263=""," ",B263*VLOOKUP(A263,'18.11-07.12.2024'!A:H,6,FALSE))</f>
        <v xml:space="preserve"> </v>
      </c>
      <c r="F263" s="7" t="str">
        <f>IF(A263=""," ",B263*VLOOKUP(A263,'18.11-07.12.2024'!A:H,7,FALSE))</f>
        <v xml:space="preserve"> </v>
      </c>
      <c r="G263" s="7" t="str">
        <f>IF(A263=""," ",B263*VLOOKUP(A263,'18.11-07.12.2024'!A:H,8,FALSE))</f>
        <v xml:space="preserve"> </v>
      </c>
    </row>
    <row r="264" spans="1:7" ht="14.1" customHeight="1" x14ac:dyDescent="0.2">
      <c r="A264" s="18"/>
      <c r="B264" s="25"/>
      <c r="C264" s="6" t="str">
        <f>IF(A264=""," ",VLOOKUP(A264,'18.11-07.12.2024'!A:H,2,FALSE))</f>
        <v xml:space="preserve"> </v>
      </c>
      <c r="D264" s="33" t="str">
        <f>IF(A264=""," ",VLOOKUP(A264,'18.11-07.12.2024'!A:H,5,FALSE))</f>
        <v xml:space="preserve"> </v>
      </c>
      <c r="E264" s="7" t="str">
        <f>IF(A264=""," ",B264*VLOOKUP(A264,'18.11-07.12.2024'!A:H,6,FALSE))</f>
        <v xml:space="preserve"> </v>
      </c>
      <c r="F264" s="7" t="str">
        <f>IF(A264=""," ",B264*VLOOKUP(A264,'18.11-07.12.2024'!A:H,7,FALSE))</f>
        <v xml:space="preserve"> </v>
      </c>
      <c r="G264" s="7" t="str">
        <f>IF(A264=""," ",B264*VLOOKUP(A264,'18.11-07.12.2024'!A:H,8,FALSE))</f>
        <v xml:space="preserve"> </v>
      </c>
    </row>
    <row r="265" spans="1:7" ht="14.1" customHeight="1" x14ac:dyDescent="0.2">
      <c r="A265" s="18"/>
      <c r="B265" s="25"/>
      <c r="C265" s="6" t="str">
        <f>IF(A265=""," ",VLOOKUP(A265,'18.11-07.12.2024'!A:H,2,FALSE))</f>
        <v xml:space="preserve"> </v>
      </c>
      <c r="D265" s="33" t="str">
        <f>IF(A265=""," ",VLOOKUP(A265,'18.11-07.12.2024'!A:H,5,FALSE))</f>
        <v xml:space="preserve"> </v>
      </c>
      <c r="E265" s="7" t="str">
        <f>IF(A265=""," ",B265*VLOOKUP(A265,'18.11-07.12.2024'!A:H,6,FALSE))</f>
        <v xml:space="preserve"> </v>
      </c>
      <c r="F265" s="7" t="str">
        <f>IF(A265=""," ",B265*VLOOKUP(A265,'18.11-07.12.2024'!A:H,7,FALSE))</f>
        <v xml:space="preserve"> </v>
      </c>
      <c r="G265" s="7" t="str">
        <f>IF(A265=""," ",B265*VLOOKUP(A265,'18.11-07.12.2024'!A:H,8,FALSE))</f>
        <v xml:space="preserve"> </v>
      </c>
    </row>
    <row r="266" spans="1:7" ht="14.1" customHeight="1" x14ac:dyDescent="0.2">
      <c r="A266" s="18"/>
      <c r="B266" s="25"/>
      <c r="C266" s="6" t="str">
        <f>IF(A266=""," ",VLOOKUP(A266,'18.11-07.12.2024'!A:H,2,FALSE))</f>
        <v xml:space="preserve"> </v>
      </c>
      <c r="D266" s="33" t="str">
        <f>IF(A266=""," ",VLOOKUP(A266,'18.11-07.12.2024'!A:H,5,FALSE))</f>
        <v xml:space="preserve"> </v>
      </c>
      <c r="E266" s="7" t="str">
        <f>IF(A266=""," ",B266*VLOOKUP(A266,'18.11-07.12.2024'!A:H,6,FALSE))</f>
        <v xml:space="preserve"> </v>
      </c>
      <c r="F266" s="7" t="str">
        <f>IF(A266=""," ",B266*VLOOKUP(A266,'18.11-07.12.2024'!A:H,7,FALSE))</f>
        <v xml:space="preserve"> </v>
      </c>
      <c r="G266" s="7" t="str">
        <f>IF(A266=""," ",B266*VLOOKUP(A266,'18.11-07.12.2024'!A:H,8,FALSE))</f>
        <v xml:space="preserve"> </v>
      </c>
    </row>
    <row r="267" spans="1:7" ht="14.1" customHeight="1" x14ac:dyDescent="0.2">
      <c r="A267" s="18"/>
      <c r="B267" s="25"/>
      <c r="C267" s="6" t="str">
        <f>IF(A267=""," ",VLOOKUP(A267,'18.11-07.12.2024'!A:H,2,FALSE))</f>
        <v xml:space="preserve"> </v>
      </c>
      <c r="D267" s="33" t="str">
        <f>IF(A267=""," ",VLOOKUP(A267,'18.11-07.12.2024'!A:H,5,FALSE))</f>
        <v xml:space="preserve"> </v>
      </c>
      <c r="E267" s="7" t="str">
        <f>IF(A267=""," ",B267*VLOOKUP(A267,'18.11-07.12.2024'!A:H,6,FALSE))</f>
        <v xml:space="preserve"> </v>
      </c>
      <c r="F267" s="7" t="str">
        <f>IF(A267=""," ",B267*VLOOKUP(A267,'18.11-07.12.2024'!A:H,7,FALSE))</f>
        <v xml:space="preserve"> </v>
      </c>
      <c r="G267" s="7" t="str">
        <f>IF(A267=""," ",B267*VLOOKUP(A267,'18.11-07.12.2024'!A:H,8,FALSE))</f>
        <v xml:space="preserve"> </v>
      </c>
    </row>
    <row r="268" spans="1:7" ht="14.1" customHeight="1" x14ac:dyDescent="0.2">
      <c r="A268" s="18"/>
      <c r="B268" s="25"/>
      <c r="C268" s="6" t="str">
        <f>IF(A268=""," ",VLOOKUP(A268,'18.11-07.12.2024'!A:H,2,FALSE))</f>
        <v xml:space="preserve"> </v>
      </c>
      <c r="D268" s="33" t="str">
        <f>IF(A268=""," ",VLOOKUP(A268,'18.11-07.12.2024'!A:H,5,FALSE))</f>
        <v xml:space="preserve"> </v>
      </c>
      <c r="E268" s="7" t="str">
        <f>IF(A268=""," ",B268*VLOOKUP(A268,'18.11-07.12.2024'!A:H,6,FALSE))</f>
        <v xml:space="preserve"> </v>
      </c>
      <c r="F268" s="7" t="str">
        <f>IF(A268=""," ",B268*VLOOKUP(A268,'18.11-07.12.2024'!A:H,7,FALSE))</f>
        <v xml:space="preserve"> </v>
      </c>
      <c r="G268" s="7" t="str">
        <f>IF(A268=""," ",B268*VLOOKUP(A268,'18.11-07.12.2024'!A:H,8,FALSE))</f>
        <v xml:space="preserve"> </v>
      </c>
    </row>
    <row r="269" spans="1:7" ht="14.1" customHeight="1" x14ac:dyDescent="0.2">
      <c r="A269" s="18"/>
      <c r="B269" s="25"/>
      <c r="C269" s="6" t="str">
        <f>IF(A269=""," ",VLOOKUP(A269,'18.11-07.12.2024'!A:H,2,FALSE))</f>
        <v xml:space="preserve"> </v>
      </c>
      <c r="D269" s="33" t="str">
        <f>IF(A269=""," ",VLOOKUP(A269,'18.11-07.12.2024'!A:H,5,FALSE))</f>
        <v xml:space="preserve"> </v>
      </c>
      <c r="E269" s="7" t="str">
        <f>IF(A269=""," ",B269*VLOOKUP(A269,'18.11-07.12.2024'!A:H,6,FALSE))</f>
        <v xml:space="preserve"> </v>
      </c>
      <c r="F269" s="7" t="str">
        <f>IF(A269=""," ",B269*VLOOKUP(A269,'18.11-07.12.2024'!A:H,7,FALSE))</f>
        <v xml:space="preserve"> </v>
      </c>
      <c r="G269" s="7" t="str">
        <f>IF(A269=""," ",B269*VLOOKUP(A269,'18.11-07.12.2024'!A:H,8,FALSE))</f>
        <v xml:space="preserve"> </v>
      </c>
    </row>
    <row r="270" spans="1:7" ht="14.1" customHeight="1" x14ac:dyDescent="0.2">
      <c r="A270" s="18"/>
      <c r="B270" s="25"/>
      <c r="C270" s="6" t="str">
        <f>IF(A270=""," ",VLOOKUP(A270,'18.11-07.12.2024'!A:H,2,FALSE))</f>
        <v xml:space="preserve"> </v>
      </c>
      <c r="D270" s="33" t="str">
        <f>IF(A270=""," ",VLOOKUP(A270,'18.11-07.12.2024'!A:H,5,FALSE))</f>
        <v xml:space="preserve"> </v>
      </c>
      <c r="E270" s="7" t="str">
        <f>IF(A270=""," ",B270*VLOOKUP(A270,'18.11-07.12.2024'!A:H,6,FALSE))</f>
        <v xml:space="preserve"> </v>
      </c>
      <c r="F270" s="7" t="str">
        <f>IF(A270=""," ",B270*VLOOKUP(A270,'18.11-07.12.2024'!A:H,7,FALSE))</f>
        <v xml:space="preserve"> </v>
      </c>
      <c r="G270" s="7" t="str">
        <f>IF(A270=""," ",B270*VLOOKUP(A270,'18.11-07.12.2024'!A:H,8,FALSE))</f>
        <v xml:space="preserve"> </v>
      </c>
    </row>
    <row r="271" spans="1:7" ht="14.1" customHeight="1" x14ac:dyDescent="0.2">
      <c r="A271" s="18"/>
      <c r="B271" s="25"/>
      <c r="C271" s="6" t="str">
        <f>IF(A271=""," ",VLOOKUP(A271,'18.11-07.12.2024'!A:H,2,FALSE))</f>
        <v xml:space="preserve"> </v>
      </c>
      <c r="D271" s="33" t="str">
        <f>IF(A271=""," ",VLOOKUP(A271,'18.11-07.12.2024'!A:H,5,FALSE))</f>
        <v xml:space="preserve"> </v>
      </c>
      <c r="E271" s="7" t="str">
        <f>IF(A271=""," ",B271*VLOOKUP(A271,'18.11-07.12.2024'!A:H,6,FALSE))</f>
        <v xml:space="preserve"> </v>
      </c>
      <c r="F271" s="7" t="str">
        <f>IF(A271=""," ",B271*VLOOKUP(A271,'18.11-07.12.2024'!A:H,7,FALSE))</f>
        <v xml:space="preserve"> </v>
      </c>
      <c r="G271" s="7" t="str">
        <f>IF(A271=""," ",B271*VLOOKUP(A271,'18.11-07.12.2024'!A:H,8,FALSE))</f>
        <v xml:space="preserve"> </v>
      </c>
    </row>
    <row r="272" spans="1:7" ht="14.1" customHeight="1" x14ac:dyDescent="0.2">
      <c r="A272" s="18"/>
      <c r="B272" s="25"/>
      <c r="C272" s="6" t="str">
        <f>IF(A272=""," ",VLOOKUP(A272,'18.11-07.12.2024'!A:H,2,FALSE))</f>
        <v xml:space="preserve"> </v>
      </c>
      <c r="D272" s="33" t="str">
        <f>IF(A272=""," ",VLOOKUP(A272,'18.11-07.12.2024'!A:H,5,FALSE))</f>
        <v xml:space="preserve"> </v>
      </c>
      <c r="E272" s="7" t="str">
        <f>IF(A272=""," ",B272*VLOOKUP(A272,'18.11-07.12.2024'!A:H,6,FALSE))</f>
        <v xml:space="preserve"> </v>
      </c>
      <c r="F272" s="7" t="str">
        <f>IF(A272=""," ",B272*VLOOKUP(A272,'18.11-07.12.2024'!A:H,7,FALSE))</f>
        <v xml:space="preserve"> </v>
      </c>
      <c r="G272" s="7" t="str">
        <f>IF(A272=""," ",B272*VLOOKUP(A272,'18.11-07.12.2024'!A:H,8,FALSE))</f>
        <v xml:space="preserve"> </v>
      </c>
    </row>
    <row r="273" spans="1:7" ht="14.1" customHeight="1" x14ac:dyDescent="0.2">
      <c r="A273" s="18"/>
      <c r="B273" s="25"/>
      <c r="C273" s="6" t="str">
        <f>IF(A273=""," ",VLOOKUP(A273,'18.11-07.12.2024'!A:H,2,FALSE))</f>
        <v xml:space="preserve"> </v>
      </c>
      <c r="D273" s="33" t="str">
        <f>IF(A273=""," ",VLOOKUP(A273,'18.11-07.12.2024'!A:H,5,FALSE))</f>
        <v xml:space="preserve"> </v>
      </c>
      <c r="E273" s="7" t="str">
        <f>IF(A273=""," ",B273*VLOOKUP(A273,'18.11-07.12.2024'!A:H,6,FALSE))</f>
        <v xml:space="preserve"> </v>
      </c>
      <c r="F273" s="7" t="str">
        <f>IF(A273=""," ",B273*VLOOKUP(A273,'18.11-07.12.2024'!A:H,7,FALSE))</f>
        <v xml:space="preserve"> </v>
      </c>
      <c r="G273" s="7" t="str">
        <f>IF(A273=""," ",B273*VLOOKUP(A273,'18.11-07.12.2024'!A:H,8,FALSE))</f>
        <v xml:space="preserve"> </v>
      </c>
    </row>
    <row r="274" spans="1:7" ht="14.1" customHeight="1" x14ac:dyDescent="0.2">
      <c r="A274" s="18"/>
      <c r="B274" s="25"/>
      <c r="C274" s="6" t="str">
        <f>IF(A274=""," ",VLOOKUP(A274,'18.11-07.12.2024'!A:H,2,FALSE))</f>
        <v xml:space="preserve"> </v>
      </c>
      <c r="D274" s="33" t="str">
        <f>IF(A274=""," ",VLOOKUP(A274,'18.11-07.12.2024'!A:H,5,FALSE))</f>
        <v xml:space="preserve"> </v>
      </c>
      <c r="E274" s="7" t="str">
        <f>IF(A274=""," ",B274*VLOOKUP(A274,'18.11-07.12.2024'!A:H,6,FALSE))</f>
        <v xml:space="preserve"> </v>
      </c>
      <c r="F274" s="7" t="str">
        <f>IF(A274=""," ",B274*VLOOKUP(A274,'18.11-07.12.2024'!A:H,7,FALSE))</f>
        <v xml:space="preserve"> </v>
      </c>
      <c r="G274" s="7" t="str">
        <f>IF(A274=""," ",B274*VLOOKUP(A274,'18.11-07.12.2024'!A:H,8,FALSE))</f>
        <v xml:space="preserve"> </v>
      </c>
    </row>
    <row r="275" spans="1:7" ht="14.1" customHeight="1" x14ac:dyDescent="0.2">
      <c r="A275" s="18"/>
      <c r="B275" s="25"/>
      <c r="C275" s="6" t="str">
        <f>IF(A275=""," ",VLOOKUP(A275,'18.11-07.12.2024'!A:H,2,FALSE))</f>
        <v xml:space="preserve"> </v>
      </c>
      <c r="D275" s="33" t="str">
        <f>IF(A275=""," ",VLOOKUP(A275,'18.11-07.12.2024'!A:H,5,FALSE))</f>
        <v xml:space="preserve"> </v>
      </c>
      <c r="E275" s="7" t="str">
        <f>IF(A275=""," ",B275*VLOOKUP(A275,'18.11-07.12.2024'!A:H,6,FALSE))</f>
        <v xml:space="preserve"> </v>
      </c>
      <c r="F275" s="7" t="str">
        <f>IF(A275=""," ",B275*VLOOKUP(A275,'18.11-07.12.2024'!A:H,7,FALSE))</f>
        <v xml:space="preserve"> </v>
      </c>
      <c r="G275" s="7" t="str">
        <f>IF(A275=""," ",B275*VLOOKUP(A275,'18.11-07.12.2024'!A:H,8,FALSE))</f>
        <v xml:space="preserve"> </v>
      </c>
    </row>
    <row r="276" spans="1:7" ht="14.1" customHeight="1" x14ac:dyDescent="0.2">
      <c r="A276" s="18"/>
      <c r="B276" s="25"/>
      <c r="C276" s="6" t="str">
        <f>IF(A276=""," ",VLOOKUP(A276,'18.11-07.12.2024'!A:H,2,FALSE))</f>
        <v xml:space="preserve"> </v>
      </c>
      <c r="D276" s="33" t="str">
        <f>IF(A276=""," ",VLOOKUP(A276,'18.11-07.12.2024'!A:H,5,FALSE))</f>
        <v xml:space="preserve"> </v>
      </c>
      <c r="E276" s="7" t="str">
        <f>IF(A276=""," ",B276*VLOOKUP(A276,'18.11-07.12.2024'!A:H,6,FALSE))</f>
        <v xml:space="preserve"> </v>
      </c>
      <c r="F276" s="7" t="str">
        <f>IF(A276=""," ",B276*VLOOKUP(A276,'18.11-07.12.2024'!A:H,7,FALSE))</f>
        <v xml:space="preserve"> </v>
      </c>
      <c r="G276" s="7" t="str">
        <f>IF(A276=""," ",B276*VLOOKUP(A276,'18.11-07.12.2024'!A:H,8,FALSE))</f>
        <v xml:space="preserve"> </v>
      </c>
    </row>
    <row r="277" spans="1:7" ht="14.1" customHeight="1" x14ac:dyDescent="0.2">
      <c r="A277" s="18"/>
      <c r="B277" s="25"/>
      <c r="C277" s="6" t="str">
        <f>IF(A277=""," ",VLOOKUP(A277,'18.11-07.12.2024'!A:H,2,FALSE))</f>
        <v xml:space="preserve"> </v>
      </c>
      <c r="D277" s="33" t="str">
        <f>IF(A277=""," ",VLOOKUP(A277,'18.11-07.12.2024'!A:H,5,FALSE))</f>
        <v xml:space="preserve"> </v>
      </c>
      <c r="E277" s="7" t="str">
        <f>IF(A277=""," ",B277*VLOOKUP(A277,'18.11-07.12.2024'!A:H,6,FALSE))</f>
        <v xml:space="preserve"> </v>
      </c>
      <c r="F277" s="7" t="str">
        <f>IF(A277=""," ",B277*VLOOKUP(A277,'18.11-07.12.2024'!A:H,7,FALSE))</f>
        <v xml:space="preserve"> </v>
      </c>
      <c r="G277" s="7" t="str">
        <f>IF(A277=""," ",B277*VLOOKUP(A277,'18.11-07.12.2024'!A:H,8,FALSE))</f>
        <v xml:space="preserve"> </v>
      </c>
    </row>
    <row r="278" spans="1:7" ht="14.1" customHeight="1" x14ac:dyDescent="0.2">
      <c r="A278" s="18"/>
      <c r="B278" s="25"/>
      <c r="C278" s="6" t="str">
        <f>IF(A278=""," ",VLOOKUP(A278,'18.11-07.12.2024'!A:H,2,FALSE))</f>
        <v xml:space="preserve"> </v>
      </c>
      <c r="D278" s="33" t="str">
        <f>IF(A278=""," ",VLOOKUP(A278,'18.11-07.12.2024'!A:H,5,FALSE))</f>
        <v xml:space="preserve"> </v>
      </c>
      <c r="E278" s="7" t="str">
        <f>IF(A278=""," ",B278*VLOOKUP(A278,'18.11-07.12.2024'!A:H,6,FALSE))</f>
        <v xml:space="preserve"> </v>
      </c>
      <c r="F278" s="7" t="str">
        <f>IF(A278=""," ",B278*VLOOKUP(A278,'18.11-07.12.2024'!A:H,7,FALSE))</f>
        <v xml:space="preserve"> </v>
      </c>
      <c r="G278" s="7" t="str">
        <f>IF(A278=""," ",B278*VLOOKUP(A278,'18.11-07.12.2024'!A:H,8,FALSE))</f>
        <v xml:space="preserve"> </v>
      </c>
    </row>
    <row r="279" spans="1:7" ht="14.1" customHeight="1" x14ac:dyDescent="0.2">
      <c r="A279" s="18"/>
      <c r="B279" s="25"/>
      <c r="C279" s="6" t="str">
        <f>IF(A279=""," ",VLOOKUP(A279,'18.11-07.12.2024'!A:H,2,FALSE))</f>
        <v xml:space="preserve"> </v>
      </c>
      <c r="D279" s="33" t="str">
        <f>IF(A279=""," ",VLOOKUP(A279,'18.11-07.12.2024'!A:H,5,FALSE))</f>
        <v xml:space="preserve"> </v>
      </c>
      <c r="E279" s="7" t="str">
        <f>IF(A279=""," ",B279*VLOOKUP(A279,'18.11-07.12.2024'!A:H,6,FALSE))</f>
        <v xml:space="preserve"> </v>
      </c>
      <c r="F279" s="7" t="str">
        <f>IF(A279=""," ",B279*VLOOKUP(A279,'18.11-07.12.2024'!A:H,7,FALSE))</f>
        <v xml:space="preserve"> </v>
      </c>
      <c r="G279" s="7" t="str">
        <f>IF(A279=""," ",B279*VLOOKUP(A279,'18.11-07.12.2024'!A:H,8,FALSE))</f>
        <v xml:space="preserve"> </v>
      </c>
    </row>
    <row r="280" spans="1:7" ht="14.1" customHeight="1" x14ac:dyDescent="0.2">
      <c r="A280" s="18"/>
      <c r="B280" s="25"/>
      <c r="C280" s="6" t="str">
        <f>IF(A280=""," ",VLOOKUP(A280,'18.11-07.12.2024'!A:H,2,FALSE))</f>
        <v xml:space="preserve"> </v>
      </c>
      <c r="D280" s="33" t="str">
        <f>IF(A280=""," ",VLOOKUP(A280,'18.11-07.12.2024'!A:H,5,FALSE))</f>
        <v xml:space="preserve"> </v>
      </c>
      <c r="E280" s="7" t="str">
        <f>IF(A280=""," ",B280*VLOOKUP(A280,'18.11-07.12.2024'!A:H,6,FALSE))</f>
        <v xml:space="preserve"> </v>
      </c>
      <c r="F280" s="7" t="str">
        <f>IF(A280=""," ",B280*VLOOKUP(A280,'18.11-07.12.2024'!A:H,7,FALSE))</f>
        <v xml:space="preserve"> </v>
      </c>
      <c r="G280" s="7" t="str">
        <f>IF(A280=""," ",B280*VLOOKUP(A280,'18.11-07.12.2024'!A:H,8,FALSE))</f>
        <v xml:space="preserve"> </v>
      </c>
    </row>
    <row r="281" spans="1:7" ht="14.1" customHeight="1" x14ac:dyDescent="0.2">
      <c r="A281" s="18"/>
      <c r="B281" s="25"/>
      <c r="C281" s="6" t="str">
        <f>IF(A281=""," ",VLOOKUP(A281,'18.11-07.12.2024'!A:H,2,FALSE))</f>
        <v xml:space="preserve"> </v>
      </c>
      <c r="D281" s="33" t="str">
        <f>IF(A281=""," ",VLOOKUP(A281,'18.11-07.12.2024'!A:H,5,FALSE))</f>
        <v xml:space="preserve"> </v>
      </c>
      <c r="E281" s="7" t="str">
        <f>IF(A281=""," ",B281*VLOOKUP(A281,'18.11-07.12.2024'!A:H,6,FALSE))</f>
        <v xml:space="preserve"> </v>
      </c>
      <c r="F281" s="7" t="str">
        <f>IF(A281=""," ",B281*VLOOKUP(A281,'18.11-07.12.2024'!A:H,7,FALSE))</f>
        <v xml:space="preserve"> </v>
      </c>
      <c r="G281" s="7" t="str">
        <f>IF(A281=""," ",B281*VLOOKUP(A281,'18.11-07.12.2024'!A:H,8,FALSE))</f>
        <v xml:space="preserve"> </v>
      </c>
    </row>
    <row r="282" spans="1:7" ht="14.1" customHeight="1" x14ac:dyDescent="0.2">
      <c r="A282" s="18"/>
      <c r="B282" s="25"/>
      <c r="C282" s="6" t="str">
        <f>IF(A282=""," ",VLOOKUP(A282,'18.11-07.12.2024'!A:H,2,FALSE))</f>
        <v xml:space="preserve"> </v>
      </c>
      <c r="D282" s="33" t="str">
        <f>IF(A282=""," ",VLOOKUP(A282,'18.11-07.12.2024'!A:H,5,FALSE))</f>
        <v xml:space="preserve"> </v>
      </c>
      <c r="E282" s="7" t="str">
        <f>IF(A282=""," ",B282*VLOOKUP(A282,'18.11-07.12.2024'!A:H,6,FALSE))</f>
        <v xml:space="preserve"> </v>
      </c>
      <c r="F282" s="7" t="str">
        <f>IF(A282=""," ",B282*VLOOKUP(A282,'18.11-07.12.2024'!A:H,7,FALSE))</f>
        <v xml:space="preserve"> </v>
      </c>
      <c r="G282" s="7" t="str">
        <f>IF(A282=""," ",B282*VLOOKUP(A282,'18.11-07.12.2024'!A:H,8,FALSE))</f>
        <v xml:space="preserve"> </v>
      </c>
    </row>
    <row r="283" spans="1:7" ht="14.1" customHeight="1" x14ac:dyDescent="0.2">
      <c r="A283" s="18"/>
      <c r="B283" s="25"/>
      <c r="C283" s="6" t="str">
        <f>IF(A283=""," ",VLOOKUP(A283,'18.11-07.12.2024'!A:H,2,FALSE))</f>
        <v xml:space="preserve"> </v>
      </c>
      <c r="D283" s="33" t="str">
        <f>IF(A283=""," ",VLOOKUP(A283,'18.11-07.12.2024'!A:H,5,FALSE))</f>
        <v xml:space="preserve"> </v>
      </c>
      <c r="E283" s="7" t="str">
        <f>IF(A283=""," ",B283*VLOOKUP(A283,'18.11-07.12.2024'!A:H,6,FALSE))</f>
        <v xml:space="preserve"> </v>
      </c>
      <c r="F283" s="7" t="str">
        <f>IF(A283=""," ",B283*VLOOKUP(A283,'18.11-07.12.2024'!A:H,7,FALSE))</f>
        <v xml:space="preserve"> </v>
      </c>
      <c r="G283" s="7" t="str">
        <f>IF(A283=""," ",B283*VLOOKUP(A283,'18.11-07.12.2024'!A:H,8,FALSE))</f>
        <v xml:space="preserve"> </v>
      </c>
    </row>
    <row r="284" spans="1:7" ht="14.1" customHeight="1" x14ac:dyDescent="0.2">
      <c r="A284" s="18"/>
      <c r="B284" s="25"/>
      <c r="C284" s="6" t="str">
        <f>IF(A284=""," ",VLOOKUP(A284,'18.11-07.12.2024'!A:H,2,FALSE))</f>
        <v xml:space="preserve"> </v>
      </c>
      <c r="D284" s="33" t="str">
        <f>IF(A284=""," ",VLOOKUP(A284,'18.11-07.12.2024'!A:H,5,FALSE))</f>
        <v xml:space="preserve"> </v>
      </c>
      <c r="E284" s="7" t="str">
        <f>IF(A284=""," ",B284*VLOOKUP(A284,'18.11-07.12.2024'!A:H,6,FALSE))</f>
        <v xml:space="preserve"> </v>
      </c>
      <c r="F284" s="7" t="str">
        <f>IF(A284=""," ",B284*VLOOKUP(A284,'18.11-07.12.2024'!A:H,7,FALSE))</f>
        <v xml:space="preserve"> </v>
      </c>
      <c r="G284" s="7" t="str">
        <f>IF(A284=""," ",B284*VLOOKUP(A284,'18.11-07.12.2024'!A:H,8,FALSE))</f>
        <v xml:space="preserve"> </v>
      </c>
    </row>
    <row r="285" spans="1:7" ht="14.1" customHeight="1" x14ac:dyDescent="0.2">
      <c r="A285" s="18"/>
      <c r="B285" s="25"/>
      <c r="C285" s="6" t="str">
        <f>IF(A285=""," ",VLOOKUP(A285,'18.11-07.12.2024'!A:H,2,FALSE))</f>
        <v xml:space="preserve"> </v>
      </c>
      <c r="D285" s="33" t="str">
        <f>IF(A285=""," ",VLOOKUP(A285,'18.11-07.12.2024'!A:H,5,FALSE))</f>
        <v xml:space="preserve"> </v>
      </c>
      <c r="E285" s="7" t="str">
        <f>IF(A285=""," ",B285*VLOOKUP(A285,'18.11-07.12.2024'!A:H,6,FALSE))</f>
        <v xml:space="preserve"> </v>
      </c>
      <c r="F285" s="7" t="str">
        <f>IF(A285=""," ",B285*VLOOKUP(A285,'18.11-07.12.2024'!A:H,7,FALSE))</f>
        <v xml:space="preserve"> </v>
      </c>
      <c r="G285" s="7" t="str">
        <f>IF(A285=""," ",B285*VLOOKUP(A285,'18.11-07.12.2024'!A:H,8,FALSE))</f>
        <v xml:space="preserve"> </v>
      </c>
    </row>
    <row r="286" spans="1:7" ht="14.1" customHeight="1" x14ac:dyDescent="0.2">
      <c r="A286" s="18"/>
      <c r="B286" s="25"/>
      <c r="C286" s="6" t="str">
        <f>IF(A286=""," ",VLOOKUP(A286,'18.11-07.12.2024'!A:H,2,FALSE))</f>
        <v xml:space="preserve"> </v>
      </c>
      <c r="D286" s="33" t="str">
        <f>IF(A286=""," ",VLOOKUP(A286,'18.11-07.12.2024'!A:H,5,FALSE))</f>
        <v xml:space="preserve"> </v>
      </c>
      <c r="E286" s="7" t="str">
        <f>IF(A286=""," ",B286*VLOOKUP(A286,'18.11-07.12.2024'!A:H,6,FALSE))</f>
        <v xml:space="preserve"> </v>
      </c>
      <c r="F286" s="7" t="str">
        <f>IF(A286=""," ",B286*VLOOKUP(A286,'18.11-07.12.2024'!A:H,7,FALSE))</f>
        <v xml:space="preserve"> </v>
      </c>
      <c r="G286" s="7" t="str">
        <f>IF(A286=""," ",B286*VLOOKUP(A286,'18.11-07.12.2024'!A:H,8,FALSE))</f>
        <v xml:space="preserve"> </v>
      </c>
    </row>
    <row r="287" spans="1:7" ht="14.1" customHeight="1" x14ac:dyDescent="0.2">
      <c r="A287" s="18"/>
      <c r="B287" s="25"/>
      <c r="C287" s="6" t="str">
        <f>IF(A287=""," ",VLOOKUP(A287,'18.11-07.12.2024'!A:H,2,FALSE))</f>
        <v xml:space="preserve"> </v>
      </c>
      <c r="D287" s="33" t="str">
        <f>IF(A287=""," ",VLOOKUP(A287,'18.11-07.12.2024'!A:H,5,FALSE))</f>
        <v xml:space="preserve"> </v>
      </c>
      <c r="E287" s="7" t="str">
        <f>IF(A287=""," ",B287*VLOOKUP(A287,'18.11-07.12.2024'!A:H,6,FALSE))</f>
        <v xml:space="preserve"> </v>
      </c>
      <c r="F287" s="7" t="str">
        <f>IF(A287=""," ",B287*VLOOKUP(A287,'18.11-07.12.2024'!A:H,7,FALSE))</f>
        <v xml:space="preserve"> </v>
      </c>
      <c r="G287" s="7" t="str">
        <f>IF(A287=""," ",B287*VLOOKUP(A287,'18.11-07.12.2024'!A:H,8,FALSE))</f>
        <v xml:space="preserve"> </v>
      </c>
    </row>
    <row r="288" spans="1:7" ht="14.1" customHeight="1" x14ac:dyDescent="0.2">
      <c r="A288" s="18"/>
      <c r="B288" s="25"/>
      <c r="C288" s="6" t="str">
        <f>IF(A288=""," ",VLOOKUP(A288,'18.11-07.12.2024'!A:H,2,FALSE))</f>
        <v xml:space="preserve"> </v>
      </c>
      <c r="D288" s="33" t="str">
        <f>IF(A288=""," ",VLOOKUP(A288,'18.11-07.12.2024'!A:H,5,FALSE))</f>
        <v xml:space="preserve"> </v>
      </c>
      <c r="E288" s="7" t="str">
        <f>IF(A288=""," ",B288*VLOOKUP(A288,'18.11-07.12.2024'!A:H,6,FALSE))</f>
        <v xml:space="preserve"> </v>
      </c>
      <c r="F288" s="7" t="str">
        <f>IF(A288=""," ",B288*VLOOKUP(A288,'18.11-07.12.2024'!A:H,7,FALSE))</f>
        <v xml:space="preserve"> </v>
      </c>
      <c r="G288" s="7" t="str">
        <f>IF(A288=""," ",B288*VLOOKUP(A288,'18.11-07.12.2024'!A:H,8,FALSE))</f>
        <v xml:space="preserve"> </v>
      </c>
    </row>
    <row r="289" spans="1:7" ht="14.1" customHeight="1" x14ac:dyDescent="0.2">
      <c r="A289" s="18"/>
      <c r="B289" s="25"/>
      <c r="C289" s="6" t="str">
        <f>IF(A289=""," ",VLOOKUP(A289,'18.11-07.12.2024'!A:H,2,FALSE))</f>
        <v xml:space="preserve"> </v>
      </c>
      <c r="D289" s="33" t="str">
        <f>IF(A289=""," ",VLOOKUP(A289,'18.11-07.12.2024'!A:H,5,FALSE))</f>
        <v xml:space="preserve"> </v>
      </c>
      <c r="E289" s="7" t="str">
        <f>IF(A289=""," ",B289*VLOOKUP(A289,'18.11-07.12.2024'!A:H,6,FALSE))</f>
        <v xml:space="preserve"> </v>
      </c>
      <c r="F289" s="7" t="str">
        <f>IF(A289=""," ",B289*VLOOKUP(A289,'18.11-07.12.2024'!A:H,7,FALSE))</f>
        <v xml:space="preserve"> </v>
      </c>
      <c r="G289" s="7" t="str">
        <f>IF(A289=""," ",B289*VLOOKUP(A289,'18.11-07.12.2024'!A:H,8,FALSE))</f>
        <v xml:space="preserve"> </v>
      </c>
    </row>
    <row r="290" spans="1:7" ht="14.1" customHeight="1" x14ac:dyDescent="0.2">
      <c r="A290" s="18"/>
      <c r="B290" s="25"/>
      <c r="C290" s="6" t="str">
        <f>IF(A290=""," ",VLOOKUP(A290,'18.11-07.12.2024'!A:H,2,FALSE))</f>
        <v xml:space="preserve"> </v>
      </c>
      <c r="D290" s="33" t="str">
        <f>IF(A290=""," ",VLOOKUP(A290,'18.11-07.12.2024'!A:H,5,FALSE))</f>
        <v xml:space="preserve"> </v>
      </c>
      <c r="E290" s="7" t="str">
        <f>IF(A290=""," ",B290*VLOOKUP(A290,'18.11-07.12.2024'!A:H,6,FALSE))</f>
        <v xml:space="preserve"> </v>
      </c>
      <c r="F290" s="7" t="str">
        <f>IF(A290=""," ",B290*VLOOKUP(A290,'18.11-07.12.2024'!A:H,7,FALSE))</f>
        <v xml:space="preserve"> </v>
      </c>
      <c r="G290" s="7" t="str">
        <f>IF(A290=""," ",B290*VLOOKUP(A290,'18.11-07.12.2024'!A:H,8,FALSE))</f>
        <v xml:space="preserve"> </v>
      </c>
    </row>
    <row r="291" spans="1:7" ht="14.1" customHeight="1" x14ac:dyDescent="0.2">
      <c r="A291" s="18"/>
      <c r="B291" s="25"/>
      <c r="C291" s="6" t="str">
        <f>IF(A291=""," ",VLOOKUP(A291,'18.11-07.12.2024'!A:H,2,FALSE))</f>
        <v xml:space="preserve"> </v>
      </c>
      <c r="D291" s="33" t="str">
        <f>IF(A291=""," ",VLOOKUP(A291,'18.11-07.12.2024'!A:H,5,FALSE))</f>
        <v xml:space="preserve"> </v>
      </c>
      <c r="E291" s="7" t="str">
        <f>IF(A291=""," ",B291*VLOOKUP(A291,'18.11-07.12.2024'!A:H,6,FALSE))</f>
        <v xml:space="preserve"> </v>
      </c>
      <c r="F291" s="7" t="str">
        <f>IF(A291=""," ",B291*VLOOKUP(A291,'18.11-07.12.2024'!A:H,7,FALSE))</f>
        <v xml:space="preserve"> </v>
      </c>
      <c r="G291" s="7" t="str">
        <f>IF(A291=""," ",B291*VLOOKUP(A291,'18.11-07.12.2024'!A:H,8,FALSE))</f>
        <v xml:space="preserve"> </v>
      </c>
    </row>
    <row r="292" spans="1:7" ht="14.1" customHeight="1" x14ac:dyDescent="0.2">
      <c r="A292" s="18"/>
      <c r="B292" s="25"/>
      <c r="C292" s="6" t="str">
        <f>IF(A292=""," ",VLOOKUP(A292,'18.11-07.12.2024'!A:H,2,FALSE))</f>
        <v xml:space="preserve"> </v>
      </c>
      <c r="D292" s="33" t="str">
        <f>IF(A292=""," ",VLOOKUP(A292,'18.11-07.12.2024'!A:H,5,FALSE))</f>
        <v xml:space="preserve"> </v>
      </c>
      <c r="E292" s="7" t="str">
        <f>IF(A292=""," ",B292*VLOOKUP(A292,'18.11-07.12.2024'!A:H,6,FALSE))</f>
        <v xml:space="preserve"> </v>
      </c>
      <c r="F292" s="7" t="str">
        <f>IF(A292=""," ",B292*VLOOKUP(A292,'18.11-07.12.2024'!A:H,7,FALSE))</f>
        <v xml:space="preserve"> </v>
      </c>
      <c r="G292" s="7" t="str">
        <f>IF(A292=""," ",B292*VLOOKUP(A292,'18.11-07.12.2024'!A:H,8,FALSE))</f>
        <v xml:space="preserve"> </v>
      </c>
    </row>
    <row r="293" spans="1:7" ht="14.1" customHeight="1" x14ac:dyDescent="0.2">
      <c r="A293" s="18"/>
      <c r="B293" s="25"/>
      <c r="C293" s="6" t="str">
        <f>IF(A293=""," ",VLOOKUP(A293,'18.11-07.12.2024'!A:H,2,FALSE))</f>
        <v xml:space="preserve"> </v>
      </c>
      <c r="D293" s="33" t="str">
        <f>IF(A293=""," ",VLOOKUP(A293,'18.11-07.12.2024'!A:H,5,FALSE))</f>
        <v xml:space="preserve"> </v>
      </c>
      <c r="E293" s="7" t="str">
        <f>IF(A293=""," ",B293*VLOOKUP(A293,'18.11-07.12.2024'!A:H,6,FALSE))</f>
        <v xml:space="preserve"> </v>
      </c>
      <c r="F293" s="7" t="str">
        <f>IF(A293=""," ",B293*VLOOKUP(A293,'18.11-07.12.2024'!A:H,7,FALSE))</f>
        <v xml:space="preserve"> </v>
      </c>
      <c r="G293" s="7" t="str">
        <f>IF(A293=""," ",B293*VLOOKUP(A293,'18.11-07.12.2024'!A:H,8,FALSE))</f>
        <v xml:space="preserve"> </v>
      </c>
    </row>
    <row r="294" spans="1:7" ht="14.1" customHeight="1" x14ac:dyDescent="0.2">
      <c r="A294" s="18"/>
      <c r="B294" s="25"/>
      <c r="C294" s="6" t="str">
        <f>IF(A294=""," ",VLOOKUP(A294,'18.11-07.12.2024'!A:H,2,FALSE))</f>
        <v xml:space="preserve"> </v>
      </c>
      <c r="D294" s="33" t="str">
        <f>IF(A294=""," ",VLOOKUP(A294,'18.11-07.12.2024'!A:H,5,FALSE))</f>
        <v xml:space="preserve"> </v>
      </c>
      <c r="E294" s="7" t="str">
        <f>IF(A294=""," ",B294*VLOOKUP(A294,'18.11-07.12.2024'!A:H,6,FALSE))</f>
        <v xml:space="preserve"> </v>
      </c>
      <c r="F294" s="7" t="str">
        <f>IF(A294=""," ",B294*VLOOKUP(A294,'18.11-07.12.2024'!A:H,7,FALSE))</f>
        <v xml:space="preserve"> </v>
      </c>
      <c r="G294" s="7" t="str">
        <f>IF(A294=""," ",B294*VLOOKUP(A294,'18.11-07.12.2024'!A:H,8,FALSE))</f>
        <v xml:space="preserve"> </v>
      </c>
    </row>
    <row r="295" spans="1:7" ht="14.1" customHeight="1" x14ac:dyDescent="0.2">
      <c r="A295" s="18"/>
      <c r="B295" s="25"/>
      <c r="C295" s="6" t="str">
        <f>IF(A295=""," ",VLOOKUP(A295,'18.11-07.12.2024'!A:H,2,FALSE))</f>
        <v xml:space="preserve"> </v>
      </c>
      <c r="D295" s="33" t="str">
        <f>IF(A295=""," ",VLOOKUP(A295,'18.11-07.12.2024'!A:H,5,FALSE))</f>
        <v xml:space="preserve"> </v>
      </c>
      <c r="E295" s="7" t="str">
        <f>IF(A295=""," ",B295*VLOOKUP(A295,'18.11-07.12.2024'!A:H,6,FALSE))</f>
        <v xml:space="preserve"> </v>
      </c>
      <c r="F295" s="7" t="str">
        <f>IF(A295=""," ",B295*VLOOKUP(A295,'18.11-07.12.2024'!A:H,7,FALSE))</f>
        <v xml:space="preserve"> </v>
      </c>
      <c r="G295" s="7" t="str">
        <f>IF(A295=""," ",B295*VLOOKUP(A295,'18.11-07.12.2024'!A:H,8,FALSE))</f>
        <v xml:space="preserve"> </v>
      </c>
    </row>
    <row r="296" spans="1:7" ht="14.1" customHeight="1" x14ac:dyDescent="0.2">
      <c r="A296" s="18"/>
      <c r="B296" s="25"/>
      <c r="C296" s="6" t="str">
        <f>IF(A296=""," ",VLOOKUP(A296,'18.11-07.12.2024'!A:H,2,FALSE))</f>
        <v xml:space="preserve"> </v>
      </c>
      <c r="D296" s="33" t="str">
        <f>IF(A296=""," ",VLOOKUP(A296,'18.11-07.12.2024'!A:H,5,FALSE))</f>
        <v xml:space="preserve"> </v>
      </c>
      <c r="E296" s="7" t="str">
        <f>IF(A296=""," ",B296*VLOOKUP(A296,'18.11-07.12.2024'!A:H,6,FALSE))</f>
        <v xml:space="preserve"> </v>
      </c>
      <c r="F296" s="7" t="str">
        <f>IF(A296=""," ",B296*VLOOKUP(A296,'18.11-07.12.2024'!A:H,7,FALSE))</f>
        <v xml:space="preserve"> </v>
      </c>
      <c r="G296" s="7" t="str">
        <f>IF(A296=""," ",B296*VLOOKUP(A296,'18.11-07.12.2024'!A:H,8,FALSE))</f>
        <v xml:space="preserve"> </v>
      </c>
    </row>
    <row r="297" spans="1:7" ht="14.1" customHeight="1" x14ac:dyDescent="0.2">
      <c r="A297" s="18"/>
      <c r="B297" s="25"/>
      <c r="C297" s="6" t="str">
        <f>IF(A297=""," ",VLOOKUP(A297,'18.11-07.12.2024'!A:H,2,FALSE))</f>
        <v xml:space="preserve"> </v>
      </c>
      <c r="D297" s="33" t="str">
        <f>IF(A297=""," ",VLOOKUP(A297,'18.11-07.12.2024'!A:H,5,FALSE))</f>
        <v xml:space="preserve"> </v>
      </c>
      <c r="E297" s="7" t="str">
        <f>IF(A297=""," ",B297*VLOOKUP(A297,'18.11-07.12.2024'!A:H,6,FALSE))</f>
        <v xml:space="preserve"> </v>
      </c>
      <c r="F297" s="7" t="str">
        <f>IF(A297=""," ",B297*VLOOKUP(A297,'18.11-07.12.2024'!A:H,7,FALSE))</f>
        <v xml:space="preserve"> </v>
      </c>
      <c r="G297" s="7" t="str">
        <f>IF(A297=""," ",B297*VLOOKUP(A297,'18.11-07.12.2024'!A:H,8,FALSE))</f>
        <v xml:space="preserve"> </v>
      </c>
    </row>
    <row r="298" spans="1:7" ht="15" x14ac:dyDescent="0.2">
      <c r="A298" s="21"/>
      <c r="B298" s="26"/>
      <c r="C298" s="6" t="str">
        <f>IF(A298=""," ",VLOOKUP(A298,'18.11-07.12.2024'!A:H,2,FALSE))</f>
        <v xml:space="preserve"> </v>
      </c>
      <c r="D298" s="33" t="str">
        <f>IF(A298=""," ",VLOOKUP(A298,'18.11-07.12.2024'!A:H,5,FALSE))</f>
        <v xml:space="preserve"> </v>
      </c>
      <c r="E298" s="7" t="str">
        <f>IF(A298=""," ",B298*VLOOKUP(A298,'18.11-07.12.2024'!A:H,6,FALSE))</f>
        <v xml:space="preserve"> </v>
      </c>
      <c r="F298" s="7" t="str">
        <f>IF(A298=""," ",B298*VLOOKUP(A298,'18.11-07.12.2024'!A:H,7,FALSE))</f>
        <v xml:space="preserve"> </v>
      </c>
      <c r="G298" s="7" t="str">
        <f>IF(A298=""," ",B298*VLOOKUP(A298,'18.11-07.12.2024'!A:H,8,FALSE))</f>
        <v xml:space="preserve"> </v>
      </c>
    </row>
    <row r="299" spans="1:7" ht="15" x14ac:dyDescent="0.2">
      <c r="A299" s="21"/>
      <c r="B299" s="26"/>
      <c r="C299" s="6" t="str">
        <f>IF(A299=""," ",VLOOKUP(A299,'18.11-07.12.2024'!A:H,2,FALSE))</f>
        <v xml:space="preserve"> </v>
      </c>
      <c r="D299" s="33" t="str">
        <f>IF(A299=""," ",VLOOKUP(A299,'18.11-07.12.2024'!A:H,5,FALSE))</f>
        <v xml:space="preserve"> </v>
      </c>
      <c r="E299" s="7" t="str">
        <f>IF(A299=""," ",B299*VLOOKUP(A299,'18.11-07.12.2024'!A:H,6,FALSE))</f>
        <v xml:space="preserve"> </v>
      </c>
      <c r="F299" s="7" t="str">
        <f>IF(A299=""," ",B299*VLOOKUP(A299,'18.11-07.12.2024'!A:H,7,FALSE))</f>
        <v xml:space="preserve"> </v>
      </c>
      <c r="G299" s="7" t="str">
        <f>IF(A299=""," ",B299*VLOOKUP(A299,'18.11-07.12.2024'!A:H,8,FALSE))</f>
        <v xml:space="preserve"> </v>
      </c>
    </row>
    <row r="300" spans="1:7" ht="15" x14ac:dyDescent="0.2">
      <c r="A300" s="21"/>
      <c r="B300" s="26"/>
      <c r="C300" s="6" t="str">
        <f>IF(A300=""," ",VLOOKUP(A300,'18.11-07.12.2024'!A:H,2,FALSE))</f>
        <v xml:space="preserve"> </v>
      </c>
      <c r="D300" s="33" t="str">
        <f>IF(A300=""," ",VLOOKUP(A300,'18.11-07.12.2024'!A:H,5,FALSE))</f>
        <v xml:space="preserve"> </v>
      </c>
      <c r="E300" s="7" t="str">
        <f>IF(A300=""," ",B300*VLOOKUP(A300,'18.11-07.12.2024'!A:H,6,FALSE))</f>
        <v xml:space="preserve"> </v>
      </c>
      <c r="F300" s="7" t="str">
        <f>IF(A300=""," ",B300*VLOOKUP(A300,'18.11-07.12.2024'!A:H,7,FALSE))</f>
        <v xml:space="preserve"> </v>
      </c>
      <c r="G300" s="7" t="str">
        <f>IF(A300=""," ",B300*VLOOKUP(A300,'18.11-07.12.2024'!A:H,8,FALSE))</f>
        <v xml:space="preserve"> </v>
      </c>
    </row>
    <row r="301" spans="1:7" ht="15" x14ac:dyDescent="0.2">
      <c r="A301" s="21"/>
      <c r="B301" s="26"/>
      <c r="C301" s="6" t="str">
        <f>IF(A301=""," ",VLOOKUP(A301,'18.11-07.12.2024'!A:H,2,FALSE))</f>
        <v xml:space="preserve"> </v>
      </c>
      <c r="D301" s="33" t="str">
        <f>IF(A301=""," ",VLOOKUP(A301,'18.11-07.12.2024'!A:H,5,FALSE))</f>
        <v xml:space="preserve"> </v>
      </c>
      <c r="E301" s="7" t="str">
        <f>IF(A301=""," ",B301*VLOOKUP(A301,'18.11-07.12.2024'!A:H,6,FALSE))</f>
        <v xml:space="preserve"> </v>
      </c>
      <c r="F301" s="7" t="str">
        <f>IF(A301=""," ",B301*VLOOKUP(A301,'18.11-07.12.2024'!A:H,7,FALSE))</f>
        <v xml:space="preserve"> </v>
      </c>
      <c r="G301" s="7" t="str">
        <f>IF(A301=""," ",B301*VLOOKUP(A301,'18.11-07.12.2024'!A:H,8,FALSE))</f>
        <v xml:space="preserve"> </v>
      </c>
    </row>
    <row r="302" spans="1:7" ht="15" x14ac:dyDescent="0.2">
      <c r="A302" s="21"/>
      <c r="B302" s="26"/>
      <c r="C302" s="6" t="str">
        <f>IF(A302=""," ",VLOOKUP(A302,'18.11-07.12.2024'!A:H,2,FALSE))</f>
        <v xml:space="preserve"> </v>
      </c>
      <c r="D302" s="33" t="str">
        <f>IF(A302=""," ",VLOOKUP(A302,'18.11-07.12.2024'!A:H,5,FALSE))</f>
        <v xml:space="preserve"> </v>
      </c>
      <c r="E302" s="7" t="str">
        <f>IF(A302=""," ",B302*VLOOKUP(A302,'18.11-07.12.2024'!A:H,6,FALSE))</f>
        <v xml:space="preserve"> </v>
      </c>
      <c r="F302" s="7" t="str">
        <f>IF(A302=""," ",B302*VLOOKUP(A302,'18.11-07.12.2024'!A:H,7,FALSE))</f>
        <v xml:space="preserve"> </v>
      </c>
      <c r="G302" s="7" t="str">
        <f>IF(A302=""," ",B302*VLOOKUP(A302,'18.11-07.12.2024'!A:H,8,FALSE))</f>
        <v xml:space="preserve"> </v>
      </c>
    </row>
    <row r="303" spans="1:7" ht="15" x14ac:dyDescent="0.2">
      <c r="A303" s="21"/>
      <c r="B303" s="26"/>
      <c r="C303" s="6" t="str">
        <f>IF(A303=""," ",VLOOKUP(A303,'18.11-07.12.2024'!A:H,2,FALSE))</f>
        <v xml:space="preserve"> </v>
      </c>
      <c r="D303" s="33" t="str">
        <f>IF(A303=""," ",VLOOKUP(A303,'18.11-07.12.2024'!A:H,5,FALSE))</f>
        <v xml:space="preserve"> </v>
      </c>
      <c r="E303" s="7" t="str">
        <f>IF(A303=""," ",B303*VLOOKUP(A303,'18.11-07.12.2024'!A:H,6,FALSE))</f>
        <v xml:space="preserve"> </v>
      </c>
      <c r="F303" s="7" t="str">
        <f>IF(A303=""," ",B303*VLOOKUP(A303,'18.11-07.12.2024'!A:H,7,FALSE))</f>
        <v xml:space="preserve"> </v>
      </c>
      <c r="G303" s="7" t="str">
        <f>IF(A303=""," ",B303*VLOOKUP(A303,'18.11-07.12.2024'!A:H,8,FALSE))</f>
        <v xml:space="preserve"> </v>
      </c>
    </row>
    <row r="304" spans="1:7" ht="15" x14ac:dyDescent="0.2">
      <c r="A304" s="21"/>
      <c r="B304" s="26"/>
      <c r="C304" s="6" t="str">
        <f>IF(A304=""," ",VLOOKUP(A304,'18.11-07.12.2024'!A:H,2,FALSE))</f>
        <v xml:space="preserve"> </v>
      </c>
      <c r="D304" s="33" t="str">
        <f>IF(A304=""," ",VLOOKUP(A304,'18.11-07.12.2024'!A:H,5,FALSE))</f>
        <v xml:space="preserve"> </v>
      </c>
      <c r="E304" s="7" t="str">
        <f>IF(A304=""," ",B304*VLOOKUP(A304,'18.11-07.12.2024'!A:H,6,FALSE))</f>
        <v xml:space="preserve"> </v>
      </c>
      <c r="F304" s="7" t="str">
        <f>IF(A304=""," ",B304*VLOOKUP(A304,'18.11-07.12.2024'!A:H,7,FALSE))</f>
        <v xml:space="preserve"> </v>
      </c>
      <c r="G304" s="7" t="str">
        <f>IF(A304=""," ",B304*VLOOKUP(A304,'18.11-07.12.2024'!A:H,8,FALSE))</f>
        <v xml:space="preserve"> </v>
      </c>
    </row>
    <row r="305" spans="1:7" ht="15" x14ac:dyDescent="0.2">
      <c r="A305" s="21"/>
      <c r="B305" s="26"/>
      <c r="C305" s="6" t="str">
        <f>IF(A305=""," ",VLOOKUP(A305,'18.11-07.12.2024'!A:H,2,FALSE))</f>
        <v xml:space="preserve"> </v>
      </c>
      <c r="D305" s="33" t="str">
        <f>IF(A305=""," ",VLOOKUP(A305,'18.11-07.12.2024'!A:H,5,FALSE))</f>
        <v xml:space="preserve"> </v>
      </c>
      <c r="E305" s="7" t="str">
        <f>IF(A305=""," ",B305*VLOOKUP(A305,'18.11-07.12.2024'!A:H,6,FALSE))</f>
        <v xml:space="preserve"> </v>
      </c>
      <c r="F305" s="7" t="str">
        <f>IF(A305=""," ",B305*VLOOKUP(A305,'18.11-07.12.2024'!A:H,7,FALSE))</f>
        <v xml:space="preserve"> </v>
      </c>
      <c r="G305" s="7" t="str">
        <f>IF(A305=""," ",B305*VLOOKUP(A305,'18.11-07.12.2024'!A:H,8,FALSE))</f>
        <v xml:space="preserve"> </v>
      </c>
    </row>
    <row r="306" spans="1:7" ht="15" x14ac:dyDescent="0.2">
      <c r="A306" s="21"/>
      <c r="B306" s="26"/>
      <c r="C306" s="6" t="str">
        <f>IF(A306=""," ",VLOOKUP(A306,'18.11-07.12.2024'!A:H,2,FALSE))</f>
        <v xml:space="preserve"> </v>
      </c>
      <c r="D306" s="33" t="str">
        <f>IF(A306=""," ",VLOOKUP(A306,'18.11-07.12.2024'!A:H,5,FALSE))</f>
        <v xml:space="preserve"> </v>
      </c>
      <c r="E306" s="7" t="str">
        <f>IF(A306=""," ",B306*VLOOKUP(A306,'18.11-07.12.2024'!A:H,6,FALSE))</f>
        <v xml:space="preserve"> </v>
      </c>
      <c r="F306" s="7" t="str">
        <f>IF(A306=""," ",B306*VLOOKUP(A306,'18.11-07.12.2024'!A:H,7,FALSE))</f>
        <v xml:space="preserve"> </v>
      </c>
      <c r="G306" s="7" t="str">
        <f>IF(A306=""," ",B306*VLOOKUP(A306,'18.11-07.12.2024'!A:H,8,FALSE))</f>
        <v xml:space="preserve"> </v>
      </c>
    </row>
    <row r="307" spans="1:7" ht="15" x14ac:dyDescent="0.2">
      <c r="A307" s="21"/>
      <c r="B307" s="26"/>
      <c r="C307" s="6" t="str">
        <f>IF(A307=""," ",VLOOKUP(A307,'18.11-07.12.2024'!A:H,2,FALSE))</f>
        <v xml:space="preserve"> </v>
      </c>
      <c r="D307" s="33" t="str">
        <f>IF(A307=""," ",VLOOKUP(A307,'18.11-07.12.2024'!A:H,5,FALSE))</f>
        <v xml:space="preserve"> </v>
      </c>
      <c r="E307" s="7" t="str">
        <f>IF(A307=""," ",B307*VLOOKUP(A307,'18.11-07.12.2024'!A:H,6,FALSE))</f>
        <v xml:space="preserve"> </v>
      </c>
      <c r="F307" s="7" t="str">
        <f>IF(A307=""," ",B307*VLOOKUP(A307,'18.11-07.12.2024'!A:H,7,FALSE))</f>
        <v xml:space="preserve"> </v>
      </c>
      <c r="G307" s="7" t="str">
        <f>IF(A307=""," ",B307*VLOOKUP(A307,'18.11-07.12.2024'!A:H,8,FALSE))</f>
        <v xml:space="preserve"> </v>
      </c>
    </row>
    <row r="308" spans="1:7" ht="15" x14ac:dyDescent="0.2">
      <c r="A308" s="21"/>
      <c r="B308" s="26"/>
      <c r="C308" s="6" t="str">
        <f>IF(A308=""," ",VLOOKUP(A308,'18.11-07.12.2024'!A:H,2,FALSE))</f>
        <v xml:space="preserve"> </v>
      </c>
      <c r="D308" s="33" t="str">
        <f>IF(A308=""," ",VLOOKUP(A308,'18.11-07.12.2024'!A:H,5,FALSE))</f>
        <v xml:space="preserve"> </v>
      </c>
      <c r="E308" s="7" t="str">
        <f>IF(A308=""," ",B308*VLOOKUP(A308,'18.11-07.12.2024'!A:H,6,FALSE))</f>
        <v xml:space="preserve"> </v>
      </c>
      <c r="F308" s="7" t="str">
        <f>IF(A308=""," ",B308*VLOOKUP(A308,'18.11-07.12.2024'!A:H,7,FALSE))</f>
        <v xml:space="preserve"> </v>
      </c>
      <c r="G308" s="7" t="str">
        <f>IF(A308=""," ",B308*VLOOKUP(A308,'18.11-07.12.2024'!A:H,8,FALSE))</f>
        <v xml:space="preserve"> </v>
      </c>
    </row>
    <row r="309" spans="1:7" ht="15" x14ac:dyDescent="0.2">
      <c r="A309" s="21"/>
      <c r="B309" s="26"/>
      <c r="C309" s="6" t="str">
        <f>IF(A309=""," ",VLOOKUP(A309,'18.11-07.12.2024'!A:H,2,FALSE))</f>
        <v xml:space="preserve"> </v>
      </c>
      <c r="D309" s="33" t="str">
        <f>IF(A309=""," ",VLOOKUP(A309,'18.11-07.12.2024'!A:H,5,FALSE))</f>
        <v xml:space="preserve"> </v>
      </c>
      <c r="E309" s="7" t="str">
        <f>IF(A309=""," ",B309*VLOOKUP(A309,'18.11-07.12.2024'!A:H,6,FALSE))</f>
        <v xml:space="preserve"> </v>
      </c>
      <c r="F309" s="7" t="str">
        <f>IF(A309=""," ",B309*VLOOKUP(A309,'18.11-07.12.2024'!A:H,7,FALSE))</f>
        <v xml:space="preserve"> </v>
      </c>
      <c r="G309" s="7" t="str">
        <f>IF(A309=""," ",B309*VLOOKUP(A309,'18.11-07.12.2024'!A:H,8,FALSE))</f>
        <v xml:space="preserve"> </v>
      </c>
    </row>
    <row r="310" spans="1:7" ht="15" x14ac:dyDescent="0.2">
      <c r="A310" s="21"/>
      <c r="B310" s="26"/>
      <c r="C310" s="6" t="str">
        <f>IF(A310=""," ",VLOOKUP(A310,'18.11-07.12.2024'!A:H,2,FALSE))</f>
        <v xml:space="preserve"> </v>
      </c>
      <c r="D310" s="33" t="str">
        <f>IF(A310=""," ",VLOOKUP(A310,'18.11-07.12.2024'!A:H,5,FALSE))</f>
        <v xml:space="preserve"> </v>
      </c>
      <c r="E310" s="7" t="str">
        <f>IF(A310=""," ",B310*VLOOKUP(A310,'18.11-07.12.2024'!A:H,6,FALSE))</f>
        <v xml:space="preserve"> </v>
      </c>
      <c r="F310" s="7" t="str">
        <f>IF(A310=""," ",B310*VLOOKUP(A310,'18.11-07.12.2024'!A:H,7,FALSE))</f>
        <v xml:space="preserve"> </v>
      </c>
      <c r="G310" s="7" t="str">
        <f>IF(A310=""," ",B310*VLOOKUP(A310,'18.11-07.12.2024'!A:H,8,FALSE))</f>
        <v xml:space="preserve"> </v>
      </c>
    </row>
    <row r="311" spans="1:7" ht="15" x14ac:dyDescent="0.2">
      <c r="A311" s="21"/>
      <c r="B311" s="26"/>
      <c r="C311" s="6" t="str">
        <f>IF(A311=""," ",VLOOKUP(A311,'18.11-07.12.2024'!A:H,2,FALSE))</f>
        <v xml:space="preserve"> </v>
      </c>
      <c r="D311" s="33" t="str">
        <f>IF(A311=""," ",VLOOKUP(A311,'18.11-07.12.2024'!A:H,5,FALSE))</f>
        <v xml:space="preserve"> </v>
      </c>
      <c r="E311" s="7" t="str">
        <f>IF(A311=""," ",B311*VLOOKUP(A311,'18.11-07.12.2024'!A:H,6,FALSE))</f>
        <v xml:space="preserve"> </v>
      </c>
      <c r="F311" s="7" t="str">
        <f>IF(A311=""," ",B311*VLOOKUP(A311,'18.11-07.12.2024'!A:H,7,FALSE))</f>
        <v xml:space="preserve"> </v>
      </c>
      <c r="G311" s="7" t="str">
        <f>IF(A311=""," ",B311*VLOOKUP(A311,'18.11-07.12.2024'!A:H,8,FALSE))</f>
        <v xml:space="preserve"> </v>
      </c>
    </row>
    <row r="312" spans="1:7" ht="15" x14ac:dyDescent="0.2">
      <c r="A312" s="21"/>
      <c r="B312" s="26"/>
      <c r="C312" s="6" t="str">
        <f>IF(A312=""," ",VLOOKUP(A312,'18.11-07.12.2024'!A:H,2,FALSE))</f>
        <v xml:space="preserve"> </v>
      </c>
      <c r="D312" s="33" t="str">
        <f>IF(A312=""," ",VLOOKUP(A312,'18.11-07.12.2024'!A:H,5,FALSE))</f>
        <v xml:space="preserve"> </v>
      </c>
      <c r="E312" s="7" t="str">
        <f>IF(A312=""," ",B312*VLOOKUP(A312,'18.11-07.12.2024'!A:H,6,FALSE))</f>
        <v xml:space="preserve"> </v>
      </c>
      <c r="F312" s="7" t="str">
        <f>IF(A312=""," ",B312*VLOOKUP(A312,'18.11-07.12.2024'!A:H,7,FALSE))</f>
        <v xml:space="preserve"> </v>
      </c>
      <c r="G312" s="7" t="str">
        <f>IF(A312=""," ",B312*VLOOKUP(A312,'18.11-07.12.2024'!A:H,8,FALSE))</f>
        <v xml:space="preserve"> </v>
      </c>
    </row>
    <row r="313" spans="1:7" ht="15" x14ac:dyDescent="0.2">
      <c r="A313" s="21"/>
      <c r="B313" s="26"/>
      <c r="C313" s="6" t="str">
        <f>IF(A313=""," ",VLOOKUP(A313,'18.11-07.12.2024'!A:H,2,FALSE))</f>
        <v xml:space="preserve"> </v>
      </c>
      <c r="D313" s="33" t="str">
        <f>IF(A313=""," ",VLOOKUP(A313,'18.11-07.12.2024'!A:H,5,FALSE))</f>
        <v xml:space="preserve"> </v>
      </c>
      <c r="E313" s="7" t="str">
        <f>IF(A313=""," ",B313*VLOOKUP(A313,'18.11-07.12.2024'!A:H,6,FALSE))</f>
        <v xml:space="preserve"> </v>
      </c>
      <c r="F313" s="7" t="str">
        <f>IF(A313=""," ",B313*VLOOKUP(A313,'18.11-07.12.2024'!A:H,7,FALSE))</f>
        <v xml:space="preserve"> </v>
      </c>
      <c r="G313" s="7" t="str">
        <f>IF(A313=""," ",B313*VLOOKUP(A313,'18.11-07.12.2024'!A:H,8,FALSE))</f>
        <v xml:space="preserve"> </v>
      </c>
    </row>
    <row r="314" spans="1:7" ht="15" x14ac:dyDescent="0.2">
      <c r="A314" s="21"/>
      <c r="B314" s="26"/>
      <c r="C314" s="6" t="str">
        <f>IF(A314=""," ",VLOOKUP(A314,'18.11-07.12.2024'!A:H,2,FALSE))</f>
        <v xml:space="preserve"> </v>
      </c>
      <c r="D314" s="33" t="str">
        <f>IF(A314=""," ",VLOOKUP(A314,'18.11-07.12.2024'!A:H,5,FALSE))</f>
        <v xml:space="preserve"> </v>
      </c>
      <c r="E314" s="7" t="str">
        <f>IF(A314=""," ",B314*VLOOKUP(A314,'18.11-07.12.2024'!A:H,6,FALSE))</f>
        <v xml:space="preserve"> </v>
      </c>
      <c r="F314" s="7" t="str">
        <f>IF(A314=""," ",B314*VLOOKUP(A314,'18.11-07.12.2024'!A:H,7,FALSE))</f>
        <v xml:space="preserve"> </v>
      </c>
      <c r="G314" s="7" t="str">
        <f>IF(A314=""," ",B314*VLOOKUP(A314,'18.11-07.12.2024'!A:H,8,FALSE))</f>
        <v xml:space="preserve"> </v>
      </c>
    </row>
    <row r="315" spans="1:7" ht="15" x14ac:dyDescent="0.2">
      <c r="A315" s="21"/>
      <c r="B315" s="26"/>
      <c r="C315" s="6" t="str">
        <f>IF(A315=""," ",VLOOKUP(A315,'18.11-07.12.2024'!A:H,2,FALSE))</f>
        <v xml:space="preserve"> </v>
      </c>
      <c r="D315" s="33" t="str">
        <f>IF(A315=""," ",VLOOKUP(A315,'18.11-07.12.2024'!A:H,5,FALSE))</f>
        <v xml:space="preserve"> </v>
      </c>
      <c r="E315" s="7" t="str">
        <f>IF(A315=""," ",B315*VLOOKUP(A315,'18.11-07.12.2024'!A:H,6,FALSE))</f>
        <v xml:space="preserve"> </v>
      </c>
      <c r="F315" s="7" t="str">
        <f>IF(A315=""," ",B315*VLOOKUP(A315,'18.11-07.12.2024'!A:H,7,FALSE))</f>
        <v xml:space="preserve"> </v>
      </c>
      <c r="G315" s="7" t="str">
        <f>IF(A315=""," ",B315*VLOOKUP(A315,'18.11-07.12.2024'!A:H,8,FALSE))</f>
        <v xml:space="preserve"> </v>
      </c>
    </row>
    <row r="316" spans="1:7" ht="15" x14ac:dyDescent="0.2">
      <c r="A316" s="21"/>
      <c r="B316" s="26"/>
      <c r="C316" s="6" t="str">
        <f>IF(A316=""," ",VLOOKUP(A316,'18.11-07.12.2024'!A:H,2,FALSE))</f>
        <v xml:space="preserve"> </v>
      </c>
      <c r="D316" s="33" t="str">
        <f>IF(A316=""," ",VLOOKUP(A316,'18.11-07.12.2024'!A:H,5,FALSE))</f>
        <v xml:space="preserve"> </v>
      </c>
      <c r="E316" s="7" t="str">
        <f>IF(A316=""," ",B316*VLOOKUP(A316,'18.11-07.12.2024'!A:H,6,FALSE))</f>
        <v xml:space="preserve"> </v>
      </c>
      <c r="F316" s="7" t="str">
        <f>IF(A316=""," ",B316*VLOOKUP(A316,'18.11-07.12.2024'!A:H,7,FALSE))</f>
        <v xml:space="preserve"> </v>
      </c>
      <c r="G316" s="7" t="str">
        <f>IF(A316=""," ",B316*VLOOKUP(A316,'18.11-07.12.2024'!A:H,8,FALSE))</f>
        <v xml:space="preserve"> </v>
      </c>
    </row>
    <row r="317" spans="1:7" ht="15" x14ac:dyDescent="0.2">
      <c r="A317" s="21"/>
      <c r="B317" s="26"/>
      <c r="C317" s="6" t="str">
        <f>IF(A317=""," ",VLOOKUP(A317,'18.11-07.12.2024'!A:H,2,FALSE))</f>
        <v xml:space="preserve"> </v>
      </c>
      <c r="D317" s="33" t="str">
        <f>IF(A317=""," ",VLOOKUP(A317,'18.11-07.12.2024'!A:H,5,FALSE))</f>
        <v xml:space="preserve"> </v>
      </c>
      <c r="E317" s="7" t="str">
        <f>IF(A317=""," ",B317*VLOOKUP(A317,'18.11-07.12.2024'!A:H,6,FALSE))</f>
        <v xml:space="preserve"> </v>
      </c>
      <c r="F317" s="7" t="str">
        <f>IF(A317=""," ",B317*VLOOKUP(A317,'18.11-07.12.2024'!A:H,7,FALSE))</f>
        <v xml:space="preserve"> </v>
      </c>
      <c r="G317" s="7" t="str">
        <f>IF(A317=""," ",B317*VLOOKUP(A317,'18.11-07.12.2024'!A:H,8,FALSE))</f>
        <v xml:space="preserve"> </v>
      </c>
    </row>
    <row r="318" spans="1:7" ht="15" x14ac:dyDescent="0.2">
      <c r="A318" s="21"/>
      <c r="B318" s="26"/>
      <c r="C318" s="6" t="str">
        <f>IF(A318=""," ",VLOOKUP(A318,'18.11-07.12.2024'!A:H,2,FALSE))</f>
        <v xml:space="preserve"> </v>
      </c>
      <c r="D318" s="33" t="str">
        <f>IF(A318=""," ",VLOOKUP(A318,'18.11-07.12.2024'!A:H,5,FALSE))</f>
        <v xml:space="preserve"> </v>
      </c>
      <c r="E318" s="7" t="str">
        <f>IF(A318=""," ",B318*VLOOKUP(A318,'18.11-07.12.2024'!A:H,6,FALSE))</f>
        <v xml:space="preserve"> </v>
      </c>
      <c r="F318" s="7" t="str">
        <f>IF(A318=""," ",B318*VLOOKUP(A318,'18.11-07.12.2024'!A:H,7,FALSE))</f>
        <v xml:space="preserve"> </v>
      </c>
      <c r="G318" s="7" t="str">
        <f>IF(A318=""," ",B318*VLOOKUP(A318,'18.11-07.12.2024'!A:H,8,FALSE))</f>
        <v xml:space="preserve"> </v>
      </c>
    </row>
    <row r="319" spans="1:7" ht="15" x14ac:dyDescent="0.2">
      <c r="A319" s="21"/>
      <c r="B319" s="26"/>
      <c r="C319" s="6" t="str">
        <f>IF(A319=""," ",VLOOKUP(A319,'18.11-07.12.2024'!A:H,2,FALSE))</f>
        <v xml:space="preserve"> </v>
      </c>
      <c r="D319" s="33" t="str">
        <f>IF(A319=""," ",VLOOKUP(A319,'18.11-07.12.2024'!A:H,5,FALSE))</f>
        <v xml:space="preserve"> </v>
      </c>
      <c r="E319" s="7" t="str">
        <f>IF(A319=""," ",B319*VLOOKUP(A319,'18.11-07.12.2024'!A:H,6,FALSE))</f>
        <v xml:space="preserve"> </v>
      </c>
      <c r="F319" s="7" t="str">
        <f>IF(A319=""," ",B319*VLOOKUP(A319,'18.11-07.12.2024'!A:H,7,FALSE))</f>
        <v xml:space="preserve"> </v>
      </c>
      <c r="G319" s="7" t="str">
        <f>IF(A319=""," ",B319*VLOOKUP(A319,'18.11-07.12.2024'!A:H,8,FALSE))</f>
        <v xml:space="preserve"> </v>
      </c>
    </row>
    <row r="320" spans="1:7" ht="15" x14ac:dyDescent="0.2">
      <c r="A320" s="21"/>
      <c r="B320" s="26"/>
      <c r="C320" s="6" t="str">
        <f>IF(A320=""," ",VLOOKUP(A320,'18.11-07.12.2024'!A:H,2,FALSE))</f>
        <v xml:space="preserve"> </v>
      </c>
      <c r="D320" s="33" t="str">
        <f>IF(A320=""," ",VLOOKUP(A320,'18.11-07.12.2024'!A:H,5,FALSE))</f>
        <v xml:space="preserve"> </v>
      </c>
      <c r="E320" s="7" t="str">
        <f>IF(A320=""," ",B320*VLOOKUP(A320,'18.11-07.12.2024'!A:H,6,FALSE))</f>
        <v xml:space="preserve"> </v>
      </c>
      <c r="F320" s="7" t="str">
        <f>IF(A320=""," ",B320*VLOOKUP(A320,'18.11-07.12.2024'!A:H,7,FALSE))</f>
        <v xml:space="preserve"> </v>
      </c>
      <c r="G320" s="7" t="str">
        <f>IF(A320=""," ",B320*VLOOKUP(A320,'18.11-07.12.2024'!A:H,8,FALSE))</f>
        <v xml:space="preserve"> </v>
      </c>
    </row>
    <row r="321" spans="1:7" ht="15" x14ac:dyDescent="0.2">
      <c r="A321" s="21"/>
      <c r="B321" s="26"/>
      <c r="C321" s="6" t="str">
        <f>IF(A321=""," ",VLOOKUP(A321,'18.11-07.12.2024'!A:H,2,FALSE))</f>
        <v xml:space="preserve"> </v>
      </c>
      <c r="D321" s="33" t="str">
        <f>IF(A321=""," ",VLOOKUP(A321,'18.11-07.12.2024'!A:H,5,FALSE))</f>
        <v xml:space="preserve"> </v>
      </c>
      <c r="E321" s="7" t="str">
        <f>IF(A321=""," ",B321*VLOOKUP(A321,'18.11-07.12.2024'!A:H,6,FALSE))</f>
        <v xml:space="preserve"> </v>
      </c>
      <c r="F321" s="7" t="str">
        <f>IF(A321=""," ",B321*VLOOKUP(A321,'18.11-07.12.2024'!A:H,7,FALSE))</f>
        <v xml:space="preserve"> </v>
      </c>
      <c r="G321" s="7" t="str">
        <f>IF(A321=""," ",B321*VLOOKUP(A321,'18.11-07.12.2024'!A:H,8,FALSE))</f>
        <v xml:space="preserve"> </v>
      </c>
    </row>
    <row r="322" spans="1:7" ht="15" x14ac:dyDescent="0.2">
      <c r="A322" s="21"/>
      <c r="B322" s="26"/>
      <c r="C322" s="6" t="str">
        <f>IF(A322=""," ",VLOOKUP(A322,'18.11-07.12.2024'!A:H,2,FALSE))</f>
        <v xml:space="preserve"> </v>
      </c>
      <c r="D322" s="33" t="str">
        <f>IF(A322=""," ",VLOOKUP(A322,'18.11-07.12.2024'!A:H,5,FALSE))</f>
        <v xml:space="preserve"> </v>
      </c>
      <c r="E322" s="7" t="str">
        <f>IF(A322=""," ",B322*VLOOKUP(A322,'18.11-07.12.2024'!A:H,6,FALSE))</f>
        <v xml:space="preserve"> </v>
      </c>
      <c r="F322" s="7" t="str">
        <f>IF(A322=""," ",B322*VLOOKUP(A322,'18.11-07.12.2024'!A:H,7,FALSE))</f>
        <v xml:space="preserve"> </v>
      </c>
      <c r="G322" s="7" t="str">
        <f>IF(A322=""," ",B322*VLOOKUP(A322,'18.11-07.12.2024'!A:H,8,FALSE))</f>
        <v xml:space="preserve"> </v>
      </c>
    </row>
    <row r="323" spans="1:7" ht="15" x14ac:dyDescent="0.2">
      <c r="A323" s="21"/>
      <c r="B323" s="26"/>
      <c r="C323" s="6" t="str">
        <f>IF(A323=""," ",VLOOKUP(A323,'18.11-07.12.2024'!A:H,2,FALSE))</f>
        <v xml:space="preserve"> </v>
      </c>
      <c r="D323" s="33" t="str">
        <f>IF(A323=""," ",VLOOKUP(A323,'18.11-07.12.2024'!A:H,5,FALSE))</f>
        <v xml:space="preserve"> </v>
      </c>
      <c r="E323" s="7" t="str">
        <f>IF(A323=""," ",B323*VLOOKUP(A323,'18.11-07.12.2024'!A:H,6,FALSE))</f>
        <v xml:space="preserve"> </v>
      </c>
      <c r="F323" s="7" t="str">
        <f>IF(A323=""," ",B323*VLOOKUP(A323,'18.11-07.12.2024'!A:H,7,FALSE))</f>
        <v xml:space="preserve"> </v>
      </c>
      <c r="G323" s="7" t="str">
        <f>IF(A323=""," ",B323*VLOOKUP(A323,'18.11-07.12.2024'!A:H,8,FALSE))</f>
        <v xml:space="preserve"> </v>
      </c>
    </row>
    <row r="324" spans="1:7" ht="15" x14ac:dyDescent="0.2">
      <c r="A324" s="21"/>
      <c r="B324" s="26"/>
      <c r="C324" s="6" t="str">
        <f>IF(A324=""," ",VLOOKUP(A324,'18.11-07.12.2024'!A:H,2,FALSE))</f>
        <v xml:space="preserve"> </v>
      </c>
      <c r="D324" s="33" t="str">
        <f>IF(A324=""," ",VLOOKUP(A324,'18.11-07.12.2024'!A:H,5,FALSE))</f>
        <v xml:space="preserve"> </v>
      </c>
      <c r="E324" s="7" t="str">
        <f>IF(A324=""," ",B324*VLOOKUP(A324,'18.11-07.12.2024'!A:H,6,FALSE))</f>
        <v xml:space="preserve"> </v>
      </c>
      <c r="F324" s="7" t="str">
        <f>IF(A324=""," ",B324*VLOOKUP(A324,'18.11-07.12.2024'!A:H,7,FALSE))</f>
        <v xml:space="preserve"> </v>
      </c>
      <c r="G324" s="7" t="str">
        <f>IF(A324=""," ",B324*VLOOKUP(A324,'18.11-07.12.2024'!A:H,8,FALSE))</f>
        <v xml:space="preserve"> </v>
      </c>
    </row>
    <row r="325" spans="1:7" ht="15" x14ac:dyDescent="0.2">
      <c r="A325" s="21"/>
      <c r="B325" s="26"/>
      <c r="C325" s="6" t="str">
        <f>IF(A325=""," ",VLOOKUP(A325,'18.11-07.12.2024'!A:H,2,FALSE))</f>
        <v xml:space="preserve"> </v>
      </c>
      <c r="D325" s="33" t="str">
        <f>IF(A325=""," ",VLOOKUP(A325,'18.11-07.12.2024'!A:H,5,FALSE))</f>
        <v xml:space="preserve"> </v>
      </c>
      <c r="E325" s="7" t="str">
        <f>IF(A325=""," ",B325*VLOOKUP(A325,'18.11-07.12.2024'!A:H,6,FALSE))</f>
        <v xml:space="preserve"> </v>
      </c>
      <c r="F325" s="7" t="str">
        <f>IF(A325=""," ",B325*VLOOKUP(A325,'18.11-07.12.2024'!A:H,7,FALSE))</f>
        <v xml:space="preserve"> </v>
      </c>
      <c r="G325" s="7" t="str">
        <f>IF(A325=""," ",B325*VLOOKUP(A325,'18.11-07.12.2024'!A:H,8,FALSE))</f>
        <v xml:space="preserve"> </v>
      </c>
    </row>
    <row r="326" spans="1:7" ht="15" x14ac:dyDescent="0.2">
      <c r="A326" s="21"/>
      <c r="B326" s="26"/>
      <c r="C326" s="6" t="str">
        <f>IF(A326=""," ",VLOOKUP(A326,'18.11-07.12.2024'!A:H,2,FALSE))</f>
        <v xml:space="preserve"> </v>
      </c>
      <c r="D326" s="33" t="str">
        <f>IF(A326=""," ",VLOOKUP(A326,'18.11-07.12.2024'!A:H,5,FALSE))</f>
        <v xml:space="preserve"> </v>
      </c>
      <c r="E326" s="7" t="str">
        <f>IF(A326=""," ",B326*VLOOKUP(A326,'18.11-07.12.2024'!A:H,6,FALSE))</f>
        <v xml:space="preserve"> </v>
      </c>
      <c r="F326" s="7" t="str">
        <f>IF(A326=""," ",B326*VLOOKUP(A326,'18.11-07.12.2024'!A:H,7,FALSE))</f>
        <v xml:space="preserve"> </v>
      </c>
      <c r="G326" s="7" t="str">
        <f>IF(A326=""," ",B326*VLOOKUP(A326,'18.11-07.12.2024'!A:H,8,FALSE))</f>
        <v xml:space="preserve"> </v>
      </c>
    </row>
    <row r="327" spans="1:7" ht="15" x14ac:dyDescent="0.2">
      <c r="A327" s="21"/>
      <c r="B327" s="26"/>
      <c r="C327" s="6" t="str">
        <f>IF(A327=""," ",VLOOKUP(A327,'18.11-07.12.2024'!A:H,2,FALSE))</f>
        <v xml:space="preserve"> </v>
      </c>
      <c r="D327" s="33" t="str">
        <f>IF(A327=""," ",VLOOKUP(A327,'18.11-07.12.2024'!A:H,5,FALSE))</f>
        <v xml:space="preserve"> </v>
      </c>
      <c r="E327" s="7" t="str">
        <f>IF(A327=""," ",B327*VLOOKUP(A327,'18.11-07.12.2024'!A:H,6,FALSE))</f>
        <v xml:space="preserve"> </v>
      </c>
      <c r="F327" s="7" t="str">
        <f>IF(A327=""," ",B327*VLOOKUP(A327,'18.11-07.12.2024'!A:H,7,FALSE))</f>
        <v xml:space="preserve"> </v>
      </c>
      <c r="G327" s="7" t="str">
        <f>IF(A327=""," ",B327*VLOOKUP(A327,'18.11-07.12.2024'!A:H,8,FALSE))</f>
        <v xml:space="preserve"> </v>
      </c>
    </row>
    <row r="328" spans="1:7" ht="15" x14ac:dyDescent="0.2">
      <c r="A328" s="21"/>
      <c r="B328" s="26"/>
      <c r="C328" s="6" t="str">
        <f>IF(A328=""," ",VLOOKUP(A328,'18.11-07.12.2024'!A:H,2,FALSE))</f>
        <v xml:space="preserve"> </v>
      </c>
      <c r="D328" s="33" t="str">
        <f>IF(A328=""," ",VLOOKUP(A328,'18.11-07.12.2024'!A:H,5,FALSE))</f>
        <v xml:space="preserve"> </v>
      </c>
      <c r="E328" s="7" t="str">
        <f>IF(A328=""," ",B328*VLOOKUP(A328,'18.11-07.12.2024'!A:H,6,FALSE))</f>
        <v xml:space="preserve"> </v>
      </c>
      <c r="F328" s="7" t="str">
        <f>IF(A328=""," ",B328*VLOOKUP(A328,'18.11-07.12.2024'!A:H,7,FALSE))</f>
        <v xml:space="preserve"> </v>
      </c>
      <c r="G328" s="7" t="str">
        <f>IF(A328=""," ",B328*VLOOKUP(A328,'18.11-07.12.2024'!A:H,8,FALSE))</f>
        <v xml:space="preserve"> </v>
      </c>
    </row>
    <row r="329" spans="1:7" ht="15" x14ac:dyDescent="0.2">
      <c r="A329" s="21"/>
      <c r="B329" s="26"/>
      <c r="C329" s="6" t="str">
        <f>IF(A329=""," ",VLOOKUP(A329,'18.11-07.12.2024'!A:H,2,FALSE))</f>
        <v xml:space="preserve"> </v>
      </c>
      <c r="D329" s="33" t="str">
        <f>IF(A329=""," ",VLOOKUP(A329,'18.11-07.12.2024'!A:H,5,FALSE))</f>
        <v xml:space="preserve"> </v>
      </c>
      <c r="E329" s="7" t="str">
        <f>IF(A329=""," ",B329*VLOOKUP(A329,'18.11-07.12.2024'!A:H,6,FALSE))</f>
        <v xml:space="preserve"> </v>
      </c>
      <c r="F329" s="7" t="str">
        <f>IF(A329=""," ",B329*VLOOKUP(A329,'18.11-07.12.2024'!A:H,7,FALSE))</f>
        <v xml:space="preserve"> </v>
      </c>
      <c r="G329" s="7" t="str">
        <f>IF(A329=""," ",B329*VLOOKUP(A329,'18.11-07.12.2024'!A:H,8,FALSE))</f>
        <v xml:space="preserve"> </v>
      </c>
    </row>
    <row r="330" spans="1:7" ht="15" x14ac:dyDescent="0.2">
      <c r="A330" s="21"/>
      <c r="B330" s="26"/>
      <c r="C330" s="6" t="str">
        <f>IF(A330=""," ",VLOOKUP(A330,'18.11-07.12.2024'!A:H,2,FALSE))</f>
        <v xml:space="preserve"> </v>
      </c>
      <c r="D330" s="33" t="str">
        <f>IF(A330=""," ",VLOOKUP(A330,'18.11-07.12.2024'!A:H,5,FALSE))</f>
        <v xml:space="preserve"> </v>
      </c>
      <c r="E330" s="7" t="str">
        <f>IF(A330=""," ",B330*VLOOKUP(A330,'18.11-07.12.2024'!A:H,6,FALSE))</f>
        <v xml:space="preserve"> </v>
      </c>
      <c r="F330" s="7" t="str">
        <f>IF(A330=""," ",B330*VLOOKUP(A330,'18.11-07.12.2024'!A:H,7,FALSE))</f>
        <v xml:space="preserve"> </v>
      </c>
      <c r="G330" s="7" t="str">
        <f>IF(A330=""," ",B330*VLOOKUP(A330,'18.11-07.12.2024'!A:H,8,FALSE))</f>
        <v xml:space="preserve"> </v>
      </c>
    </row>
    <row r="331" spans="1:7" ht="15" x14ac:dyDescent="0.2">
      <c r="A331" s="21"/>
      <c r="B331" s="26"/>
      <c r="C331" s="6" t="str">
        <f>IF(A331=""," ",VLOOKUP(A331,'18.11-07.12.2024'!A:H,2,FALSE))</f>
        <v xml:space="preserve"> </v>
      </c>
      <c r="D331" s="33" t="str">
        <f>IF(A331=""," ",VLOOKUP(A331,'18.11-07.12.2024'!A:H,5,FALSE))</f>
        <v xml:space="preserve"> </v>
      </c>
      <c r="E331" s="7" t="str">
        <f>IF(A331=""," ",B331*VLOOKUP(A331,'18.11-07.12.2024'!A:H,6,FALSE))</f>
        <v xml:space="preserve"> </v>
      </c>
      <c r="F331" s="7" t="str">
        <f>IF(A331=""," ",B331*VLOOKUP(A331,'18.11-07.12.2024'!A:H,7,FALSE))</f>
        <v xml:space="preserve"> </v>
      </c>
      <c r="G331" s="7" t="str">
        <f>IF(A331=""," ",B331*VLOOKUP(A331,'18.11-07.12.2024'!A:H,8,FALSE))</f>
        <v xml:space="preserve"> </v>
      </c>
    </row>
    <row r="332" spans="1:7" ht="15" x14ac:dyDescent="0.2">
      <c r="A332" s="21"/>
      <c r="B332" s="26"/>
      <c r="C332" s="6" t="str">
        <f>IF(A332=""," ",VLOOKUP(A332,'18.11-07.12.2024'!A:H,2,FALSE))</f>
        <v xml:space="preserve"> </v>
      </c>
      <c r="D332" s="33" t="str">
        <f>IF(A332=""," ",VLOOKUP(A332,'18.11-07.12.2024'!A:H,5,FALSE))</f>
        <v xml:space="preserve"> </v>
      </c>
      <c r="E332" s="7" t="str">
        <f>IF(A332=""," ",B332*VLOOKUP(A332,'18.11-07.12.2024'!A:H,6,FALSE))</f>
        <v xml:space="preserve"> </v>
      </c>
      <c r="F332" s="7" t="str">
        <f>IF(A332=""," ",B332*VLOOKUP(A332,'18.11-07.12.2024'!A:H,7,FALSE))</f>
        <v xml:space="preserve"> </v>
      </c>
      <c r="G332" s="7" t="str">
        <f>IF(A332=""," ",B332*VLOOKUP(A332,'18.11-07.12.2024'!A:H,8,FALSE))</f>
        <v xml:space="preserve"> </v>
      </c>
    </row>
    <row r="333" spans="1:7" ht="15" x14ac:dyDescent="0.2">
      <c r="A333" s="21"/>
      <c r="B333" s="26"/>
      <c r="C333" s="6" t="str">
        <f>IF(A333=""," ",VLOOKUP(A333,'18.11-07.12.2024'!A:H,2,FALSE))</f>
        <v xml:space="preserve"> </v>
      </c>
      <c r="D333" s="33" t="str">
        <f>IF(A333=""," ",VLOOKUP(A333,'18.11-07.12.2024'!A:H,5,FALSE))</f>
        <v xml:space="preserve"> </v>
      </c>
      <c r="E333" s="7" t="str">
        <f>IF(A333=""," ",B333*VLOOKUP(A333,'18.11-07.12.2024'!A:H,6,FALSE))</f>
        <v xml:space="preserve"> </v>
      </c>
      <c r="F333" s="7" t="str">
        <f>IF(A333=""," ",B333*VLOOKUP(A333,'18.11-07.12.2024'!A:H,7,FALSE))</f>
        <v xml:space="preserve"> </v>
      </c>
      <c r="G333" s="7" t="str">
        <f>IF(A333=""," ",B333*VLOOKUP(A333,'18.11-07.12.2024'!A:H,8,FALSE))</f>
        <v xml:space="preserve"> </v>
      </c>
    </row>
    <row r="334" spans="1:7" ht="15" x14ac:dyDescent="0.2">
      <c r="A334" s="21"/>
      <c r="B334" s="26"/>
      <c r="C334" s="6" t="str">
        <f>IF(A334=""," ",VLOOKUP(A334,'18.11-07.12.2024'!A:H,2,FALSE))</f>
        <v xml:space="preserve"> </v>
      </c>
      <c r="D334" s="33" t="str">
        <f>IF(A334=""," ",VLOOKUP(A334,'18.11-07.12.2024'!A:H,5,FALSE))</f>
        <v xml:space="preserve"> </v>
      </c>
      <c r="E334" s="7" t="str">
        <f>IF(A334=""," ",B334*VLOOKUP(A334,'18.11-07.12.2024'!A:H,6,FALSE))</f>
        <v xml:space="preserve"> </v>
      </c>
      <c r="F334" s="7" t="str">
        <f>IF(A334=""," ",B334*VLOOKUP(A334,'18.11-07.12.2024'!A:H,7,FALSE))</f>
        <v xml:space="preserve"> </v>
      </c>
      <c r="G334" s="7" t="str">
        <f>IF(A334=""," ",B334*VLOOKUP(A334,'18.11-07.12.2024'!A:H,8,FALSE))</f>
        <v xml:space="preserve"> </v>
      </c>
    </row>
    <row r="335" spans="1:7" ht="15" x14ac:dyDescent="0.2">
      <c r="A335" s="21"/>
      <c r="B335" s="26"/>
      <c r="C335" s="6" t="str">
        <f>IF(A335=""," ",VLOOKUP(A335,'18.11-07.12.2024'!A:H,2,FALSE))</f>
        <v xml:space="preserve"> </v>
      </c>
      <c r="D335" s="33" t="str">
        <f>IF(A335=""," ",VLOOKUP(A335,'18.11-07.12.2024'!A:H,5,FALSE))</f>
        <v xml:space="preserve"> </v>
      </c>
      <c r="E335" s="7" t="str">
        <f>IF(A335=""," ",B335*VLOOKUP(A335,'18.11-07.12.2024'!A:H,6,FALSE))</f>
        <v xml:space="preserve"> </v>
      </c>
      <c r="F335" s="7" t="str">
        <f>IF(A335=""," ",B335*VLOOKUP(A335,'18.11-07.12.2024'!A:H,7,FALSE))</f>
        <v xml:space="preserve"> </v>
      </c>
      <c r="G335" s="7" t="str">
        <f>IF(A335=""," ",B335*VLOOKUP(A335,'18.11-07.12.2024'!A:H,8,FALSE))</f>
        <v xml:space="preserve"> </v>
      </c>
    </row>
    <row r="336" spans="1:7" ht="15" x14ac:dyDescent="0.2">
      <c r="A336" s="21"/>
      <c r="B336" s="26"/>
      <c r="C336" s="6" t="str">
        <f>IF(A336=""," ",VLOOKUP(A336,'18.11-07.12.2024'!A:H,2,FALSE))</f>
        <v xml:space="preserve"> </v>
      </c>
      <c r="D336" s="33" t="str">
        <f>IF(A336=""," ",VLOOKUP(A336,'18.11-07.12.2024'!A:H,5,FALSE))</f>
        <v xml:space="preserve"> </v>
      </c>
      <c r="E336" s="7" t="str">
        <f>IF(A336=""," ",B336*VLOOKUP(A336,'18.11-07.12.2024'!A:H,6,FALSE))</f>
        <v xml:space="preserve"> </v>
      </c>
      <c r="F336" s="7" t="str">
        <f>IF(A336=""," ",B336*VLOOKUP(A336,'18.11-07.12.2024'!A:H,7,FALSE))</f>
        <v xml:space="preserve"> </v>
      </c>
      <c r="G336" s="7" t="str">
        <f>IF(A336=""," ",B336*VLOOKUP(A336,'18.11-07.12.2024'!A:H,8,FALSE))</f>
        <v xml:space="preserve"> </v>
      </c>
    </row>
    <row r="337" spans="1:7" ht="15" x14ac:dyDescent="0.2">
      <c r="A337" s="21"/>
      <c r="B337" s="26"/>
      <c r="C337" s="6" t="str">
        <f>IF(A337=""," ",VLOOKUP(A337,'18.11-07.12.2024'!A:H,2,FALSE))</f>
        <v xml:space="preserve"> </v>
      </c>
      <c r="D337" s="33" t="str">
        <f>IF(A337=""," ",VLOOKUP(A337,'18.11-07.12.2024'!A:H,5,FALSE))</f>
        <v xml:space="preserve"> </v>
      </c>
      <c r="E337" s="7" t="str">
        <f>IF(A337=""," ",B337*VLOOKUP(A337,'18.11-07.12.2024'!A:H,6,FALSE))</f>
        <v xml:space="preserve"> </v>
      </c>
      <c r="F337" s="7" t="str">
        <f>IF(A337=""," ",B337*VLOOKUP(A337,'18.11-07.12.2024'!A:H,7,FALSE))</f>
        <v xml:space="preserve"> </v>
      </c>
      <c r="G337" s="7" t="str">
        <f>IF(A337=""," ",B337*VLOOKUP(A337,'18.11-07.12.2024'!A:H,8,FALSE))</f>
        <v xml:space="preserve"> </v>
      </c>
    </row>
    <row r="338" spans="1:7" ht="15" x14ac:dyDescent="0.2">
      <c r="A338" s="21"/>
      <c r="B338" s="26"/>
      <c r="C338" s="6" t="str">
        <f>IF(A338=""," ",VLOOKUP(A338,'18.11-07.12.2024'!A:H,2,FALSE))</f>
        <v xml:space="preserve"> </v>
      </c>
      <c r="D338" s="33" t="str">
        <f>IF(A338=""," ",VLOOKUP(A338,'18.11-07.12.2024'!A:H,5,FALSE))</f>
        <v xml:space="preserve"> </v>
      </c>
      <c r="E338" s="7" t="str">
        <f>IF(A338=""," ",B338*VLOOKUP(A338,'18.11-07.12.2024'!A:H,6,FALSE))</f>
        <v xml:space="preserve"> </v>
      </c>
      <c r="F338" s="7" t="str">
        <f>IF(A338=""," ",B338*VLOOKUP(A338,'18.11-07.12.2024'!A:H,7,FALSE))</f>
        <v xml:space="preserve"> </v>
      </c>
      <c r="G338" s="7" t="str">
        <f>IF(A338=""," ",B338*VLOOKUP(A338,'18.11-07.12.2024'!A:H,8,FALSE))</f>
        <v xml:space="preserve"> </v>
      </c>
    </row>
    <row r="339" spans="1:7" ht="15" x14ac:dyDescent="0.2">
      <c r="A339" s="21"/>
      <c r="B339" s="26"/>
      <c r="C339" s="6" t="str">
        <f>IF(A339=""," ",VLOOKUP(A339,'18.11-07.12.2024'!A:H,2,FALSE))</f>
        <v xml:space="preserve"> </v>
      </c>
      <c r="D339" s="33" t="str">
        <f>IF(A339=""," ",VLOOKUP(A339,'18.11-07.12.2024'!A:H,5,FALSE))</f>
        <v xml:space="preserve"> </v>
      </c>
      <c r="E339" s="7" t="str">
        <f>IF(A339=""," ",B339*VLOOKUP(A339,'18.11-07.12.2024'!A:H,6,FALSE))</f>
        <v xml:space="preserve"> </v>
      </c>
      <c r="F339" s="7" t="str">
        <f>IF(A339=""," ",B339*VLOOKUP(A339,'18.11-07.12.2024'!A:H,7,FALSE))</f>
        <v xml:space="preserve"> </v>
      </c>
      <c r="G339" s="7" t="str">
        <f>IF(A339=""," ",B339*VLOOKUP(A339,'18.11-07.12.2024'!A:H,8,FALSE))</f>
        <v xml:space="preserve"> </v>
      </c>
    </row>
    <row r="340" spans="1:7" ht="15" x14ac:dyDescent="0.2">
      <c r="A340" s="21"/>
      <c r="B340" s="26"/>
      <c r="C340" s="6" t="str">
        <f>IF(A340=""," ",VLOOKUP(A340,'18.11-07.12.2024'!A:H,2,FALSE))</f>
        <v xml:space="preserve"> </v>
      </c>
      <c r="D340" s="33" t="str">
        <f>IF(A340=""," ",VLOOKUP(A340,'18.11-07.12.2024'!A:H,5,FALSE))</f>
        <v xml:space="preserve"> </v>
      </c>
      <c r="E340" s="7" t="str">
        <f>IF(A340=""," ",B340*VLOOKUP(A340,'18.11-07.12.2024'!A:H,6,FALSE))</f>
        <v xml:space="preserve"> </v>
      </c>
      <c r="F340" s="7" t="str">
        <f>IF(A340=""," ",B340*VLOOKUP(A340,'18.11-07.12.2024'!A:H,7,FALSE))</f>
        <v xml:space="preserve"> </v>
      </c>
      <c r="G340" s="7" t="str">
        <f>IF(A340=""," ",B340*VLOOKUP(A340,'18.11-07.12.2024'!A:H,8,FALSE))</f>
        <v xml:space="preserve"> </v>
      </c>
    </row>
    <row r="341" spans="1:7" ht="15" x14ac:dyDescent="0.2">
      <c r="A341" s="21"/>
      <c r="B341" s="26"/>
      <c r="C341" s="6" t="str">
        <f>IF(A341=""," ",VLOOKUP(A341,'18.11-07.12.2024'!A:H,2,FALSE))</f>
        <v xml:space="preserve"> </v>
      </c>
      <c r="D341" s="33" t="str">
        <f>IF(A341=""," ",VLOOKUP(A341,'18.11-07.12.2024'!A:H,5,FALSE))</f>
        <v xml:space="preserve"> </v>
      </c>
      <c r="E341" s="7" t="str">
        <f>IF(A341=""," ",B341*VLOOKUP(A341,'18.11-07.12.2024'!A:H,6,FALSE))</f>
        <v xml:space="preserve"> </v>
      </c>
      <c r="F341" s="7" t="str">
        <f>IF(A341=""," ",B341*VLOOKUP(A341,'18.11-07.12.2024'!A:H,7,FALSE))</f>
        <v xml:space="preserve"> </v>
      </c>
      <c r="G341" s="7" t="str">
        <f>IF(A341=""," ",B341*VLOOKUP(A341,'18.11-07.12.2024'!A:H,8,FALSE))</f>
        <v xml:space="preserve"> </v>
      </c>
    </row>
    <row r="342" spans="1:7" ht="15" x14ac:dyDescent="0.2">
      <c r="A342" s="21"/>
      <c r="B342" s="26"/>
      <c r="C342" s="6" t="str">
        <f>IF(A342=""," ",VLOOKUP(A342,'18.11-07.12.2024'!A:H,2,FALSE))</f>
        <v xml:space="preserve"> </v>
      </c>
      <c r="D342" s="33" t="str">
        <f>IF(A342=""," ",VLOOKUP(A342,'18.11-07.12.2024'!A:H,5,FALSE))</f>
        <v xml:space="preserve"> </v>
      </c>
      <c r="E342" s="7" t="str">
        <f>IF(A342=""," ",B342*VLOOKUP(A342,'18.11-07.12.2024'!A:H,6,FALSE))</f>
        <v xml:space="preserve"> </v>
      </c>
      <c r="F342" s="7" t="str">
        <f>IF(A342=""," ",B342*VLOOKUP(A342,'18.11-07.12.2024'!A:H,7,FALSE))</f>
        <v xml:space="preserve"> </v>
      </c>
      <c r="G342" s="7" t="str">
        <f>IF(A342=""," ",B342*VLOOKUP(A342,'18.11-07.12.2024'!A:H,8,FALSE))</f>
        <v xml:space="preserve"> </v>
      </c>
    </row>
    <row r="343" spans="1:7" ht="15" x14ac:dyDescent="0.2">
      <c r="A343" s="21"/>
      <c r="B343" s="26"/>
      <c r="C343" s="6" t="str">
        <f>IF(A343=""," ",VLOOKUP(A343,'18.11-07.12.2024'!A:H,2,FALSE))</f>
        <v xml:space="preserve"> </v>
      </c>
      <c r="D343" s="33" t="str">
        <f>IF(A343=""," ",VLOOKUP(A343,'18.11-07.12.2024'!A:H,5,FALSE))</f>
        <v xml:space="preserve"> </v>
      </c>
      <c r="E343" s="7" t="str">
        <f>IF(A343=""," ",B343*VLOOKUP(A343,'18.11-07.12.2024'!A:H,6,FALSE))</f>
        <v xml:space="preserve"> </v>
      </c>
      <c r="F343" s="7" t="str">
        <f>IF(A343=""," ",B343*VLOOKUP(A343,'18.11-07.12.2024'!A:H,7,FALSE))</f>
        <v xml:space="preserve"> </v>
      </c>
      <c r="G343" s="7" t="str">
        <f>IF(A343=""," ",B343*VLOOKUP(A343,'18.11-07.12.2024'!A:H,8,FALSE))</f>
        <v xml:space="preserve"> </v>
      </c>
    </row>
    <row r="344" spans="1:7" ht="15" x14ac:dyDescent="0.2">
      <c r="A344" s="21"/>
      <c r="B344" s="26"/>
      <c r="C344" s="6" t="str">
        <f>IF(A344=""," ",VLOOKUP(A344,'18.11-07.12.2024'!A:H,2,FALSE))</f>
        <v xml:space="preserve"> </v>
      </c>
      <c r="D344" s="33" t="str">
        <f>IF(A344=""," ",VLOOKUP(A344,'18.11-07.12.2024'!A:H,5,FALSE))</f>
        <v xml:space="preserve"> </v>
      </c>
      <c r="E344" s="7" t="str">
        <f>IF(A344=""," ",B344*VLOOKUP(A344,'18.11-07.12.2024'!A:H,6,FALSE))</f>
        <v xml:space="preserve"> </v>
      </c>
      <c r="F344" s="7" t="str">
        <f>IF(A344=""," ",B344*VLOOKUP(A344,'18.11-07.12.2024'!A:H,7,FALSE))</f>
        <v xml:space="preserve"> </v>
      </c>
      <c r="G344" s="7" t="str">
        <f>IF(A344=""," ",B344*VLOOKUP(A344,'18.11-07.12.2024'!A:H,8,FALSE))</f>
        <v xml:space="preserve"> </v>
      </c>
    </row>
    <row r="345" spans="1:7" ht="15" x14ac:dyDescent="0.2">
      <c r="A345" s="21"/>
      <c r="B345" s="26"/>
      <c r="C345" s="6" t="str">
        <f>IF(A345=""," ",VLOOKUP(A345,'18.11-07.12.2024'!A:H,2,FALSE))</f>
        <v xml:space="preserve"> </v>
      </c>
      <c r="D345" s="33" t="str">
        <f>IF(A345=""," ",VLOOKUP(A345,'18.11-07.12.2024'!A:H,5,FALSE))</f>
        <v xml:space="preserve"> </v>
      </c>
      <c r="E345" s="7" t="str">
        <f>IF(A345=""," ",B345*VLOOKUP(A345,'18.11-07.12.2024'!A:H,6,FALSE))</f>
        <v xml:space="preserve"> </v>
      </c>
      <c r="F345" s="7" t="str">
        <f>IF(A345=""," ",B345*VLOOKUP(A345,'18.11-07.12.2024'!A:H,7,FALSE))</f>
        <v xml:space="preserve"> </v>
      </c>
      <c r="G345" s="7" t="str">
        <f>IF(A345=""," ",B345*VLOOKUP(A345,'18.11-07.12.2024'!A:H,8,FALSE))</f>
        <v xml:space="preserve"> </v>
      </c>
    </row>
    <row r="346" spans="1:7" ht="15" x14ac:dyDescent="0.2">
      <c r="A346" s="21"/>
      <c r="B346" s="26"/>
      <c r="C346" s="6" t="str">
        <f>IF(A346=""," ",VLOOKUP(A346,'18.11-07.12.2024'!A:H,2,FALSE))</f>
        <v xml:space="preserve"> </v>
      </c>
      <c r="D346" s="33" t="str">
        <f>IF(A346=""," ",VLOOKUP(A346,'18.11-07.12.2024'!A:H,5,FALSE))</f>
        <v xml:space="preserve"> </v>
      </c>
      <c r="E346" s="7" t="str">
        <f>IF(A346=""," ",B346*VLOOKUP(A346,'18.11-07.12.2024'!A:H,6,FALSE))</f>
        <v xml:space="preserve"> </v>
      </c>
      <c r="F346" s="7" t="str">
        <f>IF(A346=""," ",B346*VLOOKUP(A346,'18.11-07.12.2024'!A:H,7,FALSE))</f>
        <v xml:space="preserve"> </v>
      </c>
      <c r="G346" s="7" t="str">
        <f>IF(A346=""," ",B346*VLOOKUP(A346,'18.11-07.12.2024'!A:H,8,FALSE))</f>
        <v xml:space="preserve"> </v>
      </c>
    </row>
    <row r="347" spans="1:7" ht="15" x14ac:dyDescent="0.2">
      <c r="A347" s="21"/>
      <c r="B347" s="26"/>
      <c r="C347" s="6" t="str">
        <f>IF(A347=""," ",VLOOKUP(A347,'18.11-07.12.2024'!A:H,2,FALSE))</f>
        <v xml:space="preserve"> </v>
      </c>
      <c r="D347" s="33" t="str">
        <f>IF(A347=""," ",VLOOKUP(A347,'18.11-07.12.2024'!A:H,5,FALSE))</f>
        <v xml:space="preserve"> </v>
      </c>
      <c r="E347" s="7" t="str">
        <f>IF(A347=""," ",B347*VLOOKUP(A347,'18.11-07.12.2024'!A:H,6,FALSE))</f>
        <v xml:space="preserve"> </v>
      </c>
      <c r="F347" s="7" t="str">
        <f>IF(A347=""," ",B347*VLOOKUP(A347,'18.11-07.12.2024'!A:H,7,FALSE))</f>
        <v xml:space="preserve"> </v>
      </c>
      <c r="G347" s="7" t="str">
        <f>IF(A347=""," ",B347*VLOOKUP(A347,'18.11-07.12.2024'!A:H,8,FALSE))</f>
        <v xml:space="preserve"> </v>
      </c>
    </row>
    <row r="348" spans="1:7" ht="15" x14ac:dyDescent="0.2">
      <c r="A348" s="21"/>
      <c r="B348" s="26"/>
      <c r="C348" s="6" t="str">
        <f>IF(A348=""," ",VLOOKUP(A348,'18.11-07.12.2024'!A:H,2,FALSE))</f>
        <v xml:space="preserve"> </v>
      </c>
      <c r="D348" s="33" t="str">
        <f>IF(A348=""," ",VLOOKUP(A348,'18.11-07.12.2024'!A:H,5,FALSE))</f>
        <v xml:space="preserve"> </v>
      </c>
      <c r="E348" s="7" t="str">
        <f>IF(A348=""," ",B348*VLOOKUP(A348,'18.11-07.12.2024'!A:H,6,FALSE))</f>
        <v xml:space="preserve"> </v>
      </c>
      <c r="F348" s="7" t="str">
        <f>IF(A348=""," ",B348*VLOOKUP(A348,'18.11-07.12.2024'!A:H,7,FALSE))</f>
        <v xml:space="preserve"> </v>
      </c>
      <c r="G348" s="7" t="str">
        <f>IF(A348=""," ",B348*VLOOKUP(A348,'18.11-07.12.2024'!A:H,8,FALSE))</f>
        <v xml:space="preserve"> </v>
      </c>
    </row>
    <row r="349" spans="1:7" ht="15" x14ac:dyDescent="0.2">
      <c r="A349" s="21"/>
      <c r="B349" s="26"/>
      <c r="C349" s="6" t="str">
        <f>IF(A349=""," ",VLOOKUP(A349,'18.11-07.12.2024'!A:H,2,FALSE))</f>
        <v xml:space="preserve"> </v>
      </c>
      <c r="D349" s="33" t="str">
        <f>IF(A349=""," ",VLOOKUP(A349,'18.11-07.12.2024'!A:H,5,FALSE))</f>
        <v xml:space="preserve"> </v>
      </c>
      <c r="E349" s="7" t="str">
        <f>IF(A349=""," ",B349*VLOOKUP(A349,'18.11-07.12.2024'!A:H,6,FALSE))</f>
        <v xml:space="preserve"> </v>
      </c>
      <c r="F349" s="7" t="str">
        <f>IF(A349=""," ",B349*VLOOKUP(A349,'18.11-07.12.2024'!A:H,7,FALSE))</f>
        <v xml:space="preserve"> </v>
      </c>
      <c r="G349" s="7" t="str">
        <f>IF(A349=""," ",B349*VLOOKUP(A349,'18.11-07.12.2024'!A:H,8,FALSE))</f>
        <v xml:space="preserve"> </v>
      </c>
    </row>
    <row r="350" spans="1:7" ht="15" x14ac:dyDescent="0.2">
      <c r="A350" s="21"/>
      <c r="B350" s="26"/>
      <c r="C350" s="6" t="str">
        <f>IF(A350=""," ",VLOOKUP(A350,'18.11-07.12.2024'!A:H,2,FALSE))</f>
        <v xml:space="preserve"> </v>
      </c>
      <c r="D350" s="33" t="str">
        <f>IF(A350=""," ",VLOOKUP(A350,'18.11-07.12.2024'!A:H,5,FALSE))</f>
        <v xml:space="preserve"> </v>
      </c>
      <c r="E350" s="7" t="str">
        <f>IF(A350=""," ",B350*VLOOKUP(A350,'18.11-07.12.2024'!A:H,6,FALSE))</f>
        <v xml:space="preserve"> </v>
      </c>
      <c r="F350" s="7" t="str">
        <f>IF(A350=""," ",B350*VLOOKUP(A350,'18.11-07.12.2024'!A:H,7,FALSE))</f>
        <v xml:space="preserve"> </v>
      </c>
      <c r="G350" s="7" t="str">
        <f>IF(A350=""," ",B350*VLOOKUP(A350,'18.11-07.12.2024'!A:H,8,FALSE))</f>
        <v xml:space="preserve"> </v>
      </c>
    </row>
    <row r="351" spans="1:7" ht="15" x14ac:dyDescent="0.2">
      <c r="A351" s="21"/>
      <c r="B351" s="26"/>
      <c r="C351" s="6" t="str">
        <f>IF(A351=""," ",VLOOKUP(A351,'18.11-07.12.2024'!A:H,2,FALSE))</f>
        <v xml:space="preserve"> </v>
      </c>
      <c r="D351" s="33" t="str">
        <f>IF(A351=""," ",VLOOKUP(A351,'18.11-07.12.2024'!A:H,5,FALSE))</f>
        <v xml:space="preserve"> </v>
      </c>
      <c r="E351" s="7" t="str">
        <f>IF(A351=""," ",B351*VLOOKUP(A351,'18.11-07.12.2024'!A:H,6,FALSE))</f>
        <v xml:space="preserve"> </v>
      </c>
      <c r="F351" s="7" t="str">
        <f>IF(A351=""," ",B351*VLOOKUP(A351,'18.11-07.12.2024'!A:H,7,FALSE))</f>
        <v xml:space="preserve"> </v>
      </c>
      <c r="G351" s="7" t="str">
        <f>IF(A351=""," ",B351*VLOOKUP(A351,'18.11-07.12.2024'!A:H,8,FALSE))</f>
        <v xml:space="preserve"> </v>
      </c>
    </row>
    <row r="352" spans="1:7" ht="15" x14ac:dyDescent="0.2">
      <c r="A352" s="21"/>
      <c r="B352" s="26"/>
      <c r="C352" s="6" t="str">
        <f>IF(A352=""," ",VLOOKUP(A352,'18.11-07.12.2024'!A:H,2,FALSE))</f>
        <v xml:space="preserve"> </v>
      </c>
      <c r="D352" s="33" t="str">
        <f>IF(A352=""," ",VLOOKUP(A352,'18.11-07.12.2024'!A:H,5,FALSE))</f>
        <v xml:space="preserve"> </v>
      </c>
      <c r="E352" s="7" t="str">
        <f>IF(A352=""," ",B352*VLOOKUP(A352,'18.11-07.12.2024'!A:H,6,FALSE))</f>
        <v xml:space="preserve"> </v>
      </c>
      <c r="F352" s="7" t="str">
        <f>IF(A352=""," ",B352*VLOOKUP(A352,'18.11-07.12.2024'!A:H,7,FALSE))</f>
        <v xml:space="preserve"> </v>
      </c>
      <c r="G352" s="7" t="str">
        <f>IF(A352=""," ",B352*VLOOKUP(A352,'18.11-07.12.2024'!A:H,8,FALSE))</f>
        <v xml:space="preserve"> </v>
      </c>
    </row>
    <row r="353" spans="1:7" ht="15" x14ac:dyDescent="0.2">
      <c r="A353" s="21"/>
      <c r="B353" s="26"/>
      <c r="C353" s="6" t="str">
        <f>IF(A353=""," ",VLOOKUP(A353,'18.11-07.12.2024'!A:H,2,FALSE))</f>
        <v xml:space="preserve"> </v>
      </c>
      <c r="D353" s="33" t="str">
        <f>IF(A353=""," ",VLOOKUP(A353,'18.11-07.12.2024'!A:H,5,FALSE))</f>
        <v xml:space="preserve"> </v>
      </c>
      <c r="E353" s="7" t="str">
        <f>IF(A353=""," ",B353*VLOOKUP(A353,'18.11-07.12.2024'!A:H,6,FALSE))</f>
        <v xml:space="preserve"> </v>
      </c>
      <c r="F353" s="7" t="str">
        <f>IF(A353=""," ",B353*VLOOKUP(A353,'18.11-07.12.2024'!A:H,7,FALSE))</f>
        <v xml:space="preserve"> </v>
      </c>
      <c r="G353" s="7" t="str">
        <f>IF(A353=""," ",B353*VLOOKUP(A353,'18.11-07.12.2024'!A:H,8,FALSE))</f>
        <v xml:space="preserve"> </v>
      </c>
    </row>
    <row r="354" spans="1:7" ht="15" x14ac:dyDescent="0.2">
      <c r="A354" s="21"/>
      <c r="B354" s="26"/>
      <c r="C354" s="6" t="str">
        <f>IF(A354=""," ",VLOOKUP(A354,'18.11-07.12.2024'!A:H,2,FALSE))</f>
        <v xml:space="preserve"> </v>
      </c>
      <c r="D354" s="33" t="str">
        <f>IF(A354=""," ",VLOOKUP(A354,'18.11-07.12.2024'!A:H,5,FALSE))</f>
        <v xml:space="preserve"> </v>
      </c>
      <c r="E354" s="7" t="str">
        <f>IF(A354=""," ",B354*VLOOKUP(A354,'18.11-07.12.2024'!A:H,6,FALSE))</f>
        <v xml:space="preserve"> </v>
      </c>
      <c r="F354" s="7" t="str">
        <f>IF(A354=""," ",B354*VLOOKUP(A354,'18.11-07.12.2024'!A:H,7,FALSE))</f>
        <v xml:space="preserve"> </v>
      </c>
      <c r="G354" s="7" t="str">
        <f>IF(A354=""," ",B354*VLOOKUP(A354,'18.11-07.12.2024'!A:H,8,FALSE))</f>
        <v xml:space="preserve"> </v>
      </c>
    </row>
    <row r="355" spans="1:7" ht="15" x14ac:dyDescent="0.2">
      <c r="A355" s="21"/>
      <c r="B355" s="26"/>
      <c r="C355" s="6" t="str">
        <f>IF(A355=""," ",VLOOKUP(A355,'18.11-07.12.2024'!A:H,2,FALSE))</f>
        <v xml:space="preserve"> </v>
      </c>
      <c r="D355" s="33" t="str">
        <f>IF(A355=""," ",VLOOKUP(A355,'18.11-07.12.2024'!A:H,5,FALSE))</f>
        <v xml:space="preserve"> </v>
      </c>
      <c r="E355" s="7" t="str">
        <f>IF(A355=""," ",B355*VLOOKUP(A355,'18.11-07.12.2024'!A:H,6,FALSE))</f>
        <v xml:space="preserve"> </v>
      </c>
      <c r="F355" s="7" t="str">
        <f>IF(A355=""," ",B355*VLOOKUP(A355,'18.11-07.12.2024'!A:H,7,FALSE))</f>
        <v xml:space="preserve"> </v>
      </c>
      <c r="G355" s="7" t="str">
        <f>IF(A355=""," ",B355*VLOOKUP(A355,'18.11-07.12.2024'!A:H,8,FALSE))</f>
        <v xml:space="preserve"> </v>
      </c>
    </row>
    <row r="356" spans="1:7" ht="15" x14ac:dyDescent="0.2">
      <c r="A356" s="21"/>
      <c r="B356" s="26"/>
      <c r="C356" s="6" t="str">
        <f>IF(A356=""," ",VLOOKUP(A356,'18.11-07.12.2024'!A:H,2,FALSE))</f>
        <v xml:space="preserve"> </v>
      </c>
      <c r="D356" s="33" t="str">
        <f>IF(A356=""," ",VLOOKUP(A356,'18.11-07.12.2024'!A:H,5,FALSE))</f>
        <v xml:space="preserve"> </v>
      </c>
      <c r="E356" s="7" t="str">
        <f>IF(A356=""," ",B356*VLOOKUP(A356,'18.11-07.12.2024'!A:H,6,FALSE))</f>
        <v xml:space="preserve"> </v>
      </c>
      <c r="F356" s="7" t="str">
        <f>IF(A356=""," ",B356*VLOOKUP(A356,'18.11-07.12.2024'!A:H,7,FALSE))</f>
        <v xml:space="preserve"> </v>
      </c>
      <c r="G356" s="7" t="str">
        <f>IF(A356=""," ",B356*VLOOKUP(A356,'18.11-07.12.2024'!A:H,8,FALSE))</f>
        <v xml:space="preserve"> </v>
      </c>
    </row>
    <row r="357" spans="1:7" ht="15" x14ac:dyDescent="0.2">
      <c r="A357" s="21"/>
      <c r="B357" s="26"/>
      <c r="C357" s="6" t="str">
        <f>IF(A357=""," ",VLOOKUP(A357,'18.11-07.12.2024'!A:H,2,FALSE))</f>
        <v xml:space="preserve"> </v>
      </c>
      <c r="D357" s="33" t="str">
        <f>IF(A357=""," ",VLOOKUP(A357,'18.11-07.12.2024'!A:H,5,FALSE))</f>
        <v xml:space="preserve"> </v>
      </c>
      <c r="E357" s="7" t="str">
        <f>IF(A357=""," ",B357*VLOOKUP(A357,'18.11-07.12.2024'!A:H,6,FALSE))</f>
        <v xml:space="preserve"> </v>
      </c>
      <c r="F357" s="7" t="str">
        <f>IF(A357=""," ",B357*VLOOKUP(A357,'18.11-07.12.2024'!A:H,7,FALSE))</f>
        <v xml:space="preserve"> </v>
      </c>
      <c r="G357" s="7" t="str">
        <f>IF(A357=""," ",B357*VLOOKUP(A357,'18.11-07.12.2024'!A:H,8,FALSE))</f>
        <v xml:space="preserve"> </v>
      </c>
    </row>
    <row r="358" spans="1:7" ht="15" x14ac:dyDescent="0.2">
      <c r="A358" s="21"/>
      <c r="B358" s="26"/>
      <c r="C358" s="6" t="str">
        <f>IF(A358=""," ",VLOOKUP(A358,'18.11-07.12.2024'!A:H,2,FALSE))</f>
        <v xml:space="preserve"> </v>
      </c>
      <c r="D358" s="33" t="str">
        <f>IF(A358=""," ",VLOOKUP(A358,'18.11-07.12.2024'!A:H,5,FALSE))</f>
        <v xml:space="preserve"> </v>
      </c>
      <c r="E358" s="7" t="str">
        <f>IF(A358=""," ",B358*VLOOKUP(A358,'18.11-07.12.2024'!A:H,6,FALSE))</f>
        <v xml:space="preserve"> </v>
      </c>
      <c r="F358" s="7" t="str">
        <f>IF(A358=""," ",B358*VLOOKUP(A358,'18.11-07.12.2024'!A:H,7,FALSE))</f>
        <v xml:space="preserve"> </v>
      </c>
      <c r="G358" s="7" t="str">
        <f>IF(A358=""," ",B358*VLOOKUP(A358,'18.11-07.12.2024'!A:H,8,FALSE))</f>
        <v xml:space="preserve"> </v>
      </c>
    </row>
    <row r="359" spans="1:7" ht="15" x14ac:dyDescent="0.2">
      <c r="A359" s="21"/>
      <c r="B359" s="26"/>
      <c r="C359" s="6" t="str">
        <f>IF(A359=""," ",VLOOKUP(A359,'18.11-07.12.2024'!A:H,2,FALSE))</f>
        <v xml:space="preserve"> </v>
      </c>
      <c r="D359" s="33" t="str">
        <f>IF(A359=""," ",VLOOKUP(A359,'18.11-07.12.2024'!A:H,5,FALSE))</f>
        <v xml:space="preserve"> </v>
      </c>
      <c r="E359" s="7" t="str">
        <f>IF(A359=""," ",B359*VLOOKUP(A359,'18.11-07.12.2024'!A:H,6,FALSE))</f>
        <v xml:space="preserve"> </v>
      </c>
      <c r="F359" s="7" t="str">
        <f>IF(A359=""," ",B359*VLOOKUP(A359,'18.11-07.12.2024'!A:H,7,FALSE))</f>
        <v xml:space="preserve"> </v>
      </c>
      <c r="G359" s="7" t="str">
        <f>IF(A359=""," ",B359*VLOOKUP(A359,'18.11-07.12.2024'!A:H,8,FALSE))</f>
        <v xml:space="preserve"> </v>
      </c>
    </row>
    <row r="360" spans="1:7" ht="15" x14ac:dyDescent="0.2">
      <c r="A360" s="21"/>
      <c r="B360" s="26"/>
      <c r="C360" s="6" t="str">
        <f>IF(A360=""," ",VLOOKUP(A360,'18.11-07.12.2024'!A:H,2,FALSE))</f>
        <v xml:space="preserve"> </v>
      </c>
      <c r="D360" s="33" t="str">
        <f>IF(A360=""," ",VLOOKUP(A360,'18.11-07.12.2024'!A:H,5,FALSE))</f>
        <v xml:space="preserve"> </v>
      </c>
      <c r="E360" s="7" t="str">
        <f>IF(A360=""," ",B360*VLOOKUP(A360,'18.11-07.12.2024'!A:H,6,FALSE))</f>
        <v xml:space="preserve"> </v>
      </c>
      <c r="F360" s="7" t="str">
        <f>IF(A360=""," ",B360*VLOOKUP(A360,'18.11-07.12.2024'!A:H,7,FALSE))</f>
        <v xml:space="preserve"> </v>
      </c>
      <c r="G360" s="7" t="str">
        <f>IF(A360=""," ",B360*VLOOKUP(A360,'18.11-07.12.2024'!A:H,8,FALSE))</f>
        <v xml:space="preserve"> </v>
      </c>
    </row>
    <row r="361" spans="1:7" ht="15" x14ac:dyDescent="0.2">
      <c r="A361" s="21"/>
      <c r="B361" s="26"/>
      <c r="C361" s="6" t="str">
        <f>IF(A361=""," ",VLOOKUP(A361,'18.11-07.12.2024'!A:H,2,FALSE))</f>
        <v xml:space="preserve"> </v>
      </c>
      <c r="D361" s="33" t="str">
        <f>IF(A361=""," ",VLOOKUP(A361,'18.11-07.12.2024'!A:H,5,FALSE))</f>
        <v xml:space="preserve"> </v>
      </c>
      <c r="E361" s="7" t="str">
        <f>IF(A361=""," ",B361*VLOOKUP(A361,'18.11-07.12.2024'!A:H,6,FALSE))</f>
        <v xml:space="preserve"> </v>
      </c>
      <c r="F361" s="7" t="str">
        <f>IF(A361=""," ",B361*VLOOKUP(A361,'18.11-07.12.2024'!A:H,7,FALSE))</f>
        <v xml:space="preserve"> </v>
      </c>
      <c r="G361" s="7" t="str">
        <f>IF(A361=""," ",B361*VLOOKUP(A361,'18.11-07.12.2024'!A:H,8,FALSE))</f>
        <v xml:space="preserve"> </v>
      </c>
    </row>
    <row r="362" spans="1:7" ht="15" x14ac:dyDescent="0.2">
      <c r="A362" s="21"/>
      <c r="B362" s="26"/>
      <c r="C362" s="6" t="str">
        <f>IF(A362=""," ",VLOOKUP(A362,'18.11-07.12.2024'!A:H,2,FALSE))</f>
        <v xml:space="preserve"> </v>
      </c>
      <c r="D362" s="33" t="str">
        <f>IF(A362=""," ",VLOOKUP(A362,'18.11-07.12.2024'!A:H,5,FALSE))</f>
        <v xml:space="preserve"> </v>
      </c>
      <c r="E362" s="7" t="str">
        <f>IF(A362=""," ",B362*VLOOKUP(A362,'18.11-07.12.2024'!A:H,6,FALSE))</f>
        <v xml:space="preserve"> </v>
      </c>
      <c r="F362" s="7" t="str">
        <f>IF(A362=""," ",B362*VLOOKUP(A362,'18.11-07.12.2024'!A:H,7,FALSE))</f>
        <v xml:space="preserve"> </v>
      </c>
      <c r="G362" s="7" t="str">
        <f>IF(A362=""," ",B362*VLOOKUP(A362,'18.11-07.12.2024'!A:H,8,FALSE))</f>
        <v xml:space="preserve"> </v>
      </c>
    </row>
    <row r="363" spans="1:7" ht="15" x14ac:dyDescent="0.2">
      <c r="A363" s="21"/>
      <c r="B363" s="26"/>
      <c r="C363" s="6" t="str">
        <f>IF(A363=""," ",VLOOKUP(A363,'18.11-07.12.2024'!A:H,2,FALSE))</f>
        <v xml:space="preserve"> </v>
      </c>
      <c r="D363" s="33" t="str">
        <f>IF(A363=""," ",VLOOKUP(A363,'18.11-07.12.2024'!A:H,5,FALSE))</f>
        <v xml:space="preserve"> </v>
      </c>
      <c r="E363" s="7" t="str">
        <f>IF(A363=""," ",B363*VLOOKUP(A363,'18.11-07.12.2024'!A:H,6,FALSE))</f>
        <v xml:space="preserve"> </v>
      </c>
      <c r="F363" s="7" t="str">
        <f>IF(A363=""," ",B363*VLOOKUP(A363,'18.11-07.12.2024'!A:H,7,FALSE))</f>
        <v xml:space="preserve"> </v>
      </c>
      <c r="G363" s="7" t="str">
        <f>IF(A363=""," ",B363*VLOOKUP(A363,'18.11-07.12.2024'!A:H,8,FALSE))</f>
        <v xml:space="preserve"> </v>
      </c>
    </row>
    <row r="364" spans="1:7" ht="15" x14ac:dyDescent="0.2">
      <c r="A364" s="21"/>
      <c r="B364" s="26"/>
      <c r="C364" s="6" t="str">
        <f>IF(A364=""," ",VLOOKUP(A364,'18.11-07.12.2024'!A:H,2,FALSE))</f>
        <v xml:space="preserve"> </v>
      </c>
      <c r="D364" s="33" t="str">
        <f>IF(A364=""," ",VLOOKUP(A364,'18.11-07.12.2024'!A:H,5,FALSE))</f>
        <v xml:space="preserve"> </v>
      </c>
      <c r="E364" s="7" t="str">
        <f>IF(A364=""," ",B364*VLOOKUP(A364,'18.11-07.12.2024'!A:H,6,FALSE))</f>
        <v xml:space="preserve"> </v>
      </c>
      <c r="F364" s="7" t="str">
        <f>IF(A364=""," ",B364*VLOOKUP(A364,'18.11-07.12.2024'!A:H,7,FALSE))</f>
        <v xml:space="preserve"> </v>
      </c>
      <c r="G364" s="7" t="str">
        <f>IF(A364=""," ",B364*VLOOKUP(A364,'18.11-07.12.2024'!A:H,8,FALSE))</f>
        <v xml:space="preserve"> </v>
      </c>
    </row>
    <row r="365" spans="1:7" ht="15" x14ac:dyDescent="0.2">
      <c r="A365" s="21"/>
      <c r="B365" s="26"/>
      <c r="C365" s="6" t="str">
        <f>IF(A365=""," ",VLOOKUP(A365,'18.11-07.12.2024'!A:H,2,FALSE))</f>
        <v xml:space="preserve"> </v>
      </c>
      <c r="D365" s="33" t="str">
        <f>IF(A365=""," ",VLOOKUP(A365,'18.11-07.12.2024'!A:H,5,FALSE))</f>
        <v xml:space="preserve"> </v>
      </c>
      <c r="E365" s="7" t="str">
        <f>IF(A365=""," ",B365*VLOOKUP(A365,'18.11-07.12.2024'!A:H,6,FALSE))</f>
        <v xml:space="preserve"> </v>
      </c>
      <c r="F365" s="7" t="str">
        <f>IF(A365=""," ",B365*VLOOKUP(A365,'18.11-07.12.2024'!A:H,7,FALSE))</f>
        <v xml:space="preserve"> </v>
      </c>
      <c r="G365" s="7" t="str">
        <f>IF(A365=""," ",B365*VLOOKUP(A365,'18.11-07.12.2024'!A:H,8,FALSE))</f>
        <v xml:space="preserve"> </v>
      </c>
    </row>
    <row r="366" spans="1:7" ht="15" x14ac:dyDescent="0.2">
      <c r="A366" s="21"/>
      <c r="B366" s="26"/>
      <c r="C366" s="6" t="str">
        <f>IF(A366=""," ",VLOOKUP(A366,'18.11-07.12.2024'!A:H,2,FALSE))</f>
        <v xml:space="preserve"> </v>
      </c>
      <c r="D366" s="33" t="str">
        <f>IF(A366=""," ",VLOOKUP(A366,'18.11-07.12.2024'!A:H,5,FALSE))</f>
        <v xml:space="preserve"> </v>
      </c>
      <c r="E366" s="7" t="str">
        <f>IF(A366=""," ",B366*VLOOKUP(A366,'18.11-07.12.2024'!A:H,6,FALSE))</f>
        <v xml:space="preserve"> </v>
      </c>
      <c r="F366" s="7" t="str">
        <f>IF(A366=""," ",B366*VLOOKUP(A366,'18.11-07.12.2024'!A:H,7,FALSE))</f>
        <v xml:space="preserve"> </v>
      </c>
      <c r="G366" s="7" t="str">
        <f>IF(A366=""," ",B366*VLOOKUP(A366,'18.11-07.12.2024'!A:H,8,FALSE))</f>
        <v xml:space="preserve"> </v>
      </c>
    </row>
    <row r="367" spans="1:7" ht="15" x14ac:dyDescent="0.2">
      <c r="A367" s="21"/>
      <c r="B367" s="26"/>
      <c r="C367" s="6" t="str">
        <f>IF(A367=""," ",VLOOKUP(A367,'18.11-07.12.2024'!A:H,2,FALSE))</f>
        <v xml:space="preserve"> </v>
      </c>
      <c r="D367" s="33" t="str">
        <f>IF(A367=""," ",VLOOKUP(A367,'18.11-07.12.2024'!A:H,5,FALSE))</f>
        <v xml:space="preserve"> </v>
      </c>
      <c r="E367" s="7" t="str">
        <f>IF(A367=""," ",B367*VLOOKUP(A367,'18.11-07.12.2024'!A:H,6,FALSE))</f>
        <v xml:space="preserve"> </v>
      </c>
      <c r="F367" s="7" t="str">
        <f>IF(A367=""," ",B367*VLOOKUP(A367,'18.11-07.12.2024'!A:H,7,FALSE))</f>
        <v xml:space="preserve"> </v>
      </c>
      <c r="G367" s="7" t="str">
        <f>IF(A367=""," ",B367*VLOOKUP(A367,'18.11-07.12.2024'!A:H,8,FALSE))</f>
        <v xml:space="preserve"> </v>
      </c>
    </row>
    <row r="368" spans="1:7" ht="15" x14ac:dyDescent="0.2">
      <c r="A368" s="21"/>
      <c r="B368" s="26"/>
      <c r="C368" s="6" t="str">
        <f>IF(A368=""," ",VLOOKUP(A368,'18.11-07.12.2024'!A:H,2,FALSE))</f>
        <v xml:space="preserve"> </v>
      </c>
      <c r="D368" s="33" t="str">
        <f>IF(A368=""," ",VLOOKUP(A368,'18.11-07.12.2024'!A:H,5,FALSE))</f>
        <v xml:space="preserve"> </v>
      </c>
      <c r="E368" s="7" t="str">
        <f>IF(A368=""," ",B368*VLOOKUP(A368,'18.11-07.12.2024'!A:H,6,FALSE))</f>
        <v xml:space="preserve"> </v>
      </c>
      <c r="F368" s="7" t="str">
        <f>IF(A368=""," ",B368*VLOOKUP(A368,'18.11-07.12.2024'!A:H,7,FALSE))</f>
        <v xml:space="preserve"> </v>
      </c>
      <c r="G368" s="7" t="str">
        <f>IF(A368=""," ",B368*VLOOKUP(A368,'18.11-07.12.2024'!A:H,8,FALSE))</f>
        <v xml:space="preserve"> </v>
      </c>
    </row>
    <row r="369" spans="1:7" ht="15" x14ac:dyDescent="0.2">
      <c r="A369" s="21"/>
      <c r="B369" s="26"/>
      <c r="C369" s="6" t="str">
        <f>IF(A369=""," ",VLOOKUP(A369,'18.11-07.12.2024'!A:H,2,FALSE))</f>
        <v xml:space="preserve"> </v>
      </c>
      <c r="D369" s="33" t="str">
        <f>IF(A369=""," ",VLOOKUP(A369,'18.11-07.12.2024'!A:H,5,FALSE))</f>
        <v xml:space="preserve"> </v>
      </c>
      <c r="E369" s="7" t="str">
        <f>IF(A369=""," ",B369*VLOOKUP(A369,'18.11-07.12.2024'!A:H,6,FALSE))</f>
        <v xml:space="preserve"> </v>
      </c>
      <c r="F369" s="7" t="str">
        <f>IF(A369=""," ",B369*VLOOKUP(A369,'18.11-07.12.2024'!A:H,7,FALSE))</f>
        <v xml:space="preserve"> </v>
      </c>
      <c r="G369" s="7" t="str">
        <f>IF(A369=""," ",B369*VLOOKUP(A369,'18.11-07.12.2024'!A:H,8,FALSE))</f>
        <v xml:space="preserve"> </v>
      </c>
    </row>
    <row r="370" spans="1:7" ht="15" x14ac:dyDescent="0.2">
      <c r="A370" s="21"/>
      <c r="B370" s="26"/>
      <c r="C370" s="6" t="str">
        <f>IF(A370=""," ",VLOOKUP(A370,'18.11-07.12.2024'!A:H,2,FALSE))</f>
        <v xml:space="preserve"> </v>
      </c>
      <c r="D370" s="33" t="str">
        <f>IF(A370=""," ",VLOOKUP(A370,'18.11-07.12.2024'!A:H,5,FALSE))</f>
        <v xml:space="preserve"> </v>
      </c>
      <c r="E370" s="7" t="str">
        <f>IF(A370=""," ",B370*VLOOKUP(A370,'18.11-07.12.2024'!A:H,6,FALSE))</f>
        <v xml:space="preserve"> </v>
      </c>
      <c r="F370" s="7" t="str">
        <f>IF(A370=""," ",B370*VLOOKUP(A370,'18.11-07.12.2024'!A:H,7,FALSE))</f>
        <v xml:space="preserve"> </v>
      </c>
      <c r="G370" s="7" t="str">
        <f>IF(A370=""," ",B370*VLOOKUP(A370,'18.11-07.12.2024'!A:H,8,FALSE))</f>
        <v xml:space="preserve"> </v>
      </c>
    </row>
    <row r="371" spans="1:7" ht="15" x14ac:dyDescent="0.2">
      <c r="A371" s="21"/>
      <c r="B371" s="26"/>
      <c r="C371" s="6" t="str">
        <f>IF(A371=""," ",VLOOKUP(A371,'18.11-07.12.2024'!A:H,2,FALSE))</f>
        <v xml:space="preserve"> </v>
      </c>
      <c r="D371" s="33" t="str">
        <f>IF(A371=""," ",VLOOKUP(A371,'18.11-07.12.2024'!A:H,5,FALSE))</f>
        <v xml:space="preserve"> </v>
      </c>
      <c r="E371" s="7" t="str">
        <f>IF(A371=""," ",B371*VLOOKUP(A371,'18.11-07.12.2024'!A:H,6,FALSE))</f>
        <v xml:space="preserve"> </v>
      </c>
      <c r="F371" s="7" t="str">
        <f>IF(A371=""," ",B371*VLOOKUP(A371,'18.11-07.12.2024'!A:H,7,FALSE))</f>
        <v xml:space="preserve"> </v>
      </c>
      <c r="G371" s="7" t="str">
        <f>IF(A371=""," ",B371*VLOOKUP(A371,'18.11-07.12.2024'!A:H,8,FALSE))</f>
        <v xml:space="preserve"> </v>
      </c>
    </row>
    <row r="372" spans="1:7" ht="15" x14ac:dyDescent="0.2">
      <c r="A372" s="21"/>
      <c r="B372" s="26"/>
      <c r="C372" s="6" t="str">
        <f>IF(A372=""," ",VLOOKUP(A372,'18.11-07.12.2024'!A:H,2,FALSE))</f>
        <v xml:space="preserve"> </v>
      </c>
      <c r="D372" s="33" t="str">
        <f>IF(A372=""," ",VLOOKUP(A372,'18.11-07.12.2024'!A:H,5,FALSE))</f>
        <v xml:space="preserve"> </v>
      </c>
      <c r="E372" s="7" t="str">
        <f>IF(A372=""," ",B372*VLOOKUP(A372,'18.11-07.12.2024'!A:H,6,FALSE))</f>
        <v xml:space="preserve"> </v>
      </c>
      <c r="F372" s="7" t="str">
        <f>IF(A372=""," ",B372*VLOOKUP(A372,'18.11-07.12.2024'!A:H,7,FALSE))</f>
        <v xml:space="preserve"> </v>
      </c>
      <c r="G372" s="7" t="str">
        <f>IF(A372=""," ",B372*VLOOKUP(A372,'18.11-07.12.2024'!A:H,8,FALSE))</f>
        <v xml:space="preserve"> </v>
      </c>
    </row>
    <row r="373" spans="1:7" ht="15" x14ac:dyDescent="0.2">
      <c r="A373" s="21"/>
      <c r="B373" s="26"/>
      <c r="C373" s="6" t="str">
        <f>IF(A373=""," ",VLOOKUP(A373,'18.11-07.12.2024'!A:H,2,FALSE))</f>
        <v xml:space="preserve"> </v>
      </c>
      <c r="D373" s="33" t="str">
        <f>IF(A373=""," ",VLOOKUP(A373,'18.11-07.12.2024'!A:H,5,FALSE))</f>
        <v xml:space="preserve"> </v>
      </c>
      <c r="E373" s="7" t="str">
        <f>IF(A373=""," ",B373*VLOOKUP(A373,'18.11-07.12.2024'!A:H,6,FALSE))</f>
        <v xml:space="preserve"> </v>
      </c>
      <c r="F373" s="7" t="str">
        <f>IF(A373=""," ",B373*VLOOKUP(A373,'18.11-07.12.2024'!A:H,7,FALSE))</f>
        <v xml:space="preserve"> </v>
      </c>
      <c r="G373" s="7" t="str">
        <f>IF(A373=""," ",B373*VLOOKUP(A373,'18.11-07.12.2024'!A:H,8,FALSE))</f>
        <v xml:space="preserve"> </v>
      </c>
    </row>
    <row r="374" spans="1:7" ht="15" x14ac:dyDescent="0.2">
      <c r="A374" s="21"/>
      <c r="B374" s="26"/>
      <c r="C374" s="6" t="str">
        <f>IF(A374=""," ",VLOOKUP(A374,'18.11-07.12.2024'!A:H,2,FALSE))</f>
        <v xml:space="preserve"> </v>
      </c>
      <c r="D374" s="33" t="str">
        <f>IF(A374=""," ",VLOOKUP(A374,'18.11-07.12.2024'!A:H,5,FALSE))</f>
        <v xml:space="preserve"> </v>
      </c>
      <c r="E374" s="7" t="str">
        <f>IF(A374=""," ",B374*VLOOKUP(A374,'18.11-07.12.2024'!A:H,6,FALSE))</f>
        <v xml:space="preserve"> </v>
      </c>
      <c r="F374" s="7" t="str">
        <f>IF(A374=""," ",B374*VLOOKUP(A374,'18.11-07.12.2024'!A:H,7,FALSE))</f>
        <v xml:space="preserve"> </v>
      </c>
      <c r="G374" s="7" t="str">
        <f>IF(A374=""," ",B374*VLOOKUP(A374,'18.11-07.12.2024'!A:H,8,FALSE))</f>
        <v xml:space="preserve"> </v>
      </c>
    </row>
    <row r="375" spans="1:7" ht="15" x14ac:dyDescent="0.2">
      <c r="A375" s="21"/>
      <c r="B375" s="26"/>
      <c r="C375" s="6" t="str">
        <f>IF(A375=""," ",VLOOKUP(A375,'18.11-07.12.2024'!A:H,2,FALSE))</f>
        <v xml:space="preserve"> </v>
      </c>
      <c r="D375" s="33" t="str">
        <f>IF(A375=""," ",VLOOKUP(A375,'18.11-07.12.2024'!A:H,5,FALSE))</f>
        <v xml:space="preserve"> </v>
      </c>
      <c r="E375" s="7" t="str">
        <f>IF(A375=""," ",B375*VLOOKUP(A375,'18.11-07.12.2024'!A:H,6,FALSE))</f>
        <v xml:space="preserve"> </v>
      </c>
      <c r="F375" s="7" t="str">
        <f>IF(A375=""," ",B375*VLOOKUP(A375,'18.11-07.12.2024'!A:H,7,FALSE))</f>
        <v xml:space="preserve"> </v>
      </c>
      <c r="G375" s="7" t="str">
        <f>IF(A375=""," ",B375*VLOOKUP(A375,'18.11-07.12.2024'!A:H,8,FALSE))</f>
        <v xml:space="preserve"> </v>
      </c>
    </row>
    <row r="376" spans="1:7" ht="15" x14ac:dyDescent="0.2">
      <c r="A376" s="21"/>
      <c r="B376" s="26"/>
      <c r="C376" s="6" t="str">
        <f>IF(A376=""," ",VLOOKUP(A376,'18.11-07.12.2024'!A:H,2,FALSE))</f>
        <v xml:space="preserve"> </v>
      </c>
      <c r="D376" s="33" t="str">
        <f>IF(A376=""," ",VLOOKUP(A376,'18.11-07.12.2024'!A:H,5,FALSE))</f>
        <v xml:space="preserve"> </v>
      </c>
      <c r="E376" s="7" t="str">
        <f>IF(A376=""," ",B376*VLOOKUP(A376,'18.11-07.12.2024'!A:H,6,FALSE))</f>
        <v xml:space="preserve"> </v>
      </c>
      <c r="F376" s="7" t="str">
        <f>IF(A376=""," ",B376*VLOOKUP(A376,'18.11-07.12.2024'!A:H,7,FALSE))</f>
        <v xml:space="preserve"> </v>
      </c>
      <c r="G376" s="7" t="str">
        <f>IF(A376=""," ",B376*VLOOKUP(A376,'18.11-07.12.2024'!A:H,8,FALSE))</f>
        <v xml:space="preserve"> </v>
      </c>
    </row>
    <row r="377" spans="1:7" ht="15" x14ac:dyDescent="0.2">
      <c r="A377" s="21"/>
      <c r="B377" s="26"/>
      <c r="C377" s="6" t="str">
        <f>IF(A377=""," ",VLOOKUP(A377,'18.11-07.12.2024'!A:H,2,FALSE))</f>
        <v xml:space="preserve"> </v>
      </c>
      <c r="D377" s="33" t="str">
        <f>IF(A377=""," ",VLOOKUP(A377,'18.11-07.12.2024'!A:H,5,FALSE))</f>
        <v xml:space="preserve"> </v>
      </c>
      <c r="E377" s="7" t="str">
        <f>IF(A377=""," ",B377*VLOOKUP(A377,'18.11-07.12.2024'!A:H,6,FALSE))</f>
        <v xml:space="preserve"> </v>
      </c>
      <c r="F377" s="7" t="str">
        <f>IF(A377=""," ",B377*VLOOKUP(A377,'18.11-07.12.2024'!A:H,7,FALSE))</f>
        <v xml:space="preserve"> </v>
      </c>
      <c r="G377" s="7" t="str">
        <f>IF(A377=""," ",B377*VLOOKUP(A377,'18.11-07.12.2024'!A:H,8,FALSE))</f>
        <v xml:space="preserve"> </v>
      </c>
    </row>
    <row r="378" spans="1:7" ht="15" x14ac:dyDescent="0.2">
      <c r="A378" s="21"/>
      <c r="B378" s="26"/>
      <c r="C378" s="6" t="str">
        <f>IF(A378=""," ",VLOOKUP(A378,'18.11-07.12.2024'!A:H,2,FALSE))</f>
        <v xml:space="preserve"> </v>
      </c>
      <c r="D378" s="33" t="str">
        <f>IF(A378=""," ",VLOOKUP(A378,'18.11-07.12.2024'!A:H,5,FALSE))</f>
        <v xml:space="preserve"> </v>
      </c>
      <c r="E378" s="7" t="str">
        <f>IF(A378=""," ",B378*VLOOKUP(A378,'18.11-07.12.2024'!A:H,6,FALSE))</f>
        <v xml:space="preserve"> </v>
      </c>
      <c r="F378" s="7" t="str">
        <f>IF(A378=""," ",B378*VLOOKUP(A378,'18.11-07.12.2024'!A:H,7,FALSE))</f>
        <v xml:space="preserve"> </v>
      </c>
      <c r="G378" s="7" t="str">
        <f>IF(A378=""," ",B378*VLOOKUP(A378,'18.11-07.12.2024'!A:H,8,FALSE))</f>
        <v xml:space="preserve"> </v>
      </c>
    </row>
    <row r="379" spans="1:7" ht="15" x14ac:dyDescent="0.2">
      <c r="A379" s="21"/>
      <c r="B379" s="26"/>
      <c r="C379" s="6" t="str">
        <f>IF(A379=""," ",VLOOKUP(A379,'18.11-07.12.2024'!A:H,2,FALSE))</f>
        <v xml:space="preserve"> </v>
      </c>
      <c r="D379" s="33" t="str">
        <f>IF(A379=""," ",VLOOKUP(A379,'18.11-07.12.2024'!A:H,5,FALSE))</f>
        <v xml:space="preserve"> </v>
      </c>
      <c r="E379" s="7" t="str">
        <f>IF(A379=""," ",B379*VLOOKUP(A379,'18.11-07.12.2024'!A:H,6,FALSE))</f>
        <v xml:space="preserve"> </v>
      </c>
      <c r="F379" s="7" t="str">
        <f>IF(A379=""," ",B379*VLOOKUP(A379,'18.11-07.12.2024'!A:H,7,FALSE))</f>
        <v xml:space="preserve"> </v>
      </c>
      <c r="G379" s="7" t="str">
        <f>IF(A379=""," ",B379*VLOOKUP(A379,'18.11-07.12.2024'!A:H,8,FALSE))</f>
        <v xml:space="preserve"> </v>
      </c>
    </row>
    <row r="380" spans="1:7" ht="15" x14ac:dyDescent="0.2">
      <c r="A380" s="21"/>
      <c r="B380" s="26"/>
      <c r="C380" s="6" t="str">
        <f>IF(A380=""," ",VLOOKUP(A380,'18.11-07.12.2024'!A:H,2,FALSE))</f>
        <v xml:space="preserve"> </v>
      </c>
      <c r="D380" s="33" t="str">
        <f>IF(A380=""," ",VLOOKUP(A380,'18.11-07.12.2024'!A:H,5,FALSE))</f>
        <v xml:space="preserve"> </v>
      </c>
      <c r="E380" s="7" t="str">
        <f>IF(A380=""," ",B380*VLOOKUP(A380,'18.11-07.12.2024'!A:H,6,FALSE))</f>
        <v xml:space="preserve"> </v>
      </c>
      <c r="F380" s="7" t="str">
        <f>IF(A380=""," ",B380*VLOOKUP(A380,'18.11-07.12.2024'!A:H,7,FALSE))</f>
        <v xml:space="preserve"> </v>
      </c>
      <c r="G380" s="7" t="str">
        <f>IF(A380=""," ",B380*VLOOKUP(A380,'18.11-07.12.2024'!A:H,8,FALSE))</f>
        <v xml:space="preserve"> </v>
      </c>
    </row>
    <row r="381" spans="1:7" ht="15" x14ac:dyDescent="0.2">
      <c r="A381" s="21"/>
      <c r="B381" s="26"/>
      <c r="C381" s="6" t="str">
        <f>IF(A381=""," ",VLOOKUP(A381,'18.11-07.12.2024'!A:H,2,FALSE))</f>
        <v xml:space="preserve"> </v>
      </c>
      <c r="D381" s="33" t="str">
        <f>IF(A381=""," ",VLOOKUP(A381,'18.11-07.12.2024'!A:H,5,FALSE))</f>
        <v xml:space="preserve"> </v>
      </c>
      <c r="E381" s="7" t="str">
        <f>IF(A381=""," ",B381*VLOOKUP(A381,'18.11-07.12.2024'!A:H,6,FALSE))</f>
        <v xml:space="preserve"> </v>
      </c>
      <c r="F381" s="7" t="str">
        <f>IF(A381=""," ",B381*VLOOKUP(A381,'18.11-07.12.2024'!A:H,7,FALSE))</f>
        <v xml:space="preserve"> </v>
      </c>
      <c r="G381" s="7" t="str">
        <f>IF(A381=""," ",B381*VLOOKUP(A381,'18.11-07.12.2024'!A:H,8,FALSE))</f>
        <v xml:space="preserve"> </v>
      </c>
    </row>
    <row r="382" spans="1:7" ht="15" x14ac:dyDescent="0.2">
      <c r="A382" s="21"/>
      <c r="B382" s="26"/>
      <c r="C382" s="6" t="str">
        <f>IF(A382=""," ",VLOOKUP(A382,'18.11-07.12.2024'!A:H,2,FALSE))</f>
        <v xml:space="preserve"> </v>
      </c>
      <c r="D382" s="33" t="str">
        <f>IF(A382=""," ",VLOOKUP(A382,'18.11-07.12.2024'!A:H,5,FALSE))</f>
        <v xml:space="preserve"> </v>
      </c>
      <c r="E382" s="7" t="str">
        <f>IF(A382=""," ",B382*VLOOKUP(A382,'18.11-07.12.2024'!A:H,6,FALSE))</f>
        <v xml:space="preserve"> </v>
      </c>
      <c r="F382" s="7" t="str">
        <f>IF(A382=""," ",B382*VLOOKUP(A382,'18.11-07.12.2024'!A:H,7,FALSE))</f>
        <v xml:space="preserve"> </v>
      </c>
      <c r="G382" s="7" t="str">
        <f>IF(A382=""," ",B382*VLOOKUP(A382,'18.11-07.12.2024'!A:H,8,FALSE))</f>
        <v xml:space="preserve"> </v>
      </c>
    </row>
    <row r="383" spans="1:7" ht="15" x14ac:dyDescent="0.2">
      <c r="A383" s="21"/>
      <c r="B383" s="26"/>
      <c r="C383" s="6" t="str">
        <f>IF(A383=""," ",VLOOKUP(A383,'18.11-07.12.2024'!A:H,2,FALSE))</f>
        <v xml:space="preserve"> </v>
      </c>
      <c r="D383" s="33" t="str">
        <f>IF(A383=""," ",VLOOKUP(A383,'18.11-07.12.2024'!A:H,5,FALSE))</f>
        <v xml:space="preserve"> </v>
      </c>
      <c r="E383" s="7" t="str">
        <f>IF(A383=""," ",B383*VLOOKUP(A383,'18.11-07.12.2024'!A:H,6,FALSE))</f>
        <v xml:space="preserve"> </v>
      </c>
      <c r="F383" s="7" t="str">
        <f>IF(A383=""," ",B383*VLOOKUP(A383,'18.11-07.12.2024'!A:H,7,FALSE))</f>
        <v xml:space="preserve"> </v>
      </c>
      <c r="G383" s="7" t="str">
        <f>IF(A383=""," ",B383*VLOOKUP(A383,'18.11-07.12.2024'!A:H,8,FALSE))</f>
        <v xml:space="preserve"> </v>
      </c>
    </row>
    <row r="384" spans="1:7" ht="15" x14ac:dyDescent="0.2">
      <c r="A384" s="21"/>
      <c r="B384" s="26"/>
      <c r="C384" s="6" t="str">
        <f>IF(A384=""," ",VLOOKUP(A384,'18.11-07.12.2024'!A:H,2,FALSE))</f>
        <v xml:space="preserve"> </v>
      </c>
      <c r="D384" s="33" t="str">
        <f>IF(A384=""," ",VLOOKUP(A384,'18.11-07.12.2024'!A:H,5,FALSE))</f>
        <v xml:space="preserve"> </v>
      </c>
      <c r="E384" s="7" t="str">
        <f>IF(A384=""," ",B384*VLOOKUP(A384,'18.11-07.12.2024'!A:H,6,FALSE))</f>
        <v xml:space="preserve"> </v>
      </c>
      <c r="F384" s="7" t="str">
        <f>IF(A384=""," ",B384*VLOOKUP(A384,'18.11-07.12.2024'!A:H,7,FALSE))</f>
        <v xml:space="preserve"> </v>
      </c>
      <c r="G384" s="7" t="str">
        <f>IF(A384=""," ",B384*VLOOKUP(A384,'18.11-07.12.2024'!A:H,8,FALSE))</f>
        <v xml:space="preserve"> </v>
      </c>
    </row>
    <row r="385" spans="1:7" ht="15" x14ac:dyDescent="0.2">
      <c r="A385" s="21"/>
      <c r="B385" s="26"/>
      <c r="C385" s="6" t="str">
        <f>IF(A385=""," ",VLOOKUP(A385,'18.11-07.12.2024'!A:H,2,FALSE))</f>
        <v xml:space="preserve"> </v>
      </c>
      <c r="D385" s="33" t="str">
        <f>IF(A385=""," ",VLOOKUP(A385,'18.11-07.12.2024'!A:H,5,FALSE))</f>
        <v xml:space="preserve"> </v>
      </c>
      <c r="E385" s="7" t="str">
        <f>IF(A385=""," ",B385*VLOOKUP(A385,'18.11-07.12.2024'!A:H,6,FALSE))</f>
        <v xml:space="preserve"> </v>
      </c>
      <c r="F385" s="7" t="str">
        <f>IF(A385=""," ",B385*VLOOKUP(A385,'18.11-07.12.2024'!A:H,7,FALSE))</f>
        <v xml:space="preserve"> </v>
      </c>
      <c r="G385" s="7" t="str">
        <f>IF(A385=""," ",B385*VLOOKUP(A385,'18.11-07.12.2024'!A:H,8,FALSE))</f>
        <v xml:space="preserve"> </v>
      </c>
    </row>
    <row r="386" spans="1:7" ht="15" x14ac:dyDescent="0.2">
      <c r="A386" s="21"/>
      <c r="B386" s="26"/>
      <c r="C386" s="6" t="str">
        <f>IF(A386=""," ",VLOOKUP(A386,'18.11-07.12.2024'!A:H,2,FALSE))</f>
        <v xml:space="preserve"> </v>
      </c>
      <c r="D386" s="33" t="str">
        <f>IF(A386=""," ",VLOOKUP(A386,'18.11-07.12.2024'!A:H,5,FALSE))</f>
        <v xml:space="preserve"> </v>
      </c>
      <c r="E386" s="7" t="str">
        <f>IF(A386=""," ",B386*VLOOKUP(A386,'18.11-07.12.2024'!A:H,6,FALSE))</f>
        <v xml:space="preserve"> </v>
      </c>
      <c r="F386" s="7" t="str">
        <f>IF(A386=""," ",B386*VLOOKUP(A386,'18.11-07.12.2024'!A:H,7,FALSE))</f>
        <v xml:space="preserve"> </v>
      </c>
      <c r="G386" s="7" t="str">
        <f>IF(A386=""," ",B386*VLOOKUP(A386,'18.11-07.12.2024'!A:H,8,FALSE))</f>
        <v xml:space="preserve"> </v>
      </c>
    </row>
    <row r="387" spans="1:7" ht="15" x14ac:dyDescent="0.2">
      <c r="A387" s="21"/>
      <c r="B387" s="26"/>
      <c r="C387" s="6" t="str">
        <f>IF(A387=""," ",VLOOKUP(A387,'18.11-07.12.2024'!A:H,2,FALSE))</f>
        <v xml:space="preserve"> </v>
      </c>
      <c r="D387" s="33" t="str">
        <f>IF(A387=""," ",VLOOKUP(A387,'18.11-07.12.2024'!A:H,5,FALSE))</f>
        <v xml:space="preserve"> </v>
      </c>
      <c r="E387" s="7" t="str">
        <f>IF(A387=""," ",B387*VLOOKUP(A387,'18.11-07.12.2024'!A:H,6,FALSE))</f>
        <v xml:space="preserve"> </v>
      </c>
      <c r="F387" s="7" t="str">
        <f>IF(A387=""," ",B387*VLOOKUP(A387,'18.11-07.12.2024'!A:H,7,FALSE))</f>
        <v xml:space="preserve"> </v>
      </c>
      <c r="G387" s="7" t="str">
        <f>IF(A387=""," ",B387*VLOOKUP(A387,'18.11-07.12.2024'!A:H,8,FALSE))</f>
        <v xml:space="preserve"> </v>
      </c>
    </row>
    <row r="388" spans="1:7" ht="15" x14ac:dyDescent="0.2">
      <c r="A388" s="21"/>
      <c r="B388" s="26"/>
      <c r="C388" s="6" t="str">
        <f>IF(A388=""," ",VLOOKUP(A388,'18.11-07.12.2024'!A:H,2,FALSE))</f>
        <v xml:space="preserve"> </v>
      </c>
      <c r="D388" s="33" t="str">
        <f>IF(A388=""," ",VLOOKUP(A388,'18.11-07.12.2024'!A:H,5,FALSE))</f>
        <v xml:space="preserve"> </v>
      </c>
      <c r="E388" s="7" t="str">
        <f>IF(A388=""," ",B388*VLOOKUP(A388,'18.11-07.12.2024'!A:H,6,FALSE))</f>
        <v xml:space="preserve"> </v>
      </c>
      <c r="F388" s="7" t="str">
        <f>IF(A388=""," ",B388*VLOOKUP(A388,'18.11-07.12.2024'!A:H,7,FALSE))</f>
        <v xml:space="preserve"> </v>
      </c>
      <c r="G388" s="7" t="str">
        <f>IF(A388=""," ",B388*VLOOKUP(A388,'18.11-07.12.2024'!A:H,8,FALSE))</f>
        <v xml:space="preserve"> </v>
      </c>
    </row>
    <row r="389" spans="1:7" ht="15" x14ac:dyDescent="0.2">
      <c r="A389" s="21"/>
      <c r="B389" s="26"/>
      <c r="C389" s="6" t="str">
        <f>IF(A389=""," ",VLOOKUP(A389,'18.11-07.12.2024'!A:H,2,FALSE))</f>
        <v xml:space="preserve"> </v>
      </c>
      <c r="D389" s="33" t="str">
        <f>IF(A389=""," ",VLOOKUP(A389,'18.11-07.12.2024'!A:H,5,FALSE))</f>
        <v xml:space="preserve"> </v>
      </c>
      <c r="E389" s="7" t="str">
        <f>IF(A389=""," ",B389*VLOOKUP(A389,'18.11-07.12.2024'!A:H,6,FALSE))</f>
        <v xml:space="preserve"> </v>
      </c>
      <c r="F389" s="7" t="str">
        <f>IF(A389=""," ",B389*VLOOKUP(A389,'18.11-07.12.2024'!A:H,7,FALSE))</f>
        <v xml:space="preserve"> </v>
      </c>
      <c r="G389" s="7" t="str">
        <f>IF(A389=""," ",B389*VLOOKUP(A389,'18.11-07.12.2024'!A:H,8,FALSE))</f>
        <v xml:space="preserve"> </v>
      </c>
    </row>
    <row r="390" spans="1:7" ht="15" x14ac:dyDescent="0.2">
      <c r="A390" s="21"/>
      <c r="B390" s="26"/>
      <c r="C390" s="6" t="str">
        <f>IF(A390=""," ",VLOOKUP(A390,'18.11-07.12.2024'!A:H,2,FALSE))</f>
        <v xml:space="preserve"> </v>
      </c>
      <c r="D390" s="33" t="str">
        <f>IF(A390=""," ",VLOOKUP(A390,'18.11-07.12.2024'!A:H,5,FALSE))</f>
        <v xml:space="preserve"> </v>
      </c>
      <c r="E390" s="7" t="str">
        <f>IF(A390=""," ",B390*VLOOKUP(A390,'18.11-07.12.2024'!A:H,6,FALSE))</f>
        <v xml:space="preserve"> </v>
      </c>
      <c r="F390" s="7" t="str">
        <f>IF(A390=""," ",B390*VLOOKUP(A390,'18.11-07.12.2024'!A:H,7,FALSE))</f>
        <v xml:space="preserve"> </v>
      </c>
      <c r="G390" s="7" t="str">
        <f>IF(A390=""," ",B390*VLOOKUP(A390,'18.11-07.12.2024'!A:H,8,FALSE))</f>
        <v xml:space="preserve"> </v>
      </c>
    </row>
    <row r="391" spans="1:7" ht="15" x14ac:dyDescent="0.2">
      <c r="A391" s="21"/>
      <c r="B391" s="26"/>
      <c r="C391" s="6" t="str">
        <f>IF(A391=""," ",VLOOKUP(A391,'18.11-07.12.2024'!A:H,2,FALSE))</f>
        <v xml:space="preserve"> </v>
      </c>
      <c r="D391" s="33" t="str">
        <f>IF(A391=""," ",VLOOKUP(A391,'18.11-07.12.2024'!A:H,5,FALSE))</f>
        <v xml:space="preserve"> </v>
      </c>
      <c r="E391" s="7" t="str">
        <f>IF(A391=""," ",B391*VLOOKUP(A391,'18.11-07.12.2024'!A:H,6,FALSE))</f>
        <v xml:space="preserve"> </v>
      </c>
      <c r="F391" s="7" t="str">
        <f>IF(A391=""," ",B391*VLOOKUP(A391,'18.11-07.12.2024'!A:H,7,FALSE))</f>
        <v xml:space="preserve"> </v>
      </c>
      <c r="G391" s="7" t="str">
        <f>IF(A391=""," ",B391*VLOOKUP(A391,'18.11-07.12.2024'!A:H,8,FALSE))</f>
        <v xml:space="preserve"> </v>
      </c>
    </row>
    <row r="392" spans="1:7" ht="15" x14ac:dyDescent="0.2">
      <c r="A392" s="21"/>
      <c r="B392" s="26"/>
      <c r="C392" s="6" t="str">
        <f>IF(A392=""," ",VLOOKUP(A392,'18.11-07.12.2024'!A:H,2,FALSE))</f>
        <v xml:space="preserve"> </v>
      </c>
      <c r="D392" s="33" t="str">
        <f>IF(A392=""," ",VLOOKUP(A392,'18.11-07.12.2024'!A:H,5,FALSE))</f>
        <v xml:space="preserve"> </v>
      </c>
      <c r="E392" s="7" t="str">
        <f>IF(A392=""," ",B392*VLOOKUP(A392,'18.11-07.12.2024'!A:H,6,FALSE))</f>
        <v xml:space="preserve"> </v>
      </c>
      <c r="F392" s="7" t="str">
        <f>IF(A392=""," ",B392*VLOOKUP(A392,'18.11-07.12.2024'!A:H,7,FALSE))</f>
        <v xml:space="preserve"> </v>
      </c>
      <c r="G392" s="7" t="str">
        <f>IF(A392=""," ",B392*VLOOKUP(A392,'18.11-07.12.2024'!A:H,8,FALSE))</f>
        <v xml:space="preserve"> </v>
      </c>
    </row>
    <row r="393" spans="1:7" ht="15" x14ac:dyDescent="0.2">
      <c r="A393" s="21"/>
      <c r="B393" s="26"/>
      <c r="C393" s="6" t="str">
        <f>IF(A393=""," ",VLOOKUP(A393,'18.11-07.12.2024'!A:H,2,FALSE))</f>
        <v xml:space="preserve"> </v>
      </c>
      <c r="D393" s="33" t="str">
        <f>IF(A393=""," ",VLOOKUP(A393,'18.11-07.12.2024'!A:H,5,FALSE))</f>
        <v xml:space="preserve"> </v>
      </c>
      <c r="E393" s="7" t="str">
        <f>IF(A393=""," ",B393*VLOOKUP(A393,'18.11-07.12.2024'!A:H,6,FALSE))</f>
        <v xml:space="preserve"> </v>
      </c>
      <c r="F393" s="7" t="str">
        <f>IF(A393=""," ",B393*VLOOKUP(A393,'18.11-07.12.2024'!A:H,7,FALSE))</f>
        <v xml:space="preserve"> </v>
      </c>
      <c r="G393" s="7" t="str">
        <f>IF(A393=""," ",B393*VLOOKUP(A393,'18.11-07.12.2024'!A:H,8,FALSE))</f>
        <v xml:space="preserve"> </v>
      </c>
    </row>
    <row r="394" spans="1:7" ht="15" x14ac:dyDescent="0.2">
      <c r="A394" s="21"/>
      <c r="B394" s="26"/>
      <c r="C394" s="6" t="str">
        <f>IF(A394=""," ",VLOOKUP(A394,'18.11-07.12.2024'!A:H,2,FALSE))</f>
        <v xml:space="preserve"> </v>
      </c>
      <c r="D394" s="33" t="str">
        <f>IF(A394=""," ",VLOOKUP(A394,'18.11-07.12.2024'!A:H,5,FALSE))</f>
        <v xml:space="preserve"> </v>
      </c>
      <c r="E394" s="7" t="str">
        <f>IF(A394=""," ",B394*VLOOKUP(A394,'18.11-07.12.2024'!A:H,6,FALSE))</f>
        <v xml:space="preserve"> </v>
      </c>
      <c r="F394" s="7" t="str">
        <f>IF(A394=""," ",B394*VLOOKUP(A394,'18.11-07.12.2024'!A:H,7,FALSE))</f>
        <v xml:space="preserve"> </v>
      </c>
      <c r="G394" s="7" t="str">
        <f>IF(A394=""," ",B394*VLOOKUP(A394,'18.11-07.12.2024'!A:H,8,FALSE))</f>
        <v xml:space="preserve"> </v>
      </c>
    </row>
    <row r="395" spans="1:7" ht="15" x14ac:dyDescent="0.2">
      <c r="A395" s="21"/>
      <c r="B395" s="26"/>
      <c r="C395" s="6" t="str">
        <f>IF(A395=""," ",VLOOKUP(A395,'18.11-07.12.2024'!A:H,2,FALSE))</f>
        <v xml:space="preserve"> </v>
      </c>
      <c r="D395" s="33" t="str">
        <f>IF(A395=""," ",VLOOKUP(A395,'18.11-07.12.2024'!A:H,5,FALSE))</f>
        <v xml:space="preserve"> </v>
      </c>
      <c r="E395" s="7" t="str">
        <f>IF(A395=""," ",B395*VLOOKUP(A395,'18.11-07.12.2024'!A:H,6,FALSE))</f>
        <v xml:space="preserve"> </v>
      </c>
      <c r="F395" s="7" t="str">
        <f>IF(A395=""," ",B395*VLOOKUP(A395,'18.11-07.12.2024'!A:H,7,FALSE))</f>
        <v xml:space="preserve"> </v>
      </c>
      <c r="G395" s="7" t="str">
        <f>IF(A395=""," ",B395*VLOOKUP(A395,'18.11-07.12.2024'!A:H,8,FALSE))</f>
        <v xml:space="preserve"> </v>
      </c>
    </row>
    <row r="396" spans="1:7" ht="15" x14ac:dyDescent="0.2">
      <c r="A396" s="21"/>
      <c r="B396" s="26"/>
      <c r="C396" s="6" t="str">
        <f>IF(A396=""," ",VLOOKUP(A396,'18.11-07.12.2024'!A:H,2,FALSE))</f>
        <v xml:space="preserve"> </v>
      </c>
      <c r="D396" s="33" t="str">
        <f>IF(A396=""," ",VLOOKUP(A396,'18.11-07.12.2024'!A:H,5,FALSE))</f>
        <v xml:space="preserve"> </v>
      </c>
      <c r="E396" s="7" t="str">
        <f>IF(A396=""," ",B396*VLOOKUP(A396,'18.11-07.12.2024'!A:H,6,FALSE))</f>
        <v xml:space="preserve"> </v>
      </c>
      <c r="F396" s="7" t="str">
        <f>IF(A396=""," ",B396*VLOOKUP(A396,'18.11-07.12.2024'!A:H,7,FALSE))</f>
        <v xml:space="preserve"> </v>
      </c>
      <c r="G396" s="7" t="str">
        <f>IF(A396=""," ",B396*VLOOKUP(A396,'18.11-07.12.2024'!A:H,8,FALSE))</f>
        <v xml:space="preserve"> </v>
      </c>
    </row>
    <row r="397" spans="1:7" ht="15" x14ac:dyDescent="0.2">
      <c r="A397" s="21"/>
      <c r="B397" s="26"/>
      <c r="C397" s="6" t="str">
        <f>IF(A397=""," ",VLOOKUP(A397,'18.11-07.12.2024'!A:H,2,FALSE))</f>
        <v xml:space="preserve"> </v>
      </c>
      <c r="D397" s="33" t="str">
        <f>IF(A397=""," ",VLOOKUP(A397,'18.11-07.12.2024'!A:H,5,FALSE))</f>
        <v xml:space="preserve"> </v>
      </c>
      <c r="E397" s="7" t="str">
        <f>IF(A397=""," ",B397*VLOOKUP(A397,'18.11-07.12.2024'!A:H,6,FALSE))</f>
        <v xml:space="preserve"> </v>
      </c>
      <c r="F397" s="7" t="str">
        <f>IF(A397=""," ",B397*VLOOKUP(A397,'18.11-07.12.2024'!A:H,7,FALSE))</f>
        <v xml:space="preserve"> </v>
      </c>
      <c r="G397" s="7" t="str">
        <f>IF(A397=""," ",B397*VLOOKUP(A397,'18.11-07.12.2024'!A:H,8,FALSE))</f>
        <v xml:space="preserve"> </v>
      </c>
    </row>
    <row r="398" spans="1:7" ht="15" x14ac:dyDescent="0.2">
      <c r="A398" s="21"/>
      <c r="B398" s="26"/>
      <c r="C398" s="6" t="str">
        <f>IF(A398=""," ",VLOOKUP(A398,'18.11-07.12.2024'!A:H,2,FALSE))</f>
        <v xml:space="preserve"> </v>
      </c>
      <c r="D398" s="33" t="str">
        <f>IF(A398=""," ",VLOOKUP(A398,'18.11-07.12.2024'!A:H,5,FALSE))</f>
        <v xml:space="preserve"> </v>
      </c>
      <c r="E398" s="7" t="str">
        <f>IF(A398=""," ",B398*VLOOKUP(A398,'18.11-07.12.2024'!A:H,6,FALSE))</f>
        <v xml:space="preserve"> </v>
      </c>
      <c r="F398" s="7" t="str">
        <f>IF(A398=""," ",B398*VLOOKUP(A398,'18.11-07.12.2024'!A:H,7,FALSE))</f>
        <v xml:space="preserve"> </v>
      </c>
      <c r="G398" s="7" t="str">
        <f>IF(A398=""," ",B398*VLOOKUP(A398,'18.11-07.12.2024'!A:H,8,FALSE))</f>
        <v xml:space="preserve"> </v>
      </c>
    </row>
    <row r="399" spans="1:7" ht="15" x14ac:dyDescent="0.2">
      <c r="A399" s="21"/>
      <c r="B399" s="26"/>
      <c r="C399" s="6" t="str">
        <f>IF(A399=""," ",VLOOKUP(A399,'18.11-07.12.2024'!A:H,2,FALSE))</f>
        <v xml:space="preserve"> </v>
      </c>
      <c r="D399" s="33" t="str">
        <f>IF(A399=""," ",VLOOKUP(A399,'18.11-07.12.2024'!A:H,5,FALSE))</f>
        <v xml:space="preserve"> </v>
      </c>
      <c r="E399" s="7" t="str">
        <f>IF(A399=""," ",B399*VLOOKUP(A399,'18.11-07.12.2024'!A:H,6,FALSE))</f>
        <v xml:space="preserve"> </v>
      </c>
      <c r="F399" s="7" t="str">
        <f>IF(A399=""," ",B399*VLOOKUP(A399,'18.11-07.12.2024'!A:H,7,FALSE))</f>
        <v xml:space="preserve"> </v>
      </c>
      <c r="G399" s="7" t="str">
        <f>IF(A399=""," ",B399*VLOOKUP(A399,'18.11-07.12.2024'!A:H,8,FALSE))</f>
        <v xml:space="preserve"> </v>
      </c>
    </row>
    <row r="400" spans="1:7" ht="15" x14ac:dyDescent="0.2">
      <c r="A400" s="21"/>
      <c r="B400" s="26"/>
      <c r="C400" s="6" t="str">
        <f>IF(A400=""," ",VLOOKUP(A400,'18.11-07.12.2024'!A:H,2,FALSE))</f>
        <v xml:space="preserve"> </v>
      </c>
      <c r="D400" s="33" t="str">
        <f>IF(A400=""," ",VLOOKUP(A400,'18.11-07.12.2024'!A:H,5,FALSE))</f>
        <v xml:space="preserve"> </v>
      </c>
      <c r="E400" s="7" t="str">
        <f>IF(A400=""," ",B400*VLOOKUP(A400,'18.11-07.12.2024'!A:H,6,FALSE))</f>
        <v xml:space="preserve"> </v>
      </c>
      <c r="F400" s="7" t="str">
        <f>IF(A400=""," ",B400*VLOOKUP(A400,'18.11-07.12.2024'!A:H,7,FALSE))</f>
        <v xml:space="preserve"> </v>
      </c>
      <c r="G400" s="7" t="str">
        <f>IF(A400=""," ",B400*VLOOKUP(A400,'18.11-07.12.2024'!A:H,8,FALSE))</f>
        <v xml:space="preserve"> </v>
      </c>
    </row>
    <row r="401" spans="1:7" ht="15" x14ac:dyDescent="0.2">
      <c r="A401" s="21"/>
      <c r="B401" s="26"/>
      <c r="C401" s="6" t="str">
        <f>IF(A401=""," ",VLOOKUP(A401,'18.11-07.12.2024'!A:H,2,FALSE))</f>
        <v xml:space="preserve"> </v>
      </c>
      <c r="D401" s="33" t="str">
        <f>IF(A401=""," ",VLOOKUP(A401,'18.11-07.12.2024'!A:H,5,FALSE))</f>
        <v xml:space="preserve"> </v>
      </c>
      <c r="E401" s="7" t="str">
        <f>IF(A401=""," ",B401*VLOOKUP(A401,'18.11-07.12.2024'!A:H,6,FALSE))</f>
        <v xml:space="preserve"> </v>
      </c>
      <c r="F401" s="7" t="str">
        <f>IF(A401=""," ",B401*VLOOKUP(A401,'18.11-07.12.2024'!A:H,7,FALSE))</f>
        <v xml:space="preserve"> </v>
      </c>
      <c r="G401" s="7" t="str">
        <f>IF(A401=""," ",B401*VLOOKUP(A401,'18.11-07.12.2024'!A:H,8,FALSE))</f>
        <v xml:space="preserve"> </v>
      </c>
    </row>
    <row r="402" spans="1:7" ht="15" x14ac:dyDescent="0.2">
      <c r="A402" s="21"/>
      <c r="B402" s="26"/>
      <c r="C402" s="6" t="str">
        <f>IF(A402=""," ",VLOOKUP(A402,'18.11-07.12.2024'!A:H,2,FALSE))</f>
        <v xml:space="preserve"> </v>
      </c>
      <c r="D402" s="33" t="str">
        <f>IF(A402=""," ",VLOOKUP(A402,'18.11-07.12.2024'!A:H,5,FALSE))</f>
        <v xml:space="preserve"> </v>
      </c>
      <c r="E402" s="7" t="str">
        <f>IF(A402=""," ",B402*VLOOKUP(A402,'18.11-07.12.2024'!A:H,6,FALSE))</f>
        <v xml:space="preserve"> </v>
      </c>
      <c r="F402" s="7" t="str">
        <f>IF(A402=""," ",B402*VLOOKUP(A402,'18.11-07.12.2024'!A:H,7,FALSE))</f>
        <v xml:space="preserve"> </v>
      </c>
      <c r="G402" s="7" t="str">
        <f>IF(A402=""," ",B402*VLOOKUP(A402,'18.11-07.12.2024'!A:H,8,FALSE))</f>
        <v xml:space="preserve"> </v>
      </c>
    </row>
    <row r="403" spans="1:7" ht="15" x14ac:dyDescent="0.2">
      <c r="A403" s="21"/>
      <c r="B403" s="26"/>
      <c r="C403" s="6" t="str">
        <f>IF(A403=""," ",VLOOKUP(A403,'18.11-07.12.2024'!A:H,2,FALSE))</f>
        <v xml:space="preserve"> </v>
      </c>
      <c r="D403" s="33" t="str">
        <f>IF(A403=""," ",VLOOKUP(A403,'18.11-07.12.2024'!A:H,5,FALSE))</f>
        <v xml:space="preserve"> </v>
      </c>
      <c r="E403" s="7" t="str">
        <f>IF(A403=""," ",B403*VLOOKUP(A403,'18.11-07.12.2024'!A:H,6,FALSE))</f>
        <v xml:space="preserve"> </v>
      </c>
      <c r="F403" s="7" t="str">
        <f>IF(A403=""," ",B403*VLOOKUP(A403,'18.11-07.12.2024'!A:H,7,FALSE))</f>
        <v xml:space="preserve"> </v>
      </c>
      <c r="G403" s="7" t="str">
        <f>IF(A403=""," ",B403*VLOOKUP(A403,'18.11-07.12.2024'!A:H,8,FALSE))</f>
        <v xml:space="preserve"> </v>
      </c>
    </row>
    <row r="404" spans="1:7" ht="15" x14ac:dyDescent="0.2">
      <c r="A404" s="21"/>
      <c r="B404" s="26"/>
      <c r="C404" s="6" t="str">
        <f>IF(A404=""," ",VLOOKUP(A404,'18.11-07.12.2024'!A:H,2,FALSE))</f>
        <v xml:space="preserve"> </v>
      </c>
      <c r="D404" s="33" t="str">
        <f>IF(A404=""," ",VLOOKUP(A404,'18.11-07.12.2024'!A:H,5,FALSE))</f>
        <v xml:space="preserve"> </v>
      </c>
      <c r="E404" s="7" t="str">
        <f>IF(A404=""," ",B404*VLOOKUP(A404,'18.11-07.12.2024'!A:H,6,FALSE))</f>
        <v xml:space="preserve"> </v>
      </c>
      <c r="F404" s="7" t="str">
        <f>IF(A404=""," ",B404*VLOOKUP(A404,'18.11-07.12.2024'!A:H,7,FALSE))</f>
        <v xml:space="preserve"> </v>
      </c>
      <c r="G404" s="7" t="str">
        <f>IF(A404=""," ",B404*VLOOKUP(A404,'18.11-07.12.2024'!A:H,8,FALSE))</f>
        <v xml:space="preserve"> </v>
      </c>
    </row>
    <row r="405" spans="1:7" ht="15" x14ac:dyDescent="0.2">
      <c r="A405" s="21"/>
      <c r="B405" s="26"/>
      <c r="C405" s="6" t="str">
        <f>IF(A405=""," ",VLOOKUP(A405,'18.11-07.12.2024'!A:H,2,FALSE))</f>
        <v xml:space="preserve"> </v>
      </c>
      <c r="D405" s="33" t="str">
        <f>IF(A405=""," ",VLOOKUP(A405,'18.11-07.12.2024'!A:H,5,FALSE))</f>
        <v xml:space="preserve"> </v>
      </c>
      <c r="E405" s="7" t="str">
        <f>IF(A405=""," ",B405*VLOOKUP(A405,'18.11-07.12.2024'!A:H,6,FALSE))</f>
        <v xml:space="preserve"> </v>
      </c>
      <c r="F405" s="7" t="str">
        <f>IF(A405=""," ",B405*VLOOKUP(A405,'18.11-07.12.2024'!A:H,7,FALSE))</f>
        <v xml:space="preserve"> </v>
      </c>
      <c r="G405" s="7" t="str">
        <f>IF(A405=""," ",B405*VLOOKUP(A405,'18.11-07.12.2024'!A:H,8,FALSE))</f>
        <v xml:space="preserve"> </v>
      </c>
    </row>
    <row r="406" spans="1:7" ht="15" x14ac:dyDescent="0.2">
      <c r="A406" s="21"/>
      <c r="B406" s="26"/>
      <c r="C406" s="6" t="str">
        <f>IF(A406=""," ",VLOOKUP(A406,'18.11-07.12.2024'!A:H,2,FALSE))</f>
        <v xml:space="preserve"> </v>
      </c>
      <c r="D406" s="33" t="str">
        <f>IF(A406=""," ",VLOOKUP(A406,'18.11-07.12.2024'!A:H,5,FALSE))</f>
        <v xml:space="preserve"> </v>
      </c>
      <c r="E406" s="7" t="str">
        <f>IF(A406=""," ",B406*VLOOKUP(A406,'18.11-07.12.2024'!A:H,6,FALSE))</f>
        <v xml:space="preserve"> </v>
      </c>
      <c r="F406" s="7" t="str">
        <f>IF(A406=""," ",B406*VLOOKUP(A406,'18.11-07.12.2024'!A:H,7,FALSE))</f>
        <v xml:space="preserve"> </v>
      </c>
      <c r="G406" s="7" t="str">
        <f>IF(A406=""," ",B406*VLOOKUP(A406,'18.11-07.12.2024'!A:H,8,FALSE))</f>
        <v xml:space="preserve"> </v>
      </c>
    </row>
    <row r="407" spans="1:7" ht="15" x14ac:dyDescent="0.2">
      <c r="A407" s="21"/>
      <c r="B407" s="26"/>
      <c r="C407" s="6" t="str">
        <f>IF(A407=""," ",VLOOKUP(A407,'18.11-07.12.2024'!A:H,2,FALSE))</f>
        <v xml:space="preserve"> </v>
      </c>
      <c r="D407" s="33" t="str">
        <f>IF(A407=""," ",VLOOKUP(A407,'18.11-07.12.2024'!A:H,5,FALSE))</f>
        <v xml:space="preserve"> </v>
      </c>
      <c r="E407" s="7" t="str">
        <f>IF(A407=""," ",B407*VLOOKUP(A407,'18.11-07.12.2024'!A:H,6,FALSE))</f>
        <v xml:space="preserve"> </v>
      </c>
      <c r="F407" s="7" t="str">
        <f>IF(A407=""," ",B407*VLOOKUP(A407,'18.11-07.12.2024'!A:H,7,FALSE))</f>
        <v xml:space="preserve"> </v>
      </c>
      <c r="G407" s="7" t="str">
        <f>IF(A407=""," ",B407*VLOOKUP(A407,'18.11-07.12.2024'!A:H,8,FALSE))</f>
        <v xml:space="preserve"> </v>
      </c>
    </row>
    <row r="408" spans="1:7" ht="15" x14ac:dyDescent="0.2">
      <c r="A408" s="21"/>
      <c r="B408" s="26"/>
      <c r="C408" s="6" t="str">
        <f>IF(A408=""," ",VLOOKUP(A408,'18.11-07.12.2024'!A:H,2,FALSE))</f>
        <v xml:space="preserve"> </v>
      </c>
      <c r="D408" s="33" t="str">
        <f>IF(A408=""," ",VLOOKUP(A408,'18.11-07.12.2024'!A:H,5,FALSE))</f>
        <v xml:space="preserve"> </v>
      </c>
      <c r="E408" s="7" t="str">
        <f>IF(A408=""," ",B408*VLOOKUP(A408,'18.11-07.12.2024'!A:H,6,FALSE))</f>
        <v xml:space="preserve"> </v>
      </c>
      <c r="F408" s="7" t="str">
        <f>IF(A408=""," ",B408*VLOOKUP(A408,'18.11-07.12.2024'!A:H,7,FALSE))</f>
        <v xml:space="preserve"> </v>
      </c>
      <c r="G408" s="7" t="str">
        <f>IF(A408=""," ",B408*VLOOKUP(A408,'18.11-07.12.2024'!A:H,8,FALSE))</f>
        <v xml:space="preserve"> </v>
      </c>
    </row>
    <row r="409" spans="1:7" ht="15" x14ac:dyDescent="0.2">
      <c r="A409" s="21"/>
      <c r="B409" s="26"/>
      <c r="C409" s="6" t="str">
        <f>IF(A409=""," ",VLOOKUP(A409,'18.11-07.12.2024'!A:H,2,FALSE))</f>
        <v xml:space="preserve"> </v>
      </c>
      <c r="D409" s="33" t="str">
        <f>IF(A409=""," ",VLOOKUP(A409,'18.11-07.12.2024'!A:H,5,FALSE))</f>
        <v xml:space="preserve"> </v>
      </c>
      <c r="E409" s="7" t="str">
        <f>IF(A409=""," ",B409*VLOOKUP(A409,'18.11-07.12.2024'!A:H,6,FALSE))</f>
        <v xml:space="preserve"> </v>
      </c>
      <c r="F409" s="7" t="str">
        <f>IF(A409=""," ",B409*VLOOKUP(A409,'18.11-07.12.2024'!A:H,7,FALSE))</f>
        <v xml:space="preserve"> </v>
      </c>
      <c r="G409" s="7" t="str">
        <f>IF(A409=""," ",B409*VLOOKUP(A409,'18.11-07.12.2024'!A:H,8,FALSE))</f>
        <v xml:space="preserve"> </v>
      </c>
    </row>
    <row r="410" spans="1:7" ht="15" x14ac:dyDescent="0.2">
      <c r="A410" s="21"/>
      <c r="B410" s="26"/>
      <c r="C410" s="6" t="str">
        <f>IF(A410=""," ",VLOOKUP(A410,'18.11-07.12.2024'!A:H,2,FALSE))</f>
        <v xml:space="preserve"> </v>
      </c>
      <c r="D410" s="33" t="str">
        <f>IF(A410=""," ",VLOOKUP(A410,'18.11-07.12.2024'!A:H,5,FALSE))</f>
        <v xml:space="preserve"> </v>
      </c>
      <c r="E410" s="7" t="str">
        <f>IF(A410=""," ",B410*VLOOKUP(A410,'18.11-07.12.2024'!A:H,6,FALSE))</f>
        <v xml:space="preserve"> </v>
      </c>
      <c r="F410" s="7" t="str">
        <f>IF(A410=""," ",B410*VLOOKUP(A410,'18.11-07.12.2024'!A:H,7,FALSE))</f>
        <v xml:space="preserve"> </v>
      </c>
      <c r="G410" s="7" t="str">
        <f>IF(A410=""," ",B410*VLOOKUP(A410,'18.11-07.12.2024'!A:H,8,FALSE))</f>
        <v xml:space="preserve"> </v>
      </c>
    </row>
    <row r="411" spans="1:7" ht="15" x14ac:dyDescent="0.2">
      <c r="A411" s="21"/>
      <c r="B411" s="26"/>
      <c r="C411" s="6" t="str">
        <f>IF(A411=""," ",VLOOKUP(A411,'18.11-07.12.2024'!A:H,2,FALSE))</f>
        <v xml:space="preserve"> </v>
      </c>
      <c r="D411" s="33" t="str">
        <f>IF(A411=""," ",VLOOKUP(A411,'18.11-07.12.2024'!A:H,5,FALSE))</f>
        <v xml:space="preserve"> </v>
      </c>
      <c r="E411" s="7" t="str">
        <f>IF(A411=""," ",B411*VLOOKUP(A411,'18.11-07.12.2024'!A:H,6,FALSE))</f>
        <v xml:space="preserve"> </v>
      </c>
      <c r="F411" s="7" t="str">
        <f>IF(A411=""," ",B411*VLOOKUP(A411,'18.11-07.12.2024'!A:H,7,FALSE))</f>
        <v xml:space="preserve"> </v>
      </c>
      <c r="G411" s="7" t="str">
        <f>IF(A411=""," ",B411*VLOOKUP(A411,'18.11-07.12.2024'!A:H,8,FALSE))</f>
        <v xml:space="preserve"> </v>
      </c>
    </row>
    <row r="412" spans="1:7" ht="15" x14ac:dyDescent="0.2">
      <c r="A412" s="21"/>
      <c r="B412" s="26"/>
      <c r="C412" s="6" t="str">
        <f>IF(A412=""," ",VLOOKUP(A412,'18.11-07.12.2024'!A:H,2,FALSE))</f>
        <v xml:space="preserve"> </v>
      </c>
      <c r="D412" s="33" t="str">
        <f>IF(A412=""," ",VLOOKUP(A412,'18.11-07.12.2024'!A:H,5,FALSE))</f>
        <v xml:space="preserve"> </v>
      </c>
      <c r="E412" s="7" t="str">
        <f>IF(A412=""," ",B412*VLOOKUP(A412,'18.11-07.12.2024'!A:H,6,FALSE))</f>
        <v xml:space="preserve"> </v>
      </c>
      <c r="F412" s="7" t="str">
        <f>IF(A412=""," ",B412*VLOOKUP(A412,'18.11-07.12.2024'!A:H,7,FALSE))</f>
        <v xml:space="preserve"> </v>
      </c>
      <c r="G412" s="7" t="str">
        <f>IF(A412=""," ",B412*VLOOKUP(A412,'18.11-07.12.2024'!A:H,8,FALSE))</f>
        <v xml:space="preserve"> </v>
      </c>
    </row>
    <row r="413" spans="1:7" ht="15" x14ac:dyDescent="0.2">
      <c r="A413" s="21"/>
      <c r="B413" s="26"/>
      <c r="C413" s="6" t="str">
        <f>IF(A413=""," ",VLOOKUP(A413,'18.11-07.12.2024'!A:H,2,FALSE))</f>
        <v xml:space="preserve"> </v>
      </c>
      <c r="D413" s="33" t="str">
        <f>IF(A413=""," ",VLOOKUP(A413,'18.11-07.12.2024'!A:H,5,FALSE))</f>
        <v xml:space="preserve"> </v>
      </c>
      <c r="E413" s="7" t="str">
        <f>IF(A413=""," ",B413*VLOOKUP(A413,'18.11-07.12.2024'!A:H,6,FALSE))</f>
        <v xml:space="preserve"> </v>
      </c>
      <c r="F413" s="7" t="str">
        <f>IF(A413=""," ",B413*VLOOKUP(A413,'18.11-07.12.2024'!A:H,7,FALSE))</f>
        <v xml:space="preserve"> </v>
      </c>
      <c r="G413" s="7" t="str">
        <f>IF(A413=""," ",B413*VLOOKUP(A413,'18.11-07.12.2024'!A:H,8,FALSE))</f>
        <v xml:space="preserve"> </v>
      </c>
    </row>
    <row r="414" spans="1:7" ht="15" x14ac:dyDescent="0.2">
      <c r="A414" s="21"/>
      <c r="B414" s="26"/>
      <c r="C414" s="6" t="str">
        <f>IF(A414=""," ",VLOOKUP(A414,'18.11-07.12.2024'!A:H,2,FALSE))</f>
        <v xml:space="preserve"> </v>
      </c>
      <c r="D414" s="33" t="str">
        <f>IF(A414=""," ",VLOOKUP(A414,'18.11-07.12.2024'!A:H,5,FALSE))</f>
        <v xml:space="preserve"> </v>
      </c>
      <c r="E414" s="7" t="str">
        <f>IF(A414=""," ",B414*VLOOKUP(A414,'18.11-07.12.2024'!A:H,6,FALSE))</f>
        <v xml:space="preserve"> </v>
      </c>
      <c r="F414" s="7" t="str">
        <f>IF(A414=""," ",B414*VLOOKUP(A414,'18.11-07.12.2024'!A:H,7,FALSE))</f>
        <v xml:space="preserve"> </v>
      </c>
      <c r="G414" s="7" t="str">
        <f>IF(A414=""," ",B414*VLOOKUP(A414,'18.11-07.12.2024'!A:H,8,FALSE))</f>
        <v xml:space="preserve"> </v>
      </c>
    </row>
    <row r="415" spans="1:7" ht="15" x14ac:dyDescent="0.2">
      <c r="A415" s="21"/>
      <c r="B415" s="26"/>
      <c r="C415" s="6" t="str">
        <f>IF(A415=""," ",VLOOKUP(A415,'18.11-07.12.2024'!A:H,2,FALSE))</f>
        <v xml:space="preserve"> </v>
      </c>
      <c r="D415" s="33" t="str">
        <f>IF(A415=""," ",VLOOKUP(A415,'18.11-07.12.2024'!A:H,5,FALSE))</f>
        <v xml:space="preserve"> </v>
      </c>
      <c r="E415" s="7" t="str">
        <f>IF(A415=""," ",B415*VLOOKUP(A415,'18.11-07.12.2024'!A:H,6,FALSE))</f>
        <v xml:space="preserve"> </v>
      </c>
      <c r="F415" s="7" t="str">
        <f>IF(A415=""," ",B415*VLOOKUP(A415,'18.11-07.12.2024'!A:H,7,FALSE))</f>
        <v xml:space="preserve"> </v>
      </c>
      <c r="G415" s="7" t="str">
        <f>IF(A415=""," ",B415*VLOOKUP(A415,'18.11-07.12.2024'!A:H,8,FALSE))</f>
        <v xml:space="preserve"> </v>
      </c>
    </row>
    <row r="416" spans="1:7" ht="15" x14ac:dyDescent="0.2">
      <c r="A416" s="21"/>
      <c r="B416" s="26"/>
      <c r="C416" s="6" t="str">
        <f>IF(A416=""," ",VLOOKUP(A416,'18.11-07.12.2024'!A:H,2,FALSE))</f>
        <v xml:space="preserve"> </v>
      </c>
      <c r="D416" s="33" t="str">
        <f>IF(A416=""," ",VLOOKUP(A416,'18.11-07.12.2024'!A:H,5,FALSE))</f>
        <v xml:space="preserve"> </v>
      </c>
      <c r="E416" s="7" t="str">
        <f>IF(A416=""," ",B416*VLOOKUP(A416,'18.11-07.12.2024'!A:H,6,FALSE))</f>
        <v xml:space="preserve"> </v>
      </c>
      <c r="F416" s="7" t="str">
        <f>IF(A416=""," ",B416*VLOOKUP(A416,'18.11-07.12.2024'!A:H,7,FALSE))</f>
        <v xml:space="preserve"> </v>
      </c>
      <c r="G416" s="7" t="str">
        <f>IF(A416=""," ",B416*VLOOKUP(A416,'18.11-07.12.2024'!A:H,8,FALSE))</f>
        <v xml:space="preserve"> </v>
      </c>
    </row>
    <row r="417" spans="1:7" ht="15" x14ac:dyDescent="0.2">
      <c r="A417" s="21"/>
      <c r="B417" s="26"/>
      <c r="C417" s="6" t="str">
        <f>IF(A417=""," ",VLOOKUP(A417,'18.11-07.12.2024'!A:H,2,FALSE))</f>
        <v xml:space="preserve"> </v>
      </c>
      <c r="D417" s="33" t="str">
        <f>IF(A417=""," ",VLOOKUP(A417,'18.11-07.12.2024'!A:H,5,FALSE))</f>
        <v xml:space="preserve"> </v>
      </c>
      <c r="E417" s="7" t="str">
        <f>IF(A417=""," ",B417*VLOOKUP(A417,'18.11-07.12.2024'!A:H,6,FALSE))</f>
        <v xml:space="preserve"> </v>
      </c>
      <c r="F417" s="7" t="str">
        <f>IF(A417=""," ",B417*VLOOKUP(A417,'18.11-07.12.2024'!A:H,7,FALSE))</f>
        <v xml:space="preserve"> </v>
      </c>
      <c r="G417" s="7" t="str">
        <f>IF(A417=""," ",B417*VLOOKUP(A417,'18.11-07.12.2024'!A:H,8,FALSE))</f>
        <v xml:space="preserve"> </v>
      </c>
    </row>
    <row r="418" spans="1:7" ht="15" x14ac:dyDescent="0.2">
      <c r="A418" s="21"/>
      <c r="B418" s="26"/>
      <c r="C418" s="6" t="str">
        <f>IF(A418=""," ",VLOOKUP(A418,'18.11-07.12.2024'!A:H,2,FALSE))</f>
        <v xml:space="preserve"> </v>
      </c>
      <c r="D418" s="33" t="str">
        <f>IF(A418=""," ",VLOOKUP(A418,'18.11-07.12.2024'!A:H,5,FALSE))</f>
        <v xml:space="preserve"> </v>
      </c>
      <c r="E418" s="7" t="str">
        <f>IF(A418=""," ",B418*VLOOKUP(A418,'18.11-07.12.2024'!A:H,6,FALSE))</f>
        <v xml:space="preserve"> </v>
      </c>
      <c r="F418" s="7" t="str">
        <f>IF(A418=""," ",B418*VLOOKUP(A418,'18.11-07.12.2024'!A:H,7,FALSE))</f>
        <v xml:space="preserve"> </v>
      </c>
      <c r="G418" s="7" t="str">
        <f>IF(A418=""," ",B418*VLOOKUP(A418,'18.11-07.12.2024'!A:H,8,FALSE))</f>
        <v xml:space="preserve"> </v>
      </c>
    </row>
    <row r="419" spans="1:7" ht="15" x14ac:dyDescent="0.2">
      <c r="A419" s="21"/>
      <c r="B419" s="26"/>
      <c r="C419" s="6" t="str">
        <f>IF(A419=""," ",VLOOKUP(A419,'18.11-07.12.2024'!A:H,2,FALSE))</f>
        <v xml:space="preserve"> </v>
      </c>
      <c r="D419" s="33" t="str">
        <f>IF(A419=""," ",VLOOKUP(A419,'18.11-07.12.2024'!A:H,5,FALSE))</f>
        <v xml:space="preserve"> </v>
      </c>
      <c r="E419" s="7" t="str">
        <f>IF(A419=""," ",B419*VLOOKUP(A419,'18.11-07.12.2024'!A:H,6,FALSE))</f>
        <v xml:space="preserve"> </v>
      </c>
      <c r="F419" s="7" t="str">
        <f>IF(A419=""," ",B419*VLOOKUP(A419,'18.11-07.12.2024'!A:H,7,FALSE))</f>
        <v xml:space="preserve"> </v>
      </c>
      <c r="G419" s="7" t="str">
        <f>IF(A419=""," ",B419*VLOOKUP(A419,'18.11-07.12.2024'!A:H,8,FALSE))</f>
        <v xml:space="preserve"> </v>
      </c>
    </row>
    <row r="420" spans="1:7" ht="15" x14ac:dyDescent="0.2">
      <c r="A420" s="21"/>
      <c r="B420" s="26"/>
      <c r="C420" s="6" t="str">
        <f>IF(A420=""," ",VLOOKUP(A420,'18.11-07.12.2024'!A:H,2,FALSE))</f>
        <v xml:space="preserve"> </v>
      </c>
      <c r="D420" s="33" t="str">
        <f>IF(A420=""," ",VLOOKUP(A420,'18.11-07.12.2024'!A:H,5,FALSE))</f>
        <v xml:space="preserve"> </v>
      </c>
      <c r="E420" s="7" t="str">
        <f>IF(A420=""," ",B420*VLOOKUP(A420,'18.11-07.12.2024'!A:H,6,FALSE))</f>
        <v xml:space="preserve"> </v>
      </c>
      <c r="F420" s="7" t="str">
        <f>IF(A420=""," ",B420*VLOOKUP(A420,'18.11-07.12.2024'!A:H,7,FALSE))</f>
        <v xml:space="preserve"> </v>
      </c>
      <c r="G420" s="7" t="str">
        <f>IF(A420=""," ",B420*VLOOKUP(A420,'18.11-07.12.2024'!A:H,8,FALSE))</f>
        <v xml:space="preserve"> </v>
      </c>
    </row>
    <row r="421" spans="1:7" ht="15" x14ac:dyDescent="0.2">
      <c r="A421" s="21"/>
      <c r="B421" s="26"/>
      <c r="C421" s="6" t="str">
        <f>IF(A421=""," ",VLOOKUP(A421,'18.11-07.12.2024'!A:H,2,FALSE))</f>
        <v xml:space="preserve"> </v>
      </c>
      <c r="D421" s="33" t="str">
        <f>IF(A421=""," ",VLOOKUP(A421,'18.11-07.12.2024'!A:H,5,FALSE))</f>
        <v xml:space="preserve"> </v>
      </c>
      <c r="E421" s="7" t="str">
        <f>IF(A421=""," ",B421*VLOOKUP(A421,'18.11-07.12.2024'!A:H,6,FALSE))</f>
        <v xml:space="preserve"> </v>
      </c>
      <c r="F421" s="7" t="str">
        <f>IF(A421=""," ",B421*VLOOKUP(A421,'18.11-07.12.2024'!A:H,7,FALSE))</f>
        <v xml:space="preserve"> </v>
      </c>
      <c r="G421" s="7" t="str">
        <f>IF(A421=""," ",B421*VLOOKUP(A421,'18.11-07.12.2024'!A:H,8,FALSE))</f>
        <v xml:space="preserve"> </v>
      </c>
    </row>
    <row r="422" spans="1:7" ht="15" x14ac:dyDescent="0.2">
      <c r="A422" s="21"/>
      <c r="B422" s="26"/>
      <c r="C422" s="6" t="str">
        <f>IF(A422=""," ",VLOOKUP(A422,'18.11-07.12.2024'!A:H,2,FALSE))</f>
        <v xml:space="preserve"> </v>
      </c>
      <c r="D422" s="33" t="str">
        <f>IF(A422=""," ",VLOOKUP(A422,'18.11-07.12.2024'!A:H,5,FALSE))</f>
        <v xml:space="preserve"> </v>
      </c>
      <c r="E422" s="7" t="str">
        <f>IF(A422=""," ",B422*VLOOKUP(A422,'18.11-07.12.2024'!A:H,6,FALSE))</f>
        <v xml:space="preserve"> </v>
      </c>
      <c r="F422" s="7" t="str">
        <f>IF(A422=""," ",B422*VLOOKUP(A422,'18.11-07.12.2024'!A:H,7,FALSE))</f>
        <v xml:space="preserve"> </v>
      </c>
      <c r="G422" s="7" t="str">
        <f>IF(A422=""," ",B422*VLOOKUP(A422,'18.11-07.12.2024'!A:H,8,FALSE))</f>
        <v xml:space="preserve"> </v>
      </c>
    </row>
    <row r="423" spans="1:7" ht="15" x14ac:dyDescent="0.2">
      <c r="A423" s="21"/>
      <c r="B423" s="26"/>
      <c r="C423" s="6" t="str">
        <f>IF(A423=""," ",VLOOKUP(A423,'18.11-07.12.2024'!A:H,2,FALSE))</f>
        <v xml:space="preserve"> </v>
      </c>
      <c r="D423" s="33" t="str">
        <f>IF(A423=""," ",VLOOKUP(A423,'18.11-07.12.2024'!A:H,5,FALSE))</f>
        <v xml:space="preserve"> </v>
      </c>
      <c r="E423" s="7" t="str">
        <f>IF(A423=""," ",B423*VLOOKUP(A423,'18.11-07.12.2024'!A:H,6,FALSE))</f>
        <v xml:space="preserve"> </v>
      </c>
      <c r="F423" s="7" t="str">
        <f>IF(A423=""," ",B423*VLOOKUP(A423,'18.11-07.12.2024'!A:H,7,FALSE))</f>
        <v xml:space="preserve"> </v>
      </c>
      <c r="G423" s="7" t="str">
        <f>IF(A423=""," ",B423*VLOOKUP(A423,'18.11-07.12.2024'!A:H,8,FALSE))</f>
        <v xml:space="preserve"> </v>
      </c>
    </row>
    <row r="424" spans="1:7" ht="15" x14ac:dyDescent="0.2">
      <c r="A424" s="21"/>
      <c r="B424" s="26"/>
      <c r="C424" s="6" t="str">
        <f>IF(A424=""," ",VLOOKUP(A424,'18.11-07.12.2024'!A:H,2,FALSE))</f>
        <v xml:space="preserve"> </v>
      </c>
      <c r="D424" s="33" t="str">
        <f>IF(A424=""," ",VLOOKUP(A424,'18.11-07.12.2024'!A:H,5,FALSE))</f>
        <v xml:space="preserve"> </v>
      </c>
      <c r="E424" s="7" t="str">
        <f>IF(A424=""," ",B424*VLOOKUP(A424,'18.11-07.12.2024'!A:H,6,FALSE))</f>
        <v xml:space="preserve"> </v>
      </c>
      <c r="F424" s="7" t="str">
        <f>IF(A424=""," ",B424*VLOOKUP(A424,'18.11-07.12.2024'!A:H,7,FALSE))</f>
        <v xml:space="preserve"> </v>
      </c>
      <c r="G424" s="7" t="str">
        <f>IF(A424=""," ",B424*VLOOKUP(A424,'18.11-07.12.2024'!A:H,8,FALSE))</f>
        <v xml:space="preserve"> </v>
      </c>
    </row>
    <row r="425" spans="1:7" ht="15" x14ac:dyDescent="0.2">
      <c r="A425" s="21"/>
      <c r="B425" s="26"/>
      <c r="C425" s="6" t="str">
        <f>IF(A425=""," ",VLOOKUP(A425,'18.11-07.12.2024'!A:H,2,FALSE))</f>
        <v xml:space="preserve"> </v>
      </c>
      <c r="D425" s="33" t="str">
        <f>IF(A425=""," ",VLOOKUP(A425,'18.11-07.12.2024'!A:H,5,FALSE))</f>
        <v xml:space="preserve"> </v>
      </c>
      <c r="E425" s="7" t="str">
        <f>IF(A425=""," ",B425*VLOOKUP(A425,'18.11-07.12.2024'!A:H,6,FALSE))</f>
        <v xml:space="preserve"> </v>
      </c>
      <c r="F425" s="7" t="str">
        <f>IF(A425=""," ",B425*VLOOKUP(A425,'18.11-07.12.2024'!A:H,7,FALSE))</f>
        <v xml:space="preserve"> </v>
      </c>
      <c r="G425" s="7" t="str">
        <f>IF(A425=""," ",B425*VLOOKUP(A425,'18.11-07.12.2024'!A:H,8,FALSE))</f>
        <v xml:space="preserve"> </v>
      </c>
    </row>
    <row r="426" spans="1:7" ht="15" x14ac:dyDescent="0.2">
      <c r="A426" s="21"/>
      <c r="B426" s="26"/>
      <c r="C426" s="6" t="str">
        <f>IF(A426=""," ",VLOOKUP(A426,'18.11-07.12.2024'!A:H,2,FALSE))</f>
        <v xml:space="preserve"> </v>
      </c>
      <c r="D426" s="33" t="str">
        <f>IF(A426=""," ",VLOOKUP(A426,'18.11-07.12.2024'!A:H,5,FALSE))</f>
        <v xml:space="preserve"> </v>
      </c>
      <c r="E426" s="7" t="str">
        <f>IF(A426=""," ",B426*VLOOKUP(A426,'18.11-07.12.2024'!A:H,6,FALSE))</f>
        <v xml:space="preserve"> </v>
      </c>
      <c r="F426" s="7" t="str">
        <f>IF(A426=""," ",B426*VLOOKUP(A426,'18.11-07.12.2024'!A:H,7,FALSE))</f>
        <v xml:space="preserve"> </v>
      </c>
      <c r="G426" s="7" t="str">
        <f>IF(A426=""," ",B426*VLOOKUP(A426,'18.11-07.12.2024'!A:H,8,FALSE))</f>
        <v xml:space="preserve"> </v>
      </c>
    </row>
    <row r="427" spans="1:7" ht="15" x14ac:dyDescent="0.2">
      <c r="A427" s="21"/>
      <c r="B427" s="26"/>
      <c r="C427" s="6" t="str">
        <f>IF(A427=""," ",VLOOKUP(A427,'18.11-07.12.2024'!A:H,2,FALSE))</f>
        <v xml:space="preserve"> </v>
      </c>
      <c r="D427" s="33" t="str">
        <f>IF(A427=""," ",VLOOKUP(A427,'18.11-07.12.2024'!A:H,5,FALSE))</f>
        <v xml:space="preserve"> </v>
      </c>
      <c r="E427" s="7" t="str">
        <f>IF(A427=""," ",B427*VLOOKUP(A427,'18.11-07.12.2024'!A:H,6,FALSE))</f>
        <v xml:space="preserve"> </v>
      </c>
      <c r="F427" s="7" t="str">
        <f>IF(A427=""," ",B427*VLOOKUP(A427,'18.11-07.12.2024'!A:H,7,FALSE))</f>
        <v xml:space="preserve"> </v>
      </c>
      <c r="G427" s="7" t="str">
        <f>IF(A427=""," ",B427*VLOOKUP(A427,'18.11-07.12.2024'!A:H,8,FALSE))</f>
        <v xml:space="preserve"> </v>
      </c>
    </row>
    <row r="428" spans="1:7" ht="15" x14ac:dyDescent="0.2">
      <c r="A428" s="21"/>
      <c r="B428" s="26"/>
      <c r="C428" s="6" t="str">
        <f>IF(A428=""," ",VLOOKUP(A428,'18.11-07.12.2024'!A:H,2,FALSE))</f>
        <v xml:space="preserve"> </v>
      </c>
      <c r="D428" s="33" t="str">
        <f>IF(A428=""," ",VLOOKUP(A428,'18.11-07.12.2024'!A:H,5,FALSE))</f>
        <v xml:space="preserve"> </v>
      </c>
      <c r="E428" s="7" t="str">
        <f>IF(A428=""," ",B428*VLOOKUP(A428,'18.11-07.12.2024'!A:H,6,FALSE))</f>
        <v xml:space="preserve"> </v>
      </c>
      <c r="F428" s="7" t="str">
        <f>IF(A428=""," ",B428*VLOOKUP(A428,'18.11-07.12.2024'!A:H,7,FALSE))</f>
        <v xml:space="preserve"> </v>
      </c>
      <c r="G428" s="7" t="str">
        <f>IF(A428=""," ",B428*VLOOKUP(A428,'18.11-07.12.2024'!A:H,8,FALSE))</f>
        <v xml:space="preserve"> </v>
      </c>
    </row>
    <row r="429" spans="1:7" ht="15" x14ac:dyDescent="0.2">
      <c r="A429" s="21"/>
      <c r="B429" s="26"/>
      <c r="C429" s="6" t="str">
        <f>IF(A429=""," ",VLOOKUP(A429,'18.11-07.12.2024'!A:H,2,FALSE))</f>
        <v xml:space="preserve"> </v>
      </c>
      <c r="D429" s="33" t="str">
        <f>IF(A429=""," ",VLOOKUP(A429,'18.11-07.12.2024'!A:H,5,FALSE))</f>
        <v xml:space="preserve"> </v>
      </c>
      <c r="E429" s="7" t="str">
        <f>IF(A429=""," ",B429*VLOOKUP(A429,'18.11-07.12.2024'!A:H,6,FALSE))</f>
        <v xml:space="preserve"> </v>
      </c>
      <c r="F429" s="7" t="str">
        <f>IF(A429=""," ",B429*VLOOKUP(A429,'18.11-07.12.2024'!A:H,7,FALSE))</f>
        <v xml:space="preserve"> </v>
      </c>
      <c r="G429" s="7" t="str">
        <f>IF(A429=""," ",B429*VLOOKUP(A429,'18.11-07.12.2024'!A:H,8,FALSE))</f>
        <v xml:space="preserve"> </v>
      </c>
    </row>
    <row r="430" spans="1:7" ht="15" x14ac:dyDescent="0.2">
      <c r="A430" s="21"/>
      <c r="B430" s="26"/>
      <c r="C430" s="6" t="str">
        <f>IF(A430=""," ",VLOOKUP(A430,'18.11-07.12.2024'!A:H,2,FALSE))</f>
        <v xml:space="preserve"> </v>
      </c>
      <c r="D430" s="33" t="str">
        <f>IF(A430=""," ",VLOOKUP(A430,'18.11-07.12.2024'!A:H,5,FALSE))</f>
        <v xml:space="preserve"> </v>
      </c>
      <c r="E430" s="7" t="str">
        <f>IF(A430=""," ",B430*VLOOKUP(A430,'18.11-07.12.2024'!A:H,6,FALSE))</f>
        <v xml:space="preserve"> </v>
      </c>
      <c r="F430" s="7" t="str">
        <f>IF(A430=""," ",B430*VLOOKUP(A430,'18.11-07.12.2024'!A:H,7,FALSE))</f>
        <v xml:space="preserve"> </v>
      </c>
      <c r="G430" s="7" t="str">
        <f>IF(A430=""," ",B430*VLOOKUP(A430,'18.11-07.12.2024'!A:H,8,FALSE))</f>
        <v xml:space="preserve"> </v>
      </c>
    </row>
    <row r="431" spans="1:7" ht="15" x14ac:dyDescent="0.2">
      <c r="A431" s="21"/>
      <c r="B431" s="26"/>
      <c r="C431" s="6" t="str">
        <f>IF(A431=""," ",VLOOKUP(A431,'18.11-07.12.2024'!A:H,2,FALSE))</f>
        <v xml:space="preserve"> </v>
      </c>
      <c r="D431" s="33" t="str">
        <f>IF(A431=""," ",VLOOKUP(A431,'18.11-07.12.2024'!A:H,5,FALSE))</f>
        <v xml:space="preserve"> </v>
      </c>
      <c r="E431" s="7" t="str">
        <f>IF(A431=""," ",B431*VLOOKUP(A431,'18.11-07.12.2024'!A:H,6,FALSE))</f>
        <v xml:space="preserve"> </v>
      </c>
      <c r="F431" s="7" t="str">
        <f>IF(A431=""," ",B431*VLOOKUP(A431,'18.11-07.12.2024'!A:H,7,FALSE))</f>
        <v xml:space="preserve"> </v>
      </c>
      <c r="G431" s="7" t="str">
        <f>IF(A431=""," ",B431*VLOOKUP(A431,'18.11-07.12.2024'!A:H,8,FALSE))</f>
        <v xml:space="preserve"> </v>
      </c>
    </row>
    <row r="432" spans="1:7" ht="15" x14ac:dyDescent="0.2">
      <c r="A432" s="21"/>
      <c r="B432" s="26"/>
      <c r="C432" s="6" t="str">
        <f>IF(A432=""," ",VLOOKUP(A432,'18.11-07.12.2024'!A:H,2,FALSE))</f>
        <v xml:space="preserve"> </v>
      </c>
      <c r="D432" s="33" t="str">
        <f>IF(A432=""," ",VLOOKUP(A432,'18.11-07.12.2024'!A:H,5,FALSE))</f>
        <v xml:space="preserve"> </v>
      </c>
      <c r="E432" s="7" t="str">
        <f>IF(A432=""," ",B432*VLOOKUP(A432,'18.11-07.12.2024'!A:H,6,FALSE))</f>
        <v xml:space="preserve"> </v>
      </c>
      <c r="F432" s="7" t="str">
        <f>IF(A432=""," ",B432*VLOOKUP(A432,'18.11-07.12.2024'!A:H,7,FALSE))</f>
        <v xml:space="preserve"> </v>
      </c>
      <c r="G432" s="7" t="str">
        <f>IF(A432=""," ",B432*VLOOKUP(A432,'18.11-07.12.2024'!A:H,8,FALSE))</f>
        <v xml:space="preserve"> </v>
      </c>
    </row>
    <row r="433" spans="1:7" ht="15" x14ac:dyDescent="0.2">
      <c r="A433" s="21"/>
      <c r="B433" s="26"/>
      <c r="C433" s="6" t="str">
        <f>IF(A433=""," ",VLOOKUP(A433,'18.11-07.12.2024'!A:H,2,FALSE))</f>
        <v xml:space="preserve"> </v>
      </c>
      <c r="D433" s="33" t="str">
        <f>IF(A433=""," ",VLOOKUP(A433,'18.11-07.12.2024'!A:H,5,FALSE))</f>
        <v xml:space="preserve"> </v>
      </c>
      <c r="E433" s="7" t="str">
        <f>IF(A433=""," ",B433*VLOOKUP(A433,'18.11-07.12.2024'!A:H,6,FALSE))</f>
        <v xml:space="preserve"> </v>
      </c>
      <c r="F433" s="7" t="str">
        <f>IF(A433=""," ",B433*VLOOKUP(A433,'18.11-07.12.2024'!A:H,7,FALSE))</f>
        <v xml:space="preserve"> </v>
      </c>
      <c r="G433" s="7" t="str">
        <f>IF(A433=""," ",B433*VLOOKUP(A433,'18.11-07.12.2024'!A:H,8,FALSE))</f>
        <v xml:space="preserve"> </v>
      </c>
    </row>
    <row r="434" spans="1:7" ht="15" x14ac:dyDescent="0.2">
      <c r="A434" s="21"/>
      <c r="B434" s="26"/>
      <c r="C434" s="6" t="str">
        <f>IF(A434=""," ",VLOOKUP(A434,'18.11-07.12.2024'!A:H,2,FALSE))</f>
        <v xml:space="preserve"> </v>
      </c>
      <c r="D434" s="33" t="str">
        <f>IF(A434=""," ",VLOOKUP(A434,'18.11-07.12.2024'!A:H,5,FALSE))</f>
        <v xml:space="preserve"> </v>
      </c>
      <c r="E434" s="7" t="str">
        <f>IF(A434=""," ",B434*VLOOKUP(A434,'18.11-07.12.2024'!A:H,6,FALSE))</f>
        <v xml:space="preserve"> </v>
      </c>
      <c r="F434" s="7" t="str">
        <f>IF(A434=""," ",B434*VLOOKUP(A434,'18.11-07.12.2024'!A:H,7,FALSE))</f>
        <v xml:space="preserve"> </v>
      </c>
      <c r="G434" s="7" t="str">
        <f>IF(A434=""," ",B434*VLOOKUP(A434,'18.11-07.12.2024'!A:H,8,FALSE))</f>
        <v xml:space="preserve"> </v>
      </c>
    </row>
    <row r="435" spans="1:7" ht="15" x14ac:dyDescent="0.2">
      <c r="A435" s="21"/>
      <c r="B435" s="26"/>
      <c r="C435" s="6" t="str">
        <f>IF(A435=""," ",VLOOKUP(A435,'18.11-07.12.2024'!A:H,2,FALSE))</f>
        <v xml:space="preserve"> </v>
      </c>
      <c r="D435" s="33" t="str">
        <f>IF(A435=""," ",VLOOKUP(A435,'18.11-07.12.2024'!A:H,5,FALSE))</f>
        <v xml:space="preserve"> </v>
      </c>
      <c r="E435" s="7" t="str">
        <f>IF(A435=""," ",B435*VLOOKUP(A435,'18.11-07.12.2024'!A:H,6,FALSE))</f>
        <v xml:space="preserve"> </v>
      </c>
      <c r="F435" s="7" t="str">
        <f>IF(A435=""," ",B435*VLOOKUP(A435,'18.11-07.12.2024'!A:H,7,FALSE))</f>
        <v xml:space="preserve"> </v>
      </c>
      <c r="G435" s="7" t="str">
        <f>IF(A435=""," ",B435*VLOOKUP(A435,'18.11-07.12.2024'!A:H,8,FALSE))</f>
        <v xml:space="preserve"> </v>
      </c>
    </row>
    <row r="436" spans="1:7" ht="15" x14ac:dyDescent="0.2">
      <c r="A436" s="21"/>
      <c r="B436" s="26"/>
      <c r="C436" s="6" t="str">
        <f>IF(A436=""," ",VLOOKUP(A436,'18.11-07.12.2024'!A:H,2,FALSE))</f>
        <v xml:space="preserve"> </v>
      </c>
      <c r="D436" s="33" t="str">
        <f>IF(A436=""," ",VLOOKUP(A436,'18.11-07.12.2024'!A:H,5,FALSE))</f>
        <v xml:space="preserve"> </v>
      </c>
      <c r="E436" s="7" t="str">
        <f>IF(A436=""," ",B436*VLOOKUP(A436,'18.11-07.12.2024'!A:H,6,FALSE))</f>
        <v xml:space="preserve"> </v>
      </c>
      <c r="F436" s="7" t="str">
        <f>IF(A436=""," ",B436*VLOOKUP(A436,'18.11-07.12.2024'!A:H,7,FALSE))</f>
        <v xml:space="preserve"> </v>
      </c>
      <c r="G436" s="7" t="str">
        <f>IF(A436=""," ",B436*VLOOKUP(A436,'18.11-07.12.2024'!A:H,8,FALSE))</f>
        <v xml:space="preserve"> </v>
      </c>
    </row>
    <row r="437" spans="1:7" ht="15" x14ac:dyDescent="0.2">
      <c r="A437" s="21"/>
      <c r="B437" s="26"/>
      <c r="C437" s="6" t="str">
        <f>IF(A437=""," ",VLOOKUP(A437,'18.11-07.12.2024'!A:H,2,FALSE))</f>
        <v xml:space="preserve"> </v>
      </c>
      <c r="D437" s="33" t="str">
        <f>IF(A437=""," ",VLOOKUP(A437,'18.11-07.12.2024'!A:H,5,FALSE))</f>
        <v xml:space="preserve"> </v>
      </c>
      <c r="E437" s="7" t="str">
        <f>IF(A437=""," ",B437*VLOOKUP(A437,'18.11-07.12.2024'!A:H,6,FALSE))</f>
        <v xml:space="preserve"> </v>
      </c>
      <c r="F437" s="7" t="str">
        <f>IF(A437=""," ",B437*VLOOKUP(A437,'18.11-07.12.2024'!A:H,7,FALSE))</f>
        <v xml:space="preserve"> </v>
      </c>
      <c r="G437" s="7" t="str">
        <f>IF(A437=""," ",B437*VLOOKUP(A437,'18.11-07.12.2024'!A:H,8,FALSE))</f>
        <v xml:space="preserve"> </v>
      </c>
    </row>
    <row r="438" spans="1:7" ht="15" x14ac:dyDescent="0.2">
      <c r="A438" s="21"/>
      <c r="B438" s="26"/>
      <c r="C438" s="6" t="str">
        <f>IF(A438=""," ",VLOOKUP(A438,'18.11-07.12.2024'!A:H,2,FALSE))</f>
        <v xml:space="preserve"> </v>
      </c>
      <c r="D438" s="33" t="str">
        <f>IF(A438=""," ",VLOOKUP(A438,'18.11-07.12.2024'!A:H,5,FALSE))</f>
        <v xml:space="preserve"> </v>
      </c>
      <c r="E438" s="7" t="str">
        <f>IF(A438=""," ",B438*VLOOKUP(A438,'18.11-07.12.2024'!A:H,6,FALSE))</f>
        <v xml:space="preserve"> </v>
      </c>
      <c r="F438" s="7" t="str">
        <f>IF(A438=""," ",B438*VLOOKUP(A438,'18.11-07.12.2024'!A:H,7,FALSE))</f>
        <v xml:space="preserve"> </v>
      </c>
      <c r="G438" s="7" t="str">
        <f>IF(A438=""," ",B438*VLOOKUP(A438,'18.11-07.12.2024'!A:H,8,FALSE))</f>
        <v xml:space="preserve"> </v>
      </c>
    </row>
    <row r="439" spans="1:7" ht="15" x14ac:dyDescent="0.2">
      <c r="A439" s="21"/>
      <c r="B439" s="26"/>
      <c r="C439" s="6" t="str">
        <f>IF(A439=""," ",VLOOKUP(A439,'18.11-07.12.2024'!A:H,2,FALSE))</f>
        <v xml:space="preserve"> </v>
      </c>
      <c r="D439" s="33" t="str">
        <f>IF(A439=""," ",VLOOKUP(A439,'18.11-07.12.2024'!A:H,5,FALSE))</f>
        <v xml:space="preserve"> </v>
      </c>
      <c r="E439" s="7" t="str">
        <f>IF(A439=""," ",B439*VLOOKUP(A439,'18.11-07.12.2024'!A:H,6,FALSE))</f>
        <v xml:space="preserve"> </v>
      </c>
      <c r="F439" s="7" t="str">
        <f>IF(A439=""," ",B439*VLOOKUP(A439,'18.11-07.12.2024'!A:H,7,FALSE))</f>
        <v xml:space="preserve"> </v>
      </c>
      <c r="G439" s="7" t="str">
        <f>IF(A439=""," ",B439*VLOOKUP(A439,'18.11-07.12.2024'!A:H,8,FALSE))</f>
        <v xml:space="preserve"> </v>
      </c>
    </row>
    <row r="440" spans="1:7" ht="15" x14ac:dyDescent="0.2">
      <c r="A440" s="21"/>
      <c r="B440" s="26"/>
      <c r="C440" s="6" t="str">
        <f>IF(A440=""," ",VLOOKUP(A440,'18.11-07.12.2024'!A:H,2,FALSE))</f>
        <v xml:space="preserve"> </v>
      </c>
      <c r="D440" s="33" t="str">
        <f>IF(A440=""," ",VLOOKUP(A440,'18.11-07.12.2024'!A:H,5,FALSE))</f>
        <v xml:space="preserve"> </v>
      </c>
      <c r="E440" s="7" t="str">
        <f>IF(A440=""," ",B440*VLOOKUP(A440,'18.11-07.12.2024'!A:H,6,FALSE))</f>
        <v xml:space="preserve"> </v>
      </c>
      <c r="F440" s="7" t="str">
        <f>IF(A440=""," ",B440*VLOOKUP(A440,'18.11-07.12.2024'!A:H,7,FALSE))</f>
        <v xml:space="preserve"> </v>
      </c>
      <c r="G440" s="7" t="str">
        <f>IF(A440=""," ",B440*VLOOKUP(A440,'18.11-07.12.2024'!A:H,8,FALSE))</f>
        <v xml:space="preserve"> </v>
      </c>
    </row>
    <row r="441" spans="1:7" ht="15" x14ac:dyDescent="0.2">
      <c r="A441" s="21"/>
      <c r="B441" s="26"/>
      <c r="C441" s="6" t="str">
        <f>IF(A441=""," ",VLOOKUP(A441,'18.11-07.12.2024'!A:H,2,FALSE))</f>
        <v xml:space="preserve"> </v>
      </c>
      <c r="D441" s="33" t="str">
        <f>IF(A441=""," ",VLOOKUP(A441,'18.11-07.12.2024'!A:H,5,FALSE))</f>
        <v xml:space="preserve"> </v>
      </c>
      <c r="E441" s="7" t="str">
        <f>IF(A441=""," ",B441*VLOOKUP(A441,'18.11-07.12.2024'!A:H,6,FALSE))</f>
        <v xml:space="preserve"> </v>
      </c>
      <c r="F441" s="7" t="str">
        <f>IF(A441=""," ",B441*VLOOKUP(A441,'18.11-07.12.2024'!A:H,7,FALSE))</f>
        <v xml:space="preserve"> </v>
      </c>
      <c r="G441" s="7" t="str">
        <f>IF(A441=""," ",B441*VLOOKUP(A441,'18.11-07.12.2024'!A:H,8,FALSE))</f>
        <v xml:space="preserve"> </v>
      </c>
    </row>
    <row r="442" spans="1:7" ht="15" x14ac:dyDescent="0.2">
      <c r="A442" s="21"/>
      <c r="B442" s="26"/>
      <c r="C442" s="6" t="str">
        <f>IF(A442=""," ",VLOOKUP(A442,'18.11-07.12.2024'!A:H,2,FALSE))</f>
        <v xml:space="preserve"> </v>
      </c>
      <c r="D442" s="33" t="str">
        <f>IF(A442=""," ",VLOOKUP(A442,'18.11-07.12.2024'!A:H,5,FALSE))</f>
        <v xml:space="preserve"> </v>
      </c>
      <c r="E442" s="7" t="str">
        <f>IF(A442=""," ",B442*VLOOKUP(A442,'18.11-07.12.2024'!A:H,6,FALSE))</f>
        <v xml:space="preserve"> </v>
      </c>
      <c r="F442" s="7" t="str">
        <f>IF(A442=""," ",B442*VLOOKUP(A442,'18.11-07.12.2024'!A:H,7,FALSE))</f>
        <v xml:space="preserve"> </v>
      </c>
      <c r="G442" s="7" t="str">
        <f>IF(A442=""," ",B442*VLOOKUP(A442,'18.11-07.12.2024'!A:H,8,FALSE))</f>
        <v xml:space="preserve"> </v>
      </c>
    </row>
    <row r="443" spans="1:7" ht="15" x14ac:dyDescent="0.2">
      <c r="A443" s="21"/>
      <c r="B443" s="26"/>
      <c r="C443" s="6" t="str">
        <f>IF(A443=""," ",VLOOKUP(A443,'18.11-07.12.2024'!A:H,2,FALSE))</f>
        <v xml:space="preserve"> </v>
      </c>
      <c r="D443" s="33" t="str">
        <f>IF(A443=""," ",VLOOKUP(A443,'18.11-07.12.2024'!A:H,5,FALSE))</f>
        <v xml:space="preserve"> </v>
      </c>
      <c r="E443" s="7" t="str">
        <f>IF(A443=""," ",B443*VLOOKUP(A443,'18.11-07.12.2024'!A:H,6,FALSE))</f>
        <v xml:space="preserve"> </v>
      </c>
      <c r="F443" s="7" t="str">
        <f>IF(A443=""," ",B443*VLOOKUP(A443,'18.11-07.12.2024'!A:H,7,FALSE))</f>
        <v xml:space="preserve"> </v>
      </c>
      <c r="G443" s="7" t="str">
        <f>IF(A443=""," ",B443*VLOOKUP(A443,'18.11-07.12.2024'!A:H,8,FALSE))</f>
        <v xml:space="preserve"> </v>
      </c>
    </row>
    <row r="444" spans="1:7" ht="15" x14ac:dyDescent="0.2">
      <c r="A444" s="21"/>
      <c r="B444" s="26"/>
      <c r="C444" s="6" t="str">
        <f>IF(A444=""," ",VLOOKUP(A444,'18.11-07.12.2024'!A:H,2,FALSE))</f>
        <v xml:space="preserve"> </v>
      </c>
      <c r="D444" s="33" t="str">
        <f>IF(A444=""," ",VLOOKUP(A444,'18.11-07.12.2024'!A:H,5,FALSE))</f>
        <v xml:space="preserve"> </v>
      </c>
      <c r="E444" s="7" t="str">
        <f>IF(A444=""," ",B444*VLOOKUP(A444,'18.11-07.12.2024'!A:H,6,FALSE))</f>
        <v xml:space="preserve"> </v>
      </c>
      <c r="F444" s="7" t="str">
        <f>IF(A444=""," ",B444*VLOOKUP(A444,'18.11-07.12.2024'!A:H,7,FALSE))</f>
        <v xml:space="preserve"> </v>
      </c>
      <c r="G444" s="7" t="str">
        <f>IF(A444=""," ",B444*VLOOKUP(A444,'18.11-07.12.2024'!A:H,8,FALSE))</f>
        <v xml:space="preserve"> </v>
      </c>
    </row>
    <row r="445" spans="1:7" ht="15" x14ac:dyDescent="0.2">
      <c r="A445" s="21"/>
      <c r="B445" s="26"/>
      <c r="C445" s="6" t="str">
        <f>IF(A445=""," ",VLOOKUP(A445,'18.11-07.12.2024'!A:H,2,FALSE))</f>
        <v xml:space="preserve"> </v>
      </c>
      <c r="D445" s="33" t="str">
        <f>IF(A445=""," ",VLOOKUP(A445,'18.11-07.12.2024'!A:H,5,FALSE))</f>
        <v xml:space="preserve"> </v>
      </c>
      <c r="E445" s="7" t="str">
        <f>IF(A445=""," ",B445*VLOOKUP(A445,'18.11-07.12.2024'!A:H,6,FALSE))</f>
        <v xml:space="preserve"> </v>
      </c>
      <c r="F445" s="7" t="str">
        <f>IF(A445=""," ",B445*VLOOKUP(A445,'18.11-07.12.2024'!A:H,7,FALSE))</f>
        <v xml:space="preserve"> </v>
      </c>
      <c r="G445" s="7" t="str">
        <f>IF(A445=""," ",B445*VLOOKUP(A445,'18.11-07.12.2024'!A:H,8,FALSE))</f>
        <v xml:space="preserve"> </v>
      </c>
    </row>
    <row r="446" spans="1:7" ht="15" x14ac:dyDescent="0.2">
      <c r="A446" s="21"/>
      <c r="B446" s="26"/>
      <c r="C446" s="6" t="str">
        <f>IF(A446=""," ",VLOOKUP(A446,'18.11-07.12.2024'!A:H,2,FALSE))</f>
        <v xml:space="preserve"> </v>
      </c>
      <c r="D446" s="33" t="str">
        <f>IF(A446=""," ",VLOOKUP(A446,'18.11-07.12.2024'!A:H,5,FALSE))</f>
        <v xml:space="preserve"> </v>
      </c>
      <c r="E446" s="7" t="str">
        <f>IF(A446=""," ",B446*VLOOKUP(A446,'18.11-07.12.2024'!A:H,6,FALSE))</f>
        <v xml:space="preserve"> </v>
      </c>
      <c r="F446" s="7" t="str">
        <f>IF(A446=""," ",B446*VLOOKUP(A446,'18.11-07.12.2024'!A:H,7,FALSE))</f>
        <v xml:space="preserve"> </v>
      </c>
      <c r="G446" s="7" t="str">
        <f>IF(A446=""," ",B446*VLOOKUP(A446,'18.11-07.12.2024'!A:H,8,FALSE))</f>
        <v xml:space="preserve"> </v>
      </c>
    </row>
    <row r="447" spans="1:7" ht="15" x14ac:dyDescent="0.2">
      <c r="A447" s="21"/>
      <c r="B447" s="26"/>
      <c r="C447" s="6" t="str">
        <f>IF(A447=""," ",VLOOKUP(A447,'18.11-07.12.2024'!A:H,2,FALSE))</f>
        <v xml:space="preserve"> </v>
      </c>
      <c r="D447" s="33" t="str">
        <f>IF(A447=""," ",VLOOKUP(A447,'18.11-07.12.2024'!A:H,5,FALSE))</f>
        <v xml:space="preserve"> </v>
      </c>
      <c r="E447" s="7" t="str">
        <f>IF(A447=""," ",B447*VLOOKUP(A447,'18.11-07.12.2024'!A:H,6,FALSE))</f>
        <v xml:space="preserve"> </v>
      </c>
      <c r="F447" s="7" t="str">
        <f>IF(A447=""," ",B447*VLOOKUP(A447,'18.11-07.12.2024'!A:H,7,FALSE))</f>
        <v xml:space="preserve"> </v>
      </c>
      <c r="G447" s="7" t="str">
        <f>IF(A447=""," ",B447*VLOOKUP(A447,'18.11-07.12.2024'!A:H,8,FALSE))</f>
        <v xml:space="preserve"> </v>
      </c>
    </row>
    <row r="448" spans="1:7" ht="15" x14ac:dyDescent="0.2">
      <c r="A448" s="21"/>
      <c r="B448" s="26"/>
      <c r="C448" s="6" t="str">
        <f>IF(A448=""," ",VLOOKUP(A448,'18.11-07.12.2024'!A:H,2,FALSE))</f>
        <v xml:space="preserve"> </v>
      </c>
      <c r="D448" s="33" t="str">
        <f>IF(A448=""," ",VLOOKUP(A448,'18.11-07.12.2024'!A:H,5,FALSE))</f>
        <v xml:space="preserve"> </v>
      </c>
      <c r="E448" s="7" t="str">
        <f>IF(A448=""," ",B448*VLOOKUP(A448,'18.11-07.12.2024'!A:H,6,FALSE))</f>
        <v xml:space="preserve"> </v>
      </c>
      <c r="F448" s="7" t="str">
        <f>IF(A448=""," ",B448*VLOOKUP(A448,'18.11-07.12.2024'!A:H,7,FALSE))</f>
        <v xml:space="preserve"> </v>
      </c>
      <c r="G448" s="7" t="str">
        <f>IF(A448=""," ",B448*VLOOKUP(A448,'18.11-07.12.2024'!A:H,8,FALSE))</f>
        <v xml:space="preserve"> </v>
      </c>
    </row>
    <row r="449" spans="1:7" ht="15" x14ac:dyDescent="0.2">
      <c r="A449" s="21"/>
      <c r="B449" s="26"/>
      <c r="C449" s="6" t="str">
        <f>IF(A449=""," ",VLOOKUP(A449,'18.11-07.12.2024'!A:H,2,FALSE))</f>
        <v xml:space="preserve"> </v>
      </c>
      <c r="D449" s="33" t="str">
        <f>IF(A449=""," ",VLOOKUP(A449,'18.11-07.12.2024'!A:H,5,FALSE))</f>
        <v xml:space="preserve"> </v>
      </c>
      <c r="E449" s="7" t="str">
        <f>IF(A449=""," ",B449*VLOOKUP(A449,'18.11-07.12.2024'!A:H,6,FALSE))</f>
        <v xml:space="preserve"> </v>
      </c>
      <c r="F449" s="7" t="str">
        <f>IF(A449=""," ",B449*VLOOKUP(A449,'18.11-07.12.2024'!A:H,7,FALSE))</f>
        <v xml:space="preserve"> </v>
      </c>
      <c r="G449" s="7" t="str">
        <f>IF(A449=""," ",B449*VLOOKUP(A449,'18.11-07.12.2024'!A:H,8,FALSE))</f>
        <v xml:space="preserve"> </v>
      </c>
    </row>
    <row r="450" spans="1:7" ht="15" x14ac:dyDescent="0.2">
      <c r="A450" s="21"/>
      <c r="B450" s="26"/>
      <c r="C450" s="6" t="str">
        <f>IF(A450=""," ",VLOOKUP(A450,'18.11-07.12.2024'!A:H,2,FALSE))</f>
        <v xml:space="preserve"> </v>
      </c>
      <c r="D450" s="33" t="str">
        <f>IF(A450=""," ",VLOOKUP(A450,'18.11-07.12.2024'!A:H,5,FALSE))</f>
        <v xml:space="preserve"> </v>
      </c>
      <c r="E450" s="7" t="str">
        <f>IF(A450=""," ",B450*VLOOKUP(A450,'18.11-07.12.2024'!A:H,6,FALSE))</f>
        <v xml:space="preserve"> </v>
      </c>
      <c r="F450" s="7" t="str">
        <f>IF(A450=""," ",B450*VLOOKUP(A450,'18.11-07.12.2024'!A:H,7,FALSE))</f>
        <v xml:space="preserve"> </v>
      </c>
      <c r="G450" s="7" t="str">
        <f>IF(A450=""," ",B450*VLOOKUP(A450,'18.11-07.12.2024'!A:H,8,FALSE))</f>
        <v xml:space="preserve"> </v>
      </c>
    </row>
    <row r="451" spans="1:7" ht="15" x14ac:dyDescent="0.2">
      <c r="A451" s="21"/>
      <c r="B451" s="26"/>
      <c r="C451" s="6" t="str">
        <f>IF(A451=""," ",VLOOKUP(A451,'18.11-07.12.2024'!A:H,2,FALSE))</f>
        <v xml:space="preserve"> </v>
      </c>
      <c r="D451" s="33" t="str">
        <f>IF(A451=""," ",VLOOKUP(A451,'18.11-07.12.2024'!A:H,5,FALSE))</f>
        <v xml:space="preserve"> </v>
      </c>
      <c r="E451" s="7" t="str">
        <f>IF(A451=""," ",B451*VLOOKUP(A451,'18.11-07.12.2024'!A:H,6,FALSE))</f>
        <v xml:space="preserve"> </v>
      </c>
      <c r="F451" s="7" t="str">
        <f>IF(A451=""," ",B451*VLOOKUP(A451,'18.11-07.12.2024'!A:H,7,FALSE))</f>
        <v xml:space="preserve"> </v>
      </c>
      <c r="G451" s="7" t="str">
        <f>IF(A451=""," ",B451*VLOOKUP(A451,'18.11-07.12.2024'!A:H,8,FALSE))</f>
        <v xml:space="preserve"> </v>
      </c>
    </row>
    <row r="452" spans="1:7" ht="15" x14ac:dyDescent="0.2">
      <c r="A452" s="21"/>
      <c r="B452" s="26"/>
      <c r="C452" s="6" t="str">
        <f>IF(A452=""," ",VLOOKUP(A452,'18.11-07.12.2024'!A:H,2,FALSE))</f>
        <v xml:space="preserve"> </v>
      </c>
      <c r="D452" s="33" t="str">
        <f>IF(A452=""," ",VLOOKUP(A452,'18.11-07.12.2024'!A:H,5,FALSE))</f>
        <v xml:space="preserve"> </v>
      </c>
      <c r="E452" s="7" t="str">
        <f>IF(A452=""," ",B452*VLOOKUP(A452,'18.11-07.12.2024'!A:H,6,FALSE))</f>
        <v xml:space="preserve"> </v>
      </c>
      <c r="F452" s="7" t="str">
        <f>IF(A452=""," ",B452*VLOOKUP(A452,'18.11-07.12.2024'!A:H,7,FALSE))</f>
        <v xml:space="preserve"> </v>
      </c>
      <c r="G452" s="7" t="str">
        <f>IF(A452=""," ",B452*VLOOKUP(A452,'18.11-07.12.2024'!A:H,8,FALSE))</f>
        <v xml:space="preserve"> </v>
      </c>
    </row>
    <row r="453" spans="1:7" ht="15" x14ac:dyDescent="0.2">
      <c r="A453" s="21"/>
      <c r="B453" s="26"/>
      <c r="C453" s="6" t="str">
        <f>IF(A453=""," ",VLOOKUP(A453,'18.11-07.12.2024'!A:H,2,FALSE))</f>
        <v xml:space="preserve"> </v>
      </c>
      <c r="D453" s="33" t="str">
        <f>IF(A453=""," ",VLOOKUP(A453,'18.11-07.12.2024'!A:H,5,FALSE))</f>
        <v xml:space="preserve"> </v>
      </c>
      <c r="E453" s="7" t="str">
        <f>IF(A453=""," ",B453*VLOOKUP(A453,'18.11-07.12.2024'!A:H,6,FALSE))</f>
        <v xml:space="preserve"> </v>
      </c>
      <c r="F453" s="7" t="str">
        <f>IF(A453=""," ",B453*VLOOKUP(A453,'18.11-07.12.2024'!A:H,7,FALSE))</f>
        <v xml:space="preserve"> </v>
      </c>
      <c r="G453" s="7" t="str">
        <f>IF(A453=""," ",B453*VLOOKUP(A453,'18.11-07.12.2024'!A:H,8,FALSE))</f>
        <v xml:space="preserve"> </v>
      </c>
    </row>
    <row r="454" spans="1:7" ht="15" x14ac:dyDescent="0.2">
      <c r="A454" s="21"/>
      <c r="B454" s="26"/>
      <c r="C454" s="6" t="str">
        <f>IF(A454=""," ",VLOOKUP(A454,'18.11-07.12.2024'!A:H,2,FALSE))</f>
        <v xml:space="preserve"> </v>
      </c>
      <c r="D454" s="33" t="str">
        <f>IF(A454=""," ",VLOOKUP(A454,'18.11-07.12.2024'!A:H,5,FALSE))</f>
        <v xml:space="preserve"> </v>
      </c>
      <c r="E454" s="7" t="str">
        <f>IF(A454=""," ",B454*VLOOKUP(A454,'18.11-07.12.2024'!A:H,6,FALSE))</f>
        <v xml:space="preserve"> </v>
      </c>
      <c r="F454" s="7" t="str">
        <f>IF(A454=""," ",B454*VLOOKUP(A454,'18.11-07.12.2024'!A:H,7,FALSE))</f>
        <v xml:space="preserve"> </v>
      </c>
      <c r="G454" s="7" t="str">
        <f>IF(A454=""," ",B454*VLOOKUP(A454,'18.11-07.12.2024'!A:H,8,FALSE))</f>
        <v xml:space="preserve"> </v>
      </c>
    </row>
    <row r="455" spans="1:7" ht="15" x14ac:dyDescent="0.2">
      <c r="A455" s="21"/>
      <c r="B455" s="26"/>
      <c r="C455" s="6" t="str">
        <f>IF(A455=""," ",VLOOKUP(A455,'18.11-07.12.2024'!A:H,2,FALSE))</f>
        <v xml:space="preserve"> </v>
      </c>
      <c r="D455" s="33" t="str">
        <f>IF(A455=""," ",VLOOKUP(A455,'18.11-07.12.2024'!A:H,5,FALSE))</f>
        <v xml:space="preserve"> </v>
      </c>
      <c r="E455" s="7" t="str">
        <f>IF(A455=""," ",B455*VLOOKUP(A455,'18.11-07.12.2024'!A:H,6,FALSE))</f>
        <v xml:space="preserve"> </v>
      </c>
      <c r="F455" s="7" t="str">
        <f>IF(A455=""," ",B455*VLOOKUP(A455,'18.11-07.12.2024'!A:H,7,FALSE))</f>
        <v xml:space="preserve"> </v>
      </c>
      <c r="G455" s="7" t="str">
        <f>IF(A455=""," ",B455*VLOOKUP(A455,'18.11-07.12.2024'!A:H,8,FALSE))</f>
        <v xml:space="preserve"> </v>
      </c>
    </row>
    <row r="456" spans="1:7" ht="15" x14ac:dyDescent="0.2">
      <c r="A456" s="21"/>
      <c r="B456" s="26"/>
      <c r="C456" s="6" t="str">
        <f>IF(A456=""," ",VLOOKUP(A456,'18.11-07.12.2024'!A:H,2,FALSE))</f>
        <v xml:space="preserve"> </v>
      </c>
      <c r="D456" s="33" t="str">
        <f>IF(A456=""," ",VLOOKUP(A456,'18.11-07.12.2024'!A:H,5,FALSE))</f>
        <v xml:space="preserve"> </v>
      </c>
      <c r="E456" s="7" t="str">
        <f>IF(A456=""," ",B456*VLOOKUP(A456,'18.11-07.12.2024'!A:H,6,FALSE))</f>
        <v xml:space="preserve"> </v>
      </c>
      <c r="F456" s="7" t="str">
        <f>IF(A456=""," ",B456*VLOOKUP(A456,'18.11-07.12.2024'!A:H,7,FALSE))</f>
        <v xml:space="preserve"> </v>
      </c>
      <c r="G456" s="7" t="str">
        <f>IF(A456=""," ",B456*VLOOKUP(A456,'18.11-07.12.2024'!A:H,8,FALSE))</f>
        <v xml:space="preserve"> </v>
      </c>
    </row>
    <row r="457" spans="1:7" ht="15" x14ac:dyDescent="0.2">
      <c r="A457" s="21"/>
      <c r="B457" s="26"/>
      <c r="C457" s="6" t="str">
        <f>IF(A457=""," ",VLOOKUP(A457,'18.11-07.12.2024'!A:H,2,FALSE))</f>
        <v xml:space="preserve"> </v>
      </c>
      <c r="D457" s="33" t="str">
        <f>IF(A457=""," ",VLOOKUP(A457,'18.11-07.12.2024'!A:H,5,FALSE))</f>
        <v xml:space="preserve"> </v>
      </c>
      <c r="E457" s="7" t="str">
        <f>IF(A457=""," ",B457*VLOOKUP(A457,'18.11-07.12.2024'!A:H,6,FALSE))</f>
        <v xml:space="preserve"> </v>
      </c>
      <c r="F457" s="7" t="str">
        <f>IF(A457=""," ",B457*VLOOKUP(A457,'18.11-07.12.2024'!A:H,7,FALSE))</f>
        <v xml:space="preserve"> </v>
      </c>
      <c r="G457" s="7" t="str">
        <f>IF(A457=""," ",B457*VLOOKUP(A457,'18.11-07.12.2024'!A:H,8,FALSE))</f>
        <v xml:space="preserve"> </v>
      </c>
    </row>
    <row r="458" spans="1:7" ht="15" x14ac:dyDescent="0.2">
      <c r="A458" s="21"/>
      <c r="B458" s="26"/>
      <c r="C458" s="6" t="str">
        <f>IF(A458=""," ",VLOOKUP(A458,'18.11-07.12.2024'!A:H,2,FALSE))</f>
        <v xml:space="preserve"> </v>
      </c>
      <c r="D458" s="33" t="str">
        <f>IF(A458=""," ",VLOOKUP(A458,'18.11-07.12.2024'!A:H,5,FALSE))</f>
        <v xml:space="preserve"> </v>
      </c>
      <c r="E458" s="7" t="str">
        <f>IF(A458=""," ",B458*VLOOKUP(A458,'18.11-07.12.2024'!A:H,6,FALSE))</f>
        <v xml:space="preserve"> </v>
      </c>
      <c r="F458" s="7" t="str">
        <f>IF(A458=""," ",B458*VLOOKUP(A458,'18.11-07.12.2024'!A:H,7,FALSE))</f>
        <v xml:space="preserve"> </v>
      </c>
      <c r="G458" s="7" t="str">
        <f>IF(A458=""," ",B458*VLOOKUP(A458,'18.11-07.12.2024'!A:H,8,FALSE))</f>
        <v xml:space="preserve"> </v>
      </c>
    </row>
    <row r="459" spans="1:7" ht="15" x14ac:dyDescent="0.2">
      <c r="A459" s="21"/>
      <c r="B459" s="26"/>
      <c r="C459" s="6" t="str">
        <f>IF(A459=""," ",VLOOKUP(A459,'18.11-07.12.2024'!A:H,2,FALSE))</f>
        <v xml:space="preserve"> </v>
      </c>
      <c r="D459" s="33" t="str">
        <f>IF(A459=""," ",VLOOKUP(A459,'18.11-07.12.2024'!A:H,5,FALSE))</f>
        <v xml:space="preserve"> </v>
      </c>
      <c r="E459" s="7" t="str">
        <f>IF(A459=""," ",B459*VLOOKUP(A459,'18.11-07.12.2024'!A:H,6,FALSE))</f>
        <v xml:space="preserve"> </v>
      </c>
      <c r="F459" s="7" t="str">
        <f>IF(A459=""," ",B459*VLOOKUP(A459,'18.11-07.12.2024'!A:H,7,FALSE))</f>
        <v xml:space="preserve"> </v>
      </c>
      <c r="G459" s="7" t="str">
        <f>IF(A459=""," ",B459*VLOOKUP(A459,'18.11-07.12.2024'!A:H,8,FALSE))</f>
        <v xml:space="preserve"> </v>
      </c>
    </row>
    <row r="460" spans="1:7" ht="15" x14ac:dyDescent="0.2">
      <c r="A460" s="21"/>
      <c r="B460" s="26"/>
      <c r="C460" s="6" t="str">
        <f>IF(A460=""," ",VLOOKUP(A460,'18.11-07.12.2024'!A:H,2,FALSE))</f>
        <v xml:space="preserve"> </v>
      </c>
      <c r="D460" s="33" t="str">
        <f>IF(A460=""," ",VLOOKUP(A460,'18.11-07.12.2024'!A:H,5,FALSE))</f>
        <v xml:space="preserve"> </v>
      </c>
      <c r="E460" s="7" t="str">
        <f>IF(A460=""," ",B460*VLOOKUP(A460,'18.11-07.12.2024'!A:H,6,FALSE))</f>
        <v xml:space="preserve"> </v>
      </c>
      <c r="F460" s="7" t="str">
        <f>IF(A460=""," ",B460*VLOOKUP(A460,'18.11-07.12.2024'!A:H,7,FALSE))</f>
        <v xml:space="preserve"> </v>
      </c>
      <c r="G460" s="7" t="str">
        <f>IF(A460=""," ",B460*VLOOKUP(A460,'18.11-07.12.2024'!A:H,8,FALSE))</f>
        <v xml:space="preserve"> </v>
      </c>
    </row>
    <row r="461" spans="1:7" ht="15" x14ac:dyDescent="0.2">
      <c r="A461" s="21"/>
      <c r="B461" s="26"/>
      <c r="C461" s="6" t="str">
        <f>IF(A461=""," ",VLOOKUP(A461,'18.11-07.12.2024'!A:H,2,FALSE))</f>
        <v xml:space="preserve"> </v>
      </c>
      <c r="D461" s="33" t="str">
        <f>IF(A461=""," ",VLOOKUP(A461,'18.11-07.12.2024'!A:H,5,FALSE))</f>
        <v xml:space="preserve"> </v>
      </c>
      <c r="E461" s="7" t="str">
        <f>IF(A461=""," ",B461*VLOOKUP(A461,'18.11-07.12.2024'!A:H,6,FALSE))</f>
        <v xml:space="preserve"> </v>
      </c>
      <c r="F461" s="7" t="str">
        <f>IF(A461=""," ",B461*VLOOKUP(A461,'18.11-07.12.2024'!A:H,7,FALSE))</f>
        <v xml:space="preserve"> </v>
      </c>
      <c r="G461" s="7" t="str">
        <f>IF(A461=""," ",B461*VLOOKUP(A461,'18.11-07.12.2024'!A:H,8,FALSE))</f>
        <v xml:space="preserve"> </v>
      </c>
    </row>
    <row r="462" spans="1:7" ht="15" x14ac:dyDescent="0.2">
      <c r="A462" s="21"/>
      <c r="B462" s="26"/>
      <c r="C462" s="6" t="str">
        <f>IF(A462=""," ",VLOOKUP(A462,'18.11-07.12.2024'!A:H,2,FALSE))</f>
        <v xml:space="preserve"> </v>
      </c>
      <c r="D462" s="33" t="str">
        <f>IF(A462=""," ",VLOOKUP(A462,'18.11-07.12.2024'!A:H,5,FALSE))</f>
        <v xml:space="preserve"> </v>
      </c>
      <c r="E462" s="7" t="str">
        <f>IF(A462=""," ",B462*VLOOKUP(A462,'18.11-07.12.2024'!A:H,6,FALSE))</f>
        <v xml:space="preserve"> </v>
      </c>
      <c r="F462" s="7" t="str">
        <f>IF(A462=""," ",B462*VLOOKUP(A462,'18.11-07.12.2024'!A:H,7,FALSE))</f>
        <v xml:space="preserve"> </v>
      </c>
      <c r="G462" s="7" t="str">
        <f>IF(A462=""," ",B462*VLOOKUP(A462,'18.11-07.12.2024'!A:H,8,FALSE))</f>
        <v xml:space="preserve"> </v>
      </c>
    </row>
    <row r="463" spans="1:7" ht="15" x14ac:dyDescent="0.2">
      <c r="A463" s="21"/>
      <c r="B463" s="26"/>
      <c r="C463" s="6" t="str">
        <f>IF(A463=""," ",VLOOKUP(A463,'18.11-07.12.2024'!A:H,2,FALSE))</f>
        <v xml:space="preserve"> </v>
      </c>
      <c r="D463" s="33" t="str">
        <f>IF(A463=""," ",VLOOKUP(A463,'18.11-07.12.2024'!A:H,5,FALSE))</f>
        <v xml:space="preserve"> </v>
      </c>
      <c r="E463" s="7" t="str">
        <f>IF(A463=""," ",B463*VLOOKUP(A463,'18.11-07.12.2024'!A:H,6,FALSE))</f>
        <v xml:space="preserve"> </v>
      </c>
      <c r="F463" s="7" t="str">
        <f>IF(A463=""," ",B463*VLOOKUP(A463,'18.11-07.12.2024'!A:H,7,FALSE))</f>
        <v xml:space="preserve"> </v>
      </c>
      <c r="G463" s="7" t="str">
        <f>IF(A463=""," ",B463*VLOOKUP(A463,'18.11-07.12.2024'!A:H,8,FALSE))</f>
        <v xml:space="preserve"> </v>
      </c>
    </row>
    <row r="464" spans="1:7" ht="15" x14ac:dyDescent="0.2">
      <c r="A464" s="21"/>
      <c r="B464" s="26"/>
      <c r="C464" s="6" t="str">
        <f>IF(A464=""," ",VLOOKUP(A464,'18.11-07.12.2024'!A:H,2,FALSE))</f>
        <v xml:space="preserve"> </v>
      </c>
      <c r="D464" s="33" t="str">
        <f>IF(A464=""," ",VLOOKUP(A464,'18.11-07.12.2024'!A:H,5,FALSE))</f>
        <v xml:space="preserve"> </v>
      </c>
      <c r="E464" s="7" t="str">
        <f>IF(A464=""," ",B464*VLOOKUP(A464,'18.11-07.12.2024'!A:H,6,FALSE))</f>
        <v xml:space="preserve"> </v>
      </c>
      <c r="F464" s="7" t="str">
        <f>IF(A464=""," ",B464*VLOOKUP(A464,'18.11-07.12.2024'!A:H,7,FALSE))</f>
        <v xml:space="preserve"> </v>
      </c>
      <c r="G464" s="7" t="str">
        <f>IF(A464=""," ",B464*VLOOKUP(A464,'18.11-07.12.2024'!A:H,8,FALSE))</f>
        <v xml:space="preserve"> </v>
      </c>
    </row>
    <row r="465" spans="1:7" ht="15" x14ac:dyDescent="0.2">
      <c r="A465" s="21"/>
      <c r="B465" s="26"/>
      <c r="C465" s="6" t="str">
        <f>IF(A465=""," ",VLOOKUP(A465,'18.11-07.12.2024'!A:H,2,FALSE))</f>
        <v xml:space="preserve"> </v>
      </c>
      <c r="D465" s="33" t="str">
        <f>IF(A465=""," ",VLOOKUP(A465,'18.11-07.12.2024'!A:H,5,FALSE))</f>
        <v xml:space="preserve"> </v>
      </c>
      <c r="E465" s="7" t="str">
        <f>IF(A465=""," ",B465*VLOOKUP(A465,'18.11-07.12.2024'!A:H,6,FALSE))</f>
        <v xml:space="preserve"> </v>
      </c>
      <c r="F465" s="7" t="str">
        <f>IF(A465=""," ",B465*VLOOKUP(A465,'18.11-07.12.2024'!A:H,7,FALSE))</f>
        <v xml:space="preserve"> </v>
      </c>
      <c r="G465" s="7" t="str">
        <f>IF(A465=""," ",B465*VLOOKUP(A465,'18.11-07.12.2024'!A:H,8,FALSE))</f>
        <v xml:space="preserve"> </v>
      </c>
    </row>
    <row r="466" spans="1:7" ht="15" x14ac:dyDescent="0.2">
      <c r="A466" s="21"/>
      <c r="B466" s="26"/>
      <c r="C466" s="6" t="str">
        <f>IF(A466=""," ",VLOOKUP(A466,'18.11-07.12.2024'!A:H,2,FALSE))</f>
        <v xml:space="preserve"> </v>
      </c>
      <c r="D466" s="33" t="str">
        <f>IF(A466=""," ",VLOOKUP(A466,'18.11-07.12.2024'!A:H,5,FALSE))</f>
        <v xml:space="preserve"> </v>
      </c>
      <c r="E466" s="7" t="str">
        <f>IF(A466=""," ",B466*VLOOKUP(A466,'18.11-07.12.2024'!A:H,6,FALSE))</f>
        <v xml:space="preserve"> </v>
      </c>
      <c r="F466" s="7" t="str">
        <f>IF(A466=""," ",B466*VLOOKUP(A466,'18.11-07.12.2024'!A:H,7,FALSE))</f>
        <v xml:space="preserve"> </v>
      </c>
      <c r="G466" s="7" t="str">
        <f>IF(A466=""," ",B466*VLOOKUP(A466,'18.11-07.12.2024'!A:H,8,FALSE))</f>
        <v xml:space="preserve"> </v>
      </c>
    </row>
    <row r="467" spans="1:7" ht="15" x14ac:dyDescent="0.2">
      <c r="A467" s="21"/>
      <c r="B467" s="26"/>
      <c r="C467" s="6" t="str">
        <f>IF(A467=""," ",VLOOKUP(A467,'18.11-07.12.2024'!A:H,2,FALSE))</f>
        <v xml:space="preserve"> </v>
      </c>
      <c r="D467" s="33" t="str">
        <f>IF(A467=""," ",VLOOKUP(A467,'18.11-07.12.2024'!A:H,5,FALSE))</f>
        <v xml:space="preserve"> </v>
      </c>
      <c r="E467" s="7" t="str">
        <f>IF(A467=""," ",B467*VLOOKUP(A467,'18.11-07.12.2024'!A:H,6,FALSE))</f>
        <v xml:space="preserve"> </v>
      </c>
      <c r="F467" s="7" t="str">
        <f>IF(A467=""," ",B467*VLOOKUP(A467,'18.11-07.12.2024'!A:H,7,FALSE))</f>
        <v xml:space="preserve"> </v>
      </c>
      <c r="G467" s="7" t="str">
        <f>IF(A467=""," ",B467*VLOOKUP(A467,'18.11-07.12.2024'!A:H,8,FALSE))</f>
        <v xml:space="preserve"> </v>
      </c>
    </row>
    <row r="468" spans="1:7" ht="15" x14ac:dyDescent="0.2">
      <c r="A468" s="21"/>
      <c r="B468" s="26"/>
      <c r="C468" s="6" t="str">
        <f>IF(A468=""," ",VLOOKUP(A468,'18.11-07.12.2024'!A:H,2,FALSE))</f>
        <v xml:space="preserve"> </v>
      </c>
      <c r="D468" s="33" t="str">
        <f>IF(A468=""," ",VLOOKUP(A468,'18.11-07.12.2024'!A:H,5,FALSE))</f>
        <v xml:space="preserve"> </v>
      </c>
      <c r="E468" s="7" t="str">
        <f>IF(A468=""," ",B468*VLOOKUP(A468,'18.11-07.12.2024'!A:H,6,FALSE))</f>
        <v xml:space="preserve"> </v>
      </c>
      <c r="F468" s="7" t="str">
        <f>IF(A468=""," ",B468*VLOOKUP(A468,'18.11-07.12.2024'!A:H,7,FALSE))</f>
        <v xml:space="preserve"> </v>
      </c>
      <c r="G468" s="7" t="str">
        <f>IF(A468=""," ",B468*VLOOKUP(A468,'18.11-07.12.2024'!A:H,8,FALSE))</f>
        <v xml:space="preserve"> </v>
      </c>
    </row>
    <row r="469" spans="1:7" ht="15" x14ac:dyDescent="0.2">
      <c r="A469" s="21"/>
      <c r="B469" s="26"/>
      <c r="C469" s="6" t="str">
        <f>IF(A469=""," ",VLOOKUP(A469,'18.11-07.12.2024'!A:H,2,FALSE))</f>
        <v xml:space="preserve"> </v>
      </c>
      <c r="D469" s="33" t="str">
        <f>IF(A469=""," ",VLOOKUP(A469,'18.11-07.12.2024'!A:H,5,FALSE))</f>
        <v xml:space="preserve"> </v>
      </c>
      <c r="E469" s="7" t="str">
        <f>IF(A469=""," ",B469*VLOOKUP(A469,'18.11-07.12.2024'!A:H,6,FALSE))</f>
        <v xml:space="preserve"> </v>
      </c>
      <c r="F469" s="7" t="str">
        <f>IF(A469=""," ",B469*VLOOKUP(A469,'18.11-07.12.2024'!A:H,7,FALSE))</f>
        <v xml:space="preserve"> </v>
      </c>
      <c r="G469" s="7" t="str">
        <f>IF(A469=""," ",B469*VLOOKUP(A469,'18.11-07.12.2024'!A:H,8,FALSE))</f>
        <v xml:space="preserve"> </v>
      </c>
    </row>
    <row r="470" spans="1:7" ht="15" x14ac:dyDescent="0.2">
      <c r="A470" s="21"/>
      <c r="B470" s="26"/>
      <c r="C470" s="6" t="str">
        <f>IF(A470=""," ",VLOOKUP(A470,'18.11-07.12.2024'!A:H,2,FALSE))</f>
        <v xml:space="preserve"> </v>
      </c>
      <c r="D470" s="33" t="str">
        <f>IF(A470=""," ",VLOOKUP(A470,'18.11-07.12.2024'!A:H,5,FALSE))</f>
        <v xml:space="preserve"> </v>
      </c>
      <c r="E470" s="7" t="str">
        <f>IF(A470=""," ",B470*VLOOKUP(A470,'18.11-07.12.2024'!A:H,6,FALSE))</f>
        <v xml:space="preserve"> </v>
      </c>
      <c r="F470" s="7" t="str">
        <f>IF(A470=""," ",B470*VLOOKUP(A470,'18.11-07.12.2024'!A:H,7,FALSE))</f>
        <v xml:space="preserve"> </v>
      </c>
      <c r="G470" s="7" t="str">
        <f>IF(A470=""," ",B470*VLOOKUP(A470,'18.11-07.12.2024'!A:H,8,FALSE))</f>
        <v xml:space="preserve"> </v>
      </c>
    </row>
    <row r="471" spans="1:7" ht="15" x14ac:dyDescent="0.2">
      <c r="A471" s="21"/>
      <c r="B471" s="26"/>
      <c r="C471" s="6" t="str">
        <f>IF(A471=""," ",VLOOKUP(A471,'18.11-07.12.2024'!A:H,2,FALSE))</f>
        <v xml:space="preserve"> </v>
      </c>
      <c r="D471" s="33" t="str">
        <f>IF(A471=""," ",VLOOKUP(A471,'18.11-07.12.2024'!A:H,5,FALSE))</f>
        <v xml:space="preserve"> </v>
      </c>
      <c r="E471" s="7" t="str">
        <f>IF(A471=""," ",B471*VLOOKUP(A471,'18.11-07.12.2024'!A:H,6,FALSE))</f>
        <v xml:space="preserve"> </v>
      </c>
      <c r="F471" s="7" t="str">
        <f>IF(A471=""," ",B471*VLOOKUP(A471,'18.11-07.12.2024'!A:H,7,FALSE))</f>
        <v xml:space="preserve"> </v>
      </c>
      <c r="G471" s="7" t="str">
        <f>IF(A471=""," ",B471*VLOOKUP(A471,'18.11-07.12.2024'!A:H,8,FALSE))</f>
        <v xml:space="preserve"> </v>
      </c>
    </row>
    <row r="472" spans="1:7" ht="15" x14ac:dyDescent="0.2">
      <c r="A472" s="21"/>
      <c r="B472" s="26"/>
      <c r="C472" s="6" t="str">
        <f>IF(A472=""," ",VLOOKUP(A472,'18.11-07.12.2024'!A:H,2,FALSE))</f>
        <v xml:space="preserve"> </v>
      </c>
      <c r="D472" s="33" t="str">
        <f>IF(A472=""," ",VLOOKUP(A472,'18.11-07.12.2024'!A:H,5,FALSE))</f>
        <v xml:space="preserve"> </v>
      </c>
      <c r="E472" s="7" t="str">
        <f>IF(A472=""," ",B472*VLOOKUP(A472,'18.11-07.12.2024'!A:H,6,FALSE))</f>
        <v xml:space="preserve"> </v>
      </c>
      <c r="F472" s="7" t="str">
        <f>IF(A472=""," ",B472*VLOOKUP(A472,'18.11-07.12.2024'!A:H,7,FALSE))</f>
        <v xml:space="preserve"> </v>
      </c>
      <c r="G472" s="7" t="str">
        <f>IF(A472=""," ",B472*VLOOKUP(A472,'18.11-07.12.2024'!A:H,8,FALSE))</f>
        <v xml:space="preserve"> </v>
      </c>
    </row>
    <row r="473" spans="1:7" ht="15" x14ac:dyDescent="0.2">
      <c r="A473" s="21"/>
      <c r="B473" s="26"/>
      <c r="C473" s="6" t="str">
        <f>IF(A473=""," ",VLOOKUP(A473,'18.11-07.12.2024'!A:H,2,FALSE))</f>
        <v xml:space="preserve"> </v>
      </c>
      <c r="D473" s="33" t="str">
        <f>IF(A473=""," ",VLOOKUP(A473,'18.11-07.12.2024'!A:H,5,FALSE))</f>
        <v xml:space="preserve"> </v>
      </c>
      <c r="E473" s="7" t="str">
        <f>IF(A473=""," ",B473*VLOOKUP(A473,'18.11-07.12.2024'!A:H,6,FALSE))</f>
        <v xml:space="preserve"> </v>
      </c>
      <c r="F473" s="7" t="str">
        <f>IF(A473=""," ",B473*VLOOKUP(A473,'18.11-07.12.2024'!A:H,7,FALSE))</f>
        <v xml:space="preserve"> </v>
      </c>
      <c r="G473" s="7" t="str">
        <f>IF(A473=""," ",B473*VLOOKUP(A473,'18.11-07.12.2024'!A:H,8,FALSE))</f>
        <v xml:space="preserve"> </v>
      </c>
    </row>
    <row r="474" spans="1:7" ht="15" x14ac:dyDescent="0.2">
      <c r="A474" s="21"/>
      <c r="B474" s="26"/>
      <c r="C474" s="6" t="str">
        <f>IF(A474=""," ",VLOOKUP(A474,'18.11-07.12.2024'!A:H,2,FALSE))</f>
        <v xml:space="preserve"> </v>
      </c>
      <c r="D474" s="33" t="str">
        <f>IF(A474=""," ",VLOOKUP(A474,'18.11-07.12.2024'!A:H,5,FALSE))</f>
        <v xml:space="preserve"> </v>
      </c>
      <c r="E474" s="7" t="str">
        <f>IF(A474=""," ",B474*VLOOKUP(A474,'18.11-07.12.2024'!A:H,6,FALSE))</f>
        <v xml:space="preserve"> </v>
      </c>
      <c r="F474" s="7" t="str">
        <f>IF(A474=""," ",B474*VLOOKUP(A474,'18.11-07.12.2024'!A:H,7,FALSE))</f>
        <v xml:space="preserve"> </v>
      </c>
      <c r="G474" s="7" t="str">
        <f>IF(A474=""," ",B474*VLOOKUP(A474,'18.11-07.12.2024'!A:H,8,FALSE))</f>
        <v xml:space="preserve"> </v>
      </c>
    </row>
    <row r="475" spans="1:7" ht="15" x14ac:dyDescent="0.2">
      <c r="A475" s="21"/>
      <c r="B475" s="26"/>
      <c r="C475" s="6" t="str">
        <f>IF(A475=""," ",VLOOKUP(A475,'18.11-07.12.2024'!A:H,2,FALSE))</f>
        <v xml:space="preserve"> </v>
      </c>
      <c r="D475" s="33" t="str">
        <f>IF(A475=""," ",VLOOKUP(A475,'18.11-07.12.2024'!A:H,5,FALSE))</f>
        <v xml:space="preserve"> </v>
      </c>
      <c r="E475" s="7" t="str">
        <f>IF(A475=""," ",B475*VLOOKUP(A475,'18.11-07.12.2024'!A:H,6,FALSE))</f>
        <v xml:space="preserve"> </v>
      </c>
      <c r="F475" s="7" t="str">
        <f>IF(A475=""," ",B475*VLOOKUP(A475,'18.11-07.12.2024'!A:H,7,FALSE))</f>
        <v xml:space="preserve"> </v>
      </c>
      <c r="G475" s="7" t="str">
        <f>IF(A475=""," ",B475*VLOOKUP(A475,'18.11-07.12.2024'!A:H,8,FALSE))</f>
        <v xml:space="preserve"> </v>
      </c>
    </row>
    <row r="476" spans="1:7" ht="15" x14ac:dyDescent="0.2">
      <c r="A476" s="21"/>
      <c r="B476" s="26"/>
      <c r="C476" s="6" t="str">
        <f>IF(A476=""," ",VLOOKUP(A476,'18.11-07.12.2024'!A:H,2,FALSE))</f>
        <v xml:space="preserve"> </v>
      </c>
      <c r="D476" s="33" t="str">
        <f>IF(A476=""," ",VLOOKUP(A476,'18.11-07.12.2024'!A:H,5,FALSE))</f>
        <v xml:space="preserve"> </v>
      </c>
      <c r="E476" s="7" t="str">
        <f>IF(A476=""," ",B476*VLOOKUP(A476,'18.11-07.12.2024'!A:H,6,FALSE))</f>
        <v xml:space="preserve"> </v>
      </c>
      <c r="F476" s="7" t="str">
        <f>IF(A476=""," ",B476*VLOOKUP(A476,'18.11-07.12.2024'!A:H,7,FALSE))</f>
        <v xml:space="preserve"> </v>
      </c>
      <c r="G476" s="7" t="str">
        <f>IF(A476=""," ",B476*VLOOKUP(A476,'18.11-07.12.2024'!A:H,8,FALSE))</f>
        <v xml:space="preserve"> </v>
      </c>
    </row>
    <row r="477" spans="1:7" ht="15" x14ac:dyDescent="0.2">
      <c r="A477" s="21"/>
      <c r="B477" s="26"/>
      <c r="C477" s="6" t="str">
        <f>IF(A477=""," ",VLOOKUP(A477,'18.11-07.12.2024'!A:H,2,FALSE))</f>
        <v xml:space="preserve"> </v>
      </c>
      <c r="D477" s="33" t="str">
        <f>IF(A477=""," ",VLOOKUP(A477,'18.11-07.12.2024'!A:H,5,FALSE))</f>
        <v xml:space="preserve"> </v>
      </c>
      <c r="E477" s="7" t="str">
        <f>IF(A477=""," ",B477*VLOOKUP(A477,'18.11-07.12.2024'!A:H,6,FALSE))</f>
        <v xml:space="preserve"> </v>
      </c>
      <c r="F477" s="7" t="str">
        <f>IF(A477=""," ",B477*VLOOKUP(A477,'18.11-07.12.2024'!A:H,7,FALSE))</f>
        <v xml:space="preserve"> </v>
      </c>
      <c r="G477" s="7" t="str">
        <f>IF(A477=""," ",B477*VLOOKUP(A477,'18.11-07.12.2024'!A:H,8,FALSE))</f>
        <v xml:space="preserve"> </v>
      </c>
    </row>
    <row r="478" spans="1:7" ht="15" x14ac:dyDescent="0.2">
      <c r="A478" s="21"/>
      <c r="B478" s="26"/>
      <c r="C478" s="6" t="str">
        <f>IF(A478=""," ",VLOOKUP(A478,'18.11-07.12.2024'!A:H,2,FALSE))</f>
        <v xml:space="preserve"> </v>
      </c>
      <c r="D478" s="33" t="str">
        <f>IF(A478=""," ",VLOOKUP(A478,'18.11-07.12.2024'!A:H,5,FALSE))</f>
        <v xml:space="preserve"> </v>
      </c>
      <c r="E478" s="7" t="str">
        <f>IF(A478=""," ",B478*VLOOKUP(A478,'18.11-07.12.2024'!A:H,6,FALSE))</f>
        <v xml:space="preserve"> </v>
      </c>
      <c r="F478" s="7" t="str">
        <f>IF(A478=""," ",B478*VLOOKUP(A478,'18.11-07.12.2024'!A:H,7,FALSE))</f>
        <v xml:space="preserve"> </v>
      </c>
      <c r="G478" s="7" t="str">
        <f>IF(A478=""," ",B478*VLOOKUP(A478,'18.11-07.12.2024'!A:H,8,FALSE))</f>
        <v xml:space="preserve"> </v>
      </c>
    </row>
    <row r="479" spans="1:7" ht="15" x14ac:dyDescent="0.2">
      <c r="A479" s="21"/>
      <c r="B479" s="26"/>
      <c r="C479" s="6" t="str">
        <f>IF(A479=""," ",VLOOKUP(A479,'18.11-07.12.2024'!A:H,2,FALSE))</f>
        <v xml:space="preserve"> </v>
      </c>
      <c r="D479" s="33" t="str">
        <f>IF(A479=""," ",VLOOKUP(A479,'18.11-07.12.2024'!A:H,5,FALSE))</f>
        <v xml:space="preserve"> </v>
      </c>
      <c r="E479" s="7" t="str">
        <f>IF(A479=""," ",B479*VLOOKUP(A479,'18.11-07.12.2024'!A:H,6,FALSE))</f>
        <v xml:space="preserve"> </v>
      </c>
      <c r="F479" s="7" t="str">
        <f>IF(A479=""," ",B479*VLOOKUP(A479,'18.11-07.12.2024'!A:H,7,FALSE))</f>
        <v xml:space="preserve"> </v>
      </c>
      <c r="G479" s="7" t="str">
        <f>IF(A479=""," ",B479*VLOOKUP(A479,'18.11-07.12.2024'!A:H,8,FALSE))</f>
        <v xml:space="preserve"> </v>
      </c>
    </row>
    <row r="480" spans="1:7" ht="15" x14ac:dyDescent="0.2">
      <c r="A480" s="21"/>
      <c r="B480" s="26"/>
      <c r="C480" s="6" t="str">
        <f>IF(A480=""," ",VLOOKUP(A480,'18.11-07.12.2024'!A:H,2,FALSE))</f>
        <v xml:space="preserve"> </v>
      </c>
      <c r="D480" s="33" t="str">
        <f>IF(A480=""," ",VLOOKUP(A480,'18.11-07.12.2024'!A:H,5,FALSE))</f>
        <v xml:space="preserve"> </v>
      </c>
      <c r="E480" s="7" t="str">
        <f>IF(A480=""," ",B480*VLOOKUP(A480,'18.11-07.12.2024'!A:H,6,FALSE))</f>
        <v xml:space="preserve"> </v>
      </c>
      <c r="F480" s="7" t="str">
        <f>IF(A480=""," ",B480*VLOOKUP(A480,'18.11-07.12.2024'!A:H,7,FALSE))</f>
        <v xml:space="preserve"> </v>
      </c>
      <c r="G480" s="7" t="str">
        <f>IF(A480=""," ",B480*VLOOKUP(A480,'18.11-07.12.2024'!A:H,8,FALSE))</f>
        <v xml:space="preserve"> </v>
      </c>
    </row>
    <row r="481" spans="1:7" ht="15" x14ac:dyDescent="0.2">
      <c r="A481" s="21"/>
      <c r="B481" s="26"/>
      <c r="C481" s="6" t="str">
        <f>IF(A481=""," ",VLOOKUP(A481,'18.11-07.12.2024'!A:H,2,FALSE))</f>
        <v xml:space="preserve"> </v>
      </c>
      <c r="D481" s="33" t="str">
        <f>IF(A481=""," ",VLOOKUP(A481,'18.11-07.12.2024'!A:H,5,FALSE))</f>
        <v xml:space="preserve"> </v>
      </c>
      <c r="E481" s="7" t="str">
        <f>IF(A481=""," ",B481*VLOOKUP(A481,'18.11-07.12.2024'!A:H,6,FALSE))</f>
        <v xml:space="preserve"> </v>
      </c>
      <c r="F481" s="7" t="str">
        <f>IF(A481=""," ",B481*VLOOKUP(A481,'18.11-07.12.2024'!A:H,7,FALSE))</f>
        <v xml:space="preserve"> </v>
      </c>
      <c r="G481" s="7" t="str">
        <f>IF(A481=""," ",B481*VLOOKUP(A481,'18.11-07.12.2024'!A:H,8,FALSE))</f>
        <v xml:space="preserve"> </v>
      </c>
    </row>
    <row r="482" spans="1:7" ht="15" x14ac:dyDescent="0.2">
      <c r="A482" s="21"/>
      <c r="B482" s="26"/>
      <c r="C482" s="6" t="str">
        <f>IF(A482=""," ",VLOOKUP(A482,'18.11-07.12.2024'!A:H,2,FALSE))</f>
        <v xml:space="preserve"> </v>
      </c>
      <c r="D482" s="33" t="str">
        <f>IF(A482=""," ",VLOOKUP(A482,'18.11-07.12.2024'!A:H,5,FALSE))</f>
        <v xml:space="preserve"> </v>
      </c>
      <c r="E482" s="7" t="str">
        <f>IF(A482=""," ",B482*VLOOKUP(A482,'18.11-07.12.2024'!A:H,6,FALSE))</f>
        <v xml:space="preserve"> </v>
      </c>
      <c r="F482" s="7" t="str">
        <f>IF(A482=""," ",B482*VLOOKUP(A482,'18.11-07.12.2024'!A:H,7,FALSE))</f>
        <v xml:space="preserve"> </v>
      </c>
      <c r="G482" s="7" t="str">
        <f>IF(A482=""," ",B482*VLOOKUP(A482,'18.11-07.12.2024'!A:H,8,FALSE))</f>
        <v xml:space="preserve"> </v>
      </c>
    </row>
    <row r="483" spans="1:7" ht="15" x14ac:dyDescent="0.2">
      <c r="A483" s="21"/>
      <c r="B483" s="26"/>
      <c r="C483" s="6" t="str">
        <f>IF(A483=""," ",VLOOKUP(A483,'18.11-07.12.2024'!A:H,2,FALSE))</f>
        <v xml:space="preserve"> </v>
      </c>
      <c r="D483" s="33" t="str">
        <f>IF(A483=""," ",VLOOKUP(A483,'18.11-07.12.2024'!A:H,5,FALSE))</f>
        <v xml:space="preserve"> </v>
      </c>
      <c r="E483" s="7" t="str">
        <f>IF(A483=""," ",B483*VLOOKUP(A483,'18.11-07.12.2024'!A:H,6,FALSE))</f>
        <v xml:space="preserve"> </v>
      </c>
      <c r="F483" s="7" t="str">
        <f>IF(A483=""," ",B483*VLOOKUP(A483,'18.11-07.12.2024'!A:H,7,FALSE))</f>
        <v xml:space="preserve"> </v>
      </c>
      <c r="G483" s="7" t="str">
        <f>IF(A483=""," ",B483*VLOOKUP(A483,'18.11-07.12.2024'!A:H,8,FALSE))</f>
        <v xml:space="preserve"> </v>
      </c>
    </row>
    <row r="484" spans="1:7" ht="15" x14ac:dyDescent="0.2">
      <c r="A484" s="21"/>
      <c r="B484" s="26"/>
      <c r="C484" s="6" t="str">
        <f>IF(A484=""," ",VLOOKUP(A484,'18.11-07.12.2024'!A:H,2,FALSE))</f>
        <v xml:space="preserve"> </v>
      </c>
      <c r="D484" s="33" t="str">
        <f>IF(A484=""," ",VLOOKUP(A484,'18.11-07.12.2024'!A:H,5,FALSE))</f>
        <v xml:space="preserve"> </v>
      </c>
      <c r="E484" s="7" t="str">
        <f>IF(A484=""," ",B484*VLOOKUP(A484,'18.11-07.12.2024'!A:H,6,FALSE))</f>
        <v xml:space="preserve"> </v>
      </c>
      <c r="F484" s="7" t="str">
        <f>IF(A484=""," ",B484*VLOOKUP(A484,'18.11-07.12.2024'!A:H,7,FALSE))</f>
        <v xml:space="preserve"> </v>
      </c>
      <c r="G484" s="7" t="str">
        <f>IF(A484=""," ",B484*VLOOKUP(A484,'18.11-07.12.2024'!A:H,8,FALSE))</f>
        <v xml:space="preserve"> </v>
      </c>
    </row>
    <row r="485" spans="1:7" ht="15" x14ac:dyDescent="0.2">
      <c r="A485" s="21"/>
      <c r="B485" s="26"/>
      <c r="C485" s="6" t="str">
        <f>IF(A485=""," ",VLOOKUP(A485,'18.11-07.12.2024'!A:H,2,FALSE))</f>
        <v xml:space="preserve"> </v>
      </c>
      <c r="D485" s="33" t="str">
        <f>IF(A485=""," ",VLOOKUP(A485,'18.11-07.12.2024'!A:H,5,FALSE))</f>
        <v xml:space="preserve"> </v>
      </c>
      <c r="E485" s="7" t="str">
        <f>IF(A485=""," ",B485*VLOOKUP(A485,'18.11-07.12.2024'!A:H,6,FALSE))</f>
        <v xml:space="preserve"> </v>
      </c>
      <c r="F485" s="7" t="str">
        <f>IF(A485=""," ",B485*VLOOKUP(A485,'18.11-07.12.2024'!A:H,7,FALSE))</f>
        <v xml:space="preserve"> </v>
      </c>
      <c r="G485" s="7" t="str">
        <f>IF(A485=""," ",B485*VLOOKUP(A485,'18.11-07.12.2024'!A:H,8,FALSE))</f>
        <v xml:space="preserve"> </v>
      </c>
    </row>
    <row r="486" spans="1:7" ht="15" x14ac:dyDescent="0.2">
      <c r="A486" s="21"/>
      <c r="B486" s="26"/>
      <c r="C486" s="6" t="str">
        <f>IF(A486=""," ",VLOOKUP(A486,'18.11-07.12.2024'!A:H,2,FALSE))</f>
        <v xml:space="preserve"> </v>
      </c>
      <c r="D486" s="33" t="str">
        <f>IF(A486=""," ",VLOOKUP(A486,'18.11-07.12.2024'!A:H,5,FALSE))</f>
        <v xml:space="preserve"> </v>
      </c>
      <c r="E486" s="7" t="str">
        <f>IF(A486=""," ",B486*VLOOKUP(A486,'18.11-07.12.2024'!A:H,6,FALSE))</f>
        <v xml:space="preserve"> </v>
      </c>
      <c r="F486" s="7" t="str">
        <f>IF(A486=""," ",B486*VLOOKUP(A486,'18.11-07.12.2024'!A:H,7,FALSE))</f>
        <v xml:space="preserve"> </v>
      </c>
      <c r="G486" s="7" t="str">
        <f>IF(A486=""," ",B486*VLOOKUP(A486,'18.11-07.12.2024'!A:H,8,FALSE))</f>
        <v xml:space="preserve"> </v>
      </c>
    </row>
    <row r="487" spans="1:7" ht="15" x14ac:dyDescent="0.2">
      <c r="A487" s="21"/>
      <c r="B487" s="26"/>
      <c r="C487" s="6" t="str">
        <f>IF(A487=""," ",VLOOKUP(A487,'18.11-07.12.2024'!A:H,2,FALSE))</f>
        <v xml:space="preserve"> </v>
      </c>
      <c r="D487" s="33" t="str">
        <f>IF(A487=""," ",VLOOKUP(A487,'18.11-07.12.2024'!A:H,5,FALSE))</f>
        <v xml:space="preserve"> </v>
      </c>
      <c r="E487" s="7" t="str">
        <f>IF(A487=""," ",B487*VLOOKUP(A487,'18.11-07.12.2024'!A:H,6,FALSE))</f>
        <v xml:space="preserve"> </v>
      </c>
      <c r="F487" s="7" t="str">
        <f>IF(A487=""," ",B487*VLOOKUP(A487,'18.11-07.12.2024'!A:H,7,FALSE))</f>
        <v xml:space="preserve"> </v>
      </c>
      <c r="G487" s="7" t="str">
        <f>IF(A487=""," ",B487*VLOOKUP(A487,'18.11-07.12.2024'!A:H,8,FALSE))</f>
        <v xml:space="preserve"> </v>
      </c>
    </row>
    <row r="488" spans="1:7" ht="15" x14ac:dyDescent="0.2">
      <c r="A488" s="21"/>
      <c r="B488" s="26"/>
      <c r="C488" s="6" t="str">
        <f>IF(A488=""," ",VLOOKUP(A488,'18.11-07.12.2024'!A:H,2,FALSE))</f>
        <v xml:space="preserve"> </v>
      </c>
      <c r="D488" s="33" t="str">
        <f>IF(A488=""," ",VLOOKUP(A488,'18.11-07.12.2024'!A:H,5,FALSE))</f>
        <v xml:space="preserve"> </v>
      </c>
      <c r="E488" s="7" t="str">
        <f>IF(A488=""," ",B488*VLOOKUP(A488,'18.11-07.12.2024'!A:H,6,FALSE))</f>
        <v xml:space="preserve"> </v>
      </c>
      <c r="F488" s="7" t="str">
        <f>IF(A488=""," ",B488*VLOOKUP(A488,'18.11-07.12.2024'!A:H,7,FALSE))</f>
        <v xml:space="preserve"> </v>
      </c>
      <c r="G488" s="7" t="str">
        <f>IF(A488=""," ",B488*VLOOKUP(A488,'18.11-07.12.2024'!A:H,8,FALSE))</f>
        <v xml:space="preserve"> </v>
      </c>
    </row>
    <row r="489" spans="1:7" ht="15" x14ac:dyDescent="0.2">
      <c r="A489" s="21"/>
      <c r="B489" s="26"/>
      <c r="C489" s="6" t="str">
        <f>IF(A489=""," ",VLOOKUP(A489,'18.11-07.12.2024'!A:H,2,FALSE))</f>
        <v xml:space="preserve"> </v>
      </c>
      <c r="D489" s="33" t="str">
        <f>IF(A489=""," ",VLOOKUP(A489,'18.11-07.12.2024'!A:H,5,FALSE))</f>
        <v xml:space="preserve"> </v>
      </c>
      <c r="E489" s="7" t="str">
        <f>IF(A489=""," ",B489*VLOOKUP(A489,'18.11-07.12.2024'!A:H,6,FALSE))</f>
        <v xml:space="preserve"> </v>
      </c>
      <c r="F489" s="7" t="str">
        <f>IF(A489=""," ",B489*VLOOKUP(A489,'18.11-07.12.2024'!A:H,7,FALSE))</f>
        <v xml:space="preserve"> </v>
      </c>
      <c r="G489" s="7" t="str">
        <f>IF(A489=""," ",B489*VLOOKUP(A489,'18.11-07.12.2024'!A:H,8,FALSE))</f>
        <v xml:space="preserve"> </v>
      </c>
    </row>
    <row r="490" spans="1:7" ht="15" x14ac:dyDescent="0.2">
      <c r="A490" s="21"/>
      <c r="B490" s="26"/>
      <c r="C490" s="6" t="str">
        <f>IF(A490=""," ",VLOOKUP(A490,'18.11-07.12.2024'!A:H,2,FALSE))</f>
        <v xml:space="preserve"> </v>
      </c>
      <c r="D490" s="33" t="str">
        <f>IF(A490=""," ",VLOOKUP(A490,'18.11-07.12.2024'!A:H,5,FALSE))</f>
        <v xml:space="preserve"> </v>
      </c>
      <c r="E490" s="7" t="str">
        <f>IF(A490=""," ",B490*VLOOKUP(A490,'18.11-07.12.2024'!A:H,6,FALSE))</f>
        <v xml:space="preserve"> </v>
      </c>
      <c r="F490" s="7" t="str">
        <f>IF(A490=""," ",B490*VLOOKUP(A490,'18.11-07.12.2024'!A:H,7,FALSE))</f>
        <v xml:space="preserve"> </v>
      </c>
      <c r="G490" s="7" t="str">
        <f>IF(A490=""," ",B490*VLOOKUP(A490,'18.11-07.12.2024'!A:H,8,FALSE))</f>
        <v xml:space="preserve"> </v>
      </c>
    </row>
    <row r="491" spans="1:7" ht="15" x14ac:dyDescent="0.2">
      <c r="A491" s="21"/>
      <c r="B491" s="26"/>
      <c r="C491" s="6" t="str">
        <f>IF(A491=""," ",VLOOKUP(A491,'18.11-07.12.2024'!A:H,2,FALSE))</f>
        <v xml:space="preserve"> </v>
      </c>
      <c r="D491" s="33" t="str">
        <f>IF(A491=""," ",VLOOKUP(A491,'18.11-07.12.2024'!A:H,5,FALSE))</f>
        <v xml:space="preserve"> </v>
      </c>
      <c r="E491" s="7" t="str">
        <f>IF(A491=""," ",B491*VLOOKUP(A491,'18.11-07.12.2024'!A:H,6,FALSE))</f>
        <v xml:space="preserve"> </v>
      </c>
      <c r="F491" s="7" t="str">
        <f>IF(A491=""," ",B491*VLOOKUP(A491,'18.11-07.12.2024'!A:H,7,FALSE))</f>
        <v xml:space="preserve"> </v>
      </c>
      <c r="G491" s="7" t="str">
        <f>IF(A491=""," ",B491*VLOOKUP(A491,'18.11-07.12.2024'!A:H,8,FALSE))</f>
        <v xml:space="preserve"> </v>
      </c>
    </row>
    <row r="492" spans="1:7" ht="15" x14ac:dyDescent="0.2">
      <c r="A492" s="21"/>
      <c r="B492" s="26"/>
      <c r="C492" s="6" t="str">
        <f>IF(A492=""," ",VLOOKUP(A492,'18.11-07.12.2024'!A:H,2,FALSE))</f>
        <v xml:space="preserve"> </v>
      </c>
      <c r="D492" s="33" t="str">
        <f>IF(A492=""," ",VLOOKUP(A492,'18.11-07.12.2024'!A:H,5,FALSE))</f>
        <v xml:space="preserve"> </v>
      </c>
      <c r="E492" s="7" t="str">
        <f>IF(A492=""," ",B492*VLOOKUP(A492,'18.11-07.12.2024'!A:H,6,FALSE))</f>
        <v xml:space="preserve"> </v>
      </c>
      <c r="F492" s="7" t="str">
        <f>IF(A492=""," ",B492*VLOOKUP(A492,'18.11-07.12.2024'!A:H,7,FALSE))</f>
        <v xml:space="preserve"> </v>
      </c>
      <c r="G492" s="7" t="str">
        <f>IF(A492=""," ",B492*VLOOKUP(A492,'18.11-07.12.2024'!A:H,8,FALSE))</f>
        <v xml:space="preserve"> </v>
      </c>
    </row>
    <row r="493" spans="1:7" ht="15" x14ac:dyDescent="0.2">
      <c r="A493" s="21"/>
      <c r="B493" s="26"/>
      <c r="C493" s="6" t="str">
        <f>IF(A493=""," ",VLOOKUP(A493,'18.11-07.12.2024'!A:H,2,FALSE))</f>
        <v xml:space="preserve"> </v>
      </c>
      <c r="D493" s="33" t="str">
        <f>IF(A493=""," ",VLOOKUP(A493,'18.11-07.12.2024'!A:H,5,FALSE))</f>
        <v xml:space="preserve"> </v>
      </c>
      <c r="E493" s="7" t="str">
        <f>IF(A493=""," ",B493*VLOOKUP(A493,'18.11-07.12.2024'!A:H,6,FALSE))</f>
        <v xml:space="preserve"> </v>
      </c>
      <c r="F493" s="7" t="str">
        <f>IF(A493=""," ",B493*VLOOKUP(A493,'18.11-07.12.2024'!A:H,7,FALSE))</f>
        <v xml:space="preserve"> </v>
      </c>
      <c r="G493" s="7" t="str">
        <f>IF(A493=""," ",B493*VLOOKUP(A493,'18.11-07.12.2024'!A:H,8,FALSE))</f>
        <v xml:space="preserve"> </v>
      </c>
    </row>
    <row r="494" spans="1:7" ht="15" x14ac:dyDescent="0.2">
      <c r="A494" s="21"/>
      <c r="B494" s="26"/>
      <c r="C494" s="6" t="str">
        <f>IF(A494=""," ",VLOOKUP(A494,'18.11-07.12.2024'!A:H,2,FALSE))</f>
        <v xml:space="preserve"> </v>
      </c>
      <c r="D494" s="33" t="str">
        <f>IF(A494=""," ",VLOOKUP(A494,'18.11-07.12.2024'!A:H,5,FALSE))</f>
        <v xml:space="preserve"> </v>
      </c>
      <c r="E494" s="7" t="str">
        <f>IF(A494=""," ",B494*VLOOKUP(A494,'18.11-07.12.2024'!A:H,6,FALSE))</f>
        <v xml:space="preserve"> </v>
      </c>
      <c r="F494" s="7" t="str">
        <f>IF(A494=""," ",B494*VLOOKUP(A494,'18.11-07.12.2024'!A:H,7,FALSE))</f>
        <v xml:space="preserve"> </v>
      </c>
      <c r="G494" s="7" t="str">
        <f>IF(A494=""," ",B494*VLOOKUP(A494,'18.11-07.12.2024'!A:H,8,FALSE))</f>
        <v xml:space="preserve"> </v>
      </c>
    </row>
    <row r="495" spans="1:7" ht="15" x14ac:dyDescent="0.2">
      <c r="A495" s="21"/>
      <c r="B495" s="26"/>
      <c r="C495" s="6" t="str">
        <f>IF(A495=""," ",VLOOKUP(A495,'18.11-07.12.2024'!A:H,2,FALSE))</f>
        <v xml:space="preserve"> </v>
      </c>
      <c r="D495" s="33" t="str">
        <f>IF(A495=""," ",VLOOKUP(A495,'18.11-07.12.2024'!A:H,5,FALSE))</f>
        <v xml:space="preserve"> </v>
      </c>
      <c r="E495" s="7" t="str">
        <f>IF(A495=""," ",B495*VLOOKUP(A495,'18.11-07.12.2024'!A:H,6,FALSE))</f>
        <v xml:space="preserve"> </v>
      </c>
      <c r="F495" s="7" t="str">
        <f>IF(A495=""," ",B495*VLOOKUP(A495,'18.11-07.12.2024'!A:H,7,FALSE))</f>
        <v xml:space="preserve"> </v>
      </c>
      <c r="G495" s="7" t="str">
        <f>IF(A495=""," ",B495*VLOOKUP(A495,'18.11-07.12.2024'!A:H,8,FALSE))</f>
        <v xml:space="preserve"> </v>
      </c>
    </row>
    <row r="496" spans="1:7" ht="15" x14ac:dyDescent="0.2">
      <c r="A496" s="21"/>
      <c r="B496" s="26"/>
      <c r="C496" s="6" t="str">
        <f>IF(A496=""," ",VLOOKUP(A496,'18.11-07.12.2024'!A:H,2,FALSE))</f>
        <v xml:space="preserve"> </v>
      </c>
      <c r="D496" s="33" t="str">
        <f>IF(A496=""," ",VLOOKUP(A496,'18.11-07.12.2024'!A:H,5,FALSE))</f>
        <v xml:space="preserve"> </v>
      </c>
      <c r="E496" s="7" t="str">
        <f>IF(A496=""," ",B496*VLOOKUP(A496,'18.11-07.12.2024'!A:H,6,FALSE))</f>
        <v xml:space="preserve"> </v>
      </c>
      <c r="F496" s="7" t="str">
        <f>IF(A496=""," ",B496*VLOOKUP(A496,'18.11-07.12.2024'!A:H,7,FALSE))</f>
        <v xml:space="preserve"> </v>
      </c>
      <c r="G496" s="7" t="str">
        <f>IF(A496=""," ",B496*VLOOKUP(A496,'18.11-07.12.2024'!A:H,8,FALSE))</f>
        <v xml:space="preserve"> </v>
      </c>
    </row>
    <row r="497" spans="1:7" ht="15" x14ac:dyDescent="0.2">
      <c r="A497" s="21"/>
      <c r="B497" s="26"/>
      <c r="C497" s="6" t="str">
        <f>IF(A497=""," ",VLOOKUP(A497,'18.11-07.12.2024'!A:H,2,FALSE))</f>
        <v xml:space="preserve"> </v>
      </c>
      <c r="D497" s="33" t="str">
        <f>IF(A497=""," ",VLOOKUP(A497,'18.11-07.12.2024'!A:H,5,FALSE))</f>
        <v xml:space="preserve"> </v>
      </c>
      <c r="E497" s="7" t="str">
        <f>IF(A497=""," ",B497*VLOOKUP(A497,'18.11-07.12.2024'!A:H,6,FALSE))</f>
        <v xml:space="preserve"> </v>
      </c>
      <c r="F497" s="7" t="str">
        <f>IF(A497=""," ",B497*VLOOKUP(A497,'18.11-07.12.2024'!A:H,7,FALSE))</f>
        <v xml:space="preserve"> </v>
      </c>
      <c r="G497" s="7" t="str">
        <f>IF(A497=""," ",B497*VLOOKUP(A497,'18.11-07.12.2024'!A:H,8,FALSE))</f>
        <v xml:space="preserve"> </v>
      </c>
    </row>
    <row r="498" spans="1:7" ht="15" x14ac:dyDescent="0.2">
      <c r="A498" s="21"/>
      <c r="B498" s="26"/>
      <c r="C498" s="6" t="str">
        <f>IF(A498=""," ",VLOOKUP(A498,'18.11-07.12.2024'!A:H,2,FALSE))</f>
        <v xml:space="preserve"> </v>
      </c>
      <c r="D498" s="33" t="str">
        <f>IF(A498=""," ",VLOOKUP(A498,'18.11-07.12.2024'!A:H,5,FALSE))</f>
        <v xml:space="preserve"> </v>
      </c>
      <c r="E498" s="7" t="str">
        <f>IF(A498=""," ",B498*VLOOKUP(A498,'18.11-07.12.2024'!A:H,6,FALSE))</f>
        <v xml:space="preserve"> </v>
      </c>
      <c r="F498" s="7" t="str">
        <f>IF(A498=""," ",B498*VLOOKUP(A498,'18.11-07.12.2024'!A:H,7,FALSE))</f>
        <v xml:space="preserve"> </v>
      </c>
      <c r="G498" s="7" t="str">
        <f>IF(A498=""," ",B498*VLOOKUP(A498,'18.11-07.12.2024'!A:H,8,FALSE))</f>
        <v xml:space="preserve"> </v>
      </c>
    </row>
    <row r="499" spans="1:7" ht="15" x14ac:dyDescent="0.2">
      <c r="A499" s="21"/>
      <c r="B499" s="26"/>
      <c r="C499" s="6" t="str">
        <f>IF(A499=""," ",VLOOKUP(A499,'18.11-07.12.2024'!A:H,2,FALSE))</f>
        <v xml:space="preserve"> </v>
      </c>
      <c r="D499" s="33" t="str">
        <f>IF(A499=""," ",VLOOKUP(A499,'18.11-07.12.2024'!A:H,5,FALSE))</f>
        <v xml:space="preserve"> </v>
      </c>
      <c r="E499" s="7" t="str">
        <f>IF(A499=""," ",B499*VLOOKUP(A499,'18.11-07.12.2024'!A:H,6,FALSE))</f>
        <v xml:space="preserve"> </v>
      </c>
      <c r="F499" s="7" t="str">
        <f>IF(A499=""," ",B499*VLOOKUP(A499,'18.11-07.12.2024'!A:H,7,FALSE))</f>
        <v xml:space="preserve"> </v>
      </c>
      <c r="G499" s="7" t="str">
        <f>IF(A499=""," ",B499*VLOOKUP(A499,'18.11-07.12.2024'!A:H,8,FALSE))</f>
        <v xml:space="preserve"> </v>
      </c>
    </row>
    <row r="500" spans="1:7" ht="15" x14ac:dyDescent="0.2">
      <c r="A500" s="21"/>
      <c r="B500" s="26"/>
      <c r="C500" s="6" t="str">
        <f>IF(A500=""," ",VLOOKUP(A500,'18.11-07.12.2024'!A:H,2,FALSE))</f>
        <v xml:space="preserve"> </v>
      </c>
      <c r="D500" s="33" t="str">
        <f>IF(A500=""," ",VLOOKUP(A500,'18.11-07.12.2024'!A:H,5,FALSE))</f>
        <v xml:space="preserve"> </v>
      </c>
      <c r="E500" s="7" t="str">
        <f>IF(A500=""," ",B500*VLOOKUP(A500,'18.11-07.12.2024'!A:H,6,FALSE))</f>
        <v xml:space="preserve"> </v>
      </c>
      <c r="F500" s="7" t="str">
        <f>IF(A500=""," ",B500*VLOOKUP(A500,'18.11-07.12.2024'!A:H,7,FALSE))</f>
        <v xml:space="preserve"> </v>
      </c>
      <c r="G500" s="7" t="str">
        <f>IF(A500=""," ",B500*VLOOKUP(A500,'18.11-07.12.2024'!A:H,8,FALSE))</f>
        <v xml:space="preserve"> </v>
      </c>
    </row>
    <row r="501" spans="1:7" ht="15" x14ac:dyDescent="0.2">
      <c r="A501" s="21"/>
      <c r="B501" s="26"/>
      <c r="C501" s="6" t="str">
        <f>IF(A501=""," ",VLOOKUP(A501,'18.11-07.12.2024'!A:H,2,FALSE))</f>
        <v xml:space="preserve"> </v>
      </c>
      <c r="D501" s="33" t="str">
        <f>IF(A501=""," ",VLOOKUP(A501,'18.11-07.12.2024'!A:H,5,FALSE))</f>
        <v xml:space="preserve"> </v>
      </c>
      <c r="E501" s="7" t="str">
        <f>IF(A501=""," ",B501*VLOOKUP(A501,'18.11-07.12.2024'!A:H,6,FALSE))</f>
        <v xml:space="preserve"> </v>
      </c>
      <c r="F501" s="7" t="str">
        <f>IF(A501=""," ",B501*VLOOKUP(A501,'18.11-07.12.2024'!A:H,7,FALSE))</f>
        <v xml:space="preserve"> </v>
      </c>
      <c r="G501" s="7" t="str">
        <f>IF(A501=""," ",B501*VLOOKUP(A501,'18.11-07.12.2024'!A:H,8,FALSE))</f>
        <v xml:space="preserve"> </v>
      </c>
    </row>
    <row r="502" spans="1:7" ht="15" x14ac:dyDescent="0.2">
      <c r="A502" s="21"/>
      <c r="B502" s="26"/>
      <c r="C502" s="6" t="str">
        <f>IF(A502=""," ",VLOOKUP(A502,'18.11-07.12.2024'!A:H,2,FALSE))</f>
        <v xml:space="preserve"> </v>
      </c>
      <c r="D502" s="33" t="str">
        <f>IF(A502=""," ",VLOOKUP(A502,'18.11-07.12.2024'!A:H,5,FALSE))</f>
        <v xml:space="preserve"> </v>
      </c>
      <c r="E502" s="7" t="str">
        <f>IF(A502=""," ",B502*VLOOKUP(A502,'18.11-07.12.2024'!A:H,6,FALSE))</f>
        <v xml:space="preserve"> </v>
      </c>
      <c r="F502" s="7" t="str">
        <f>IF(A502=""," ",B502*VLOOKUP(A502,'18.11-07.12.2024'!A:H,7,FALSE))</f>
        <v xml:space="preserve"> </v>
      </c>
      <c r="G502" s="7" t="str">
        <f>IF(A502=""," ",B502*VLOOKUP(A502,'18.11-07.12.2024'!A:H,8,FALSE))</f>
        <v xml:space="preserve"> </v>
      </c>
    </row>
    <row r="503" spans="1:7" ht="15" x14ac:dyDescent="0.2">
      <c r="A503" s="21"/>
      <c r="B503" s="26"/>
      <c r="C503" s="6" t="str">
        <f>IF(A503=""," ",VLOOKUP(A503,'18.11-07.12.2024'!A:H,2,FALSE))</f>
        <v xml:space="preserve"> </v>
      </c>
      <c r="D503" s="33" t="str">
        <f>IF(A503=""," ",VLOOKUP(A503,'18.11-07.12.2024'!A:H,5,FALSE))</f>
        <v xml:space="preserve"> </v>
      </c>
      <c r="E503" s="7" t="str">
        <f>IF(A503=""," ",B503*VLOOKUP(A503,'18.11-07.12.2024'!A:H,6,FALSE))</f>
        <v xml:space="preserve"> </v>
      </c>
      <c r="F503" s="7" t="str">
        <f>IF(A503=""," ",B503*VLOOKUP(A503,'18.11-07.12.2024'!A:H,7,FALSE))</f>
        <v xml:space="preserve"> </v>
      </c>
      <c r="G503" s="7" t="str">
        <f>IF(A503=""," ",B503*VLOOKUP(A503,'18.11-07.12.2024'!A:H,8,FALSE))</f>
        <v xml:space="preserve"> </v>
      </c>
    </row>
    <row r="504" spans="1:7" ht="15" x14ac:dyDescent="0.2">
      <c r="A504" s="21"/>
      <c r="B504" s="26"/>
      <c r="C504" s="6" t="str">
        <f>IF(A504=""," ",VLOOKUP(A504,'18.11-07.12.2024'!A:H,2,FALSE))</f>
        <v xml:space="preserve"> </v>
      </c>
      <c r="D504" s="33" t="str">
        <f>IF(A504=""," ",VLOOKUP(A504,'18.11-07.12.2024'!A:H,5,FALSE))</f>
        <v xml:space="preserve"> </v>
      </c>
      <c r="E504" s="7" t="str">
        <f>IF(A504=""," ",B504*VLOOKUP(A504,'18.11-07.12.2024'!A:H,6,FALSE))</f>
        <v xml:space="preserve"> </v>
      </c>
      <c r="F504" s="7" t="str">
        <f>IF(A504=""," ",B504*VLOOKUP(A504,'18.11-07.12.2024'!A:H,7,FALSE))</f>
        <v xml:space="preserve"> </v>
      </c>
      <c r="G504" s="7" t="str">
        <f>IF(A504=""," ",B504*VLOOKUP(A504,'18.11-07.12.2024'!A:H,8,FALSE))</f>
        <v xml:space="preserve"> </v>
      </c>
    </row>
    <row r="505" spans="1:7" ht="15" x14ac:dyDescent="0.2">
      <c r="A505" s="21"/>
      <c r="B505" s="26"/>
      <c r="C505" s="6" t="str">
        <f>IF(A505=""," ",VLOOKUP(A505,'18.11-07.12.2024'!A:H,2,FALSE))</f>
        <v xml:space="preserve"> </v>
      </c>
      <c r="D505" s="33" t="str">
        <f>IF(A505=""," ",VLOOKUP(A505,'18.11-07.12.2024'!A:H,5,FALSE))</f>
        <v xml:space="preserve"> </v>
      </c>
      <c r="E505" s="7" t="str">
        <f>IF(A505=""," ",B505*VLOOKUP(A505,'18.11-07.12.2024'!A:H,6,FALSE))</f>
        <v xml:space="preserve"> </v>
      </c>
      <c r="F505" s="7" t="str">
        <f>IF(A505=""," ",B505*VLOOKUP(A505,'18.11-07.12.2024'!A:H,7,FALSE))</f>
        <v xml:space="preserve"> </v>
      </c>
      <c r="G505" s="7" t="str">
        <f>IF(A505=""," ",B505*VLOOKUP(A505,'18.11-07.12.2024'!A:H,8,FALSE))</f>
        <v xml:space="preserve"> </v>
      </c>
    </row>
    <row r="506" spans="1:7" ht="15" x14ac:dyDescent="0.2">
      <c r="A506" s="21"/>
      <c r="B506" s="26"/>
      <c r="C506" s="6" t="str">
        <f>IF(A506=""," ",VLOOKUP(A506,'18.11-07.12.2024'!A:H,2,FALSE))</f>
        <v xml:space="preserve"> </v>
      </c>
      <c r="D506" s="33" t="str">
        <f>IF(A506=""," ",VLOOKUP(A506,'18.11-07.12.2024'!A:H,5,FALSE))</f>
        <v xml:space="preserve"> </v>
      </c>
      <c r="E506" s="7" t="str">
        <f>IF(A506=""," ",B506*VLOOKUP(A506,'18.11-07.12.2024'!A:H,6,FALSE))</f>
        <v xml:space="preserve"> </v>
      </c>
      <c r="F506" s="7" t="str">
        <f>IF(A506=""," ",B506*VLOOKUP(A506,'18.11-07.12.2024'!A:H,7,FALSE))</f>
        <v xml:space="preserve"> </v>
      </c>
      <c r="G506" s="7" t="str">
        <f>IF(A506=""," ",B506*VLOOKUP(A506,'18.11-07.12.2024'!A:H,8,FALSE))</f>
        <v xml:space="preserve"> </v>
      </c>
    </row>
    <row r="507" spans="1:7" ht="15" x14ac:dyDescent="0.2">
      <c r="A507" s="21"/>
      <c r="B507" s="26"/>
      <c r="C507" s="6" t="str">
        <f>IF(A507=""," ",VLOOKUP(A507,'18.11-07.12.2024'!A:H,2,FALSE))</f>
        <v xml:space="preserve"> </v>
      </c>
      <c r="D507" s="33" t="str">
        <f>IF(A507=""," ",VLOOKUP(A507,'18.11-07.12.2024'!A:H,5,FALSE))</f>
        <v xml:space="preserve"> </v>
      </c>
      <c r="E507" s="7" t="str">
        <f>IF(A507=""," ",B507*VLOOKUP(A507,'18.11-07.12.2024'!A:H,6,FALSE))</f>
        <v xml:space="preserve"> </v>
      </c>
      <c r="F507" s="7" t="str">
        <f>IF(A507=""," ",B507*VLOOKUP(A507,'18.11-07.12.2024'!A:H,7,FALSE))</f>
        <v xml:space="preserve"> </v>
      </c>
      <c r="G507" s="7" t="str">
        <f>IF(A507=""," ",B507*VLOOKUP(A507,'18.11-07.12.2024'!A:H,8,FALSE))</f>
        <v xml:space="preserve"> </v>
      </c>
    </row>
    <row r="508" spans="1:7" ht="15" x14ac:dyDescent="0.2">
      <c r="A508" s="21"/>
      <c r="B508" s="26"/>
      <c r="C508" s="6" t="str">
        <f>IF(A508=""," ",VLOOKUP(A508,'18.11-07.12.2024'!A:H,2,FALSE))</f>
        <v xml:space="preserve"> </v>
      </c>
      <c r="D508" s="33" t="str">
        <f>IF(A508=""," ",VLOOKUP(A508,'18.11-07.12.2024'!A:H,5,FALSE))</f>
        <v xml:space="preserve"> </v>
      </c>
      <c r="E508" s="7" t="str">
        <f>IF(A508=""," ",B508*VLOOKUP(A508,'18.11-07.12.2024'!A:H,6,FALSE))</f>
        <v xml:space="preserve"> </v>
      </c>
      <c r="F508" s="7" t="str">
        <f>IF(A508=""," ",B508*VLOOKUP(A508,'18.11-07.12.2024'!A:H,7,FALSE))</f>
        <v xml:space="preserve"> </v>
      </c>
      <c r="G508" s="7" t="str">
        <f>IF(A508=""," ",B508*VLOOKUP(A508,'18.11-07.12.2024'!A:H,8,FALSE))</f>
        <v xml:space="preserve"> </v>
      </c>
    </row>
    <row r="509" spans="1:7" ht="15" x14ac:dyDescent="0.2">
      <c r="A509" s="21"/>
      <c r="B509" s="26"/>
      <c r="C509" s="6" t="str">
        <f>IF(A509=""," ",VLOOKUP(A509,'18.11-07.12.2024'!A:H,2,FALSE))</f>
        <v xml:space="preserve"> </v>
      </c>
      <c r="D509" s="33" t="str">
        <f>IF(A509=""," ",VLOOKUP(A509,'18.11-07.12.2024'!A:H,5,FALSE))</f>
        <v xml:space="preserve"> </v>
      </c>
      <c r="E509" s="7" t="str">
        <f>IF(A509=""," ",B509*VLOOKUP(A509,'18.11-07.12.2024'!A:H,6,FALSE))</f>
        <v xml:space="preserve"> </v>
      </c>
      <c r="F509" s="7" t="str">
        <f>IF(A509=""," ",B509*VLOOKUP(A509,'18.11-07.12.2024'!A:H,7,FALSE))</f>
        <v xml:space="preserve"> </v>
      </c>
      <c r="G509" s="7" t="str">
        <f>IF(A509=""," ",B509*VLOOKUP(A509,'18.11-07.12.2024'!A:H,8,FALSE))</f>
        <v xml:space="preserve"> </v>
      </c>
    </row>
    <row r="510" spans="1:7" ht="15" x14ac:dyDescent="0.2">
      <c r="A510" s="21"/>
      <c r="B510" s="26"/>
      <c r="C510" s="6" t="str">
        <f>IF(A510=""," ",VLOOKUP(A510,'18.11-07.12.2024'!A:H,2,FALSE))</f>
        <v xml:space="preserve"> </v>
      </c>
      <c r="D510" s="33" t="str">
        <f>IF(A510=""," ",VLOOKUP(A510,'18.11-07.12.2024'!A:H,5,FALSE))</f>
        <v xml:space="preserve"> </v>
      </c>
      <c r="E510" s="7" t="str">
        <f>IF(A510=""," ",B510*VLOOKUP(A510,'18.11-07.12.2024'!A:H,6,FALSE))</f>
        <v xml:space="preserve"> </v>
      </c>
      <c r="F510" s="7" t="str">
        <f>IF(A510=""," ",B510*VLOOKUP(A510,'18.11-07.12.2024'!A:H,7,FALSE))</f>
        <v xml:space="preserve"> </v>
      </c>
      <c r="G510" s="7" t="str">
        <f>IF(A510=""," ",B510*VLOOKUP(A510,'18.11-07.12.2024'!A:H,8,FALSE))</f>
        <v xml:space="preserve"> </v>
      </c>
    </row>
    <row r="511" spans="1:7" ht="15" x14ac:dyDescent="0.2">
      <c r="A511" s="21"/>
      <c r="B511" s="26"/>
      <c r="C511" s="6" t="str">
        <f>IF(A511=""," ",VLOOKUP(A511,'18.11-07.12.2024'!A:H,2,FALSE))</f>
        <v xml:space="preserve"> </v>
      </c>
      <c r="D511" s="33" t="str">
        <f>IF(A511=""," ",VLOOKUP(A511,'18.11-07.12.2024'!A:H,5,FALSE))</f>
        <v xml:space="preserve"> </v>
      </c>
      <c r="E511" s="7" t="str">
        <f>IF(A511=""," ",B511*VLOOKUP(A511,'18.11-07.12.2024'!A:H,6,FALSE))</f>
        <v xml:space="preserve"> </v>
      </c>
      <c r="F511" s="7" t="str">
        <f>IF(A511=""," ",B511*VLOOKUP(A511,'18.11-07.12.2024'!A:H,7,FALSE))</f>
        <v xml:space="preserve"> </v>
      </c>
      <c r="G511" s="7" t="str">
        <f>IF(A511=""," ",B511*VLOOKUP(A511,'18.11-07.12.2024'!A:H,8,FALSE))</f>
        <v xml:space="preserve"> </v>
      </c>
    </row>
    <row r="512" spans="1:7" ht="15" x14ac:dyDescent="0.2">
      <c r="A512" s="21"/>
      <c r="B512" s="26"/>
      <c r="C512" s="6" t="str">
        <f>IF(A512=""," ",VLOOKUP(A512,'18.11-07.12.2024'!A:H,2,FALSE))</f>
        <v xml:space="preserve"> </v>
      </c>
      <c r="D512" s="33" t="str">
        <f>IF(A512=""," ",VLOOKUP(A512,'18.11-07.12.2024'!A:H,5,FALSE))</f>
        <v xml:space="preserve"> </v>
      </c>
      <c r="E512" s="7" t="str">
        <f>IF(A512=""," ",B512*VLOOKUP(A512,'18.11-07.12.2024'!A:H,6,FALSE))</f>
        <v xml:space="preserve"> </v>
      </c>
      <c r="F512" s="7" t="str">
        <f>IF(A512=""," ",B512*VLOOKUP(A512,'18.11-07.12.2024'!A:H,7,FALSE))</f>
        <v xml:space="preserve"> </v>
      </c>
      <c r="G512" s="7" t="str">
        <f>IF(A512=""," ",B512*VLOOKUP(A512,'18.11-07.12.2024'!A:H,8,FALSE))</f>
        <v xml:space="preserve"> </v>
      </c>
    </row>
    <row r="513" spans="1:7" ht="15" x14ac:dyDescent="0.2">
      <c r="A513" s="21"/>
      <c r="B513" s="26"/>
      <c r="C513" s="6" t="str">
        <f>IF(A513=""," ",VLOOKUP(A513,'18.11-07.12.2024'!A:H,2,FALSE))</f>
        <v xml:space="preserve"> </v>
      </c>
      <c r="D513" s="33" t="str">
        <f>IF(A513=""," ",VLOOKUP(A513,'18.11-07.12.2024'!A:H,5,FALSE))</f>
        <v xml:space="preserve"> </v>
      </c>
      <c r="E513" s="7" t="str">
        <f>IF(A513=""," ",B513*VLOOKUP(A513,'18.11-07.12.2024'!A:H,6,FALSE))</f>
        <v xml:space="preserve"> </v>
      </c>
      <c r="F513" s="7" t="str">
        <f>IF(A513=""," ",B513*VLOOKUP(A513,'18.11-07.12.2024'!A:H,7,FALSE))</f>
        <v xml:space="preserve"> </v>
      </c>
      <c r="G513" s="7" t="str">
        <f>IF(A513=""," ",B513*VLOOKUP(A513,'18.11-07.12.2024'!A:H,8,FALSE))</f>
        <v xml:space="preserve"> </v>
      </c>
    </row>
    <row r="514" spans="1:7" ht="15" x14ac:dyDescent="0.2">
      <c r="A514" s="21"/>
      <c r="B514" s="26"/>
      <c r="C514" s="6" t="str">
        <f>IF(A514=""," ",VLOOKUP(A514,'18.11-07.12.2024'!A:H,2,FALSE))</f>
        <v xml:space="preserve"> </v>
      </c>
      <c r="D514" s="33" t="str">
        <f>IF(A514=""," ",VLOOKUP(A514,'18.11-07.12.2024'!A:H,5,FALSE))</f>
        <v xml:space="preserve"> </v>
      </c>
      <c r="E514" s="7" t="str">
        <f>IF(A514=""," ",B514*VLOOKUP(A514,'18.11-07.12.2024'!A:H,6,FALSE))</f>
        <v xml:space="preserve"> </v>
      </c>
      <c r="F514" s="7" t="str">
        <f>IF(A514=""," ",B514*VLOOKUP(A514,'18.11-07.12.2024'!A:H,7,FALSE))</f>
        <v xml:space="preserve"> </v>
      </c>
      <c r="G514" s="7" t="str">
        <f>IF(A514=""," ",B514*VLOOKUP(A514,'18.11-07.12.2024'!A:H,8,FALSE))</f>
        <v xml:space="preserve"> </v>
      </c>
    </row>
    <row r="515" spans="1:7" ht="15" x14ac:dyDescent="0.2">
      <c r="A515" s="21"/>
      <c r="B515" s="26"/>
      <c r="C515" s="6" t="str">
        <f>IF(A515=""," ",VLOOKUP(A515,'18.11-07.12.2024'!A:H,2,FALSE))</f>
        <v xml:space="preserve"> </v>
      </c>
      <c r="D515" s="33" t="str">
        <f>IF(A515=""," ",VLOOKUP(A515,'18.11-07.12.2024'!A:H,5,FALSE))</f>
        <v xml:space="preserve"> </v>
      </c>
      <c r="E515" s="7" t="str">
        <f>IF(A515=""," ",B515*VLOOKUP(A515,'18.11-07.12.2024'!A:H,6,FALSE))</f>
        <v xml:space="preserve"> </v>
      </c>
      <c r="F515" s="7" t="str">
        <f>IF(A515=""," ",B515*VLOOKUP(A515,'18.11-07.12.2024'!A:H,7,FALSE))</f>
        <v xml:space="preserve"> </v>
      </c>
      <c r="G515" s="7" t="str">
        <f>IF(A515=""," ",B515*VLOOKUP(A515,'18.11-07.12.2024'!A:H,8,FALSE))</f>
        <v xml:space="preserve"> </v>
      </c>
    </row>
    <row r="516" spans="1:7" ht="15" x14ac:dyDescent="0.2">
      <c r="A516" s="21"/>
      <c r="B516" s="26"/>
      <c r="C516" s="6" t="str">
        <f>IF(A516=""," ",VLOOKUP(A516,'18.11-07.12.2024'!A:H,2,FALSE))</f>
        <v xml:space="preserve"> </v>
      </c>
      <c r="D516" s="33" t="str">
        <f>IF(A516=""," ",VLOOKUP(A516,'18.11-07.12.2024'!A:H,5,FALSE))</f>
        <v xml:space="preserve"> </v>
      </c>
      <c r="E516" s="7" t="str">
        <f>IF(A516=""," ",B516*VLOOKUP(A516,'18.11-07.12.2024'!A:H,6,FALSE))</f>
        <v xml:space="preserve"> </v>
      </c>
      <c r="F516" s="7" t="str">
        <f>IF(A516=""," ",B516*VLOOKUP(A516,'18.11-07.12.2024'!A:H,7,FALSE))</f>
        <v xml:space="preserve"> </v>
      </c>
      <c r="G516" s="7" t="str">
        <f>IF(A516=""," ",B516*VLOOKUP(A516,'18.11-07.12.2024'!A:H,8,FALSE))</f>
        <v xml:space="preserve"> </v>
      </c>
    </row>
    <row r="517" spans="1:7" ht="15" x14ac:dyDescent="0.2">
      <c r="A517" s="21"/>
      <c r="B517" s="26"/>
      <c r="C517" s="6" t="str">
        <f>IF(A517=""," ",VLOOKUP(A517,'18.11-07.12.2024'!A:H,2,FALSE))</f>
        <v xml:space="preserve"> </v>
      </c>
      <c r="D517" s="33" t="str">
        <f>IF(A517=""," ",VLOOKUP(A517,'18.11-07.12.2024'!A:H,5,FALSE))</f>
        <v xml:space="preserve"> </v>
      </c>
      <c r="E517" s="7" t="str">
        <f>IF(A517=""," ",B517*VLOOKUP(A517,'18.11-07.12.2024'!A:H,6,FALSE))</f>
        <v xml:space="preserve"> </v>
      </c>
      <c r="F517" s="7" t="str">
        <f>IF(A517=""," ",B517*VLOOKUP(A517,'18.11-07.12.2024'!A:H,7,FALSE))</f>
        <v xml:space="preserve"> </v>
      </c>
      <c r="G517" s="7" t="str">
        <f>IF(A517=""," ",B517*VLOOKUP(A517,'18.11-07.12.2024'!A:H,8,FALSE))</f>
        <v xml:space="preserve"> </v>
      </c>
    </row>
    <row r="518" spans="1:7" ht="15" x14ac:dyDescent="0.2">
      <c r="A518" s="21"/>
      <c r="B518" s="26"/>
      <c r="C518" s="6" t="str">
        <f>IF(A518=""," ",VLOOKUP(A518,'18.11-07.12.2024'!A:H,2,FALSE))</f>
        <v xml:space="preserve"> </v>
      </c>
      <c r="D518" s="33" t="str">
        <f>IF(A518=""," ",VLOOKUP(A518,'18.11-07.12.2024'!A:H,5,FALSE))</f>
        <v xml:space="preserve"> </v>
      </c>
      <c r="E518" s="7" t="str">
        <f>IF(A518=""," ",B518*VLOOKUP(A518,'18.11-07.12.2024'!A:H,6,FALSE))</f>
        <v xml:space="preserve"> </v>
      </c>
      <c r="F518" s="7" t="str">
        <f>IF(A518=""," ",B518*VLOOKUP(A518,'18.11-07.12.2024'!A:H,7,FALSE))</f>
        <v xml:space="preserve"> </v>
      </c>
      <c r="G518" s="7" t="str">
        <f>IF(A518=""," ",B518*VLOOKUP(A518,'18.11-07.12.2024'!A:H,8,FALSE))</f>
        <v xml:space="preserve"> </v>
      </c>
    </row>
    <row r="519" spans="1:7" ht="15" x14ac:dyDescent="0.2">
      <c r="A519" s="21"/>
      <c r="B519" s="26"/>
      <c r="C519" s="6" t="str">
        <f>IF(A519=""," ",VLOOKUP(A519,'18.11-07.12.2024'!A:H,2,FALSE))</f>
        <v xml:space="preserve"> </v>
      </c>
      <c r="D519" s="33" t="str">
        <f>IF(A519=""," ",VLOOKUP(A519,'18.11-07.12.2024'!A:H,5,FALSE))</f>
        <v xml:space="preserve"> </v>
      </c>
      <c r="E519" s="7" t="str">
        <f>IF(A519=""," ",B519*VLOOKUP(A519,'18.11-07.12.2024'!A:H,6,FALSE))</f>
        <v xml:space="preserve"> </v>
      </c>
      <c r="F519" s="7" t="str">
        <f>IF(A519=""," ",B519*VLOOKUP(A519,'18.11-07.12.2024'!A:H,7,FALSE))</f>
        <v xml:space="preserve"> </v>
      </c>
      <c r="G519" s="7" t="str">
        <f>IF(A519=""," ",B519*VLOOKUP(A519,'18.11-07.12.2024'!A:H,8,FALSE))</f>
        <v xml:space="preserve"> </v>
      </c>
    </row>
    <row r="520" spans="1:7" ht="15" x14ac:dyDescent="0.2">
      <c r="A520" s="21"/>
      <c r="B520" s="26"/>
      <c r="C520" s="6" t="str">
        <f>IF(A520=""," ",VLOOKUP(A520,'18.11-07.12.2024'!A:H,2,FALSE))</f>
        <v xml:space="preserve"> </v>
      </c>
      <c r="D520" s="33" t="str">
        <f>IF(A520=""," ",VLOOKUP(A520,'18.11-07.12.2024'!A:H,5,FALSE))</f>
        <v xml:space="preserve"> </v>
      </c>
      <c r="E520" s="7" t="str">
        <f>IF(A520=""," ",B520*VLOOKUP(A520,'18.11-07.12.2024'!A:H,6,FALSE))</f>
        <v xml:space="preserve"> </v>
      </c>
      <c r="F520" s="7" t="str">
        <f>IF(A520=""," ",B520*VLOOKUP(A520,'18.11-07.12.2024'!A:H,7,FALSE))</f>
        <v xml:space="preserve"> </v>
      </c>
      <c r="G520" s="7" t="str">
        <f>IF(A520=""," ",B520*VLOOKUP(A520,'18.11-07.12.2024'!A:H,8,FALSE))</f>
        <v xml:space="preserve"> </v>
      </c>
    </row>
    <row r="521" spans="1:7" ht="15" x14ac:dyDescent="0.2">
      <c r="A521" s="21"/>
      <c r="B521" s="26"/>
      <c r="C521" s="6" t="str">
        <f>IF(A521=""," ",VLOOKUP(A521,'18.11-07.12.2024'!A:H,2,FALSE))</f>
        <v xml:space="preserve"> </v>
      </c>
      <c r="D521" s="33" t="str">
        <f>IF(A521=""," ",VLOOKUP(A521,'18.11-07.12.2024'!A:H,5,FALSE))</f>
        <v xml:space="preserve"> </v>
      </c>
      <c r="E521" s="7" t="str">
        <f>IF(A521=""," ",B521*VLOOKUP(A521,'18.11-07.12.2024'!A:H,6,FALSE))</f>
        <v xml:space="preserve"> </v>
      </c>
      <c r="F521" s="7" t="str">
        <f>IF(A521=""," ",B521*VLOOKUP(A521,'18.11-07.12.2024'!A:H,7,FALSE))</f>
        <v xml:space="preserve"> </v>
      </c>
      <c r="G521" s="7" t="str">
        <f>IF(A521=""," ",B521*VLOOKUP(A521,'18.11-07.12.2024'!A:H,8,FALSE))</f>
        <v xml:space="preserve"> </v>
      </c>
    </row>
    <row r="522" spans="1:7" ht="15" x14ac:dyDescent="0.2">
      <c r="A522" s="21"/>
      <c r="B522" s="26"/>
      <c r="C522" s="6" t="str">
        <f>IF(A522=""," ",VLOOKUP(A522,'18.11-07.12.2024'!A:H,2,FALSE))</f>
        <v xml:space="preserve"> </v>
      </c>
      <c r="D522" s="33" t="str">
        <f>IF(A522=""," ",VLOOKUP(A522,'18.11-07.12.2024'!A:H,5,FALSE))</f>
        <v xml:space="preserve"> </v>
      </c>
      <c r="E522" s="7" t="str">
        <f>IF(A522=""," ",B522*VLOOKUP(A522,'18.11-07.12.2024'!A:H,6,FALSE))</f>
        <v xml:space="preserve"> </v>
      </c>
      <c r="F522" s="7" t="str">
        <f>IF(A522=""," ",B522*VLOOKUP(A522,'18.11-07.12.2024'!A:H,7,FALSE))</f>
        <v xml:space="preserve"> </v>
      </c>
      <c r="G522" s="7" t="str">
        <f>IF(A522=""," ",B522*VLOOKUP(A522,'18.11-07.12.2024'!A:H,8,FALSE))</f>
        <v xml:space="preserve"> </v>
      </c>
    </row>
    <row r="523" spans="1:7" ht="15" x14ac:dyDescent="0.2">
      <c r="A523" s="21"/>
      <c r="B523" s="26"/>
      <c r="C523" s="6" t="str">
        <f>IF(A523=""," ",VLOOKUP(A523,'18.11-07.12.2024'!A:H,2,FALSE))</f>
        <v xml:space="preserve"> </v>
      </c>
      <c r="D523" s="33" t="str">
        <f>IF(A523=""," ",VLOOKUP(A523,'18.11-07.12.2024'!A:H,5,FALSE))</f>
        <v xml:space="preserve"> </v>
      </c>
      <c r="E523" s="7" t="str">
        <f>IF(A523=""," ",B523*VLOOKUP(A523,'18.11-07.12.2024'!A:H,6,FALSE))</f>
        <v xml:space="preserve"> </v>
      </c>
      <c r="F523" s="7" t="str">
        <f>IF(A523=""," ",B523*VLOOKUP(A523,'18.11-07.12.2024'!A:H,7,FALSE))</f>
        <v xml:space="preserve"> </v>
      </c>
      <c r="G523" s="7" t="str">
        <f>IF(A523=""," ",B523*VLOOKUP(A523,'18.11-07.12.2024'!A:H,8,FALSE))</f>
        <v xml:space="preserve"> </v>
      </c>
    </row>
    <row r="524" spans="1:7" ht="15" x14ac:dyDescent="0.2">
      <c r="A524" s="21"/>
      <c r="B524" s="26"/>
      <c r="C524" s="6" t="str">
        <f>IF(A524=""," ",VLOOKUP(A524,'18.11-07.12.2024'!A:H,2,FALSE))</f>
        <v xml:space="preserve"> </v>
      </c>
      <c r="D524" s="33" t="str">
        <f>IF(A524=""," ",VLOOKUP(A524,'18.11-07.12.2024'!A:H,5,FALSE))</f>
        <v xml:space="preserve"> </v>
      </c>
      <c r="E524" s="7" t="str">
        <f>IF(A524=""," ",B524*VLOOKUP(A524,'18.11-07.12.2024'!A:H,6,FALSE))</f>
        <v xml:space="preserve"> </v>
      </c>
      <c r="F524" s="7" t="str">
        <f>IF(A524=""," ",B524*VLOOKUP(A524,'18.11-07.12.2024'!A:H,7,FALSE))</f>
        <v xml:space="preserve"> </v>
      </c>
      <c r="G524" s="7" t="str">
        <f>IF(A524=""," ",B524*VLOOKUP(A524,'18.11-07.12.2024'!A:H,8,FALSE))</f>
        <v xml:space="preserve"> </v>
      </c>
    </row>
    <row r="525" spans="1:7" ht="15" x14ac:dyDescent="0.2">
      <c r="A525" s="21"/>
      <c r="B525" s="26"/>
      <c r="C525" s="6" t="str">
        <f>IF(A525=""," ",VLOOKUP(A525,'18.11-07.12.2024'!A:H,2,FALSE))</f>
        <v xml:space="preserve"> </v>
      </c>
      <c r="D525" s="33" t="str">
        <f>IF(A525=""," ",VLOOKUP(A525,'18.11-07.12.2024'!A:H,5,FALSE))</f>
        <v xml:space="preserve"> </v>
      </c>
      <c r="E525" s="7" t="str">
        <f>IF(A525=""," ",B525*VLOOKUP(A525,'18.11-07.12.2024'!A:H,6,FALSE))</f>
        <v xml:space="preserve"> </v>
      </c>
      <c r="F525" s="7" t="str">
        <f>IF(A525=""," ",B525*VLOOKUP(A525,'18.11-07.12.2024'!A:H,7,FALSE))</f>
        <v xml:space="preserve"> </v>
      </c>
      <c r="G525" s="7" t="str">
        <f>IF(A525=""," ",B525*VLOOKUP(A525,'18.11-07.12.2024'!A:H,8,FALSE))</f>
        <v xml:space="preserve"> </v>
      </c>
    </row>
    <row r="526" spans="1:7" ht="15" x14ac:dyDescent="0.2">
      <c r="A526" s="21"/>
      <c r="B526" s="26"/>
      <c r="C526" s="6" t="str">
        <f>IF(A526=""," ",VLOOKUP(A526,'18.11-07.12.2024'!A:H,2,FALSE))</f>
        <v xml:space="preserve"> </v>
      </c>
      <c r="D526" s="33" t="str">
        <f>IF(A526=""," ",VLOOKUP(A526,'18.11-07.12.2024'!A:H,5,FALSE))</f>
        <v xml:space="preserve"> </v>
      </c>
      <c r="E526" s="7" t="str">
        <f>IF(A526=""," ",B526*VLOOKUP(A526,'18.11-07.12.2024'!A:H,6,FALSE))</f>
        <v xml:space="preserve"> </v>
      </c>
      <c r="F526" s="7" t="str">
        <f>IF(A526=""," ",B526*VLOOKUP(A526,'18.11-07.12.2024'!A:H,7,FALSE))</f>
        <v xml:space="preserve"> </v>
      </c>
      <c r="G526" s="7" t="str">
        <f>IF(A526=""," ",B526*VLOOKUP(A526,'18.11-07.12.2024'!A:H,8,FALSE))</f>
        <v xml:space="preserve"> </v>
      </c>
    </row>
    <row r="527" spans="1:7" ht="15" x14ac:dyDescent="0.2">
      <c r="A527" s="21"/>
      <c r="B527" s="26"/>
      <c r="C527" s="6" t="str">
        <f>IF(A527=""," ",VLOOKUP(A527,'18.11-07.12.2024'!A:H,2,FALSE))</f>
        <v xml:space="preserve"> </v>
      </c>
      <c r="D527" s="33" t="str">
        <f>IF(A527=""," ",VLOOKUP(A527,'18.11-07.12.2024'!A:H,5,FALSE))</f>
        <v xml:space="preserve"> </v>
      </c>
      <c r="E527" s="7" t="str">
        <f>IF(A527=""," ",B527*VLOOKUP(A527,'18.11-07.12.2024'!A:H,6,FALSE))</f>
        <v xml:space="preserve"> </v>
      </c>
      <c r="F527" s="7" t="str">
        <f>IF(A527=""," ",B527*VLOOKUP(A527,'18.11-07.12.2024'!A:H,7,FALSE))</f>
        <v xml:space="preserve"> </v>
      </c>
      <c r="G527" s="7" t="str">
        <f>IF(A527=""," ",B527*VLOOKUP(A527,'18.11-07.12.2024'!A:H,8,FALSE))</f>
        <v xml:space="preserve"> </v>
      </c>
    </row>
    <row r="528" spans="1:7" ht="15" x14ac:dyDescent="0.2">
      <c r="A528" s="21"/>
      <c r="B528" s="26"/>
      <c r="C528" s="6" t="str">
        <f>IF(A528=""," ",VLOOKUP(A528,'18.11-07.12.2024'!A:H,2,FALSE))</f>
        <v xml:space="preserve"> </v>
      </c>
      <c r="D528" s="33" t="str">
        <f>IF(A528=""," ",VLOOKUP(A528,'18.11-07.12.2024'!A:H,5,FALSE))</f>
        <v xml:space="preserve"> </v>
      </c>
      <c r="E528" s="7" t="str">
        <f>IF(A528=""," ",B528*VLOOKUP(A528,'18.11-07.12.2024'!A:H,6,FALSE))</f>
        <v xml:space="preserve"> </v>
      </c>
      <c r="F528" s="7" t="str">
        <f>IF(A528=""," ",B528*VLOOKUP(A528,'18.11-07.12.2024'!A:H,7,FALSE))</f>
        <v xml:space="preserve"> </v>
      </c>
      <c r="G528" s="7" t="str">
        <f>IF(A528=""," ",B528*VLOOKUP(A528,'18.11-07.12.2024'!A:H,8,FALSE))</f>
        <v xml:space="preserve"> </v>
      </c>
    </row>
    <row r="529" spans="1:7" ht="15" x14ac:dyDescent="0.2">
      <c r="A529" s="21"/>
      <c r="B529" s="26"/>
      <c r="C529" s="6" t="str">
        <f>IF(A529=""," ",VLOOKUP(A529,'18.11-07.12.2024'!A:H,2,FALSE))</f>
        <v xml:space="preserve"> </v>
      </c>
      <c r="D529" s="33" t="str">
        <f>IF(A529=""," ",VLOOKUP(A529,'18.11-07.12.2024'!A:H,5,FALSE))</f>
        <v xml:space="preserve"> </v>
      </c>
      <c r="E529" s="7" t="str">
        <f>IF(A529=""," ",B529*VLOOKUP(A529,'18.11-07.12.2024'!A:H,6,FALSE))</f>
        <v xml:space="preserve"> </v>
      </c>
      <c r="F529" s="7" t="str">
        <f>IF(A529=""," ",B529*VLOOKUP(A529,'18.11-07.12.2024'!A:H,7,FALSE))</f>
        <v xml:space="preserve"> </v>
      </c>
      <c r="G529" s="7" t="str">
        <f>IF(A529=""," ",B529*VLOOKUP(A529,'18.11-07.12.2024'!A:H,8,FALSE))</f>
        <v xml:space="preserve"> </v>
      </c>
    </row>
    <row r="530" spans="1:7" ht="15" x14ac:dyDescent="0.2">
      <c r="A530" s="21"/>
      <c r="B530" s="26"/>
      <c r="C530" s="6" t="str">
        <f>IF(A530=""," ",VLOOKUP(A530,'18.11-07.12.2024'!A:H,2,FALSE))</f>
        <v xml:space="preserve"> </v>
      </c>
      <c r="D530" s="33" t="str">
        <f>IF(A530=""," ",VLOOKUP(A530,'18.11-07.12.2024'!A:H,5,FALSE))</f>
        <v xml:space="preserve"> </v>
      </c>
      <c r="E530" s="7" t="str">
        <f>IF(A530=""," ",B530*VLOOKUP(A530,'18.11-07.12.2024'!A:H,6,FALSE))</f>
        <v xml:space="preserve"> </v>
      </c>
      <c r="F530" s="7" t="str">
        <f>IF(A530=""," ",B530*VLOOKUP(A530,'18.11-07.12.2024'!A:H,7,FALSE))</f>
        <v xml:space="preserve"> </v>
      </c>
      <c r="G530" s="7" t="str">
        <f>IF(A530=""," ",B530*VLOOKUP(A530,'18.11-07.12.2024'!A:H,8,FALSE))</f>
        <v xml:space="preserve"> </v>
      </c>
    </row>
    <row r="531" spans="1:7" ht="15" x14ac:dyDescent="0.2">
      <c r="A531" s="21"/>
      <c r="B531" s="26"/>
      <c r="C531" s="6" t="str">
        <f>IF(A531=""," ",VLOOKUP(A531,'18.11-07.12.2024'!A:H,2,FALSE))</f>
        <v xml:space="preserve"> </v>
      </c>
      <c r="D531" s="33" t="str">
        <f>IF(A531=""," ",VLOOKUP(A531,'18.11-07.12.2024'!A:H,5,FALSE))</f>
        <v xml:space="preserve"> </v>
      </c>
      <c r="E531" s="7" t="str">
        <f>IF(A531=""," ",B531*VLOOKUP(A531,'18.11-07.12.2024'!A:H,6,FALSE))</f>
        <v xml:space="preserve"> </v>
      </c>
      <c r="F531" s="7" t="str">
        <f>IF(A531=""," ",B531*VLOOKUP(A531,'18.11-07.12.2024'!A:H,7,FALSE))</f>
        <v xml:space="preserve"> </v>
      </c>
      <c r="G531" s="7" t="str">
        <f>IF(A531=""," ",B531*VLOOKUP(A531,'18.11-07.12.2024'!A:H,8,FALSE))</f>
        <v xml:space="preserve"> </v>
      </c>
    </row>
    <row r="532" spans="1:7" ht="15" x14ac:dyDescent="0.2">
      <c r="A532" s="21"/>
      <c r="B532" s="26"/>
      <c r="C532" s="6" t="str">
        <f>IF(A532=""," ",VLOOKUP(A532,'18.11-07.12.2024'!A:H,2,FALSE))</f>
        <v xml:space="preserve"> </v>
      </c>
      <c r="D532" s="33" t="str">
        <f>IF(A532=""," ",VLOOKUP(A532,'18.11-07.12.2024'!A:H,5,FALSE))</f>
        <v xml:space="preserve"> </v>
      </c>
      <c r="E532" s="7" t="str">
        <f>IF(A532=""," ",B532*VLOOKUP(A532,'18.11-07.12.2024'!A:H,6,FALSE))</f>
        <v xml:space="preserve"> </v>
      </c>
      <c r="F532" s="7" t="str">
        <f>IF(A532=""," ",B532*VLOOKUP(A532,'18.11-07.12.2024'!A:H,7,FALSE))</f>
        <v xml:space="preserve"> </v>
      </c>
      <c r="G532" s="7" t="str">
        <f>IF(A532=""," ",B532*VLOOKUP(A532,'18.11-07.12.2024'!A:H,8,FALSE))</f>
        <v xml:space="preserve"> </v>
      </c>
    </row>
    <row r="533" spans="1:7" ht="15" x14ac:dyDescent="0.2">
      <c r="A533" s="21"/>
      <c r="B533" s="26"/>
      <c r="C533" s="6" t="str">
        <f>IF(A533=""," ",VLOOKUP(A533,'18.11-07.12.2024'!A:H,2,FALSE))</f>
        <v xml:space="preserve"> </v>
      </c>
      <c r="D533" s="33" t="str">
        <f>IF(A533=""," ",VLOOKUP(A533,'18.11-07.12.2024'!A:H,5,FALSE))</f>
        <v xml:space="preserve"> </v>
      </c>
      <c r="E533" s="7" t="str">
        <f>IF(A533=""," ",B533*VLOOKUP(A533,'18.11-07.12.2024'!A:H,6,FALSE))</f>
        <v xml:space="preserve"> </v>
      </c>
      <c r="F533" s="7" t="str">
        <f>IF(A533=""," ",B533*VLOOKUP(A533,'18.11-07.12.2024'!A:H,7,FALSE))</f>
        <v xml:space="preserve"> </v>
      </c>
      <c r="G533" s="7" t="str">
        <f>IF(A533=""," ",B533*VLOOKUP(A533,'18.11-07.12.2024'!A:H,8,FALSE))</f>
        <v xml:space="preserve"> </v>
      </c>
    </row>
    <row r="534" spans="1:7" ht="15" x14ac:dyDescent="0.2">
      <c r="A534" s="21"/>
      <c r="B534" s="26"/>
      <c r="C534" s="6" t="str">
        <f>IF(A534=""," ",VLOOKUP(A534,'18.11-07.12.2024'!A:H,2,FALSE))</f>
        <v xml:space="preserve"> </v>
      </c>
      <c r="D534" s="33" t="str">
        <f>IF(A534=""," ",VLOOKUP(A534,'18.11-07.12.2024'!A:H,5,FALSE))</f>
        <v xml:space="preserve"> </v>
      </c>
      <c r="E534" s="7" t="str">
        <f>IF(A534=""," ",B534*VLOOKUP(A534,'18.11-07.12.2024'!A:H,6,FALSE))</f>
        <v xml:space="preserve"> </v>
      </c>
      <c r="F534" s="7" t="str">
        <f>IF(A534=""," ",B534*VLOOKUP(A534,'18.11-07.12.2024'!A:H,7,FALSE))</f>
        <v xml:space="preserve"> </v>
      </c>
      <c r="G534" s="7" t="str">
        <f>IF(A534=""," ",B534*VLOOKUP(A534,'18.11-07.12.2024'!A:H,8,FALSE))</f>
        <v xml:space="preserve"> </v>
      </c>
    </row>
    <row r="535" spans="1:7" ht="15" x14ac:dyDescent="0.2">
      <c r="A535" s="21"/>
      <c r="B535" s="26"/>
      <c r="C535" s="6" t="str">
        <f>IF(A535=""," ",VLOOKUP(A535,'18.11-07.12.2024'!A:H,2,FALSE))</f>
        <v xml:space="preserve"> </v>
      </c>
      <c r="D535" s="33" t="str">
        <f>IF(A535=""," ",VLOOKUP(A535,'18.11-07.12.2024'!A:H,5,FALSE))</f>
        <v xml:space="preserve"> </v>
      </c>
      <c r="E535" s="7" t="str">
        <f>IF(A535=""," ",B535*VLOOKUP(A535,'18.11-07.12.2024'!A:H,6,FALSE))</f>
        <v xml:space="preserve"> </v>
      </c>
      <c r="F535" s="7" t="str">
        <f>IF(A535=""," ",B535*VLOOKUP(A535,'18.11-07.12.2024'!A:H,7,FALSE))</f>
        <v xml:space="preserve"> </v>
      </c>
      <c r="G535" s="7" t="str">
        <f>IF(A535=""," ",B535*VLOOKUP(A535,'18.11-07.12.2024'!A:H,8,FALSE))</f>
        <v xml:space="preserve"> </v>
      </c>
    </row>
    <row r="536" spans="1:7" ht="15" x14ac:dyDescent="0.2">
      <c r="A536" s="21"/>
      <c r="B536" s="26"/>
      <c r="C536" s="6" t="str">
        <f>IF(A536=""," ",VLOOKUP(A536,'18.11-07.12.2024'!A:H,2,FALSE))</f>
        <v xml:space="preserve"> </v>
      </c>
      <c r="D536" s="33" t="str">
        <f>IF(A536=""," ",VLOOKUP(A536,'18.11-07.12.2024'!A:H,5,FALSE))</f>
        <v xml:space="preserve"> </v>
      </c>
      <c r="E536" s="7" t="str">
        <f>IF(A536=""," ",B536*VLOOKUP(A536,'18.11-07.12.2024'!A:H,6,FALSE))</f>
        <v xml:space="preserve"> </v>
      </c>
      <c r="F536" s="7" t="str">
        <f>IF(A536=""," ",B536*VLOOKUP(A536,'18.11-07.12.2024'!A:H,7,FALSE))</f>
        <v xml:space="preserve"> </v>
      </c>
      <c r="G536" s="7" t="str">
        <f>IF(A536=""," ",B536*VLOOKUP(A536,'18.11-07.12.2024'!A:H,8,FALSE))</f>
        <v xml:space="preserve"> </v>
      </c>
    </row>
    <row r="537" spans="1:7" ht="15" x14ac:dyDescent="0.2">
      <c r="A537" s="21"/>
      <c r="B537" s="26"/>
      <c r="C537" s="6" t="str">
        <f>IF(A537=""," ",VLOOKUP(A537,'18.11-07.12.2024'!A:H,2,FALSE))</f>
        <v xml:space="preserve"> </v>
      </c>
      <c r="D537" s="33" t="str">
        <f>IF(A537=""," ",VLOOKUP(A537,'18.11-07.12.2024'!A:H,5,FALSE))</f>
        <v xml:space="preserve"> </v>
      </c>
      <c r="E537" s="7" t="str">
        <f>IF(A537=""," ",B537*VLOOKUP(A537,'18.11-07.12.2024'!A:H,6,FALSE))</f>
        <v xml:space="preserve"> </v>
      </c>
      <c r="F537" s="7" t="str">
        <f>IF(A537=""," ",B537*VLOOKUP(A537,'18.11-07.12.2024'!A:H,7,FALSE))</f>
        <v xml:space="preserve"> </v>
      </c>
      <c r="G537" s="7" t="str">
        <f>IF(A537=""," ",B537*VLOOKUP(A537,'18.11-07.12.2024'!A:H,8,FALSE))</f>
        <v xml:space="preserve"> </v>
      </c>
    </row>
    <row r="538" spans="1:7" ht="15" x14ac:dyDescent="0.2">
      <c r="A538" s="21"/>
      <c r="B538" s="26"/>
      <c r="C538" s="6" t="str">
        <f>IF(A538=""," ",VLOOKUP(A538,'18.11-07.12.2024'!A:H,2,FALSE))</f>
        <v xml:space="preserve"> </v>
      </c>
      <c r="D538" s="33" t="str">
        <f>IF(A538=""," ",VLOOKUP(A538,'18.11-07.12.2024'!A:H,5,FALSE))</f>
        <v xml:space="preserve"> </v>
      </c>
      <c r="E538" s="7" t="str">
        <f>IF(A538=""," ",B538*VLOOKUP(A538,'18.11-07.12.2024'!A:H,6,FALSE))</f>
        <v xml:space="preserve"> </v>
      </c>
      <c r="F538" s="7" t="str">
        <f>IF(A538=""," ",B538*VLOOKUP(A538,'18.11-07.12.2024'!A:H,7,FALSE))</f>
        <v xml:space="preserve"> </v>
      </c>
      <c r="G538" s="7" t="str">
        <f>IF(A538=""," ",B538*VLOOKUP(A538,'18.11-07.12.2024'!A:H,8,FALSE))</f>
        <v xml:space="preserve"> </v>
      </c>
    </row>
    <row r="539" spans="1:7" ht="15" x14ac:dyDescent="0.2">
      <c r="A539" s="21"/>
      <c r="B539" s="26"/>
      <c r="C539" s="6" t="str">
        <f>IF(A539=""," ",VLOOKUP(A539,'18.11-07.12.2024'!A:H,2,FALSE))</f>
        <v xml:space="preserve"> </v>
      </c>
      <c r="D539" s="33" t="str">
        <f>IF(A539=""," ",VLOOKUP(A539,'18.11-07.12.2024'!A:H,5,FALSE))</f>
        <v xml:space="preserve"> </v>
      </c>
      <c r="E539" s="7" t="str">
        <f>IF(A539=""," ",B539*VLOOKUP(A539,'18.11-07.12.2024'!A:H,6,FALSE))</f>
        <v xml:space="preserve"> </v>
      </c>
      <c r="F539" s="7" t="str">
        <f>IF(A539=""," ",B539*VLOOKUP(A539,'18.11-07.12.2024'!A:H,7,FALSE))</f>
        <v xml:space="preserve"> </v>
      </c>
      <c r="G539" s="7" t="str">
        <f>IF(A539=""," ",B539*VLOOKUP(A539,'18.11-07.12.2024'!A:H,8,FALSE))</f>
        <v xml:space="preserve"> </v>
      </c>
    </row>
    <row r="540" spans="1:7" ht="15" x14ac:dyDescent="0.2">
      <c r="A540" s="21"/>
      <c r="B540" s="26"/>
      <c r="C540" s="6" t="str">
        <f>IF(A540=""," ",VLOOKUP(A540,'18.11-07.12.2024'!A:H,2,FALSE))</f>
        <v xml:space="preserve"> </v>
      </c>
      <c r="D540" s="33" t="str">
        <f>IF(A540=""," ",VLOOKUP(A540,'18.11-07.12.2024'!A:H,5,FALSE))</f>
        <v xml:space="preserve"> </v>
      </c>
      <c r="E540" s="7" t="str">
        <f>IF(A540=""," ",B540*VLOOKUP(A540,'18.11-07.12.2024'!A:H,6,FALSE))</f>
        <v xml:space="preserve"> </v>
      </c>
      <c r="F540" s="7" t="str">
        <f>IF(A540=""," ",B540*VLOOKUP(A540,'18.11-07.12.2024'!A:H,7,FALSE))</f>
        <v xml:space="preserve"> </v>
      </c>
      <c r="G540" s="7" t="str">
        <f>IF(A540=""," ",B540*VLOOKUP(A540,'18.11-07.12.2024'!A:H,8,FALSE))</f>
        <v xml:space="preserve"> </v>
      </c>
    </row>
    <row r="541" spans="1:7" ht="15" x14ac:dyDescent="0.2">
      <c r="A541" s="21"/>
      <c r="B541" s="26"/>
      <c r="C541" s="6" t="str">
        <f>IF(A541=""," ",VLOOKUP(A541,'18.11-07.12.2024'!A:H,2,FALSE))</f>
        <v xml:space="preserve"> </v>
      </c>
      <c r="D541" s="33" t="str">
        <f>IF(A541=""," ",VLOOKUP(A541,'18.11-07.12.2024'!A:H,5,FALSE))</f>
        <v xml:space="preserve"> </v>
      </c>
      <c r="E541" s="7" t="str">
        <f>IF(A541=""," ",B541*VLOOKUP(A541,'18.11-07.12.2024'!A:H,6,FALSE))</f>
        <v xml:space="preserve"> </v>
      </c>
      <c r="F541" s="7" t="str">
        <f>IF(A541=""," ",B541*VLOOKUP(A541,'18.11-07.12.2024'!A:H,7,FALSE))</f>
        <v xml:space="preserve"> </v>
      </c>
      <c r="G541" s="7" t="str">
        <f>IF(A541=""," ",B541*VLOOKUP(A541,'18.11-07.12.2024'!A:H,8,FALSE))</f>
        <v xml:space="preserve"> </v>
      </c>
    </row>
    <row r="542" spans="1:7" ht="15" x14ac:dyDescent="0.2">
      <c r="A542" s="21"/>
      <c r="B542" s="26"/>
      <c r="C542" s="6" t="str">
        <f>IF(A542=""," ",VLOOKUP(A542,'18.11-07.12.2024'!A:H,2,FALSE))</f>
        <v xml:space="preserve"> </v>
      </c>
      <c r="D542" s="33" t="str">
        <f>IF(A542=""," ",VLOOKUP(A542,'18.11-07.12.2024'!A:H,5,FALSE))</f>
        <v xml:space="preserve"> </v>
      </c>
      <c r="E542" s="7" t="str">
        <f>IF(A542=""," ",B542*VLOOKUP(A542,'18.11-07.12.2024'!A:H,6,FALSE))</f>
        <v xml:space="preserve"> </v>
      </c>
      <c r="F542" s="7" t="str">
        <f>IF(A542=""," ",B542*VLOOKUP(A542,'18.11-07.12.2024'!A:H,7,FALSE))</f>
        <v xml:space="preserve"> </v>
      </c>
      <c r="G542" s="7" t="str">
        <f>IF(A542=""," ",B542*VLOOKUP(A542,'18.11-07.12.2024'!A:H,8,FALSE))</f>
        <v xml:space="preserve"> </v>
      </c>
    </row>
    <row r="543" spans="1:7" ht="15" x14ac:dyDescent="0.2">
      <c r="A543" s="21"/>
      <c r="B543" s="26"/>
      <c r="C543" s="6" t="str">
        <f>IF(A543=""," ",VLOOKUP(A543,'18.11-07.12.2024'!A:H,2,FALSE))</f>
        <v xml:space="preserve"> </v>
      </c>
      <c r="D543" s="33" t="str">
        <f>IF(A543=""," ",VLOOKUP(A543,'18.11-07.12.2024'!A:H,5,FALSE))</f>
        <v xml:space="preserve"> </v>
      </c>
      <c r="E543" s="7" t="str">
        <f>IF(A543=""," ",B543*VLOOKUP(A543,'18.11-07.12.2024'!A:H,6,FALSE))</f>
        <v xml:space="preserve"> </v>
      </c>
      <c r="F543" s="7" t="str">
        <f>IF(A543=""," ",B543*VLOOKUP(A543,'18.11-07.12.2024'!A:H,7,FALSE))</f>
        <v xml:space="preserve"> </v>
      </c>
      <c r="G543" s="7" t="str">
        <f>IF(A543=""," ",B543*VLOOKUP(A543,'18.11-07.12.2024'!A:H,8,FALSE))</f>
        <v xml:space="preserve"> </v>
      </c>
    </row>
    <row r="544" spans="1:7" ht="15" x14ac:dyDescent="0.2">
      <c r="A544" s="21"/>
      <c r="B544" s="26"/>
      <c r="C544" s="6" t="str">
        <f>IF(A544=""," ",VLOOKUP(A544,'18.11-07.12.2024'!A:H,2,FALSE))</f>
        <v xml:space="preserve"> </v>
      </c>
      <c r="D544" s="33" t="str">
        <f>IF(A544=""," ",VLOOKUP(A544,'18.11-07.12.2024'!A:H,5,FALSE))</f>
        <v xml:space="preserve"> </v>
      </c>
      <c r="E544" s="7" t="str">
        <f>IF(A544=""," ",B544*VLOOKUP(A544,'18.11-07.12.2024'!A:H,6,FALSE))</f>
        <v xml:space="preserve"> </v>
      </c>
      <c r="F544" s="7" t="str">
        <f>IF(A544=""," ",B544*VLOOKUP(A544,'18.11-07.12.2024'!A:H,7,FALSE))</f>
        <v xml:space="preserve"> </v>
      </c>
      <c r="G544" s="7" t="str">
        <f>IF(A544=""," ",B544*VLOOKUP(A544,'18.11-07.12.2024'!A:H,8,FALSE))</f>
        <v xml:space="preserve"> </v>
      </c>
    </row>
    <row r="545" spans="1:7" ht="15" x14ac:dyDescent="0.2">
      <c r="A545" s="21"/>
      <c r="B545" s="26"/>
      <c r="C545" s="6" t="str">
        <f>IF(A545=""," ",VLOOKUP(A545,'18.11-07.12.2024'!A:H,2,FALSE))</f>
        <v xml:space="preserve"> </v>
      </c>
      <c r="D545" s="33" t="str">
        <f>IF(A545=""," ",VLOOKUP(A545,'18.11-07.12.2024'!A:H,5,FALSE))</f>
        <v xml:space="preserve"> </v>
      </c>
      <c r="E545" s="7" t="str">
        <f>IF(A545=""," ",B545*VLOOKUP(A545,'18.11-07.12.2024'!A:H,6,FALSE))</f>
        <v xml:space="preserve"> </v>
      </c>
      <c r="F545" s="7" t="str">
        <f>IF(A545=""," ",B545*VLOOKUP(A545,'18.11-07.12.2024'!A:H,7,FALSE))</f>
        <v xml:space="preserve"> </v>
      </c>
      <c r="G545" s="7" t="str">
        <f>IF(A545=""," ",B545*VLOOKUP(A545,'18.11-07.12.2024'!A:H,8,FALSE))</f>
        <v xml:space="preserve"> </v>
      </c>
    </row>
    <row r="546" spans="1:7" ht="15" x14ac:dyDescent="0.2">
      <c r="A546" s="21"/>
      <c r="B546" s="26"/>
      <c r="C546" s="6" t="str">
        <f>IF(A546=""," ",VLOOKUP(A546,'18.11-07.12.2024'!A:H,2,FALSE))</f>
        <v xml:space="preserve"> </v>
      </c>
      <c r="D546" s="33" t="str">
        <f>IF(A546=""," ",VLOOKUP(A546,'18.11-07.12.2024'!A:H,5,FALSE))</f>
        <v xml:space="preserve"> </v>
      </c>
      <c r="E546" s="7" t="str">
        <f>IF(A546=""," ",B546*VLOOKUP(A546,'18.11-07.12.2024'!A:H,6,FALSE))</f>
        <v xml:space="preserve"> </v>
      </c>
      <c r="F546" s="7" t="str">
        <f>IF(A546=""," ",B546*VLOOKUP(A546,'18.11-07.12.2024'!A:H,7,FALSE))</f>
        <v xml:space="preserve"> </v>
      </c>
      <c r="G546" s="7" t="str">
        <f>IF(A546=""," ",B546*VLOOKUP(A546,'18.11-07.12.2024'!A:H,8,FALSE))</f>
        <v xml:space="preserve"> </v>
      </c>
    </row>
    <row r="547" spans="1:7" ht="15" x14ac:dyDescent="0.2">
      <c r="A547" s="21"/>
      <c r="B547" s="26"/>
      <c r="C547" s="6" t="str">
        <f>IF(A547=""," ",VLOOKUP(A547,'18.11-07.12.2024'!A:H,2,FALSE))</f>
        <v xml:space="preserve"> </v>
      </c>
      <c r="D547" s="33" t="str">
        <f>IF(A547=""," ",VLOOKUP(A547,'18.11-07.12.2024'!A:H,5,FALSE))</f>
        <v xml:space="preserve"> </v>
      </c>
      <c r="E547" s="7" t="str">
        <f>IF(A547=""," ",B547*VLOOKUP(A547,'18.11-07.12.2024'!A:H,6,FALSE))</f>
        <v xml:space="preserve"> </v>
      </c>
      <c r="F547" s="7" t="str">
        <f>IF(A547=""," ",B547*VLOOKUP(A547,'18.11-07.12.2024'!A:H,7,FALSE))</f>
        <v xml:space="preserve"> </v>
      </c>
      <c r="G547" s="7" t="str">
        <f>IF(A547=""," ",B547*VLOOKUP(A547,'18.11-07.12.2024'!A:H,8,FALSE))</f>
        <v xml:space="preserve"> </v>
      </c>
    </row>
    <row r="548" spans="1:7" ht="15" x14ac:dyDescent="0.2">
      <c r="A548" s="21"/>
      <c r="B548" s="26"/>
      <c r="C548" s="6" t="str">
        <f>IF(A548=""," ",VLOOKUP(A548,'18.11-07.12.2024'!A:H,2,FALSE))</f>
        <v xml:space="preserve"> </v>
      </c>
      <c r="D548" s="33" t="str">
        <f>IF(A548=""," ",VLOOKUP(A548,'18.11-07.12.2024'!A:H,5,FALSE))</f>
        <v xml:space="preserve"> </v>
      </c>
      <c r="E548" s="7" t="str">
        <f>IF(A548=""," ",B548*VLOOKUP(A548,'18.11-07.12.2024'!A:H,6,FALSE))</f>
        <v xml:space="preserve"> </v>
      </c>
      <c r="F548" s="7" t="str">
        <f>IF(A548=""," ",B548*VLOOKUP(A548,'18.11-07.12.2024'!A:H,7,FALSE))</f>
        <v xml:space="preserve"> </v>
      </c>
      <c r="G548" s="7" t="str">
        <f>IF(A548=""," ",B548*VLOOKUP(A548,'18.11-07.12.2024'!A:H,8,FALSE))</f>
        <v xml:space="preserve"> </v>
      </c>
    </row>
    <row r="549" spans="1:7" ht="15" x14ac:dyDescent="0.2">
      <c r="A549" s="21"/>
      <c r="B549" s="26"/>
      <c r="C549" s="6" t="str">
        <f>IF(A549=""," ",VLOOKUP(A549,'18.11-07.12.2024'!A:H,2,FALSE))</f>
        <v xml:space="preserve"> </v>
      </c>
      <c r="D549" s="33" t="str">
        <f>IF(A549=""," ",VLOOKUP(A549,'18.11-07.12.2024'!A:H,5,FALSE))</f>
        <v xml:space="preserve"> </v>
      </c>
      <c r="E549" s="7" t="str">
        <f>IF(A549=""," ",B549*VLOOKUP(A549,'18.11-07.12.2024'!A:H,6,FALSE))</f>
        <v xml:space="preserve"> </v>
      </c>
      <c r="F549" s="7" t="str">
        <f>IF(A549=""," ",B549*VLOOKUP(A549,'18.11-07.12.2024'!A:H,7,FALSE))</f>
        <v xml:space="preserve"> </v>
      </c>
      <c r="G549" s="7" t="str">
        <f>IF(A549=""," ",B549*VLOOKUP(A549,'18.11-07.12.2024'!A:H,8,FALSE))</f>
        <v xml:space="preserve"> </v>
      </c>
    </row>
    <row r="550" spans="1:7" ht="15" x14ac:dyDescent="0.2">
      <c r="A550" s="21"/>
      <c r="B550" s="26"/>
      <c r="C550" s="6" t="str">
        <f>IF(A550=""," ",VLOOKUP(A550,'18.11-07.12.2024'!A:H,2,FALSE))</f>
        <v xml:space="preserve"> </v>
      </c>
      <c r="D550" s="33" t="str">
        <f>IF(A550=""," ",VLOOKUP(A550,'18.11-07.12.2024'!A:H,5,FALSE))</f>
        <v xml:space="preserve"> </v>
      </c>
      <c r="E550" s="7" t="str">
        <f>IF(A550=""," ",B550*VLOOKUP(A550,'18.11-07.12.2024'!A:H,6,FALSE))</f>
        <v xml:space="preserve"> </v>
      </c>
      <c r="F550" s="7" t="str">
        <f>IF(A550=""," ",B550*VLOOKUP(A550,'18.11-07.12.2024'!A:H,7,FALSE))</f>
        <v xml:space="preserve"> </v>
      </c>
      <c r="G550" s="7" t="str">
        <f>IF(A550=""," ",B550*VLOOKUP(A550,'18.11-07.12.2024'!A:H,8,FALSE))</f>
        <v xml:space="preserve"> </v>
      </c>
    </row>
    <row r="551" spans="1:7" ht="15" x14ac:dyDescent="0.2">
      <c r="A551" s="21"/>
      <c r="B551" s="26"/>
      <c r="C551" s="6" t="str">
        <f>IF(A551=""," ",VLOOKUP(A551,'18.11-07.12.2024'!A:H,2,FALSE))</f>
        <v xml:space="preserve"> </v>
      </c>
      <c r="D551" s="33" t="str">
        <f>IF(A551=""," ",VLOOKUP(A551,'18.11-07.12.2024'!A:H,5,FALSE))</f>
        <v xml:space="preserve"> </v>
      </c>
      <c r="E551" s="7" t="str">
        <f>IF(A551=""," ",B551*VLOOKUP(A551,'18.11-07.12.2024'!A:H,6,FALSE))</f>
        <v xml:space="preserve"> </v>
      </c>
      <c r="F551" s="7" t="str">
        <f>IF(A551=""," ",B551*VLOOKUP(A551,'18.11-07.12.2024'!A:H,7,FALSE))</f>
        <v xml:space="preserve"> </v>
      </c>
      <c r="G551" s="7" t="str">
        <f>IF(A551=""," ",B551*VLOOKUP(A551,'18.11-07.12.2024'!A:H,8,FALSE))</f>
        <v xml:space="preserve"> </v>
      </c>
    </row>
    <row r="552" spans="1:7" ht="15" x14ac:dyDescent="0.2">
      <c r="A552" s="21"/>
      <c r="B552" s="26"/>
      <c r="C552" s="6" t="str">
        <f>IF(A552=""," ",VLOOKUP(A552,'18.11-07.12.2024'!A:H,2,FALSE))</f>
        <v xml:space="preserve"> </v>
      </c>
      <c r="D552" s="33" t="str">
        <f>IF(A552=""," ",VLOOKUP(A552,'18.11-07.12.2024'!A:H,5,FALSE))</f>
        <v xml:space="preserve"> </v>
      </c>
      <c r="E552" s="7" t="str">
        <f>IF(A552=""," ",B552*VLOOKUP(A552,'18.11-07.12.2024'!A:H,6,FALSE))</f>
        <v xml:space="preserve"> </v>
      </c>
      <c r="F552" s="7" t="str">
        <f>IF(A552=""," ",B552*VLOOKUP(A552,'18.11-07.12.2024'!A:H,7,FALSE))</f>
        <v xml:space="preserve"> </v>
      </c>
      <c r="G552" s="7" t="str">
        <f>IF(A552=""," ",B552*VLOOKUP(A552,'18.11-07.12.2024'!A:H,8,FALSE))</f>
        <v xml:space="preserve"> </v>
      </c>
    </row>
    <row r="553" spans="1:7" ht="15" x14ac:dyDescent="0.2">
      <c r="A553" s="21"/>
      <c r="B553" s="26"/>
      <c r="C553" s="6" t="str">
        <f>IF(A553=""," ",VLOOKUP(A553,'18.11-07.12.2024'!A:H,2,FALSE))</f>
        <v xml:space="preserve"> </v>
      </c>
      <c r="D553" s="33" t="str">
        <f>IF(A553=""," ",VLOOKUP(A553,'18.11-07.12.2024'!A:H,5,FALSE))</f>
        <v xml:space="preserve"> </v>
      </c>
      <c r="E553" s="7" t="str">
        <f>IF(A553=""," ",B553*VLOOKUP(A553,'18.11-07.12.2024'!A:H,6,FALSE))</f>
        <v xml:space="preserve"> </v>
      </c>
      <c r="F553" s="7" t="str">
        <f>IF(A553=""," ",B553*VLOOKUP(A553,'18.11-07.12.2024'!A:H,7,FALSE))</f>
        <v xml:space="preserve"> </v>
      </c>
      <c r="G553" s="7" t="str">
        <f>IF(A553=""," ",B553*VLOOKUP(A553,'18.11-07.12.2024'!A:H,8,FALSE))</f>
        <v xml:space="preserve"> </v>
      </c>
    </row>
    <row r="554" spans="1:7" ht="15" x14ac:dyDescent="0.2">
      <c r="A554" s="21"/>
      <c r="B554" s="26"/>
      <c r="C554" s="6" t="str">
        <f>IF(A554=""," ",VLOOKUP(A554,'18.11-07.12.2024'!A:H,2,FALSE))</f>
        <v xml:space="preserve"> </v>
      </c>
      <c r="D554" s="33" t="str">
        <f>IF(A554=""," ",VLOOKUP(A554,'18.11-07.12.2024'!A:H,5,FALSE))</f>
        <v xml:space="preserve"> </v>
      </c>
      <c r="E554" s="7" t="str">
        <f>IF(A554=""," ",B554*VLOOKUP(A554,'18.11-07.12.2024'!A:H,6,FALSE))</f>
        <v xml:space="preserve"> </v>
      </c>
      <c r="F554" s="7" t="str">
        <f>IF(A554=""," ",B554*VLOOKUP(A554,'18.11-07.12.2024'!A:H,7,FALSE))</f>
        <v xml:space="preserve"> </v>
      </c>
      <c r="G554" s="7" t="str">
        <f>IF(A554=""," ",B554*VLOOKUP(A554,'18.11-07.12.2024'!A:H,8,FALSE))</f>
        <v xml:space="preserve"> </v>
      </c>
    </row>
    <row r="555" spans="1:7" ht="15" x14ac:dyDescent="0.2">
      <c r="A555" s="21"/>
      <c r="B555" s="26"/>
      <c r="C555" s="6" t="str">
        <f>IF(A555=""," ",VLOOKUP(A555,'18.11-07.12.2024'!A:H,2,FALSE))</f>
        <v xml:space="preserve"> </v>
      </c>
      <c r="D555" s="33" t="str">
        <f>IF(A555=""," ",VLOOKUP(A555,'18.11-07.12.2024'!A:H,5,FALSE))</f>
        <v xml:space="preserve"> </v>
      </c>
      <c r="E555" s="7" t="str">
        <f>IF(A555=""," ",B555*VLOOKUP(A555,'18.11-07.12.2024'!A:H,6,FALSE))</f>
        <v xml:space="preserve"> </v>
      </c>
      <c r="F555" s="7" t="str">
        <f>IF(A555=""," ",B555*VLOOKUP(A555,'18.11-07.12.2024'!A:H,7,FALSE))</f>
        <v xml:space="preserve"> </v>
      </c>
      <c r="G555" s="7" t="str">
        <f>IF(A555=""," ",B555*VLOOKUP(A555,'18.11-07.12.2024'!A:H,8,FALSE))</f>
        <v xml:space="preserve"> </v>
      </c>
    </row>
    <row r="556" spans="1:7" ht="15" x14ac:dyDescent="0.2">
      <c r="A556" s="21"/>
      <c r="B556" s="26"/>
      <c r="C556" s="6" t="str">
        <f>IF(A556=""," ",VLOOKUP(A556,'18.11-07.12.2024'!A:H,2,FALSE))</f>
        <v xml:space="preserve"> </v>
      </c>
      <c r="D556" s="33" t="str">
        <f>IF(A556=""," ",VLOOKUP(A556,'18.11-07.12.2024'!A:H,5,FALSE))</f>
        <v xml:space="preserve"> </v>
      </c>
      <c r="E556" s="7" t="str">
        <f>IF(A556=""," ",B556*VLOOKUP(A556,'18.11-07.12.2024'!A:H,6,FALSE))</f>
        <v xml:space="preserve"> </v>
      </c>
      <c r="F556" s="7" t="str">
        <f>IF(A556=""," ",B556*VLOOKUP(A556,'18.11-07.12.2024'!A:H,7,FALSE))</f>
        <v xml:space="preserve"> </v>
      </c>
      <c r="G556" s="7" t="str">
        <f>IF(A556=""," ",B556*VLOOKUP(A556,'18.11-07.12.2024'!A:H,8,FALSE))</f>
        <v xml:space="preserve"> </v>
      </c>
    </row>
    <row r="557" spans="1:7" ht="15" x14ac:dyDescent="0.2">
      <c r="A557" s="21"/>
      <c r="B557" s="26"/>
      <c r="C557" s="6" t="str">
        <f>IF(A557=""," ",VLOOKUP(A557,'18.11-07.12.2024'!A:H,2,FALSE))</f>
        <v xml:space="preserve"> </v>
      </c>
      <c r="D557" s="33" t="str">
        <f>IF(A557=""," ",VLOOKUP(A557,'18.11-07.12.2024'!A:H,5,FALSE))</f>
        <v xml:space="preserve"> </v>
      </c>
      <c r="E557" s="7" t="str">
        <f>IF(A557=""," ",B557*VLOOKUP(A557,'18.11-07.12.2024'!A:H,6,FALSE))</f>
        <v xml:space="preserve"> </v>
      </c>
      <c r="F557" s="7" t="str">
        <f>IF(A557=""," ",B557*VLOOKUP(A557,'18.11-07.12.2024'!A:H,7,FALSE))</f>
        <v xml:space="preserve"> </v>
      </c>
      <c r="G557" s="7" t="str">
        <f>IF(A557=""," ",B557*VLOOKUP(A557,'18.11-07.12.2024'!A:H,8,FALSE))</f>
        <v xml:space="preserve"> </v>
      </c>
    </row>
    <row r="558" spans="1:7" ht="15" x14ac:dyDescent="0.2">
      <c r="A558" s="21"/>
      <c r="B558" s="26"/>
      <c r="C558" s="6" t="str">
        <f>IF(A558=""," ",VLOOKUP(A558,'18.11-07.12.2024'!A:H,2,FALSE))</f>
        <v xml:space="preserve"> </v>
      </c>
      <c r="D558" s="33" t="str">
        <f>IF(A558=""," ",VLOOKUP(A558,'18.11-07.12.2024'!A:H,5,FALSE))</f>
        <v xml:space="preserve"> </v>
      </c>
      <c r="E558" s="7" t="str">
        <f>IF(A558=""," ",B558*VLOOKUP(A558,'18.11-07.12.2024'!A:H,6,FALSE))</f>
        <v xml:space="preserve"> </v>
      </c>
      <c r="F558" s="7" t="str">
        <f>IF(A558=""," ",B558*VLOOKUP(A558,'18.11-07.12.2024'!A:H,7,FALSE))</f>
        <v xml:space="preserve"> </v>
      </c>
      <c r="G558" s="7" t="str">
        <f>IF(A558=""," ",B558*VLOOKUP(A558,'18.11-07.12.2024'!A:H,8,FALSE))</f>
        <v xml:space="preserve"> </v>
      </c>
    </row>
    <row r="559" spans="1:7" ht="15" x14ac:dyDescent="0.2">
      <c r="A559" s="21"/>
      <c r="B559" s="26"/>
      <c r="C559" s="6" t="str">
        <f>IF(A559=""," ",VLOOKUP(A559,'18.11-07.12.2024'!A:H,2,FALSE))</f>
        <v xml:space="preserve"> </v>
      </c>
      <c r="D559" s="33" t="str">
        <f>IF(A559=""," ",VLOOKUP(A559,'18.11-07.12.2024'!A:H,5,FALSE))</f>
        <v xml:space="preserve"> </v>
      </c>
      <c r="E559" s="7" t="str">
        <f>IF(A559=""," ",B559*VLOOKUP(A559,'18.11-07.12.2024'!A:H,6,FALSE))</f>
        <v xml:space="preserve"> </v>
      </c>
      <c r="F559" s="7" t="str">
        <f>IF(A559=""," ",B559*VLOOKUP(A559,'18.11-07.12.2024'!A:H,7,FALSE))</f>
        <v xml:space="preserve"> </v>
      </c>
      <c r="G559" s="7" t="str">
        <f>IF(A559=""," ",B559*VLOOKUP(A559,'18.11-07.12.2024'!A:H,8,FALSE))</f>
        <v xml:space="preserve"> </v>
      </c>
    </row>
    <row r="560" spans="1:7" ht="15" x14ac:dyDescent="0.2">
      <c r="A560" s="21"/>
      <c r="B560" s="26"/>
      <c r="C560" s="6" t="str">
        <f>IF(A560=""," ",VLOOKUP(A560,'18.11-07.12.2024'!A:H,2,FALSE))</f>
        <v xml:space="preserve"> </v>
      </c>
      <c r="D560" s="33" t="str">
        <f>IF(A560=""," ",VLOOKUP(A560,'18.11-07.12.2024'!A:H,5,FALSE))</f>
        <v xml:space="preserve"> </v>
      </c>
      <c r="E560" s="7" t="str">
        <f>IF(A560=""," ",B560*VLOOKUP(A560,'18.11-07.12.2024'!A:H,6,FALSE))</f>
        <v xml:space="preserve"> </v>
      </c>
      <c r="F560" s="7" t="str">
        <f>IF(A560=""," ",B560*VLOOKUP(A560,'18.11-07.12.2024'!A:H,7,FALSE))</f>
        <v xml:space="preserve"> </v>
      </c>
      <c r="G560" s="7" t="str">
        <f>IF(A560=""," ",B560*VLOOKUP(A560,'18.11-07.12.2024'!A:H,8,FALSE))</f>
        <v xml:space="preserve"> </v>
      </c>
    </row>
    <row r="561" spans="1:7" ht="15" x14ac:dyDescent="0.2">
      <c r="A561" s="21"/>
      <c r="B561" s="26"/>
      <c r="C561" s="6" t="str">
        <f>IF(A561=""," ",VLOOKUP(A561,'18.11-07.12.2024'!A:H,2,FALSE))</f>
        <v xml:space="preserve"> </v>
      </c>
      <c r="D561" s="33" t="str">
        <f>IF(A561=""," ",VLOOKUP(A561,'18.11-07.12.2024'!A:H,5,FALSE))</f>
        <v xml:space="preserve"> </v>
      </c>
      <c r="E561" s="7" t="str">
        <f>IF(A561=""," ",B561*VLOOKUP(A561,'18.11-07.12.2024'!A:H,6,FALSE))</f>
        <v xml:space="preserve"> </v>
      </c>
      <c r="F561" s="7" t="str">
        <f>IF(A561=""," ",B561*VLOOKUP(A561,'18.11-07.12.2024'!A:H,7,FALSE))</f>
        <v xml:space="preserve"> </v>
      </c>
      <c r="G561" s="7" t="str">
        <f>IF(A561=""," ",B561*VLOOKUP(A561,'18.11-07.12.2024'!A:H,8,FALSE))</f>
        <v xml:space="preserve"> </v>
      </c>
    </row>
    <row r="562" spans="1:7" ht="15" x14ac:dyDescent="0.2">
      <c r="A562" s="21"/>
      <c r="B562" s="26"/>
      <c r="C562" s="6" t="str">
        <f>IF(A562=""," ",VLOOKUP(A562,'18.11-07.12.2024'!A:H,2,FALSE))</f>
        <v xml:space="preserve"> </v>
      </c>
      <c r="D562" s="33" t="str">
        <f>IF(A562=""," ",VLOOKUP(A562,'18.11-07.12.2024'!A:H,5,FALSE))</f>
        <v xml:space="preserve"> </v>
      </c>
      <c r="E562" s="7" t="str">
        <f>IF(A562=""," ",B562*VLOOKUP(A562,'18.11-07.12.2024'!A:H,6,FALSE))</f>
        <v xml:space="preserve"> </v>
      </c>
      <c r="F562" s="7" t="str">
        <f>IF(A562=""," ",B562*VLOOKUP(A562,'18.11-07.12.2024'!A:H,7,FALSE))</f>
        <v xml:space="preserve"> </v>
      </c>
      <c r="G562" s="7" t="str">
        <f>IF(A562=""," ",B562*VLOOKUP(A562,'18.11-07.12.2024'!A:H,8,FALSE))</f>
        <v xml:space="preserve"> </v>
      </c>
    </row>
    <row r="563" spans="1:7" ht="15" x14ac:dyDescent="0.2">
      <c r="A563" s="21"/>
      <c r="B563" s="26"/>
      <c r="C563" s="6" t="str">
        <f>IF(A563=""," ",VLOOKUP(A563,'18.11-07.12.2024'!A:H,2,FALSE))</f>
        <v xml:space="preserve"> </v>
      </c>
      <c r="D563" s="33" t="str">
        <f>IF(A563=""," ",VLOOKUP(A563,'18.11-07.12.2024'!A:H,5,FALSE))</f>
        <v xml:space="preserve"> </v>
      </c>
      <c r="E563" s="7" t="str">
        <f>IF(A563=""," ",B563*VLOOKUP(A563,'18.11-07.12.2024'!A:H,6,FALSE))</f>
        <v xml:space="preserve"> </v>
      </c>
      <c r="F563" s="7" t="str">
        <f>IF(A563=""," ",B563*VLOOKUP(A563,'18.11-07.12.2024'!A:H,7,FALSE))</f>
        <v xml:space="preserve"> </v>
      </c>
      <c r="G563" s="7" t="str">
        <f>IF(A563=""," ",B563*VLOOKUP(A563,'18.11-07.12.2024'!A:H,8,FALSE))</f>
        <v xml:space="preserve"> </v>
      </c>
    </row>
    <row r="564" spans="1:7" ht="15" x14ac:dyDescent="0.2">
      <c r="A564" s="21"/>
      <c r="B564" s="26"/>
      <c r="C564" s="6" t="str">
        <f>IF(A564=""," ",VLOOKUP(A564,'18.11-07.12.2024'!A:H,2,FALSE))</f>
        <v xml:space="preserve"> </v>
      </c>
      <c r="D564" s="33" t="str">
        <f>IF(A564=""," ",VLOOKUP(A564,'18.11-07.12.2024'!A:H,5,FALSE))</f>
        <v xml:space="preserve"> </v>
      </c>
      <c r="E564" s="7" t="str">
        <f>IF(A564=""," ",B564*VLOOKUP(A564,'18.11-07.12.2024'!A:H,6,FALSE))</f>
        <v xml:space="preserve"> </v>
      </c>
      <c r="F564" s="7" t="str">
        <f>IF(A564=""," ",B564*VLOOKUP(A564,'18.11-07.12.2024'!A:H,7,FALSE))</f>
        <v xml:space="preserve"> </v>
      </c>
      <c r="G564" s="7" t="str">
        <f>IF(A564=""," ",B564*VLOOKUP(A564,'18.11-07.12.2024'!A:H,8,FALSE))</f>
        <v xml:space="preserve"> </v>
      </c>
    </row>
    <row r="565" spans="1:7" ht="15" x14ac:dyDescent="0.2">
      <c r="A565" s="21"/>
      <c r="B565" s="26"/>
      <c r="C565" s="6" t="str">
        <f>IF(A565=""," ",VLOOKUP(A565,'18.11-07.12.2024'!A:H,2,FALSE))</f>
        <v xml:space="preserve"> </v>
      </c>
      <c r="D565" s="33" t="str">
        <f>IF(A565=""," ",VLOOKUP(A565,'18.11-07.12.2024'!A:H,5,FALSE))</f>
        <v xml:space="preserve"> </v>
      </c>
      <c r="E565" s="7" t="str">
        <f>IF(A565=""," ",B565*VLOOKUP(A565,'18.11-07.12.2024'!A:H,6,FALSE))</f>
        <v xml:space="preserve"> </v>
      </c>
      <c r="F565" s="7" t="str">
        <f>IF(A565=""," ",B565*VLOOKUP(A565,'18.11-07.12.2024'!A:H,7,FALSE))</f>
        <v xml:space="preserve"> </v>
      </c>
      <c r="G565" s="7" t="str">
        <f>IF(A565=""," ",B565*VLOOKUP(A565,'18.11-07.12.2024'!A:H,8,FALSE))</f>
        <v xml:space="preserve"> </v>
      </c>
    </row>
    <row r="566" spans="1:7" ht="15" x14ac:dyDescent="0.2">
      <c r="A566" s="21"/>
      <c r="B566" s="26"/>
      <c r="C566" s="6" t="str">
        <f>IF(A566=""," ",VLOOKUP(A566,'18.11-07.12.2024'!A:H,2,FALSE))</f>
        <v xml:space="preserve"> </v>
      </c>
      <c r="D566" s="33" t="str">
        <f>IF(A566=""," ",VLOOKUP(A566,'18.11-07.12.2024'!A:H,5,FALSE))</f>
        <v xml:space="preserve"> </v>
      </c>
      <c r="E566" s="7" t="str">
        <f>IF(A566=""," ",B566*VLOOKUP(A566,'18.11-07.12.2024'!A:H,6,FALSE))</f>
        <v xml:space="preserve"> </v>
      </c>
      <c r="F566" s="7" t="str">
        <f>IF(A566=""," ",B566*VLOOKUP(A566,'18.11-07.12.2024'!A:H,7,FALSE))</f>
        <v xml:space="preserve"> </v>
      </c>
      <c r="G566" s="7" t="str">
        <f>IF(A566=""," ",B566*VLOOKUP(A566,'18.11-07.12.2024'!A:H,8,FALSE))</f>
        <v xml:space="preserve"> </v>
      </c>
    </row>
    <row r="567" spans="1:7" ht="15" x14ac:dyDescent="0.2">
      <c r="A567" s="21"/>
      <c r="B567" s="26"/>
      <c r="C567" s="6" t="str">
        <f>IF(A567=""," ",VLOOKUP(A567,'18.11-07.12.2024'!A:H,2,FALSE))</f>
        <v xml:space="preserve"> </v>
      </c>
      <c r="D567" s="33" t="str">
        <f>IF(A567=""," ",VLOOKUP(A567,'18.11-07.12.2024'!A:H,5,FALSE))</f>
        <v xml:space="preserve"> </v>
      </c>
      <c r="E567" s="7" t="str">
        <f>IF(A567=""," ",B567*VLOOKUP(A567,'18.11-07.12.2024'!A:H,6,FALSE))</f>
        <v xml:space="preserve"> </v>
      </c>
      <c r="F567" s="7" t="str">
        <f>IF(A567=""," ",B567*VLOOKUP(A567,'18.11-07.12.2024'!A:H,7,FALSE))</f>
        <v xml:space="preserve"> </v>
      </c>
      <c r="G567" s="7" t="str">
        <f>IF(A567=""," ",B567*VLOOKUP(A567,'18.11-07.12.2024'!A:H,8,FALSE))</f>
        <v xml:space="preserve"> </v>
      </c>
    </row>
    <row r="568" spans="1:7" ht="15" x14ac:dyDescent="0.2">
      <c r="A568" s="21"/>
      <c r="B568" s="26"/>
      <c r="C568" s="6" t="str">
        <f>IF(A568=""," ",VLOOKUP(A568,'18.11-07.12.2024'!A:H,2,FALSE))</f>
        <v xml:space="preserve"> </v>
      </c>
      <c r="D568" s="33" t="str">
        <f>IF(A568=""," ",VLOOKUP(A568,'18.11-07.12.2024'!A:H,5,FALSE))</f>
        <v xml:space="preserve"> </v>
      </c>
      <c r="E568" s="7" t="str">
        <f>IF(A568=""," ",B568*VLOOKUP(A568,'18.11-07.12.2024'!A:H,6,FALSE))</f>
        <v xml:space="preserve"> </v>
      </c>
      <c r="F568" s="7" t="str">
        <f>IF(A568=""," ",B568*VLOOKUP(A568,'18.11-07.12.2024'!A:H,7,FALSE))</f>
        <v xml:space="preserve"> </v>
      </c>
      <c r="G568" s="7" t="str">
        <f>IF(A568=""," ",B568*VLOOKUP(A568,'18.11-07.12.2024'!A:H,8,FALSE))</f>
        <v xml:space="preserve"> </v>
      </c>
    </row>
    <row r="569" spans="1:7" ht="15" x14ac:dyDescent="0.2">
      <c r="A569" s="21"/>
      <c r="B569" s="26"/>
      <c r="C569" s="6" t="str">
        <f>IF(A569=""," ",VLOOKUP(A569,'18.11-07.12.2024'!A:H,2,FALSE))</f>
        <v xml:space="preserve"> </v>
      </c>
      <c r="D569" s="33" t="str">
        <f>IF(A569=""," ",VLOOKUP(A569,'18.11-07.12.2024'!A:H,5,FALSE))</f>
        <v xml:space="preserve"> </v>
      </c>
      <c r="E569" s="7" t="str">
        <f>IF(A569=""," ",B569*VLOOKUP(A569,'18.11-07.12.2024'!A:H,6,FALSE))</f>
        <v xml:space="preserve"> </v>
      </c>
      <c r="F569" s="7" t="str">
        <f>IF(A569=""," ",B569*VLOOKUP(A569,'18.11-07.12.2024'!A:H,7,FALSE))</f>
        <v xml:space="preserve"> </v>
      </c>
      <c r="G569" s="7" t="str">
        <f>IF(A569=""," ",B569*VLOOKUP(A569,'18.11-07.12.2024'!A:H,8,FALSE))</f>
        <v xml:space="preserve"> </v>
      </c>
    </row>
    <row r="570" spans="1:7" ht="15" x14ac:dyDescent="0.2">
      <c r="A570" s="21"/>
      <c r="B570" s="26"/>
      <c r="C570" s="6" t="str">
        <f>IF(A570=""," ",VLOOKUP(A570,'18.11-07.12.2024'!A:H,2,FALSE))</f>
        <v xml:space="preserve"> </v>
      </c>
      <c r="D570" s="33" t="str">
        <f>IF(A570=""," ",VLOOKUP(A570,'18.11-07.12.2024'!A:H,5,FALSE))</f>
        <v xml:space="preserve"> </v>
      </c>
      <c r="E570" s="7" t="str">
        <f>IF(A570=""," ",B570*VLOOKUP(A570,'18.11-07.12.2024'!A:H,6,FALSE))</f>
        <v xml:space="preserve"> </v>
      </c>
      <c r="F570" s="7" t="str">
        <f>IF(A570=""," ",B570*VLOOKUP(A570,'18.11-07.12.2024'!A:H,7,FALSE))</f>
        <v xml:space="preserve"> </v>
      </c>
      <c r="G570" s="7" t="str">
        <f>IF(A570=""," ",B570*VLOOKUP(A570,'18.11-07.12.2024'!A:H,8,FALSE))</f>
        <v xml:space="preserve"> </v>
      </c>
    </row>
    <row r="571" spans="1:7" ht="15" x14ac:dyDescent="0.2">
      <c r="A571" s="21"/>
      <c r="B571" s="26"/>
      <c r="C571" s="6" t="str">
        <f>IF(A571=""," ",VLOOKUP(A571,'18.11-07.12.2024'!A:H,2,FALSE))</f>
        <v xml:space="preserve"> </v>
      </c>
      <c r="D571" s="33" t="str">
        <f>IF(A571=""," ",VLOOKUP(A571,'18.11-07.12.2024'!A:H,5,FALSE))</f>
        <v xml:space="preserve"> </v>
      </c>
      <c r="E571" s="7" t="str">
        <f>IF(A571=""," ",B571*VLOOKUP(A571,'18.11-07.12.2024'!A:H,6,FALSE))</f>
        <v xml:space="preserve"> </v>
      </c>
      <c r="F571" s="7" t="str">
        <f>IF(A571=""," ",B571*VLOOKUP(A571,'18.11-07.12.2024'!A:H,7,FALSE))</f>
        <v xml:space="preserve"> </v>
      </c>
      <c r="G571" s="7" t="str">
        <f>IF(A571=""," ",B571*VLOOKUP(A571,'18.11-07.12.2024'!A:H,8,FALSE))</f>
        <v xml:space="preserve"> </v>
      </c>
    </row>
    <row r="572" spans="1:7" ht="15" x14ac:dyDescent="0.2">
      <c r="A572" s="21"/>
      <c r="B572" s="26"/>
      <c r="C572" s="6" t="str">
        <f>IF(A572=""," ",VLOOKUP(A572,'18.11-07.12.2024'!A:H,2,FALSE))</f>
        <v xml:space="preserve"> </v>
      </c>
      <c r="D572" s="33" t="str">
        <f>IF(A572=""," ",VLOOKUP(A572,'18.11-07.12.2024'!A:H,5,FALSE))</f>
        <v xml:space="preserve"> </v>
      </c>
      <c r="E572" s="7" t="str">
        <f>IF(A572=""," ",B572*VLOOKUP(A572,'18.11-07.12.2024'!A:H,6,FALSE))</f>
        <v xml:space="preserve"> </v>
      </c>
      <c r="F572" s="7" t="str">
        <f>IF(A572=""," ",B572*VLOOKUP(A572,'18.11-07.12.2024'!A:H,7,FALSE))</f>
        <v xml:space="preserve"> </v>
      </c>
      <c r="G572" s="7" t="str">
        <f>IF(A572=""," ",B572*VLOOKUP(A572,'18.11-07.12.2024'!A:H,8,FALSE))</f>
        <v xml:space="preserve"> </v>
      </c>
    </row>
    <row r="573" spans="1:7" ht="15" x14ac:dyDescent="0.2">
      <c r="A573" s="21"/>
      <c r="B573" s="26"/>
      <c r="C573" s="6" t="str">
        <f>IF(A573=""," ",VLOOKUP(A573,'18.11-07.12.2024'!A:H,2,FALSE))</f>
        <v xml:space="preserve"> </v>
      </c>
      <c r="D573" s="33" t="str">
        <f>IF(A573=""," ",VLOOKUP(A573,'18.11-07.12.2024'!A:H,5,FALSE))</f>
        <v xml:space="preserve"> </v>
      </c>
      <c r="E573" s="7" t="str">
        <f>IF(A573=""," ",B573*VLOOKUP(A573,'18.11-07.12.2024'!A:H,6,FALSE))</f>
        <v xml:space="preserve"> </v>
      </c>
      <c r="F573" s="7" t="str">
        <f>IF(A573=""," ",B573*VLOOKUP(A573,'18.11-07.12.2024'!A:H,7,FALSE))</f>
        <v xml:space="preserve"> </v>
      </c>
      <c r="G573" s="7" t="str">
        <f>IF(A573=""," ",B573*VLOOKUP(A573,'18.11-07.12.2024'!A:H,8,FALSE))</f>
        <v xml:space="preserve"> </v>
      </c>
    </row>
    <row r="574" spans="1:7" ht="15" x14ac:dyDescent="0.2">
      <c r="A574" s="21"/>
      <c r="B574" s="26"/>
      <c r="C574" s="6" t="str">
        <f>IF(A574=""," ",VLOOKUP(A574,'18.11-07.12.2024'!A:H,2,FALSE))</f>
        <v xml:space="preserve"> </v>
      </c>
      <c r="D574" s="33" t="str">
        <f>IF(A574=""," ",VLOOKUP(A574,'18.11-07.12.2024'!A:H,5,FALSE))</f>
        <v xml:space="preserve"> </v>
      </c>
      <c r="E574" s="7" t="str">
        <f>IF(A574=""," ",B574*VLOOKUP(A574,'18.11-07.12.2024'!A:H,6,FALSE))</f>
        <v xml:space="preserve"> </v>
      </c>
      <c r="F574" s="7" t="str">
        <f>IF(A574=""," ",B574*VLOOKUP(A574,'18.11-07.12.2024'!A:H,7,FALSE))</f>
        <v xml:space="preserve"> </v>
      </c>
      <c r="G574" s="7" t="str">
        <f>IF(A574=""," ",B574*VLOOKUP(A574,'18.11-07.12.2024'!A:H,8,FALSE))</f>
        <v xml:space="preserve"> </v>
      </c>
    </row>
    <row r="575" spans="1:7" ht="15" x14ac:dyDescent="0.2">
      <c r="A575" s="21"/>
      <c r="B575" s="26"/>
      <c r="C575" s="6" t="str">
        <f>IF(A575=""," ",VLOOKUP(A575,'18.11-07.12.2024'!A:H,2,FALSE))</f>
        <v xml:space="preserve"> </v>
      </c>
      <c r="D575" s="33" t="str">
        <f>IF(A575=""," ",VLOOKUP(A575,'18.11-07.12.2024'!A:H,5,FALSE))</f>
        <v xml:space="preserve"> </v>
      </c>
      <c r="E575" s="7" t="str">
        <f>IF(A575=""," ",B575*VLOOKUP(A575,'18.11-07.12.2024'!A:H,6,FALSE))</f>
        <v xml:space="preserve"> </v>
      </c>
      <c r="F575" s="7" t="str">
        <f>IF(A575=""," ",B575*VLOOKUP(A575,'18.11-07.12.2024'!A:H,7,FALSE))</f>
        <v xml:space="preserve"> </v>
      </c>
      <c r="G575" s="7" t="str">
        <f>IF(A575=""," ",B575*VLOOKUP(A575,'18.11-07.12.2024'!A:H,8,FALSE))</f>
        <v xml:space="preserve"> </v>
      </c>
    </row>
    <row r="576" spans="1:7" ht="15" x14ac:dyDescent="0.2">
      <c r="A576" s="21"/>
      <c r="B576" s="26"/>
      <c r="C576" s="6" t="str">
        <f>IF(A576=""," ",VLOOKUP(A576,'18.11-07.12.2024'!A:H,2,FALSE))</f>
        <v xml:space="preserve"> </v>
      </c>
      <c r="D576" s="33" t="str">
        <f>IF(A576=""," ",VLOOKUP(A576,'18.11-07.12.2024'!A:H,5,FALSE))</f>
        <v xml:space="preserve"> </v>
      </c>
      <c r="E576" s="7" t="str">
        <f>IF(A576=""," ",B576*VLOOKUP(A576,'18.11-07.12.2024'!A:H,6,FALSE))</f>
        <v xml:space="preserve"> </v>
      </c>
      <c r="F576" s="7" t="str">
        <f>IF(A576=""," ",B576*VLOOKUP(A576,'18.11-07.12.2024'!A:H,7,FALSE))</f>
        <v xml:space="preserve"> </v>
      </c>
      <c r="G576" s="7" t="str">
        <f>IF(A576=""," ",B576*VLOOKUP(A576,'18.11-07.12.2024'!A:H,8,FALSE))</f>
        <v xml:space="preserve"> </v>
      </c>
    </row>
    <row r="577" spans="1:7" ht="15" x14ac:dyDescent="0.2">
      <c r="A577" s="21"/>
      <c r="B577" s="26"/>
      <c r="C577" s="6" t="str">
        <f>IF(A577=""," ",VLOOKUP(A577,'18.11-07.12.2024'!A:H,2,FALSE))</f>
        <v xml:space="preserve"> </v>
      </c>
      <c r="D577" s="33" t="str">
        <f>IF(A577=""," ",VLOOKUP(A577,'18.11-07.12.2024'!A:H,5,FALSE))</f>
        <v xml:space="preserve"> </v>
      </c>
      <c r="E577" s="7" t="str">
        <f>IF(A577=""," ",B577*VLOOKUP(A577,'18.11-07.12.2024'!A:H,6,FALSE))</f>
        <v xml:space="preserve"> </v>
      </c>
      <c r="F577" s="7" t="str">
        <f>IF(A577=""," ",B577*VLOOKUP(A577,'18.11-07.12.2024'!A:H,7,FALSE))</f>
        <v xml:space="preserve"> </v>
      </c>
      <c r="G577" s="7" t="str">
        <f>IF(A577=""," ",B577*VLOOKUP(A577,'18.11-07.12.2024'!A:H,8,FALSE))</f>
        <v xml:space="preserve"> </v>
      </c>
    </row>
    <row r="578" spans="1:7" ht="15" x14ac:dyDescent="0.2">
      <c r="A578" s="21"/>
      <c r="B578" s="26"/>
      <c r="C578" s="6" t="str">
        <f>IF(A578=""," ",VLOOKUP(A578,'18.11-07.12.2024'!A:H,2,FALSE))</f>
        <v xml:space="preserve"> </v>
      </c>
      <c r="D578" s="33" t="str">
        <f>IF(A578=""," ",VLOOKUP(A578,'18.11-07.12.2024'!A:H,5,FALSE))</f>
        <v xml:space="preserve"> </v>
      </c>
      <c r="E578" s="7" t="str">
        <f>IF(A578=""," ",B578*VLOOKUP(A578,'18.11-07.12.2024'!A:H,6,FALSE))</f>
        <v xml:space="preserve"> </v>
      </c>
      <c r="F578" s="7" t="str">
        <f>IF(A578=""," ",B578*VLOOKUP(A578,'18.11-07.12.2024'!A:H,7,FALSE))</f>
        <v xml:space="preserve"> </v>
      </c>
      <c r="G578" s="7" t="str">
        <f>IF(A578=""," ",B578*VLOOKUP(A578,'18.11-07.12.2024'!A:H,8,FALSE))</f>
        <v xml:space="preserve"> </v>
      </c>
    </row>
    <row r="579" spans="1:7" ht="15" x14ac:dyDescent="0.2">
      <c r="A579" s="21"/>
      <c r="B579" s="26"/>
      <c r="C579" s="6" t="str">
        <f>IF(A579=""," ",VLOOKUP(A579,'18.11-07.12.2024'!A:H,2,FALSE))</f>
        <v xml:space="preserve"> </v>
      </c>
      <c r="D579" s="33" t="str">
        <f>IF(A579=""," ",VLOOKUP(A579,'18.11-07.12.2024'!A:H,5,FALSE))</f>
        <v xml:space="preserve"> </v>
      </c>
      <c r="E579" s="7" t="str">
        <f>IF(A579=""," ",B579*VLOOKUP(A579,'18.11-07.12.2024'!A:H,6,FALSE))</f>
        <v xml:space="preserve"> </v>
      </c>
      <c r="F579" s="7" t="str">
        <f>IF(A579=""," ",B579*VLOOKUP(A579,'18.11-07.12.2024'!A:H,7,FALSE))</f>
        <v xml:space="preserve"> </v>
      </c>
      <c r="G579" s="7" t="str">
        <f>IF(A579=""," ",B579*VLOOKUP(A579,'18.11-07.12.2024'!A:H,8,FALSE))</f>
        <v xml:space="preserve"> </v>
      </c>
    </row>
    <row r="580" spans="1:7" ht="15" x14ac:dyDescent="0.2">
      <c r="A580" s="21"/>
      <c r="B580" s="26"/>
      <c r="C580" s="6" t="str">
        <f>IF(A580=""," ",VLOOKUP(A580,'18.11-07.12.2024'!A:H,2,FALSE))</f>
        <v xml:space="preserve"> </v>
      </c>
      <c r="D580" s="33" t="str">
        <f>IF(A580=""," ",VLOOKUP(A580,'18.11-07.12.2024'!A:H,5,FALSE))</f>
        <v xml:space="preserve"> </v>
      </c>
      <c r="E580" s="7" t="str">
        <f>IF(A580=""," ",B580*VLOOKUP(A580,'18.11-07.12.2024'!A:H,6,FALSE))</f>
        <v xml:space="preserve"> </v>
      </c>
      <c r="F580" s="7" t="str">
        <f>IF(A580=""," ",B580*VLOOKUP(A580,'18.11-07.12.2024'!A:H,7,FALSE))</f>
        <v xml:space="preserve"> </v>
      </c>
      <c r="G580" s="7" t="str">
        <f>IF(A580=""," ",B580*VLOOKUP(A580,'18.11-07.12.2024'!A:H,8,FALSE))</f>
        <v xml:space="preserve"> </v>
      </c>
    </row>
    <row r="581" spans="1:7" ht="15" x14ac:dyDescent="0.2">
      <c r="A581" s="21"/>
      <c r="B581" s="26"/>
      <c r="C581" s="6" t="str">
        <f>IF(A581=""," ",VLOOKUP(A581,'18.11-07.12.2024'!A:H,2,FALSE))</f>
        <v xml:space="preserve"> </v>
      </c>
      <c r="D581" s="33" t="str">
        <f>IF(A581=""," ",VLOOKUP(A581,'18.11-07.12.2024'!A:H,5,FALSE))</f>
        <v xml:space="preserve"> </v>
      </c>
      <c r="E581" s="7" t="str">
        <f>IF(A581=""," ",B581*VLOOKUP(A581,'18.11-07.12.2024'!A:H,6,FALSE))</f>
        <v xml:space="preserve"> </v>
      </c>
      <c r="F581" s="7" t="str">
        <f>IF(A581=""," ",B581*VLOOKUP(A581,'18.11-07.12.2024'!A:H,7,FALSE))</f>
        <v xml:space="preserve"> </v>
      </c>
      <c r="G581" s="7" t="str">
        <f>IF(A581=""," ",B581*VLOOKUP(A581,'18.11-07.12.2024'!A:H,8,FALSE))</f>
        <v xml:space="preserve"> </v>
      </c>
    </row>
    <row r="582" spans="1:7" ht="15" x14ac:dyDescent="0.2">
      <c r="A582" s="21"/>
      <c r="B582" s="26"/>
      <c r="C582" s="6" t="str">
        <f>IF(A582=""," ",VLOOKUP(A582,'18.11-07.12.2024'!A:H,2,FALSE))</f>
        <v xml:space="preserve"> </v>
      </c>
      <c r="D582" s="33" t="str">
        <f>IF(A582=""," ",VLOOKUP(A582,'18.11-07.12.2024'!A:H,5,FALSE))</f>
        <v xml:space="preserve"> </v>
      </c>
      <c r="E582" s="7" t="str">
        <f>IF(A582=""," ",B582*VLOOKUP(A582,'18.11-07.12.2024'!A:H,6,FALSE))</f>
        <v xml:space="preserve"> </v>
      </c>
      <c r="F582" s="7" t="str">
        <f>IF(A582=""," ",B582*VLOOKUP(A582,'18.11-07.12.2024'!A:H,7,FALSE))</f>
        <v xml:space="preserve"> </v>
      </c>
      <c r="G582" s="7" t="str">
        <f>IF(A582=""," ",B582*VLOOKUP(A582,'18.11-07.12.2024'!A:H,8,FALSE))</f>
        <v xml:space="preserve"> </v>
      </c>
    </row>
    <row r="583" spans="1:7" ht="15" x14ac:dyDescent="0.2">
      <c r="A583" s="21"/>
      <c r="B583" s="26"/>
      <c r="C583" s="6" t="str">
        <f>IF(A583=""," ",VLOOKUP(A583,'18.11-07.12.2024'!A:H,2,FALSE))</f>
        <v xml:space="preserve"> </v>
      </c>
      <c r="D583" s="33" t="str">
        <f>IF(A583=""," ",VLOOKUP(A583,'18.11-07.12.2024'!A:H,5,FALSE))</f>
        <v xml:space="preserve"> </v>
      </c>
      <c r="E583" s="7" t="str">
        <f>IF(A583=""," ",B583*VLOOKUP(A583,'18.11-07.12.2024'!A:H,6,FALSE))</f>
        <v xml:space="preserve"> </v>
      </c>
      <c r="F583" s="7" t="str">
        <f>IF(A583=""," ",B583*VLOOKUP(A583,'18.11-07.12.2024'!A:H,7,FALSE))</f>
        <v xml:space="preserve"> </v>
      </c>
      <c r="G583" s="7" t="str">
        <f>IF(A583=""," ",B583*VLOOKUP(A583,'18.11-07.12.2024'!A:H,8,FALSE))</f>
        <v xml:space="preserve"> </v>
      </c>
    </row>
    <row r="584" spans="1:7" ht="15" x14ac:dyDescent="0.2">
      <c r="A584" s="21"/>
      <c r="B584" s="26"/>
      <c r="C584" s="6" t="str">
        <f>IF(A584=""," ",VLOOKUP(A584,'18.11-07.12.2024'!A:H,2,FALSE))</f>
        <v xml:space="preserve"> </v>
      </c>
      <c r="D584" s="33" t="str">
        <f>IF(A584=""," ",VLOOKUP(A584,'18.11-07.12.2024'!A:H,5,FALSE))</f>
        <v xml:space="preserve"> </v>
      </c>
      <c r="E584" s="7" t="str">
        <f>IF(A584=""," ",B584*VLOOKUP(A584,'18.11-07.12.2024'!A:H,6,FALSE))</f>
        <v xml:space="preserve"> </v>
      </c>
      <c r="F584" s="7" t="str">
        <f>IF(A584=""," ",B584*VLOOKUP(A584,'18.11-07.12.2024'!A:H,7,FALSE))</f>
        <v xml:space="preserve"> </v>
      </c>
      <c r="G584" s="7" t="str">
        <f>IF(A584=""," ",B584*VLOOKUP(A584,'18.11-07.12.2024'!A:H,8,FALSE))</f>
        <v xml:space="preserve"> </v>
      </c>
    </row>
    <row r="585" spans="1:7" ht="15" x14ac:dyDescent="0.2">
      <c r="A585" s="21"/>
      <c r="B585" s="26"/>
      <c r="C585" s="6" t="str">
        <f>IF(A585=""," ",VLOOKUP(A585,'18.11-07.12.2024'!A:H,2,FALSE))</f>
        <v xml:space="preserve"> </v>
      </c>
      <c r="D585" s="33" t="str">
        <f>IF(A585=""," ",VLOOKUP(A585,'18.11-07.12.2024'!A:H,5,FALSE))</f>
        <v xml:space="preserve"> </v>
      </c>
      <c r="E585" s="7" t="str">
        <f>IF(A585=""," ",B585*VLOOKUP(A585,'18.11-07.12.2024'!A:H,6,FALSE))</f>
        <v xml:space="preserve"> </v>
      </c>
      <c r="F585" s="7" t="str">
        <f>IF(A585=""," ",B585*VLOOKUP(A585,'18.11-07.12.2024'!A:H,7,FALSE))</f>
        <v xml:space="preserve"> </v>
      </c>
      <c r="G585" s="7" t="str">
        <f>IF(A585=""," ",B585*VLOOKUP(A585,'18.11-07.12.2024'!A:H,8,FALSE))</f>
        <v xml:space="preserve"> </v>
      </c>
    </row>
    <row r="586" spans="1:7" ht="15" x14ac:dyDescent="0.2">
      <c r="A586" s="21"/>
      <c r="B586" s="26"/>
      <c r="C586" s="6" t="str">
        <f>IF(A586=""," ",VLOOKUP(A586,'18.11-07.12.2024'!A:H,2,FALSE))</f>
        <v xml:space="preserve"> </v>
      </c>
      <c r="D586" s="33" t="str">
        <f>IF(A586=""," ",VLOOKUP(A586,'18.11-07.12.2024'!A:H,5,FALSE))</f>
        <v xml:space="preserve"> </v>
      </c>
      <c r="E586" s="7" t="str">
        <f>IF(A586=""," ",B586*VLOOKUP(A586,'18.11-07.12.2024'!A:H,6,FALSE))</f>
        <v xml:space="preserve"> </v>
      </c>
      <c r="F586" s="7" t="str">
        <f>IF(A586=""," ",B586*VLOOKUP(A586,'18.11-07.12.2024'!A:H,7,FALSE))</f>
        <v xml:space="preserve"> </v>
      </c>
      <c r="G586" s="7" t="str">
        <f>IF(A586=""," ",B586*VLOOKUP(A586,'18.11-07.12.2024'!A:H,8,FALSE))</f>
        <v xml:space="preserve"> </v>
      </c>
    </row>
    <row r="587" spans="1:7" ht="15" x14ac:dyDescent="0.2">
      <c r="A587" s="21"/>
      <c r="B587" s="26"/>
      <c r="C587" s="6" t="str">
        <f>IF(A587=""," ",VLOOKUP(A587,'18.11-07.12.2024'!A:H,2,FALSE))</f>
        <v xml:space="preserve"> </v>
      </c>
      <c r="D587" s="33" t="str">
        <f>IF(A587=""," ",VLOOKUP(A587,'18.11-07.12.2024'!A:H,5,FALSE))</f>
        <v xml:space="preserve"> </v>
      </c>
      <c r="E587" s="7" t="str">
        <f>IF(A587=""," ",B587*VLOOKUP(A587,'18.11-07.12.2024'!A:H,6,FALSE))</f>
        <v xml:space="preserve"> </v>
      </c>
      <c r="F587" s="7" t="str">
        <f>IF(A587=""," ",B587*VLOOKUP(A587,'18.11-07.12.2024'!A:H,7,FALSE))</f>
        <v xml:space="preserve"> </v>
      </c>
      <c r="G587" s="7" t="str">
        <f>IF(A587=""," ",B587*VLOOKUP(A587,'18.11-07.12.2024'!A:H,8,FALSE))</f>
        <v xml:space="preserve"> </v>
      </c>
    </row>
    <row r="588" spans="1:7" ht="15" x14ac:dyDescent="0.2">
      <c r="A588" s="21"/>
      <c r="B588" s="26"/>
      <c r="C588" s="6" t="str">
        <f>IF(A588=""," ",VLOOKUP(A588,'18.11-07.12.2024'!A:H,2,FALSE))</f>
        <v xml:space="preserve"> </v>
      </c>
      <c r="D588" s="33" t="str">
        <f>IF(A588=""," ",VLOOKUP(A588,'18.11-07.12.2024'!A:H,5,FALSE))</f>
        <v xml:space="preserve"> </v>
      </c>
      <c r="E588" s="7" t="str">
        <f>IF(A588=""," ",B588*VLOOKUP(A588,'18.11-07.12.2024'!A:H,6,FALSE))</f>
        <v xml:space="preserve"> </v>
      </c>
      <c r="F588" s="7" t="str">
        <f>IF(A588=""," ",B588*VLOOKUP(A588,'18.11-07.12.2024'!A:H,7,FALSE))</f>
        <v xml:space="preserve"> </v>
      </c>
      <c r="G588" s="7" t="str">
        <f>IF(A588=""," ",B588*VLOOKUP(A588,'18.11-07.12.2024'!A:H,8,FALSE))</f>
        <v xml:space="preserve"> </v>
      </c>
    </row>
    <row r="589" spans="1:7" ht="15" x14ac:dyDescent="0.2">
      <c r="A589" s="21"/>
      <c r="B589" s="26"/>
      <c r="C589" s="6" t="str">
        <f>IF(A589=""," ",VLOOKUP(A589,'18.11-07.12.2024'!A:H,2,FALSE))</f>
        <v xml:space="preserve"> </v>
      </c>
      <c r="D589" s="33" t="str">
        <f>IF(A589=""," ",VLOOKUP(A589,'18.11-07.12.2024'!A:H,5,FALSE))</f>
        <v xml:space="preserve"> </v>
      </c>
      <c r="E589" s="7" t="str">
        <f>IF(A589=""," ",B589*VLOOKUP(A589,'18.11-07.12.2024'!A:H,6,FALSE))</f>
        <v xml:space="preserve"> </v>
      </c>
      <c r="F589" s="7" t="str">
        <f>IF(A589=""," ",B589*VLOOKUP(A589,'18.11-07.12.2024'!A:H,7,FALSE))</f>
        <v xml:space="preserve"> </v>
      </c>
      <c r="G589" s="7" t="str">
        <f>IF(A589=""," ",B589*VLOOKUP(A589,'18.11-07.12.2024'!A:H,8,FALSE))</f>
        <v xml:space="preserve"> </v>
      </c>
    </row>
    <row r="590" spans="1:7" ht="15" x14ac:dyDescent="0.2">
      <c r="A590" s="21"/>
      <c r="B590" s="26"/>
      <c r="C590" s="6" t="str">
        <f>IF(A590=""," ",VLOOKUP(A590,'18.11-07.12.2024'!A:H,2,FALSE))</f>
        <v xml:space="preserve"> </v>
      </c>
      <c r="D590" s="33" t="str">
        <f>IF(A590=""," ",VLOOKUP(A590,'18.11-07.12.2024'!A:H,5,FALSE))</f>
        <v xml:space="preserve"> </v>
      </c>
      <c r="E590" s="7" t="str">
        <f>IF(A590=""," ",B590*VLOOKUP(A590,'18.11-07.12.2024'!A:H,6,FALSE))</f>
        <v xml:space="preserve"> </v>
      </c>
      <c r="F590" s="7" t="str">
        <f>IF(A590=""," ",B590*VLOOKUP(A590,'18.11-07.12.2024'!A:H,7,FALSE))</f>
        <v xml:space="preserve"> </v>
      </c>
      <c r="G590" s="7" t="str">
        <f>IF(A590=""," ",B590*VLOOKUP(A590,'18.11-07.12.2024'!A:H,8,FALSE))</f>
        <v xml:space="preserve"> </v>
      </c>
    </row>
    <row r="591" spans="1:7" ht="15" x14ac:dyDescent="0.2">
      <c r="A591" s="21"/>
      <c r="B591" s="26"/>
      <c r="C591" s="6" t="str">
        <f>IF(A591=""," ",VLOOKUP(A591,'18.11-07.12.2024'!A:H,2,FALSE))</f>
        <v xml:space="preserve"> </v>
      </c>
      <c r="D591" s="33" t="str">
        <f>IF(A591=""," ",VLOOKUP(A591,'18.11-07.12.2024'!A:H,5,FALSE))</f>
        <v xml:space="preserve"> </v>
      </c>
      <c r="E591" s="7" t="str">
        <f>IF(A591=""," ",B591*VLOOKUP(A591,'18.11-07.12.2024'!A:H,6,FALSE))</f>
        <v xml:space="preserve"> </v>
      </c>
      <c r="F591" s="7" t="str">
        <f>IF(A591=""," ",B591*VLOOKUP(A591,'18.11-07.12.2024'!A:H,7,FALSE))</f>
        <v xml:space="preserve"> </v>
      </c>
      <c r="G591" s="7" t="str">
        <f>IF(A591=""," ",B591*VLOOKUP(A591,'18.11-07.12.2024'!A:H,8,FALSE))</f>
        <v xml:space="preserve"> </v>
      </c>
    </row>
    <row r="592" spans="1:7" ht="15" x14ac:dyDescent="0.2">
      <c r="A592" s="21"/>
      <c r="B592" s="26"/>
      <c r="C592" s="6" t="str">
        <f>IF(A592=""," ",VLOOKUP(A592,'18.11-07.12.2024'!A:H,2,FALSE))</f>
        <v xml:space="preserve"> </v>
      </c>
      <c r="D592" s="33" t="str">
        <f>IF(A592=""," ",VLOOKUP(A592,'18.11-07.12.2024'!A:H,5,FALSE))</f>
        <v xml:space="preserve"> </v>
      </c>
      <c r="E592" s="7" t="str">
        <f>IF(A592=""," ",B592*VLOOKUP(A592,'18.11-07.12.2024'!A:H,6,FALSE))</f>
        <v xml:space="preserve"> </v>
      </c>
      <c r="F592" s="7" t="str">
        <f>IF(A592=""," ",B592*VLOOKUP(A592,'18.11-07.12.2024'!A:H,7,FALSE))</f>
        <v xml:space="preserve"> </v>
      </c>
      <c r="G592" s="7" t="str">
        <f>IF(A592=""," ",B592*VLOOKUP(A592,'18.11-07.12.2024'!A:H,8,FALSE))</f>
        <v xml:space="preserve"> </v>
      </c>
    </row>
    <row r="593" spans="1:7" ht="15" x14ac:dyDescent="0.2">
      <c r="A593" s="21"/>
      <c r="B593" s="26"/>
      <c r="C593" s="6" t="str">
        <f>IF(A593=""," ",VLOOKUP(A593,'18.11-07.12.2024'!A:H,2,FALSE))</f>
        <v xml:space="preserve"> </v>
      </c>
      <c r="D593" s="33" t="str">
        <f>IF(A593=""," ",VLOOKUP(A593,'18.11-07.12.2024'!A:H,5,FALSE))</f>
        <v xml:space="preserve"> </v>
      </c>
      <c r="E593" s="7" t="str">
        <f>IF(A593=""," ",B593*VLOOKUP(A593,'18.11-07.12.2024'!A:H,6,FALSE))</f>
        <v xml:space="preserve"> </v>
      </c>
      <c r="F593" s="7" t="str">
        <f>IF(A593=""," ",B593*VLOOKUP(A593,'18.11-07.12.2024'!A:H,7,FALSE))</f>
        <v xml:space="preserve"> </v>
      </c>
      <c r="G593" s="7" t="str">
        <f>IF(A593=""," ",B593*VLOOKUP(A593,'18.11-07.12.2024'!A:H,8,FALSE))</f>
        <v xml:space="preserve"> </v>
      </c>
    </row>
    <row r="594" spans="1:7" ht="15" x14ac:dyDescent="0.2">
      <c r="A594" s="21"/>
      <c r="B594" s="26"/>
      <c r="C594" s="6" t="str">
        <f>IF(A594=""," ",VLOOKUP(A594,'18.11-07.12.2024'!A:H,2,FALSE))</f>
        <v xml:space="preserve"> </v>
      </c>
      <c r="D594" s="33" t="str">
        <f>IF(A594=""," ",VLOOKUP(A594,'18.11-07.12.2024'!A:H,5,FALSE))</f>
        <v xml:space="preserve"> </v>
      </c>
      <c r="E594" s="7" t="str">
        <f>IF(A594=""," ",B594*VLOOKUP(A594,'18.11-07.12.2024'!A:H,6,FALSE))</f>
        <v xml:space="preserve"> </v>
      </c>
      <c r="F594" s="7" t="str">
        <f>IF(A594=""," ",B594*VLOOKUP(A594,'18.11-07.12.2024'!A:H,7,FALSE))</f>
        <v xml:space="preserve"> </v>
      </c>
      <c r="G594" s="7" t="str">
        <f>IF(A594=""," ",B594*VLOOKUP(A594,'18.11-07.12.2024'!A:H,8,FALSE))</f>
        <v xml:space="preserve"> </v>
      </c>
    </row>
    <row r="595" spans="1:7" ht="15" x14ac:dyDescent="0.2">
      <c r="A595" s="21"/>
      <c r="B595" s="26"/>
      <c r="C595" s="6" t="str">
        <f>IF(A595=""," ",VLOOKUP(A595,'18.11-07.12.2024'!A:H,2,FALSE))</f>
        <v xml:space="preserve"> </v>
      </c>
      <c r="D595" s="33" t="str">
        <f>IF(A595=""," ",VLOOKUP(A595,'18.11-07.12.2024'!A:H,5,FALSE))</f>
        <v xml:space="preserve"> </v>
      </c>
      <c r="E595" s="7" t="str">
        <f>IF(A595=""," ",B595*VLOOKUP(A595,'18.11-07.12.2024'!A:H,6,FALSE))</f>
        <v xml:space="preserve"> </v>
      </c>
      <c r="F595" s="7" t="str">
        <f>IF(A595=""," ",B595*VLOOKUP(A595,'18.11-07.12.2024'!A:H,7,FALSE))</f>
        <v xml:space="preserve"> </v>
      </c>
      <c r="G595" s="7" t="str">
        <f>IF(A595=""," ",B595*VLOOKUP(A595,'18.11-07.12.2024'!A:H,8,FALSE))</f>
        <v xml:space="preserve"> </v>
      </c>
    </row>
    <row r="596" spans="1:7" ht="15" x14ac:dyDescent="0.2">
      <c r="A596" s="21"/>
      <c r="B596" s="26"/>
      <c r="C596" s="6" t="str">
        <f>IF(A596=""," ",VLOOKUP(A596,'18.11-07.12.2024'!A:H,2,FALSE))</f>
        <v xml:space="preserve"> </v>
      </c>
      <c r="D596" s="33" t="str">
        <f>IF(A596=""," ",VLOOKUP(A596,'18.11-07.12.2024'!A:H,5,FALSE))</f>
        <v xml:space="preserve"> </v>
      </c>
      <c r="E596" s="7" t="str">
        <f>IF(A596=""," ",B596*VLOOKUP(A596,'18.11-07.12.2024'!A:H,6,FALSE))</f>
        <v xml:space="preserve"> </v>
      </c>
      <c r="F596" s="7" t="str">
        <f>IF(A596=""," ",B596*VLOOKUP(A596,'18.11-07.12.2024'!A:H,7,FALSE))</f>
        <v xml:space="preserve"> </v>
      </c>
      <c r="G596" s="7" t="str">
        <f>IF(A596=""," ",B596*VLOOKUP(A596,'18.11-07.12.2024'!A:H,8,FALSE))</f>
        <v xml:space="preserve"> </v>
      </c>
    </row>
    <row r="597" spans="1:7" ht="15" x14ac:dyDescent="0.2">
      <c r="A597" s="21"/>
      <c r="B597" s="26"/>
      <c r="C597" s="6" t="str">
        <f>IF(A597=""," ",VLOOKUP(A597,'18.11-07.12.2024'!A:H,2,FALSE))</f>
        <v xml:space="preserve"> </v>
      </c>
      <c r="D597" s="33" t="str">
        <f>IF(A597=""," ",VLOOKUP(A597,'18.11-07.12.2024'!A:H,5,FALSE))</f>
        <v xml:space="preserve"> </v>
      </c>
      <c r="E597" s="7" t="str">
        <f>IF(A597=""," ",B597*VLOOKUP(A597,'18.11-07.12.2024'!A:H,6,FALSE))</f>
        <v xml:space="preserve"> </v>
      </c>
      <c r="F597" s="7" t="str">
        <f>IF(A597=""," ",B597*VLOOKUP(A597,'18.11-07.12.2024'!A:H,7,FALSE))</f>
        <v xml:space="preserve"> </v>
      </c>
      <c r="G597" s="7" t="str">
        <f>IF(A597=""," ",B597*VLOOKUP(A597,'18.11-07.12.2024'!A:H,8,FALSE))</f>
        <v xml:space="preserve"> </v>
      </c>
    </row>
    <row r="598" spans="1:7" ht="15" x14ac:dyDescent="0.2">
      <c r="A598" s="21"/>
      <c r="B598" s="26"/>
      <c r="C598" s="6" t="str">
        <f>IF(A598=""," ",VLOOKUP(A598,'18.11-07.12.2024'!A:H,2,FALSE))</f>
        <v xml:space="preserve"> </v>
      </c>
      <c r="D598" s="33" t="str">
        <f>IF(A598=""," ",VLOOKUP(A598,'18.11-07.12.2024'!A:H,5,FALSE))</f>
        <v xml:space="preserve"> </v>
      </c>
      <c r="E598" s="7" t="str">
        <f>IF(A598=""," ",B598*VLOOKUP(A598,'18.11-07.12.2024'!A:H,6,FALSE))</f>
        <v xml:space="preserve"> </v>
      </c>
      <c r="F598" s="7" t="str">
        <f>IF(A598=""," ",B598*VLOOKUP(A598,'18.11-07.12.2024'!A:H,7,FALSE))</f>
        <v xml:space="preserve"> </v>
      </c>
      <c r="G598" s="7" t="str">
        <f>IF(A598=""," ",B598*VLOOKUP(A598,'18.11-07.12.2024'!A:H,8,FALSE))</f>
        <v xml:space="preserve"> </v>
      </c>
    </row>
    <row r="599" spans="1:7" ht="15" x14ac:dyDescent="0.2">
      <c r="A599" s="21"/>
      <c r="B599" s="26"/>
      <c r="C599" s="6" t="str">
        <f>IF(A599=""," ",VLOOKUP(A599,'18.11-07.12.2024'!A:H,2,FALSE))</f>
        <v xml:space="preserve"> </v>
      </c>
      <c r="D599" s="33" t="str">
        <f>IF(A599=""," ",VLOOKUP(A599,'18.11-07.12.2024'!A:H,5,FALSE))</f>
        <v xml:space="preserve"> </v>
      </c>
      <c r="E599" s="7" t="str">
        <f>IF(A599=""," ",B599*VLOOKUP(A599,'18.11-07.12.2024'!A:H,6,FALSE))</f>
        <v xml:space="preserve"> </v>
      </c>
      <c r="F599" s="7" t="str">
        <f>IF(A599=""," ",B599*VLOOKUP(A599,'18.11-07.12.2024'!A:H,7,FALSE))</f>
        <v xml:space="preserve"> </v>
      </c>
      <c r="G599" s="7" t="str">
        <f>IF(A599=""," ",B599*VLOOKUP(A599,'18.11-07.12.2024'!A:H,8,FALSE))</f>
        <v xml:space="preserve"> </v>
      </c>
    </row>
    <row r="600" spans="1:7" ht="15" x14ac:dyDescent="0.2">
      <c r="A600" s="21"/>
      <c r="B600" s="26"/>
      <c r="C600" s="6" t="str">
        <f>IF(A600=""," ",VLOOKUP(A600,'18.11-07.12.2024'!A:H,2,FALSE))</f>
        <v xml:space="preserve"> </v>
      </c>
      <c r="D600" s="33" t="str">
        <f>IF(A600=""," ",VLOOKUP(A600,'18.11-07.12.2024'!A:H,5,FALSE))</f>
        <v xml:space="preserve"> </v>
      </c>
      <c r="E600" s="7" t="str">
        <f>IF(A600=""," ",B600*VLOOKUP(A600,'18.11-07.12.2024'!A:H,6,FALSE))</f>
        <v xml:space="preserve"> </v>
      </c>
      <c r="F600" s="7" t="str">
        <f>IF(A600=""," ",B600*VLOOKUP(A600,'18.11-07.12.2024'!A:H,7,FALSE))</f>
        <v xml:space="preserve"> </v>
      </c>
      <c r="G600" s="7" t="str">
        <f>IF(A600=""," ",B600*VLOOKUP(A600,'18.11-07.12.2024'!A:H,8,FALSE))</f>
        <v xml:space="preserve"> </v>
      </c>
    </row>
    <row r="601" spans="1:7" ht="15" x14ac:dyDescent="0.2">
      <c r="A601" s="21"/>
      <c r="B601" s="26"/>
      <c r="C601" s="6" t="str">
        <f>IF(A601=""," ",VLOOKUP(A601,'18.11-07.12.2024'!A:H,2,FALSE))</f>
        <v xml:space="preserve"> </v>
      </c>
      <c r="D601" s="33" t="str">
        <f>IF(A601=""," ",VLOOKUP(A601,'18.11-07.12.2024'!A:H,5,FALSE))</f>
        <v xml:space="preserve"> </v>
      </c>
      <c r="E601" s="7" t="str">
        <f>IF(A601=""," ",B601*VLOOKUP(A601,'18.11-07.12.2024'!A:H,6,FALSE))</f>
        <v xml:space="preserve"> </v>
      </c>
      <c r="F601" s="7" t="str">
        <f>IF(A601=""," ",B601*VLOOKUP(A601,'18.11-07.12.2024'!A:H,7,FALSE))</f>
        <v xml:space="preserve"> </v>
      </c>
      <c r="G601" s="7" t="str">
        <f>IF(A601=""," ",B601*VLOOKUP(A601,'18.11-07.12.2024'!A:H,8,FALSE))</f>
        <v xml:space="preserve"> </v>
      </c>
    </row>
    <row r="602" spans="1:7" ht="15" x14ac:dyDescent="0.2">
      <c r="A602" s="21"/>
      <c r="B602" s="26"/>
      <c r="C602" s="6" t="str">
        <f>IF(A602=""," ",VLOOKUP(A602,'18.11-07.12.2024'!A:H,2,FALSE))</f>
        <v xml:space="preserve"> </v>
      </c>
      <c r="D602" s="33" t="str">
        <f>IF(A602=""," ",VLOOKUP(A602,'18.11-07.12.2024'!A:H,5,FALSE))</f>
        <v xml:space="preserve"> </v>
      </c>
      <c r="E602" s="7" t="str">
        <f>IF(A602=""," ",B602*VLOOKUP(A602,'18.11-07.12.2024'!A:H,6,FALSE))</f>
        <v xml:space="preserve"> </v>
      </c>
      <c r="F602" s="7" t="str">
        <f>IF(A602=""," ",B602*VLOOKUP(A602,'18.11-07.12.2024'!A:H,7,FALSE))</f>
        <v xml:space="preserve"> </v>
      </c>
      <c r="G602" s="7" t="str">
        <f>IF(A602=""," ",B602*VLOOKUP(A602,'18.11-07.12.2024'!A:H,8,FALSE))</f>
        <v xml:space="preserve"> </v>
      </c>
    </row>
    <row r="603" spans="1:7" ht="15" x14ac:dyDescent="0.2">
      <c r="A603" s="21"/>
      <c r="B603" s="26"/>
      <c r="C603" s="6" t="str">
        <f>IF(A603=""," ",VLOOKUP(A603,'18.11-07.12.2024'!A:H,2,FALSE))</f>
        <v xml:space="preserve"> </v>
      </c>
      <c r="D603" s="33" t="str">
        <f>IF(A603=""," ",VLOOKUP(A603,'18.11-07.12.2024'!A:H,5,FALSE))</f>
        <v xml:space="preserve"> </v>
      </c>
      <c r="E603" s="7" t="str">
        <f>IF(A603=""," ",B603*VLOOKUP(A603,'18.11-07.12.2024'!A:H,6,FALSE))</f>
        <v xml:space="preserve"> </v>
      </c>
      <c r="F603" s="7" t="str">
        <f>IF(A603=""," ",B603*VLOOKUP(A603,'18.11-07.12.2024'!A:H,7,FALSE))</f>
        <v xml:space="preserve"> </v>
      </c>
      <c r="G603" s="7" t="str">
        <f>IF(A603=""," ",B603*VLOOKUP(A603,'18.11-07.12.2024'!A:H,8,FALSE))</f>
        <v xml:space="preserve"> </v>
      </c>
    </row>
    <row r="604" spans="1:7" ht="15" x14ac:dyDescent="0.2">
      <c r="A604" s="21"/>
      <c r="B604" s="26"/>
      <c r="C604" s="6" t="str">
        <f>IF(A604=""," ",VLOOKUP(A604,'18.11-07.12.2024'!A:H,2,FALSE))</f>
        <v xml:space="preserve"> </v>
      </c>
      <c r="D604" s="33" t="str">
        <f>IF(A604=""," ",VLOOKUP(A604,'18.11-07.12.2024'!A:H,5,FALSE))</f>
        <v xml:space="preserve"> </v>
      </c>
      <c r="E604" s="7" t="str">
        <f>IF(A604=""," ",B604*VLOOKUP(A604,'18.11-07.12.2024'!A:H,6,FALSE))</f>
        <v xml:space="preserve"> </v>
      </c>
      <c r="F604" s="7" t="str">
        <f>IF(A604=""," ",B604*VLOOKUP(A604,'18.11-07.12.2024'!A:H,7,FALSE))</f>
        <v xml:space="preserve"> </v>
      </c>
      <c r="G604" s="7" t="str">
        <f>IF(A604=""," ",B604*VLOOKUP(A604,'18.11-07.12.2024'!A:H,8,FALSE))</f>
        <v xml:space="preserve"> </v>
      </c>
    </row>
    <row r="605" spans="1:7" ht="15" x14ac:dyDescent="0.2">
      <c r="A605" s="21"/>
      <c r="B605" s="26"/>
      <c r="C605" s="6" t="str">
        <f>IF(A605=""," ",VLOOKUP(A605,'18.11-07.12.2024'!A:H,2,FALSE))</f>
        <v xml:space="preserve"> </v>
      </c>
      <c r="D605" s="33" t="str">
        <f>IF(A605=""," ",VLOOKUP(A605,'18.11-07.12.2024'!A:H,5,FALSE))</f>
        <v xml:space="preserve"> </v>
      </c>
      <c r="E605" s="7" t="str">
        <f>IF(A605=""," ",B605*VLOOKUP(A605,'18.11-07.12.2024'!A:H,6,FALSE))</f>
        <v xml:space="preserve"> </v>
      </c>
      <c r="F605" s="7" t="str">
        <f>IF(A605=""," ",B605*VLOOKUP(A605,'18.11-07.12.2024'!A:H,7,FALSE))</f>
        <v xml:space="preserve"> </v>
      </c>
      <c r="G605" s="7" t="str">
        <f>IF(A605=""," ",B605*VLOOKUP(A605,'18.11-07.12.2024'!A:H,8,FALSE))</f>
        <v xml:space="preserve"> </v>
      </c>
    </row>
    <row r="606" spans="1:7" ht="15" x14ac:dyDescent="0.2">
      <c r="A606" s="21"/>
      <c r="B606" s="26"/>
      <c r="C606" s="6" t="str">
        <f>IF(A606=""," ",VLOOKUP(A606,'18.11-07.12.2024'!A:H,2,FALSE))</f>
        <v xml:space="preserve"> </v>
      </c>
      <c r="D606" s="33" t="str">
        <f>IF(A606=""," ",VLOOKUP(A606,'18.11-07.12.2024'!A:H,5,FALSE))</f>
        <v xml:space="preserve"> </v>
      </c>
      <c r="E606" s="7" t="str">
        <f>IF(A606=""," ",B606*VLOOKUP(A606,'18.11-07.12.2024'!A:H,6,FALSE))</f>
        <v xml:space="preserve"> </v>
      </c>
      <c r="F606" s="7" t="str">
        <f>IF(A606=""," ",B606*VLOOKUP(A606,'18.11-07.12.2024'!A:H,7,FALSE))</f>
        <v xml:space="preserve"> </v>
      </c>
      <c r="G606" s="7" t="str">
        <f>IF(A606=""," ",B606*VLOOKUP(A606,'18.11-07.12.2024'!A:H,8,FALSE))</f>
        <v xml:space="preserve"> </v>
      </c>
    </row>
    <row r="607" spans="1:7" ht="15" x14ac:dyDescent="0.2">
      <c r="A607" s="21"/>
      <c r="B607" s="26"/>
      <c r="C607" s="6" t="str">
        <f>IF(A607=""," ",VLOOKUP(A607,'18.11-07.12.2024'!A:H,2,FALSE))</f>
        <v xml:space="preserve"> </v>
      </c>
      <c r="D607" s="33" t="str">
        <f>IF(A607=""," ",VLOOKUP(A607,'18.11-07.12.2024'!A:H,5,FALSE))</f>
        <v xml:space="preserve"> </v>
      </c>
      <c r="E607" s="7" t="str">
        <f>IF(A607=""," ",B607*VLOOKUP(A607,'18.11-07.12.2024'!A:H,6,FALSE))</f>
        <v xml:space="preserve"> </v>
      </c>
      <c r="F607" s="7" t="str">
        <f>IF(A607=""," ",B607*VLOOKUP(A607,'18.11-07.12.2024'!A:H,7,FALSE))</f>
        <v xml:space="preserve"> </v>
      </c>
      <c r="G607" s="7" t="str">
        <f>IF(A607=""," ",B607*VLOOKUP(A607,'18.11-07.12.2024'!A:H,8,FALSE))</f>
        <v xml:space="preserve"> </v>
      </c>
    </row>
    <row r="608" spans="1:7" ht="15" x14ac:dyDescent="0.2">
      <c r="A608" s="21"/>
      <c r="B608" s="26"/>
      <c r="C608" s="6" t="str">
        <f>IF(A608=""," ",VLOOKUP(A608,'18.11-07.12.2024'!A:H,2,FALSE))</f>
        <v xml:space="preserve"> </v>
      </c>
      <c r="D608" s="33" t="str">
        <f>IF(A608=""," ",VLOOKUP(A608,'18.11-07.12.2024'!A:H,5,FALSE))</f>
        <v xml:space="preserve"> </v>
      </c>
      <c r="E608" s="7" t="str">
        <f>IF(A608=""," ",B608*VLOOKUP(A608,'18.11-07.12.2024'!A:H,6,FALSE))</f>
        <v xml:space="preserve"> </v>
      </c>
      <c r="F608" s="7" t="str">
        <f>IF(A608=""," ",B608*VLOOKUP(A608,'18.11-07.12.2024'!A:H,7,FALSE))</f>
        <v xml:space="preserve"> </v>
      </c>
      <c r="G608" s="7" t="str">
        <f>IF(A608=""," ",B608*VLOOKUP(A608,'18.11-07.12.2024'!A:H,8,FALSE))</f>
        <v xml:space="preserve"> </v>
      </c>
    </row>
    <row r="609" spans="1:7" ht="15" x14ac:dyDescent="0.2">
      <c r="A609" s="21"/>
      <c r="B609" s="26"/>
      <c r="C609" s="6" t="str">
        <f>IF(A609=""," ",VLOOKUP(A609,'18.11-07.12.2024'!A:H,2,FALSE))</f>
        <v xml:space="preserve"> </v>
      </c>
      <c r="D609" s="33" t="str">
        <f>IF(A609=""," ",VLOOKUP(A609,'18.11-07.12.2024'!A:H,5,FALSE))</f>
        <v xml:space="preserve"> </v>
      </c>
      <c r="E609" s="7" t="str">
        <f>IF(A609=""," ",B609*VLOOKUP(A609,'18.11-07.12.2024'!A:H,6,FALSE))</f>
        <v xml:space="preserve"> </v>
      </c>
      <c r="F609" s="7" t="str">
        <f>IF(A609=""," ",B609*VLOOKUP(A609,'18.11-07.12.2024'!A:H,7,FALSE))</f>
        <v xml:space="preserve"> </v>
      </c>
      <c r="G609" s="7" t="str">
        <f>IF(A609=""," ",B609*VLOOKUP(A609,'18.11-07.12.2024'!A:H,8,FALSE))</f>
        <v xml:space="preserve"> </v>
      </c>
    </row>
    <row r="610" spans="1:7" ht="15" x14ac:dyDescent="0.2">
      <c r="A610" s="21"/>
      <c r="B610" s="26"/>
      <c r="C610" s="6" t="str">
        <f>IF(A610=""," ",VLOOKUP(A610,'18.11-07.12.2024'!A:H,2,FALSE))</f>
        <v xml:space="preserve"> </v>
      </c>
      <c r="D610" s="33" t="str">
        <f>IF(A610=""," ",VLOOKUP(A610,'18.11-07.12.2024'!A:H,5,FALSE))</f>
        <v xml:space="preserve"> </v>
      </c>
      <c r="E610" s="7" t="str">
        <f>IF(A610=""," ",B610*VLOOKUP(A610,'18.11-07.12.2024'!A:H,6,FALSE))</f>
        <v xml:space="preserve"> </v>
      </c>
      <c r="F610" s="7" t="str">
        <f>IF(A610=""," ",B610*VLOOKUP(A610,'18.11-07.12.2024'!A:H,7,FALSE))</f>
        <v xml:space="preserve"> </v>
      </c>
      <c r="G610" s="7" t="str">
        <f>IF(A610=""," ",B610*VLOOKUP(A610,'18.11-07.12.2024'!A:H,8,FALSE))</f>
        <v xml:space="preserve"> </v>
      </c>
    </row>
    <row r="611" spans="1:7" ht="15" x14ac:dyDescent="0.2">
      <c r="A611" s="21"/>
      <c r="B611" s="26"/>
      <c r="C611" s="6" t="str">
        <f>IF(A611=""," ",VLOOKUP(A611,'18.11-07.12.2024'!A:H,2,FALSE))</f>
        <v xml:space="preserve"> </v>
      </c>
      <c r="D611" s="33" t="str">
        <f>IF(A611=""," ",VLOOKUP(A611,'18.11-07.12.2024'!A:H,5,FALSE))</f>
        <v xml:space="preserve"> </v>
      </c>
      <c r="E611" s="7" t="str">
        <f>IF(A611=""," ",B611*VLOOKUP(A611,'18.11-07.12.2024'!A:H,6,FALSE))</f>
        <v xml:space="preserve"> </v>
      </c>
      <c r="F611" s="7" t="str">
        <f>IF(A611=""," ",B611*VLOOKUP(A611,'18.11-07.12.2024'!A:H,7,FALSE))</f>
        <v xml:space="preserve"> </v>
      </c>
      <c r="G611" s="7" t="str">
        <f>IF(A611=""," ",B611*VLOOKUP(A611,'18.11-07.12.2024'!A:H,8,FALSE))</f>
        <v xml:space="preserve"> </v>
      </c>
    </row>
    <row r="612" spans="1:7" ht="15" x14ac:dyDescent="0.2">
      <c r="A612" s="21"/>
      <c r="B612" s="26"/>
      <c r="C612" s="6" t="str">
        <f>IF(A612=""," ",VLOOKUP(A612,'18.11-07.12.2024'!A:H,2,FALSE))</f>
        <v xml:space="preserve"> </v>
      </c>
      <c r="D612" s="33" t="str">
        <f>IF(A612=""," ",VLOOKUP(A612,'18.11-07.12.2024'!A:H,5,FALSE))</f>
        <v xml:space="preserve"> </v>
      </c>
      <c r="E612" s="7" t="str">
        <f>IF(A612=""," ",B612*VLOOKUP(A612,'18.11-07.12.2024'!A:H,6,FALSE))</f>
        <v xml:space="preserve"> </v>
      </c>
      <c r="F612" s="7" t="str">
        <f>IF(A612=""," ",B612*VLOOKUP(A612,'18.11-07.12.2024'!A:H,7,FALSE))</f>
        <v xml:space="preserve"> </v>
      </c>
      <c r="G612" s="7" t="str">
        <f>IF(A612=""," ",B612*VLOOKUP(A612,'18.11-07.12.2024'!A:H,8,FALSE))</f>
        <v xml:space="preserve"> </v>
      </c>
    </row>
    <row r="613" spans="1:7" ht="15" x14ac:dyDescent="0.2">
      <c r="A613" s="21"/>
      <c r="B613" s="26"/>
      <c r="C613" s="6" t="str">
        <f>IF(A613=""," ",VLOOKUP(A613,'18.11-07.12.2024'!A:H,2,FALSE))</f>
        <v xml:space="preserve"> </v>
      </c>
      <c r="D613" s="33" t="str">
        <f>IF(A613=""," ",VLOOKUP(A613,'18.11-07.12.2024'!A:H,5,FALSE))</f>
        <v xml:space="preserve"> </v>
      </c>
      <c r="E613" s="7" t="str">
        <f>IF(A613=""," ",B613*VLOOKUP(A613,'18.11-07.12.2024'!A:H,6,FALSE))</f>
        <v xml:space="preserve"> </v>
      </c>
      <c r="F613" s="7" t="str">
        <f>IF(A613=""," ",B613*VLOOKUP(A613,'18.11-07.12.2024'!A:H,7,FALSE))</f>
        <v xml:space="preserve"> </v>
      </c>
      <c r="G613" s="7" t="str">
        <f>IF(A613=""," ",B613*VLOOKUP(A613,'18.11-07.12.2024'!A:H,8,FALSE))</f>
        <v xml:space="preserve"> </v>
      </c>
    </row>
    <row r="614" spans="1:7" ht="15" x14ac:dyDescent="0.2">
      <c r="A614" s="21"/>
      <c r="B614" s="26"/>
      <c r="C614" s="6" t="str">
        <f>IF(A614=""," ",VLOOKUP(A614,'18.11-07.12.2024'!A:H,2,FALSE))</f>
        <v xml:space="preserve"> </v>
      </c>
      <c r="D614" s="33" t="str">
        <f>IF(A614=""," ",VLOOKUP(A614,'18.11-07.12.2024'!A:H,5,FALSE))</f>
        <v xml:space="preserve"> </v>
      </c>
      <c r="E614" s="7" t="str">
        <f>IF(A614=""," ",B614*VLOOKUP(A614,'18.11-07.12.2024'!A:H,6,FALSE))</f>
        <v xml:space="preserve"> </v>
      </c>
      <c r="F614" s="7" t="str">
        <f>IF(A614=""," ",B614*VLOOKUP(A614,'18.11-07.12.2024'!A:H,7,FALSE))</f>
        <v xml:space="preserve"> </v>
      </c>
      <c r="G614" s="7" t="str">
        <f>IF(A614=""," ",B614*VLOOKUP(A614,'18.11-07.12.2024'!A:H,8,FALSE))</f>
        <v xml:space="preserve"> </v>
      </c>
    </row>
    <row r="615" spans="1:7" ht="15" x14ac:dyDescent="0.2">
      <c r="A615" s="21"/>
      <c r="B615" s="26"/>
      <c r="C615" s="6" t="str">
        <f>IF(A615=""," ",VLOOKUP(A615,'18.11-07.12.2024'!A:H,2,FALSE))</f>
        <v xml:space="preserve"> </v>
      </c>
      <c r="D615" s="33" t="str">
        <f>IF(A615=""," ",VLOOKUP(A615,'18.11-07.12.2024'!A:H,5,FALSE))</f>
        <v xml:space="preserve"> </v>
      </c>
      <c r="E615" s="7" t="str">
        <f>IF(A615=""," ",B615*VLOOKUP(A615,'18.11-07.12.2024'!A:H,6,FALSE))</f>
        <v xml:space="preserve"> </v>
      </c>
      <c r="F615" s="7" t="str">
        <f>IF(A615=""," ",B615*VLOOKUP(A615,'18.11-07.12.2024'!A:H,7,FALSE))</f>
        <v xml:space="preserve"> </v>
      </c>
      <c r="G615" s="7" t="str">
        <f>IF(A615=""," ",B615*VLOOKUP(A615,'18.11-07.12.2024'!A:H,8,FALSE))</f>
        <v xml:space="preserve"> </v>
      </c>
    </row>
    <row r="616" spans="1:7" ht="15" x14ac:dyDescent="0.2">
      <c r="A616" s="21"/>
      <c r="B616" s="26"/>
      <c r="C616" s="6" t="str">
        <f>IF(A616=""," ",VLOOKUP(A616,'18.11-07.12.2024'!A:H,2,FALSE))</f>
        <v xml:space="preserve"> </v>
      </c>
      <c r="D616" s="33" t="str">
        <f>IF(A616=""," ",VLOOKUP(A616,'18.11-07.12.2024'!A:H,5,FALSE))</f>
        <v xml:space="preserve"> </v>
      </c>
      <c r="E616" s="7" t="str">
        <f>IF(A616=""," ",B616*VLOOKUP(A616,'18.11-07.12.2024'!A:H,6,FALSE))</f>
        <v xml:space="preserve"> </v>
      </c>
      <c r="F616" s="7" t="str">
        <f>IF(A616=""," ",B616*VLOOKUP(A616,'18.11-07.12.2024'!A:H,7,FALSE))</f>
        <v xml:space="preserve"> </v>
      </c>
      <c r="G616" s="7" t="str">
        <f>IF(A616=""," ",B616*VLOOKUP(A616,'18.11-07.12.2024'!A:H,8,FALSE))</f>
        <v xml:space="preserve"> </v>
      </c>
    </row>
    <row r="617" spans="1:7" ht="15" x14ac:dyDescent="0.2">
      <c r="A617" s="21"/>
      <c r="B617" s="26"/>
      <c r="C617" s="6" t="str">
        <f>IF(A617=""," ",VLOOKUP(A617,'18.11-07.12.2024'!A:H,2,FALSE))</f>
        <v xml:space="preserve"> </v>
      </c>
      <c r="D617" s="33" t="str">
        <f>IF(A617=""," ",VLOOKUP(A617,'18.11-07.12.2024'!A:H,5,FALSE))</f>
        <v xml:space="preserve"> </v>
      </c>
      <c r="E617" s="7" t="str">
        <f>IF(A617=""," ",B617*VLOOKUP(A617,'18.11-07.12.2024'!A:H,6,FALSE))</f>
        <v xml:space="preserve"> </v>
      </c>
      <c r="F617" s="7" t="str">
        <f>IF(A617=""," ",B617*VLOOKUP(A617,'18.11-07.12.2024'!A:H,7,FALSE))</f>
        <v xml:space="preserve"> </v>
      </c>
      <c r="G617" s="7" t="str">
        <f>IF(A617=""," ",B617*VLOOKUP(A617,'18.11-07.12.2024'!A:H,8,FALSE))</f>
        <v xml:space="preserve"> </v>
      </c>
    </row>
    <row r="618" spans="1:7" ht="15" x14ac:dyDescent="0.2">
      <c r="A618" s="21"/>
      <c r="B618" s="26"/>
      <c r="C618" s="6" t="str">
        <f>IF(A618=""," ",VLOOKUP(A618,'18.11-07.12.2024'!A:H,2,FALSE))</f>
        <v xml:space="preserve"> </v>
      </c>
      <c r="D618" s="33" t="str">
        <f>IF(A618=""," ",VLOOKUP(A618,'18.11-07.12.2024'!A:H,5,FALSE))</f>
        <v xml:space="preserve"> </v>
      </c>
      <c r="E618" s="7" t="str">
        <f>IF(A618=""," ",B618*VLOOKUP(A618,'18.11-07.12.2024'!A:H,6,FALSE))</f>
        <v xml:space="preserve"> </v>
      </c>
      <c r="F618" s="7" t="str">
        <f>IF(A618=""," ",B618*VLOOKUP(A618,'18.11-07.12.2024'!A:H,7,FALSE))</f>
        <v xml:space="preserve"> </v>
      </c>
      <c r="G618" s="7" t="str">
        <f>IF(A618=""," ",B618*VLOOKUP(A618,'18.11-07.12.2024'!A:H,8,FALSE))</f>
        <v xml:space="preserve"> </v>
      </c>
    </row>
    <row r="619" spans="1:7" ht="15" x14ac:dyDescent="0.2">
      <c r="A619" s="21"/>
      <c r="B619" s="26"/>
      <c r="C619" s="6" t="str">
        <f>IF(A619=""," ",VLOOKUP(A619,'18.11-07.12.2024'!A:H,2,FALSE))</f>
        <v xml:space="preserve"> </v>
      </c>
      <c r="D619" s="33" t="str">
        <f>IF(A619=""," ",VLOOKUP(A619,'18.11-07.12.2024'!A:H,5,FALSE))</f>
        <v xml:space="preserve"> </v>
      </c>
      <c r="E619" s="7" t="str">
        <f>IF(A619=""," ",B619*VLOOKUP(A619,'18.11-07.12.2024'!A:H,6,FALSE))</f>
        <v xml:space="preserve"> </v>
      </c>
      <c r="F619" s="7" t="str">
        <f>IF(A619=""," ",B619*VLOOKUP(A619,'18.11-07.12.2024'!A:H,7,FALSE))</f>
        <v xml:space="preserve"> </v>
      </c>
      <c r="G619" s="7" t="str">
        <f>IF(A619=""," ",B619*VLOOKUP(A619,'18.11-07.12.2024'!A:H,8,FALSE))</f>
        <v xml:space="preserve"> </v>
      </c>
    </row>
    <row r="620" spans="1:7" ht="15" x14ac:dyDescent="0.2">
      <c r="A620" s="21"/>
      <c r="B620" s="26"/>
      <c r="C620" s="6" t="str">
        <f>IF(A620=""," ",VLOOKUP(A620,'18.11-07.12.2024'!A:H,2,FALSE))</f>
        <v xml:space="preserve"> </v>
      </c>
      <c r="D620" s="33" t="str">
        <f>IF(A620=""," ",VLOOKUP(A620,'18.11-07.12.2024'!A:H,5,FALSE))</f>
        <v xml:space="preserve"> </v>
      </c>
      <c r="E620" s="7" t="str">
        <f>IF(A620=""," ",B620*VLOOKUP(A620,'18.11-07.12.2024'!A:H,6,FALSE))</f>
        <v xml:space="preserve"> </v>
      </c>
      <c r="F620" s="7" t="str">
        <f>IF(A620=""," ",B620*VLOOKUP(A620,'18.11-07.12.2024'!A:H,7,FALSE))</f>
        <v xml:space="preserve"> </v>
      </c>
      <c r="G620" s="7" t="str">
        <f>IF(A620=""," ",B620*VLOOKUP(A620,'18.11-07.12.2024'!A:H,8,FALSE))</f>
        <v xml:space="preserve"> </v>
      </c>
    </row>
    <row r="621" spans="1:7" ht="15" x14ac:dyDescent="0.2">
      <c r="A621" s="21"/>
      <c r="B621" s="26"/>
      <c r="C621" s="6" t="str">
        <f>IF(A621=""," ",VLOOKUP(A621,'18.11-07.12.2024'!A:H,2,FALSE))</f>
        <v xml:space="preserve"> </v>
      </c>
      <c r="D621" s="33" t="str">
        <f>IF(A621=""," ",VLOOKUP(A621,'18.11-07.12.2024'!A:H,5,FALSE))</f>
        <v xml:space="preserve"> </v>
      </c>
      <c r="E621" s="7" t="str">
        <f>IF(A621=""," ",B621*VLOOKUP(A621,'18.11-07.12.2024'!A:H,6,FALSE))</f>
        <v xml:space="preserve"> </v>
      </c>
      <c r="F621" s="7" t="str">
        <f>IF(A621=""," ",B621*VLOOKUP(A621,'18.11-07.12.2024'!A:H,7,FALSE))</f>
        <v xml:space="preserve"> </v>
      </c>
      <c r="G621" s="7" t="str">
        <f>IF(A621=""," ",B621*VLOOKUP(A621,'18.11-07.12.2024'!A:H,8,FALSE))</f>
        <v xml:space="preserve"> </v>
      </c>
    </row>
    <row r="622" spans="1:7" ht="15" x14ac:dyDescent="0.2">
      <c r="A622" s="21"/>
      <c r="B622" s="26"/>
      <c r="C622" s="6" t="str">
        <f>IF(A622=""," ",VLOOKUP(A622,'18.11-07.12.2024'!A:H,2,FALSE))</f>
        <v xml:space="preserve"> </v>
      </c>
      <c r="D622" s="33" t="str">
        <f>IF(A622=""," ",VLOOKUP(A622,'18.11-07.12.2024'!A:H,5,FALSE))</f>
        <v xml:space="preserve"> </v>
      </c>
      <c r="E622" s="7" t="str">
        <f>IF(A622=""," ",B622*VLOOKUP(A622,'18.11-07.12.2024'!A:H,6,FALSE))</f>
        <v xml:space="preserve"> </v>
      </c>
      <c r="F622" s="7" t="str">
        <f>IF(A622=""," ",B622*VLOOKUP(A622,'18.11-07.12.2024'!A:H,7,FALSE))</f>
        <v xml:space="preserve"> </v>
      </c>
      <c r="G622" s="7" t="str">
        <f>IF(A622=""," ",B622*VLOOKUP(A622,'18.11-07.12.2024'!A:H,8,FALSE))</f>
        <v xml:space="preserve"> </v>
      </c>
    </row>
    <row r="623" spans="1:7" ht="15" x14ac:dyDescent="0.2">
      <c r="A623" s="21"/>
      <c r="B623" s="26"/>
      <c r="C623" s="6" t="str">
        <f>IF(A623=""," ",VLOOKUP(A623,'18.11-07.12.2024'!A:H,2,FALSE))</f>
        <v xml:space="preserve"> </v>
      </c>
      <c r="D623" s="33" t="str">
        <f>IF(A623=""," ",VLOOKUP(A623,'18.11-07.12.2024'!A:H,5,FALSE))</f>
        <v xml:space="preserve"> </v>
      </c>
      <c r="E623" s="7" t="str">
        <f>IF(A623=""," ",B623*VLOOKUP(A623,'18.11-07.12.2024'!A:H,6,FALSE))</f>
        <v xml:space="preserve"> </v>
      </c>
      <c r="F623" s="7" t="str">
        <f>IF(A623=""," ",B623*VLOOKUP(A623,'18.11-07.12.2024'!A:H,7,FALSE))</f>
        <v xml:space="preserve"> </v>
      </c>
      <c r="G623" s="7" t="str">
        <f>IF(A623=""," ",B623*VLOOKUP(A623,'18.11-07.12.2024'!A:H,8,FALSE))</f>
        <v xml:space="preserve"> </v>
      </c>
    </row>
    <row r="624" spans="1:7" ht="15" x14ac:dyDescent="0.2">
      <c r="A624" s="21"/>
      <c r="B624" s="26"/>
      <c r="C624" s="6" t="str">
        <f>IF(A624=""," ",VLOOKUP(A624,'18.11-07.12.2024'!A:H,2,FALSE))</f>
        <v xml:space="preserve"> </v>
      </c>
      <c r="D624" s="33" t="str">
        <f>IF(A624=""," ",VLOOKUP(A624,'18.11-07.12.2024'!A:H,5,FALSE))</f>
        <v xml:space="preserve"> </v>
      </c>
      <c r="E624" s="7" t="str">
        <f>IF(A624=""," ",B624*VLOOKUP(A624,'18.11-07.12.2024'!A:H,6,FALSE))</f>
        <v xml:space="preserve"> </v>
      </c>
      <c r="F624" s="7" t="str">
        <f>IF(A624=""," ",B624*VLOOKUP(A624,'18.11-07.12.2024'!A:H,7,FALSE))</f>
        <v xml:space="preserve"> </v>
      </c>
      <c r="G624" s="7" t="str">
        <f>IF(A624=""," ",B624*VLOOKUP(A624,'18.11-07.12.2024'!A:H,8,FALSE))</f>
        <v xml:space="preserve"> </v>
      </c>
    </row>
    <row r="625" spans="1:7" ht="15" x14ac:dyDescent="0.2">
      <c r="A625" s="21"/>
      <c r="B625" s="26"/>
      <c r="C625" s="6" t="str">
        <f>IF(A625=""," ",VLOOKUP(A625,'18.11-07.12.2024'!A:H,2,FALSE))</f>
        <v xml:space="preserve"> </v>
      </c>
      <c r="D625" s="33" t="str">
        <f>IF(A625=""," ",VLOOKUP(A625,'18.11-07.12.2024'!A:H,5,FALSE))</f>
        <v xml:space="preserve"> </v>
      </c>
      <c r="E625" s="7" t="str">
        <f>IF(A625=""," ",B625*VLOOKUP(A625,'18.11-07.12.2024'!A:H,6,FALSE))</f>
        <v xml:space="preserve"> </v>
      </c>
      <c r="F625" s="7" t="str">
        <f>IF(A625=""," ",B625*VLOOKUP(A625,'18.11-07.12.2024'!A:H,7,FALSE))</f>
        <v xml:space="preserve"> </v>
      </c>
      <c r="G625" s="7" t="str">
        <f>IF(A625=""," ",B625*VLOOKUP(A625,'18.11-07.12.2024'!A:H,8,FALSE))</f>
        <v xml:space="preserve"> </v>
      </c>
    </row>
    <row r="626" spans="1:7" ht="15" x14ac:dyDescent="0.2">
      <c r="A626" s="21"/>
      <c r="B626" s="26"/>
      <c r="C626" s="6" t="str">
        <f>IF(A626=""," ",VLOOKUP(A626,'18.11-07.12.2024'!A:H,2,FALSE))</f>
        <v xml:space="preserve"> </v>
      </c>
      <c r="D626" s="33" t="str">
        <f>IF(A626=""," ",VLOOKUP(A626,'18.11-07.12.2024'!A:H,5,FALSE))</f>
        <v xml:space="preserve"> </v>
      </c>
      <c r="E626" s="7" t="str">
        <f>IF(A626=""," ",B626*VLOOKUP(A626,'18.11-07.12.2024'!A:H,6,FALSE))</f>
        <v xml:space="preserve"> </v>
      </c>
      <c r="F626" s="7" t="str">
        <f>IF(A626=""," ",B626*VLOOKUP(A626,'18.11-07.12.2024'!A:H,7,FALSE))</f>
        <v xml:space="preserve"> </v>
      </c>
      <c r="G626" s="7" t="str">
        <f>IF(A626=""," ",B626*VLOOKUP(A626,'18.11-07.12.2024'!A:H,8,FALSE))</f>
        <v xml:space="preserve"> </v>
      </c>
    </row>
    <row r="627" spans="1:7" ht="15" x14ac:dyDescent="0.2">
      <c r="A627" s="21"/>
      <c r="B627" s="26"/>
      <c r="C627" s="6" t="str">
        <f>IF(A627=""," ",VLOOKUP(A627,'18.11-07.12.2024'!A:H,2,FALSE))</f>
        <v xml:space="preserve"> </v>
      </c>
      <c r="D627" s="33" t="str">
        <f>IF(A627=""," ",VLOOKUP(A627,'18.11-07.12.2024'!A:H,5,FALSE))</f>
        <v xml:space="preserve"> </v>
      </c>
      <c r="E627" s="7" t="str">
        <f>IF(A627=""," ",B627*VLOOKUP(A627,'18.11-07.12.2024'!A:H,6,FALSE))</f>
        <v xml:space="preserve"> </v>
      </c>
      <c r="F627" s="7" t="str">
        <f>IF(A627=""," ",B627*VLOOKUP(A627,'18.11-07.12.2024'!A:H,7,FALSE))</f>
        <v xml:space="preserve"> </v>
      </c>
      <c r="G627" s="7" t="str">
        <f>IF(A627=""," ",B627*VLOOKUP(A627,'18.11-07.12.2024'!A:H,8,FALSE))</f>
        <v xml:space="preserve"> </v>
      </c>
    </row>
    <row r="628" spans="1:7" ht="15" x14ac:dyDescent="0.2">
      <c r="A628" s="21"/>
      <c r="B628" s="26"/>
      <c r="C628" s="6" t="str">
        <f>IF(A628=""," ",VLOOKUP(A628,'18.11-07.12.2024'!A:H,2,FALSE))</f>
        <v xml:space="preserve"> </v>
      </c>
      <c r="D628" s="33" t="str">
        <f>IF(A628=""," ",VLOOKUP(A628,'18.11-07.12.2024'!A:H,5,FALSE))</f>
        <v xml:space="preserve"> </v>
      </c>
      <c r="E628" s="7" t="str">
        <f>IF(A628=""," ",B628*VLOOKUP(A628,'18.11-07.12.2024'!A:H,6,FALSE))</f>
        <v xml:space="preserve"> </v>
      </c>
      <c r="F628" s="7" t="str">
        <f>IF(A628=""," ",B628*VLOOKUP(A628,'18.11-07.12.2024'!A:H,7,FALSE))</f>
        <v xml:space="preserve"> </v>
      </c>
      <c r="G628" s="7" t="str">
        <f>IF(A628=""," ",B628*VLOOKUP(A628,'18.11-07.12.2024'!A:H,8,FALSE))</f>
        <v xml:space="preserve"> </v>
      </c>
    </row>
    <row r="629" spans="1:7" ht="15" x14ac:dyDescent="0.2">
      <c r="A629" s="21"/>
      <c r="B629" s="26"/>
      <c r="C629" s="6" t="str">
        <f>IF(A629=""," ",VLOOKUP(A629,'18.11-07.12.2024'!A:H,2,FALSE))</f>
        <v xml:space="preserve"> </v>
      </c>
      <c r="D629" s="33" t="str">
        <f>IF(A629=""," ",VLOOKUP(A629,'18.11-07.12.2024'!A:H,5,FALSE))</f>
        <v xml:space="preserve"> </v>
      </c>
      <c r="E629" s="7" t="str">
        <f>IF(A629=""," ",B629*VLOOKUP(A629,'18.11-07.12.2024'!A:H,6,FALSE))</f>
        <v xml:space="preserve"> </v>
      </c>
      <c r="F629" s="7" t="str">
        <f>IF(A629=""," ",B629*VLOOKUP(A629,'18.11-07.12.2024'!A:H,7,FALSE))</f>
        <v xml:space="preserve"> </v>
      </c>
      <c r="G629" s="7" t="str">
        <f>IF(A629=""," ",B629*VLOOKUP(A629,'18.11-07.12.2024'!A:H,8,FALSE))</f>
        <v xml:space="preserve"> </v>
      </c>
    </row>
    <row r="630" spans="1:7" ht="15" x14ac:dyDescent="0.2">
      <c r="A630" s="21"/>
      <c r="B630" s="26"/>
      <c r="C630" s="6" t="str">
        <f>IF(A630=""," ",VLOOKUP(A630,'18.11-07.12.2024'!A:H,2,FALSE))</f>
        <v xml:space="preserve"> </v>
      </c>
      <c r="D630" s="33" t="str">
        <f>IF(A630=""," ",VLOOKUP(A630,'18.11-07.12.2024'!A:H,5,FALSE))</f>
        <v xml:space="preserve"> </v>
      </c>
      <c r="E630" s="7" t="str">
        <f>IF(A630=""," ",B630*VLOOKUP(A630,'18.11-07.12.2024'!A:H,6,FALSE))</f>
        <v xml:space="preserve"> </v>
      </c>
      <c r="F630" s="7" t="str">
        <f>IF(A630=""," ",B630*VLOOKUP(A630,'18.11-07.12.2024'!A:H,7,FALSE))</f>
        <v xml:space="preserve"> </v>
      </c>
      <c r="G630" s="7" t="str">
        <f>IF(A630=""," ",B630*VLOOKUP(A630,'18.11-07.12.2024'!A:H,8,FALSE))</f>
        <v xml:space="preserve"> </v>
      </c>
    </row>
    <row r="631" spans="1:7" ht="15" x14ac:dyDescent="0.2">
      <c r="A631" s="21"/>
      <c r="B631" s="26"/>
      <c r="C631" s="6" t="str">
        <f>IF(A631=""," ",VLOOKUP(A631,'18.11-07.12.2024'!A:H,2,FALSE))</f>
        <v xml:space="preserve"> </v>
      </c>
      <c r="D631" s="33" t="str">
        <f>IF(A631=""," ",VLOOKUP(A631,'18.11-07.12.2024'!A:H,5,FALSE))</f>
        <v xml:space="preserve"> </v>
      </c>
      <c r="E631" s="7" t="str">
        <f>IF(A631=""," ",B631*VLOOKUP(A631,'18.11-07.12.2024'!A:H,6,FALSE))</f>
        <v xml:space="preserve"> </v>
      </c>
      <c r="F631" s="7" t="str">
        <f>IF(A631=""," ",B631*VLOOKUP(A631,'18.11-07.12.2024'!A:H,7,FALSE))</f>
        <v xml:space="preserve"> </v>
      </c>
      <c r="G631" s="7" t="str">
        <f>IF(A631=""," ",B631*VLOOKUP(A631,'18.11-07.12.2024'!A:H,8,FALSE))</f>
        <v xml:space="preserve"> </v>
      </c>
    </row>
    <row r="632" spans="1:7" ht="15" x14ac:dyDescent="0.2">
      <c r="A632" s="21"/>
      <c r="B632" s="26"/>
      <c r="C632" s="6" t="str">
        <f>IF(A632=""," ",VLOOKUP(A632,'18.11-07.12.2024'!A:H,2,FALSE))</f>
        <v xml:space="preserve"> </v>
      </c>
      <c r="D632" s="33" t="str">
        <f>IF(A632=""," ",VLOOKUP(A632,'18.11-07.12.2024'!A:H,5,FALSE))</f>
        <v xml:space="preserve"> </v>
      </c>
      <c r="E632" s="7" t="str">
        <f>IF(A632=""," ",B632*VLOOKUP(A632,'18.11-07.12.2024'!A:H,6,FALSE))</f>
        <v xml:space="preserve"> </v>
      </c>
      <c r="F632" s="7" t="str">
        <f>IF(A632=""," ",B632*VLOOKUP(A632,'18.11-07.12.2024'!A:H,7,FALSE))</f>
        <v xml:space="preserve"> </v>
      </c>
      <c r="G632" s="7" t="str">
        <f>IF(A632=""," ",B632*VLOOKUP(A632,'18.11-07.12.2024'!A:H,8,FALSE))</f>
        <v xml:space="preserve"> </v>
      </c>
    </row>
    <row r="633" spans="1:7" ht="15" x14ac:dyDescent="0.2">
      <c r="A633" s="21"/>
      <c r="B633" s="26"/>
      <c r="C633" s="6" t="str">
        <f>IF(A633=""," ",VLOOKUP(A633,'18.11-07.12.2024'!A:H,2,FALSE))</f>
        <v xml:space="preserve"> </v>
      </c>
      <c r="D633" s="33" t="str">
        <f>IF(A633=""," ",VLOOKUP(A633,'18.11-07.12.2024'!A:H,5,FALSE))</f>
        <v xml:space="preserve"> </v>
      </c>
      <c r="E633" s="7" t="str">
        <f>IF(A633=""," ",B633*VLOOKUP(A633,'18.11-07.12.2024'!A:H,6,FALSE))</f>
        <v xml:space="preserve"> </v>
      </c>
      <c r="F633" s="7" t="str">
        <f>IF(A633=""," ",B633*VLOOKUP(A633,'18.11-07.12.2024'!A:H,7,FALSE))</f>
        <v xml:space="preserve"> </v>
      </c>
      <c r="G633" s="7" t="str">
        <f>IF(A633=""," ",B633*VLOOKUP(A633,'18.11-07.12.2024'!A:H,8,FALSE))</f>
        <v xml:space="preserve"> </v>
      </c>
    </row>
    <row r="634" spans="1:7" ht="15" x14ac:dyDescent="0.2">
      <c r="A634" s="21"/>
      <c r="B634" s="26"/>
      <c r="C634" s="6" t="str">
        <f>IF(A634=""," ",VLOOKUP(A634,'18.11-07.12.2024'!A:H,2,FALSE))</f>
        <v xml:space="preserve"> </v>
      </c>
      <c r="D634" s="33" t="str">
        <f>IF(A634=""," ",VLOOKUP(A634,'18.11-07.12.2024'!A:H,5,FALSE))</f>
        <v xml:space="preserve"> </v>
      </c>
      <c r="E634" s="7" t="str">
        <f>IF(A634=""," ",B634*VLOOKUP(A634,'18.11-07.12.2024'!A:H,6,FALSE))</f>
        <v xml:space="preserve"> </v>
      </c>
      <c r="F634" s="7" t="str">
        <f>IF(A634=""," ",B634*VLOOKUP(A634,'18.11-07.12.2024'!A:H,7,FALSE))</f>
        <v xml:space="preserve"> </v>
      </c>
      <c r="G634" s="7" t="str">
        <f>IF(A634=""," ",B634*VLOOKUP(A634,'18.11-07.12.2024'!A:H,8,FALSE))</f>
        <v xml:space="preserve"> </v>
      </c>
    </row>
    <row r="635" spans="1:7" ht="15" x14ac:dyDescent="0.2">
      <c r="A635" s="21"/>
      <c r="B635" s="26"/>
      <c r="C635" s="6" t="str">
        <f>IF(A635=""," ",VLOOKUP(A635,'18.11-07.12.2024'!A:H,2,FALSE))</f>
        <v xml:space="preserve"> </v>
      </c>
      <c r="D635" s="33" t="str">
        <f>IF(A635=""," ",VLOOKUP(A635,'18.11-07.12.2024'!A:H,5,FALSE))</f>
        <v xml:space="preserve"> </v>
      </c>
      <c r="E635" s="7" t="str">
        <f>IF(A635=""," ",B635*VLOOKUP(A635,'18.11-07.12.2024'!A:H,6,FALSE))</f>
        <v xml:space="preserve"> </v>
      </c>
      <c r="F635" s="7" t="str">
        <f>IF(A635=""," ",B635*VLOOKUP(A635,'18.11-07.12.2024'!A:H,7,FALSE))</f>
        <v xml:space="preserve"> </v>
      </c>
      <c r="G635" s="7" t="str">
        <f>IF(A635=""," ",B635*VLOOKUP(A635,'18.11-07.12.2024'!A:H,8,FALSE))</f>
        <v xml:space="preserve"> </v>
      </c>
    </row>
    <row r="636" spans="1:7" ht="15" x14ac:dyDescent="0.2">
      <c r="A636" s="21"/>
      <c r="B636" s="26"/>
      <c r="C636" s="6" t="str">
        <f>IF(A636=""," ",VLOOKUP(A636,'18.11-07.12.2024'!A:H,2,FALSE))</f>
        <v xml:space="preserve"> </v>
      </c>
      <c r="D636" s="33" t="str">
        <f>IF(A636=""," ",VLOOKUP(A636,'18.11-07.12.2024'!A:H,5,FALSE))</f>
        <v xml:space="preserve"> </v>
      </c>
      <c r="E636" s="7" t="str">
        <f>IF(A636=""," ",B636*VLOOKUP(A636,'18.11-07.12.2024'!A:H,6,FALSE))</f>
        <v xml:space="preserve"> </v>
      </c>
      <c r="F636" s="7" t="str">
        <f>IF(A636=""," ",B636*VLOOKUP(A636,'18.11-07.12.2024'!A:H,7,FALSE))</f>
        <v xml:space="preserve"> </v>
      </c>
      <c r="G636" s="7" t="str">
        <f>IF(A636=""," ",B636*VLOOKUP(A636,'18.11-07.12.2024'!A:H,8,FALSE))</f>
        <v xml:space="preserve"> </v>
      </c>
    </row>
    <row r="637" spans="1:7" ht="15" x14ac:dyDescent="0.2">
      <c r="A637" s="21"/>
      <c r="B637" s="26"/>
      <c r="C637" s="6" t="str">
        <f>IF(A637=""," ",VLOOKUP(A637,'18.11-07.12.2024'!A:H,2,FALSE))</f>
        <v xml:space="preserve"> </v>
      </c>
      <c r="D637" s="33" t="str">
        <f>IF(A637=""," ",VLOOKUP(A637,'18.11-07.12.2024'!A:H,5,FALSE))</f>
        <v xml:space="preserve"> </v>
      </c>
      <c r="E637" s="7" t="str">
        <f>IF(A637=""," ",B637*VLOOKUP(A637,'18.11-07.12.2024'!A:H,6,FALSE))</f>
        <v xml:space="preserve"> </v>
      </c>
      <c r="F637" s="7" t="str">
        <f>IF(A637=""," ",B637*VLOOKUP(A637,'18.11-07.12.2024'!A:H,7,FALSE))</f>
        <v xml:space="preserve"> </v>
      </c>
      <c r="G637" s="7" t="str">
        <f>IF(A637=""," ",B637*VLOOKUP(A637,'18.11-07.12.2024'!A:H,8,FALSE))</f>
        <v xml:space="preserve"> </v>
      </c>
    </row>
    <row r="638" spans="1:7" ht="15" x14ac:dyDescent="0.2">
      <c r="A638" s="21"/>
      <c r="B638" s="26"/>
      <c r="C638" s="6" t="str">
        <f>IF(A638=""," ",VLOOKUP(A638,'18.11-07.12.2024'!A:H,2,FALSE))</f>
        <v xml:space="preserve"> </v>
      </c>
      <c r="D638" s="33" t="str">
        <f>IF(A638=""," ",VLOOKUP(A638,'18.11-07.12.2024'!A:H,5,FALSE))</f>
        <v xml:space="preserve"> </v>
      </c>
      <c r="E638" s="7" t="str">
        <f>IF(A638=""," ",B638*VLOOKUP(A638,'18.11-07.12.2024'!A:H,6,FALSE))</f>
        <v xml:space="preserve"> </v>
      </c>
      <c r="F638" s="7" t="str">
        <f>IF(A638=""," ",B638*VLOOKUP(A638,'18.11-07.12.2024'!A:H,7,FALSE))</f>
        <v xml:space="preserve"> </v>
      </c>
      <c r="G638" s="7" t="str">
        <f>IF(A638=""," ",B638*VLOOKUP(A638,'18.11-07.12.2024'!A:H,8,FALSE))</f>
        <v xml:space="preserve"> </v>
      </c>
    </row>
    <row r="639" spans="1:7" ht="15" x14ac:dyDescent="0.2">
      <c r="A639" s="21"/>
      <c r="B639" s="26"/>
      <c r="C639" s="6" t="str">
        <f>IF(A639=""," ",VLOOKUP(A639,'18.11-07.12.2024'!A:H,2,FALSE))</f>
        <v xml:space="preserve"> </v>
      </c>
      <c r="D639" s="33" t="str">
        <f>IF(A639=""," ",VLOOKUP(A639,'18.11-07.12.2024'!A:H,5,FALSE))</f>
        <v xml:space="preserve"> </v>
      </c>
      <c r="E639" s="7" t="str">
        <f>IF(A639=""," ",B639*VLOOKUP(A639,'18.11-07.12.2024'!A:H,6,FALSE))</f>
        <v xml:space="preserve"> </v>
      </c>
      <c r="F639" s="7" t="str">
        <f>IF(A639=""," ",B639*VLOOKUP(A639,'18.11-07.12.2024'!A:H,7,FALSE))</f>
        <v xml:space="preserve"> </v>
      </c>
      <c r="G639" s="7" t="str">
        <f>IF(A639=""," ",B639*VLOOKUP(A639,'18.11-07.12.2024'!A:H,8,FALSE))</f>
        <v xml:space="preserve"> </v>
      </c>
    </row>
    <row r="640" spans="1:7" ht="15" x14ac:dyDescent="0.2">
      <c r="A640" s="21"/>
      <c r="B640" s="26"/>
      <c r="C640" s="6" t="str">
        <f>IF(A640=""," ",VLOOKUP(A640,'18.11-07.12.2024'!A:H,2,FALSE))</f>
        <v xml:space="preserve"> </v>
      </c>
      <c r="D640" s="33" t="str">
        <f>IF(A640=""," ",VLOOKUP(A640,'18.11-07.12.2024'!A:H,5,FALSE))</f>
        <v xml:space="preserve"> </v>
      </c>
      <c r="E640" s="7" t="str">
        <f>IF(A640=""," ",B640*VLOOKUP(A640,'18.11-07.12.2024'!A:H,6,FALSE))</f>
        <v xml:space="preserve"> </v>
      </c>
      <c r="F640" s="7" t="str">
        <f>IF(A640=""," ",B640*VLOOKUP(A640,'18.11-07.12.2024'!A:H,7,FALSE))</f>
        <v xml:space="preserve"> </v>
      </c>
      <c r="G640" s="7" t="str">
        <f>IF(A640=""," ",B640*VLOOKUP(A640,'18.11-07.12.2024'!A:H,8,FALSE))</f>
        <v xml:space="preserve"> </v>
      </c>
    </row>
    <row r="641" spans="1:7" ht="15" x14ac:dyDescent="0.2">
      <c r="A641" s="21"/>
      <c r="B641" s="26"/>
      <c r="C641" s="6" t="str">
        <f>IF(A641=""," ",VLOOKUP(A641,'18.11-07.12.2024'!A:H,2,FALSE))</f>
        <v xml:space="preserve"> </v>
      </c>
      <c r="D641" s="33" t="str">
        <f>IF(A641=""," ",VLOOKUP(A641,'18.11-07.12.2024'!A:H,5,FALSE))</f>
        <v xml:space="preserve"> </v>
      </c>
      <c r="E641" s="7" t="str">
        <f>IF(A641=""," ",B641*VLOOKUP(A641,'18.11-07.12.2024'!A:H,6,FALSE))</f>
        <v xml:space="preserve"> </v>
      </c>
      <c r="F641" s="7" t="str">
        <f>IF(A641=""," ",B641*VLOOKUP(A641,'18.11-07.12.2024'!A:H,7,FALSE))</f>
        <v xml:space="preserve"> </v>
      </c>
      <c r="G641" s="7" t="str">
        <f>IF(A641=""," ",B641*VLOOKUP(A641,'18.11-07.12.2024'!A:H,8,FALSE))</f>
        <v xml:space="preserve"> </v>
      </c>
    </row>
    <row r="642" spans="1:7" ht="15" x14ac:dyDescent="0.2">
      <c r="A642" s="21"/>
      <c r="B642" s="26"/>
      <c r="C642" s="6" t="str">
        <f>IF(A642=""," ",VLOOKUP(A642,'18.11-07.12.2024'!A:H,2,FALSE))</f>
        <v xml:space="preserve"> </v>
      </c>
      <c r="D642" s="33" t="str">
        <f>IF(A642=""," ",VLOOKUP(A642,'18.11-07.12.2024'!A:H,5,FALSE))</f>
        <v xml:space="preserve"> </v>
      </c>
      <c r="E642" s="7" t="str">
        <f>IF(A642=""," ",B642*VLOOKUP(A642,'18.11-07.12.2024'!A:H,6,FALSE))</f>
        <v xml:space="preserve"> </v>
      </c>
      <c r="F642" s="7" t="str">
        <f>IF(A642=""," ",B642*VLOOKUP(A642,'18.11-07.12.2024'!A:H,7,FALSE))</f>
        <v xml:space="preserve"> </v>
      </c>
      <c r="G642" s="7" t="str">
        <f>IF(A642=""," ",B642*VLOOKUP(A642,'18.11-07.12.2024'!A:H,8,FALSE))</f>
        <v xml:space="preserve"> </v>
      </c>
    </row>
    <row r="643" spans="1:7" ht="15" x14ac:dyDescent="0.2">
      <c r="A643" s="21"/>
      <c r="B643" s="26"/>
      <c r="C643" s="6" t="str">
        <f>IF(A643=""," ",VLOOKUP(A643,'18.11-07.12.2024'!A:H,2,FALSE))</f>
        <v xml:space="preserve"> </v>
      </c>
      <c r="D643" s="33" t="str">
        <f>IF(A643=""," ",VLOOKUP(A643,'18.11-07.12.2024'!A:H,5,FALSE))</f>
        <v xml:space="preserve"> </v>
      </c>
      <c r="E643" s="7" t="str">
        <f>IF(A643=""," ",B643*VLOOKUP(A643,'18.11-07.12.2024'!A:H,6,FALSE))</f>
        <v xml:space="preserve"> </v>
      </c>
      <c r="F643" s="7" t="str">
        <f>IF(A643=""," ",B643*VLOOKUP(A643,'18.11-07.12.2024'!A:H,7,FALSE))</f>
        <v xml:space="preserve"> </v>
      </c>
      <c r="G643" s="7" t="str">
        <f>IF(A643=""," ",B643*VLOOKUP(A643,'18.11-07.12.2024'!A:H,8,FALSE))</f>
        <v xml:space="preserve"> </v>
      </c>
    </row>
    <row r="644" spans="1:7" ht="15" x14ac:dyDescent="0.2">
      <c r="A644" s="21"/>
      <c r="B644" s="26"/>
      <c r="C644" s="6" t="str">
        <f>IF(A644=""," ",VLOOKUP(A644,'18.11-07.12.2024'!A:H,2,FALSE))</f>
        <v xml:space="preserve"> </v>
      </c>
      <c r="D644" s="33" t="str">
        <f>IF(A644=""," ",VLOOKUP(A644,'18.11-07.12.2024'!A:H,5,FALSE))</f>
        <v xml:space="preserve"> </v>
      </c>
      <c r="E644" s="7" t="str">
        <f>IF(A644=""," ",B644*VLOOKUP(A644,'18.11-07.12.2024'!A:H,6,FALSE))</f>
        <v xml:space="preserve"> </v>
      </c>
      <c r="F644" s="7" t="str">
        <f>IF(A644=""," ",B644*VLOOKUP(A644,'18.11-07.12.2024'!A:H,7,FALSE))</f>
        <v xml:space="preserve"> </v>
      </c>
      <c r="G644" s="7" t="str">
        <f>IF(A644=""," ",B644*VLOOKUP(A644,'18.11-07.12.2024'!A:H,8,FALSE))</f>
        <v xml:space="preserve"> </v>
      </c>
    </row>
    <row r="645" spans="1:7" ht="15" x14ac:dyDescent="0.2">
      <c r="A645" s="21"/>
      <c r="B645" s="26"/>
      <c r="C645" s="6" t="str">
        <f>IF(A645=""," ",VLOOKUP(A645,'18.11-07.12.2024'!A:H,2,FALSE))</f>
        <v xml:space="preserve"> </v>
      </c>
      <c r="D645" s="33" t="str">
        <f>IF(A645=""," ",VLOOKUP(A645,'18.11-07.12.2024'!A:H,5,FALSE))</f>
        <v xml:space="preserve"> </v>
      </c>
      <c r="E645" s="7" t="str">
        <f>IF(A645=""," ",B645*VLOOKUP(A645,'18.11-07.12.2024'!A:H,6,FALSE))</f>
        <v xml:space="preserve"> </v>
      </c>
      <c r="F645" s="7" t="str">
        <f>IF(A645=""," ",B645*VLOOKUP(A645,'18.11-07.12.2024'!A:H,7,FALSE))</f>
        <v xml:space="preserve"> </v>
      </c>
      <c r="G645" s="7" t="str">
        <f>IF(A645=""," ",B645*VLOOKUP(A645,'18.11-07.12.2024'!A:H,8,FALSE))</f>
        <v xml:space="preserve"> </v>
      </c>
    </row>
    <row r="646" spans="1:7" ht="15" x14ac:dyDescent="0.2">
      <c r="A646" s="21"/>
      <c r="B646" s="26"/>
      <c r="C646" s="6" t="str">
        <f>IF(A646=""," ",VLOOKUP(A646,'18.11-07.12.2024'!A:H,2,FALSE))</f>
        <v xml:space="preserve"> </v>
      </c>
      <c r="D646" s="33" t="str">
        <f>IF(A646=""," ",VLOOKUP(A646,'18.11-07.12.2024'!A:H,5,FALSE))</f>
        <v xml:space="preserve"> </v>
      </c>
      <c r="E646" s="7" t="str">
        <f>IF(A646=""," ",B646*VLOOKUP(A646,'18.11-07.12.2024'!A:H,6,FALSE))</f>
        <v xml:space="preserve"> </v>
      </c>
      <c r="F646" s="7" t="str">
        <f>IF(A646=""," ",B646*VLOOKUP(A646,'18.11-07.12.2024'!A:H,7,FALSE))</f>
        <v xml:space="preserve"> </v>
      </c>
      <c r="G646" s="7" t="str">
        <f>IF(A646=""," ",B646*VLOOKUP(A646,'18.11-07.12.2024'!A:H,8,FALSE))</f>
        <v xml:space="preserve"> </v>
      </c>
    </row>
    <row r="647" spans="1:7" ht="15" x14ac:dyDescent="0.2">
      <c r="A647" s="21"/>
      <c r="B647" s="26"/>
      <c r="C647" s="6" t="str">
        <f>IF(A647=""," ",VLOOKUP(A647,'18.11-07.12.2024'!A:H,2,FALSE))</f>
        <v xml:space="preserve"> </v>
      </c>
      <c r="D647" s="33" t="str">
        <f>IF(A647=""," ",VLOOKUP(A647,'18.11-07.12.2024'!A:H,5,FALSE))</f>
        <v xml:space="preserve"> </v>
      </c>
      <c r="E647" s="7" t="str">
        <f>IF(A647=""," ",B647*VLOOKUP(A647,'18.11-07.12.2024'!A:H,6,FALSE))</f>
        <v xml:space="preserve"> </v>
      </c>
      <c r="F647" s="7" t="str">
        <f>IF(A647=""," ",B647*VLOOKUP(A647,'18.11-07.12.2024'!A:H,7,FALSE))</f>
        <v xml:space="preserve"> </v>
      </c>
      <c r="G647" s="7" t="str">
        <f>IF(A647=""," ",B647*VLOOKUP(A647,'18.11-07.12.2024'!A:H,8,FALSE))</f>
        <v xml:space="preserve"> </v>
      </c>
    </row>
    <row r="648" spans="1:7" ht="15" x14ac:dyDescent="0.2">
      <c r="A648" s="21"/>
      <c r="B648" s="26"/>
      <c r="C648" s="6" t="str">
        <f>IF(A648=""," ",VLOOKUP(A648,'18.11-07.12.2024'!A:H,2,FALSE))</f>
        <v xml:space="preserve"> </v>
      </c>
      <c r="D648" s="33" t="str">
        <f>IF(A648=""," ",VLOOKUP(A648,'18.11-07.12.2024'!A:H,5,FALSE))</f>
        <v xml:space="preserve"> </v>
      </c>
      <c r="E648" s="7" t="str">
        <f>IF(A648=""," ",B648*VLOOKUP(A648,'18.11-07.12.2024'!A:H,6,FALSE))</f>
        <v xml:space="preserve"> </v>
      </c>
      <c r="F648" s="7" t="str">
        <f>IF(A648=""," ",B648*VLOOKUP(A648,'18.11-07.12.2024'!A:H,7,FALSE))</f>
        <v xml:space="preserve"> </v>
      </c>
      <c r="G648" s="7" t="str">
        <f>IF(A648=""," ",B648*VLOOKUP(A648,'18.11-07.12.2024'!A:H,8,FALSE))</f>
        <v xml:space="preserve"> </v>
      </c>
    </row>
    <row r="649" spans="1:7" ht="15" x14ac:dyDescent="0.2">
      <c r="A649" s="21"/>
      <c r="B649" s="26"/>
      <c r="C649" s="6" t="str">
        <f>IF(A649=""," ",VLOOKUP(A649,'18.11-07.12.2024'!A:H,2,FALSE))</f>
        <v xml:space="preserve"> </v>
      </c>
      <c r="D649" s="33" t="str">
        <f>IF(A649=""," ",VLOOKUP(A649,'18.11-07.12.2024'!A:H,5,FALSE))</f>
        <v xml:space="preserve"> </v>
      </c>
      <c r="E649" s="7" t="str">
        <f>IF(A649=""," ",B649*VLOOKUP(A649,'18.11-07.12.2024'!A:H,6,FALSE))</f>
        <v xml:space="preserve"> </v>
      </c>
      <c r="F649" s="7" t="str">
        <f>IF(A649=""," ",B649*VLOOKUP(A649,'18.11-07.12.2024'!A:H,7,FALSE))</f>
        <v xml:space="preserve"> </v>
      </c>
      <c r="G649" s="7" t="str">
        <f>IF(A649=""," ",B649*VLOOKUP(A649,'18.11-07.12.2024'!A:H,8,FALSE))</f>
        <v xml:space="preserve"> </v>
      </c>
    </row>
    <row r="650" spans="1:7" ht="15" x14ac:dyDescent="0.2">
      <c r="A650" s="21"/>
      <c r="B650" s="26"/>
      <c r="C650" s="6" t="str">
        <f>IF(A650=""," ",VLOOKUP(A650,'18.11-07.12.2024'!A:H,2,FALSE))</f>
        <v xml:space="preserve"> </v>
      </c>
      <c r="D650" s="33" t="str">
        <f>IF(A650=""," ",VLOOKUP(A650,'18.11-07.12.2024'!A:H,5,FALSE))</f>
        <v xml:space="preserve"> </v>
      </c>
      <c r="E650" s="7" t="str">
        <f>IF(A650=""," ",B650*VLOOKUP(A650,'18.11-07.12.2024'!A:H,6,FALSE))</f>
        <v xml:space="preserve"> </v>
      </c>
      <c r="F650" s="7" t="str">
        <f>IF(A650=""," ",B650*VLOOKUP(A650,'18.11-07.12.2024'!A:H,7,FALSE))</f>
        <v xml:space="preserve"> </v>
      </c>
      <c r="G650" s="7" t="str">
        <f>IF(A650=""," ",B650*VLOOKUP(A650,'18.11-07.12.2024'!A:H,8,FALSE))</f>
        <v xml:space="preserve"> </v>
      </c>
    </row>
    <row r="651" spans="1:7" ht="15" x14ac:dyDescent="0.2">
      <c r="A651" s="21"/>
      <c r="B651" s="26"/>
      <c r="C651" s="6" t="str">
        <f>IF(A651=""," ",VLOOKUP(A651,'18.11-07.12.2024'!A:H,2,FALSE))</f>
        <v xml:space="preserve"> </v>
      </c>
      <c r="D651" s="33" t="str">
        <f>IF(A651=""," ",VLOOKUP(A651,'18.11-07.12.2024'!A:H,5,FALSE))</f>
        <v xml:space="preserve"> </v>
      </c>
      <c r="E651" s="7" t="str">
        <f>IF(A651=""," ",B651*VLOOKUP(A651,'18.11-07.12.2024'!A:H,6,FALSE))</f>
        <v xml:space="preserve"> </v>
      </c>
      <c r="F651" s="7" t="str">
        <f>IF(A651=""," ",B651*VLOOKUP(A651,'18.11-07.12.2024'!A:H,7,FALSE))</f>
        <v xml:space="preserve"> </v>
      </c>
      <c r="G651" s="7" t="str">
        <f>IF(A651=""," ",B651*VLOOKUP(A651,'18.11-07.12.2024'!A:H,8,FALSE))</f>
        <v xml:space="preserve"> </v>
      </c>
    </row>
    <row r="652" spans="1:7" ht="15" x14ac:dyDescent="0.2">
      <c r="A652" s="21"/>
      <c r="B652" s="26"/>
      <c r="C652" s="6" t="str">
        <f>IF(A652=""," ",VLOOKUP(A652,'18.11-07.12.2024'!A:H,2,FALSE))</f>
        <v xml:space="preserve"> </v>
      </c>
      <c r="D652" s="33" t="str">
        <f>IF(A652=""," ",VLOOKUP(A652,'18.11-07.12.2024'!A:H,5,FALSE))</f>
        <v xml:space="preserve"> </v>
      </c>
      <c r="E652" s="7" t="str">
        <f>IF(A652=""," ",B652*VLOOKUP(A652,'18.11-07.12.2024'!A:H,6,FALSE))</f>
        <v xml:space="preserve"> </v>
      </c>
      <c r="F652" s="7" t="str">
        <f>IF(A652=""," ",B652*VLOOKUP(A652,'18.11-07.12.2024'!A:H,7,FALSE))</f>
        <v xml:space="preserve"> </v>
      </c>
      <c r="G652" s="7" t="str">
        <f>IF(A652=""," ",B652*VLOOKUP(A652,'18.11-07.12.2024'!A:H,8,FALSE))</f>
        <v xml:space="preserve"> </v>
      </c>
    </row>
    <row r="653" spans="1:7" ht="15" x14ac:dyDescent="0.2">
      <c r="A653" s="21"/>
      <c r="B653" s="26"/>
      <c r="C653" s="6" t="str">
        <f>IF(A653=""," ",VLOOKUP(A653,'18.11-07.12.2024'!A:H,2,FALSE))</f>
        <v xml:space="preserve"> </v>
      </c>
      <c r="D653" s="33" t="str">
        <f>IF(A653=""," ",VLOOKUP(A653,'18.11-07.12.2024'!A:H,5,FALSE))</f>
        <v xml:space="preserve"> </v>
      </c>
      <c r="E653" s="7" t="str">
        <f>IF(A653=""," ",B653*VLOOKUP(A653,'18.11-07.12.2024'!A:H,6,FALSE))</f>
        <v xml:space="preserve"> </v>
      </c>
      <c r="F653" s="7" t="str">
        <f>IF(A653=""," ",B653*VLOOKUP(A653,'18.11-07.12.2024'!A:H,7,FALSE))</f>
        <v xml:space="preserve"> </v>
      </c>
      <c r="G653" s="7" t="str">
        <f>IF(A653=""," ",B653*VLOOKUP(A653,'18.11-07.12.2024'!A:H,8,FALSE))</f>
        <v xml:space="preserve"> </v>
      </c>
    </row>
    <row r="654" spans="1:7" ht="15" x14ac:dyDescent="0.2">
      <c r="A654" s="21"/>
      <c r="B654" s="26"/>
      <c r="C654" s="6" t="str">
        <f>IF(A654=""," ",VLOOKUP(A654,'18.11-07.12.2024'!A:H,2,FALSE))</f>
        <v xml:space="preserve"> </v>
      </c>
      <c r="D654" s="33" t="str">
        <f>IF(A654=""," ",VLOOKUP(A654,'18.11-07.12.2024'!A:H,5,FALSE))</f>
        <v xml:space="preserve"> </v>
      </c>
      <c r="E654" s="7" t="str">
        <f>IF(A654=""," ",B654*VLOOKUP(A654,'18.11-07.12.2024'!A:H,6,FALSE))</f>
        <v xml:space="preserve"> </v>
      </c>
      <c r="F654" s="7" t="str">
        <f>IF(A654=""," ",B654*VLOOKUP(A654,'18.11-07.12.2024'!A:H,7,FALSE))</f>
        <v xml:space="preserve"> </v>
      </c>
      <c r="G654" s="7" t="str">
        <f>IF(A654=""," ",B654*VLOOKUP(A654,'18.11-07.12.2024'!A:H,8,FALSE))</f>
        <v xml:space="preserve"> </v>
      </c>
    </row>
    <row r="655" spans="1:7" ht="15" x14ac:dyDescent="0.2">
      <c r="A655" s="21"/>
      <c r="B655" s="26"/>
      <c r="C655" s="6" t="str">
        <f>IF(A655=""," ",VLOOKUP(A655,'18.11-07.12.2024'!A:H,2,FALSE))</f>
        <v xml:space="preserve"> </v>
      </c>
      <c r="D655" s="33" t="str">
        <f>IF(A655=""," ",VLOOKUP(A655,'18.11-07.12.2024'!A:H,5,FALSE))</f>
        <v xml:space="preserve"> </v>
      </c>
      <c r="E655" s="7" t="str">
        <f>IF(A655=""," ",B655*VLOOKUP(A655,'18.11-07.12.2024'!A:H,6,FALSE))</f>
        <v xml:space="preserve"> </v>
      </c>
      <c r="F655" s="7" t="str">
        <f>IF(A655=""," ",B655*VLOOKUP(A655,'18.11-07.12.2024'!A:H,7,FALSE))</f>
        <v xml:space="preserve"> </v>
      </c>
      <c r="G655" s="7" t="str">
        <f>IF(A655=""," ",B655*VLOOKUP(A655,'18.11-07.12.2024'!A:H,8,FALSE))</f>
        <v xml:space="preserve"> </v>
      </c>
    </row>
    <row r="656" spans="1:7" ht="15" x14ac:dyDescent="0.2">
      <c r="A656" s="21"/>
      <c r="B656" s="26"/>
      <c r="C656" s="6" t="str">
        <f>IF(A656=""," ",VLOOKUP(A656,'18.11-07.12.2024'!A:H,2,FALSE))</f>
        <v xml:space="preserve"> </v>
      </c>
      <c r="D656" s="33" t="str">
        <f>IF(A656=""," ",VLOOKUP(A656,'18.11-07.12.2024'!A:H,5,FALSE))</f>
        <v xml:space="preserve"> </v>
      </c>
      <c r="E656" s="7" t="str">
        <f>IF(A656=""," ",B656*VLOOKUP(A656,'18.11-07.12.2024'!A:H,6,FALSE))</f>
        <v xml:space="preserve"> </v>
      </c>
      <c r="F656" s="7" t="str">
        <f>IF(A656=""," ",B656*VLOOKUP(A656,'18.11-07.12.2024'!A:H,7,FALSE))</f>
        <v xml:space="preserve"> </v>
      </c>
      <c r="G656" s="7" t="str">
        <f>IF(A656=""," ",B656*VLOOKUP(A656,'18.11-07.12.2024'!A:H,8,FALSE))</f>
        <v xml:space="preserve"> </v>
      </c>
    </row>
    <row r="657" spans="1:7" ht="15" x14ac:dyDescent="0.2">
      <c r="A657" s="21"/>
      <c r="B657" s="26"/>
      <c r="C657" s="6" t="str">
        <f>IF(A657=""," ",VLOOKUP(A657,'18.11-07.12.2024'!A:H,2,FALSE))</f>
        <v xml:space="preserve"> </v>
      </c>
      <c r="D657" s="33" t="str">
        <f>IF(A657=""," ",VLOOKUP(A657,'18.11-07.12.2024'!A:H,5,FALSE))</f>
        <v xml:space="preserve"> </v>
      </c>
      <c r="E657" s="7" t="str">
        <f>IF(A657=""," ",B657*VLOOKUP(A657,'18.11-07.12.2024'!A:H,6,FALSE))</f>
        <v xml:space="preserve"> </v>
      </c>
      <c r="F657" s="7" t="str">
        <f>IF(A657=""," ",B657*VLOOKUP(A657,'18.11-07.12.2024'!A:H,7,FALSE))</f>
        <v xml:space="preserve"> </v>
      </c>
      <c r="G657" s="7" t="str">
        <f>IF(A657=""," ",B657*VLOOKUP(A657,'18.11-07.12.2024'!A:H,8,FALSE))</f>
        <v xml:space="preserve"> </v>
      </c>
    </row>
    <row r="658" spans="1:7" ht="15" x14ac:dyDescent="0.2">
      <c r="A658" s="21"/>
      <c r="B658" s="26"/>
      <c r="C658" s="6" t="str">
        <f>IF(A658=""," ",VLOOKUP(A658,'18.11-07.12.2024'!A:H,2,FALSE))</f>
        <v xml:space="preserve"> </v>
      </c>
      <c r="D658" s="33" t="str">
        <f>IF(A658=""," ",VLOOKUP(A658,'18.11-07.12.2024'!A:H,5,FALSE))</f>
        <v xml:space="preserve"> </v>
      </c>
      <c r="E658" s="7" t="str">
        <f>IF(A658=""," ",B658*VLOOKUP(A658,'18.11-07.12.2024'!A:H,6,FALSE))</f>
        <v xml:space="preserve"> </v>
      </c>
      <c r="F658" s="7" t="str">
        <f>IF(A658=""," ",B658*VLOOKUP(A658,'18.11-07.12.2024'!A:H,7,FALSE))</f>
        <v xml:space="preserve"> </v>
      </c>
      <c r="G658" s="7" t="str">
        <f>IF(A658=""," ",B658*VLOOKUP(A658,'18.11-07.12.2024'!A:H,8,FALSE))</f>
        <v xml:space="preserve"> </v>
      </c>
    </row>
    <row r="659" spans="1:7" ht="15" x14ac:dyDescent="0.2">
      <c r="A659" s="21"/>
      <c r="B659" s="26"/>
      <c r="C659" s="6" t="str">
        <f>IF(A659=""," ",VLOOKUP(A659,'18.11-07.12.2024'!A:H,2,FALSE))</f>
        <v xml:space="preserve"> </v>
      </c>
      <c r="D659" s="33" t="str">
        <f>IF(A659=""," ",VLOOKUP(A659,'18.11-07.12.2024'!A:H,5,FALSE))</f>
        <v xml:space="preserve"> </v>
      </c>
      <c r="E659" s="7" t="str">
        <f>IF(A659=""," ",B659*VLOOKUP(A659,'18.11-07.12.2024'!A:H,6,FALSE))</f>
        <v xml:space="preserve"> </v>
      </c>
      <c r="F659" s="7" t="str">
        <f>IF(A659=""," ",B659*VLOOKUP(A659,'18.11-07.12.2024'!A:H,7,FALSE))</f>
        <v xml:space="preserve"> </v>
      </c>
      <c r="G659" s="7" t="str">
        <f>IF(A659=""," ",B659*VLOOKUP(A659,'18.11-07.12.2024'!A:H,8,FALSE))</f>
        <v xml:space="preserve"> </v>
      </c>
    </row>
    <row r="660" spans="1:7" ht="15" x14ac:dyDescent="0.2">
      <c r="A660" s="21"/>
      <c r="B660" s="26"/>
      <c r="C660" s="6" t="str">
        <f>IF(A660=""," ",VLOOKUP(A660,'18.11-07.12.2024'!A:H,2,FALSE))</f>
        <v xml:space="preserve"> </v>
      </c>
      <c r="D660" s="33" t="str">
        <f>IF(A660=""," ",VLOOKUP(A660,'18.11-07.12.2024'!A:H,5,FALSE))</f>
        <v xml:space="preserve"> </v>
      </c>
      <c r="E660" s="7" t="str">
        <f>IF(A660=""," ",B660*VLOOKUP(A660,'18.11-07.12.2024'!A:H,6,FALSE))</f>
        <v xml:space="preserve"> </v>
      </c>
      <c r="F660" s="7" t="str">
        <f>IF(A660=""," ",B660*VLOOKUP(A660,'18.11-07.12.2024'!A:H,7,FALSE))</f>
        <v xml:space="preserve"> </v>
      </c>
      <c r="G660" s="7" t="str">
        <f>IF(A660=""," ",B660*VLOOKUP(A660,'18.11-07.12.2024'!A:H,8,FALSE))</f>
        <v xml:space="preserve"> </v>
      </c>
    </row>
    <row r="661" spans="1:7" ht="15" x14ac:dyDescent="0.2">
      <c r="A661" s="21"/>
      <c r="B661" s="26"/>
      <c r="C661" s="6" t="str">
        <f>IF(A661=""," ",VLOOKUP(A661,'18.11-07.12.2024'!A:H,2,FALSE))</f>
        <v xml:space="preserve"> </v>
      </c>
      <c r="D661" s="33" t="str">
        <f>IF(A661=""," ",VLOOKUP(A661,'18.11-07.12.2024'!A:H,5,FALSE))</f>
        <v xml:space="preserve"> </v>
      </c>
      <c r="E661" s="7" t="str">
        <f>IF(A661=""," ",B661*VLOOKUP(A661,'18.11-07.12.2024'!A:H,6,FALSE))</f>
        <v xml:space="preserve"> </v>
      </c>
      <c r="F661" s="7" t="str">
        <f>IF(A661=""," ",B661*VLOOKUP(A661,'18.11-07.12.2024'!A:H,7,FALSE))</f>
        <v xml:space="preserve"> </v>
      </c>
      <c r="G661" s="7" t="str">
        <f>IF(A661=""," ",B661*VLOOKUP(A661,'18.11-07.12.2024'!A:H,8,FALSE))</f>
        <v xml:space="preserve"> </v>
      </c>
    </row>
    <row r="662" spans="1:7" ht="15" x14ac:dyDescent="0.2">
      <c r="A662" s="21"/>
      <c r="B662" s="26"/>
      <c r="C662" s="6" t="str">
        <f>IF(A662=""," ",VLOOKUP(A662,'18.11-07.12.2024'!A:H,2,FALSE))</f>
        <v xml:space="preserve"> </v>
      </c>
      <c r="D662" s="33" t="str">
        <f>IF(A662=""," ",VLOOKUP(A662,'18.11-07.12.2024'!A:H,5,FALSE))</f>
        <v xml:space="preserve"> </v>
      </c>
      <c r="E662" s="7" t="str">
        <f>IF(A662=""," ",B662*VLOOKUP(A662,'18.11-07.12.2024'!A:H,6,FALSE))</f>
        <v xml:space="preserve"> </v>
      </c>
      <c r="F662" s="7" t="str">
        <f>IF(A662=""," ",B662*VLOOKUP(A662,'18.11-07.12.2024'!A:H,7,FALSE))</f>
        <v xml:space="preserve"> </v>
      </c>
      <c r="G662" s="7" t="str">
        <f>IF(A662=""," ",B662*VLOOKUP(A662,'18.11-07.12.2024'!A:H,8,FALSE))</f>
        <v xml:space="preserve"> </v>
      </c>
    </row>
    <row r="663" spans="1:7" ht="15" x14ac:dyDescent="0.2">
      <c r="A663" s="21"/>
      <c r="B663" s="26"/>
      <c r="C663" s="6" t="str">
        <f>IF(A663=""," ",VLOOKUP(A663,'18.11-07.12.2024'!A:H,2,FALSE))</f>
        <v xml:space="preserve"> </v>
      </c>
      <c r="D663" s="33" t="str">
        <f>IF(A663=""," ",VLOOKUP(A663,'18.11-07.12.2024'!A:H,5,FALSE))</f>
        <v xml:space="preserve"> </v>
      </c>
      <c r="E663" s="7" t="str">
        <f>IF(A663=""," ",B663*VLOOKUP(A663,'18.11-07.12.2024'!A:H,6,FALSE))</f>
        <v xml:space="preserve"> </v>
      </c>
      <c r="F663" s="7" t="str">
        <f>IF(A663=""," ",B663*VLOOKUP(A663,'18.11-07.12.2024'!A:H,7,FALSE))</f>
        <v xml:space="preserve"> </v>
      </c>
      <c r="G663" s="7" t="str">
        <f>IF(A663=""," ",B663*VLOOKUP(A663,'18.11-07.12.2024'!A:H,8,FALSE))</f>
        <v xml:space="preserve"> </v>
      </c>
    </row>
    <row r="664" spans="1:7" ht="15" x14ac:dyDescent="0.2">
      <c r="A664" s="21"/>
      <c r="B664" s="26"/>
      <c r="C664" s="6" t="str">
        <f>IF(A664=""," ",VLOOKUP(A664,'18.11-07.12.2024'!A:H,2,FALSE))</f>
        <v xml:space="preserve"> </v>
      </c>
      <c r="D664" s="33" t="str">
        <f>IF(A664=""," ",VLOOKUP(A664,'18.11-07.12.2024'!A:H,5,FALSE))</f>
        <v xml:space="preserve"> </v>
      </c>
      <c r="E664" s="7" t="str">
        <f>IF(A664=""," ",B664*VLOOKUP(A664,'18.11-07.12.2024'!A:H,6,FALSE))</f>
        <v xml:space="preserve"> </v>
      </c>
      <c r="F664" s="7" t="str">
        <f>IF(A664=""," ",B664*VLOOKUP(A664,'18.11-07.12.2024'!A:H,7,FALSE))</f>
        <v xml:space="preserve"> </v>
      </c>
      <c r="G664" s="7" t="str">
        <f>IF(A664=""," ",B664*VLOOKUP(A664,'18.11-07.12.2024'!A:H,8,FALSE))</f>
        <v xml:space="preserve"> </v>
      </c>
    </row>
    <row r="665" spans="1:7" ht="15" x14ac:dyDescent="0.2">
      <c r="A665" s="21"/>
      <c r="B665" s="26"/>
      <c r="C665" s="6" t="str">
        <f>IF(A665=""," ",VLOOKUP(A665,'18.11-07.12.2024'!A:H,2,FALSE))</f>
        <v xml:space="preserve"> </v>
      </c>
      <c r="D665" s="33" t="str">
        <f>IF(A665=""," ",VLOOKUP(A665,'18.11-07.12.2024'!A:H,5,FALSE))</f>
        <v xml:space="preserve"> </v>
      </c>
      <c r="E665" s="7" t="str">
        <f>IF(A665=""," ",B665*VLOOKUP(A665,'18.11-07.12.2024'!A:H,6,FALSE))</f>
        <v xml:space="preserve"> </v>
      </c>
      <c r="F665" s="7" t="str">
        <f>IF(A665=""," ",B665*VLOOKUP(A665,'18.11-07.12.2024'!A:H,7,FALSE))</f>
        <v xml:space="preserve"> </v>
      </c>
      <c r="G665" s="7" t="str">
        <f>IF(A665=""," ",B665*VLOOKUP(A665,'18.11-07.12.2024'!A:H,8,FALSE))</f>
        <v xml:space="preserve"> </v>
      </c>
    </row>
    <row r="666" spans="1:7" ht="15" x14ac:dyDescent="0.2">
      <c r="A666" s="21"/>
      <c r="B666" s="26"/>
      <c r="C666" s="6" t="str">
        <f>IF(A666=""," ",VLOOKUP(A666,'18.11-07.12.2024'!A:H,2,FALSE))</f>
        <v xml:space="preserve"> </v>
      </c>
      <c r="D666" s="33" t="str">
        <f>IF(A666=""," ",VLOOKUP(A666,'18.11-07.12.2024'!A:H,5,FALSE))</f>
        <v xml:space="preserve"> </v>
      </c>
      <c r="E666" s="7" t="str">
        <f>IF(A666=""," ",B666*VLOOKUP(A666,'18.11-07.12.2024'!A:H,6,FALSE))</f>
        <v xml:space="preserve"> </v>
      </c>
      <c r="F666" s="7" t="str">
        <f>IF(A666=""," ",B666*VLOOKUP(A666,'18.11-07.12.2024'!A:H,7,FALSE))</f>
        <v xml:space="preserve"> </v>
      </c>
      <c r="G666" s="7" t="str">
        <f>IF(A666=""," ",B666*VLOOKUP(A666,'18.11-07.12.2024'!A:H,8,FALSE))</f>
        <v xml:space="preserve"> </v>
      </c>
    </row>
    <row r="667" spans="1:7" ht="15" x14ac:dyDescent="0.2">
      <c r="A667" s="21"/>
      <c r="B667" s="26"/>
      <c r="C667" s="6" t="str">
        <f>IF(A667=""," ",VLOOKUP(A667,'18.11-07.12.2024'!A:H,2,FALSE))</f>
        <v xml:space="preserve"> </v>
      </c>
      <c r="D667" s="33" t="str">
        <f>IF(A667=""," ",VLOOKUP(A667,'18.11-07.12.2024'!A:H,5,FALSE))</f>
        <v xml:space="preserve"> </v>
      </c>
      <c r="E667" s="7" t="str">
        <f>IF(A667=""," ",B667*VLOOKUP(A667,'18.11-07.12.2024'!A:H,6,FALSE))</f>
        <v xml:space="preserve"> </v>
      </c>
      <c r="F667" s="7" t="str">
        <f>IF(A667=""," ",B667*VLOOKUP(A667,'18.11-07.12.2024'!A:H,7,FALSE))</f>
        <v xml:space="preserve"> </v>
      </c>
      <c r="G667" s="7" t="str">
        <f>IF(A667=""," ",B667*VLOOKUP(A667,'18.11-07.12.2024'!A:H,8,FALSE))</f>
        <v xml:space="preserve"> </v>
      </c>
    </row>
    <row r="668" spans="1:7" ht="15" x14ac:dyDescent="0.2">
      <c r="A668" s="21"/>
      <c r="B668" s="26"/>
      <c r="C668" s="6" t="str">
        <f>IF(A668=""," ",VLOOKUP(A668,'18.11-07.12.2024'!A:H,2,FALSE))</f>
        <v xml:space="preserve"> </v>
      </c>
      <c r="D668" s="33" t="str">
        <f>IF(A668=""," ",VLOOKUP(A668,'18.11-07.12.2024'!A:H,5,FALSE))</f>
        <v xml:space="preserve"> </v>
      </c>
      <c r="E668" s="7" t="str">
        <f>IF(A668=""," ",B668*VLOOKUP(A668,'18.11-07.12.2024'!A:H,6,FALSE))</f>
        <v xml:space="preserve"> </v>
      </c>
      <c r="F668" s="7" t="str">
        <f>IF(A668=""," ",B668*VLOOKUP(A668,'18.11-07.12.2024'!A:H,7,FALSE))</f>
        <v xml:space="preserve"> </v>
      </c>
      <c r="G668" s="7" t="str">
        <f>IF(A668=""," ",B668*VLOOKUP(A668,'18.11-07.12.2024'!A:H,8,FALSE))</f>
        <v xml:space="preserve"> </v>
      </c>
    </row>
    <row r="669" spans="1:7" ht="15" x14ac:dyDescent="0.2">
      <c r="A669" s="21"/>
      <c r="B669" s="26"/>
      <c r="C669" s="6" t="str">
        <f>IF(A669=""," ",VLOOKUP(A669,'18.11-07.12.2024'!A:H,2,FALSE))</f>
        <v xml:space="preserve"> </v>
      </c>
      <c r="D669" s="33" t="str">
        <f>IF(A669=""," ",VLOOKUP(A669,'18.11-07.12.2024'!A:H,5,FALSE))</f>
        <v xml:space="preserve"> </v>
      </c>
      <c r="E669" s="7" t="str">
        <f>IF(A669=""," ",B669*VLOOKUP(A669,'18.11-07.12.2024'!A:H,6,FALSE))</f>
        <v xml:space="preserve"> </v>
      </c>
      <c r="F669" s="7" t="str">
        <f>IF(A669=""," ",B669*VLOOKUP(A669,'18.11-07.12.2024'!A:H,7,FALSE))</f>
        <v xml:space="preserve"> </v>
      </c>
      <c r="G669" s="7" t="str">
        <f>IF(A669=""," ",B669*VLOOKUP(A669,'18.11-07.12.2024'!A:H,8,FALSE))</f>
        <v xml:space="preserve"> </v>
      </c>
    </row>
    <row r="670" spans="1:7" ht="15" x14ac:dyDescent="0.2">
      <c r="A670" s="21"/>
      <c r="B670" s="26"/>
      <c r="C670" s="6" t="str">
        <f>IF(A670=""," ",VLOOKUP(A670,'18.11-07.12.2024'!A:H,2,FALSE))</f>
        <v xml:space="preserve"> </v>
      </c>
      <c r="D670" s="33" t="str">
        <f>IF(A670=""," ",VLOOKUP(A670,'18.11-07.12.2024'!A:H,5,FALSE))</f>
        <v xml:space="preserve"> </v>
      </c>
      <c r="E670" s="7" t="str">
        <f>IF(A670=""," ",B670*VLOOKUP(A670,'18.11-07.12.2024'!A:H,6,FALSE))</f>
        <v xml:space="preserve"> </v>
      </c>
      <c r="F670" s="7" t="str">
        <f>IF(A670=""," ",B670*VLOOKUP(A670,'18.11-07.12.2024'!A:H,7,FALSE))</f>
        <v xml:space="preserve"> </v>
      </c>
      <c r="G670" s="7" t="str">
        <f>IF(A670=""," ",B670*VLOOKUP(A670,'18.11-07.12.2024'!A:H,8,FALSE))</f>
        <v xml:space="preserve"> </v>
      </c>
    </row>
    <row r="671" spans="1:7" ht="15" x14ac:dyDescent="0.2">
      <c r="A671" s="21"/>
      <c r="B671" s="26"/>
      <c r="C671" s="6" t="str">
        <f>IF(A671=""," ",VLOOKUP(A671,'18.11-07.12.2024'!A:H,2,FALSE))</f>
        <v xml:space="preserve"> </v>
      </c>
      <c r="D671" s="33" t="str">
        <f>IF(A671=""," ",VLOOKUP(A671,'18.11-07.12.2024'!A:H,5,FALSE))</f>
        <v xml:space="preserve"> </v>
      </c>
      <c r="E671" s="7" t="str">
        <f>IF(A671=""," ",B671*VLOOKUP(A671,'18.11-07.12.2024'!A:H,6,FALSE))</f>
        <v xml:space="preserve"> </v>
      </c>
      <c r="F671" s="7" t="str">
        <f>IF(A671=""," ",B671*VLOOKUP(A671,'18.11-07.12.2024'!A:H,7,FALSE))</f>
        <v xml:space="preserve"> </v>
      </c>
      <c r="G671" s="7" t="str">
        <f>IF(A671=""," ",B671*VLOOKUP(A671,'18.11-07.12.2024'!A:H,8,FALSE))</f>
        <v xml:space="preserve"> </v>
      </c>
    </row>
    <row r="672" spans="1:7" ht="15" x14ac:dyDescent="0.2">
      <c r="A672" s="21"/>
      <c r="B672" s="26"/>
      <c r="C672" s="6" t="str">
        <f>IF(A672=""," ",VLOOKUP(A672,'18.11-07.12.2024'!A:H,2,FALSE))</f>
        <v xml:space="preserve"> </v>
      </c>
      <c r="D672" s="33" t="str">
        <f>IF(A672=""," ",VLOOKUP(A672,'18.11-07.12.2024'!A:H,5,FALSE))</f>
        <v xml:space="preserve"> </v>
      </c>
      <c r="E672" s="7" t="str">
        <f>IF(A672=""," ",B672*VLOOKUP(A672,'18.11-07.12.2024'!A:H,6,FALSE))</f>
        <v xml:space="preserve"> </v>
      </c>
      <c r="F672" s="7" t="str">
        <f>IF(A672=""," ",B672*VLOOKUP(A672,'18.11-07.12.2024'!A:H,7,FALSE))</f>
        <v xml:space="preserve"> </v>
      </c>
      <c r="G672" s="7" t="str">
        <f>IF(A672=""," ",B672*VLOOKUP(A672,'18.11-07.12.2024'!A:H,8,FALSE))</f>
        <v xml:space="preserve"> </v>
      </c>
    </row>
    <row r="673" spans="1:7" ht="15" x14ac:dyDescent="0.2">
      <c r="A673" s="21"/>
      <c r="B673" s="26"/>
      <c r="C673" s="6" t="str">
        <f>IF(A673=""," ",VLOOKUP(A673,'18.11-07.12.2024'!A:H,2,FALSE))</f>
        <v xml:space="preserve"> </v>
      </c>
      <c r="D673" s="33" t="str">
        <f>IF(A673=""," ",VLOOKUP(A673,'18.11-07.12.2024'!A:H,5,FALSE))</f>
        <v xml:space="preserve"> </v>
      </c>
      <c r="E673" s="7" t="str">
        <f>IF(A673=""," ",B673*VLOOKUP(A673,'18.11-07.12.2024'!A:H,6,FALSE))</f>
        <v xml:space="preserve"> </v>
      </c>
      <c r="F673" s="7" t="str">
        <f>IF(A673=""," ",B673*VLOOKUP(A673,'18.11-07.12.2024'!A:H,7,FALSE))</f>
        <v xml:space="preserve"> </v>
      </c>
      <c r="G673" s="7" t="str">
        <f>IF(A673=""," ",B673*VLOOKUP(A673,'18.11-07.12.2024'!A:H,8,FALSE))</f>
        <v xml:space="preserve"> </v>
      </c>
    </row>
    <row r="674" spans="1:7" ht="15" x14ac:dyDescent="0.2">
      <c r="A674" s="21"/>
      <c r="B674" s="26"/>
      <c r="C674" s="6" t="str">
        <f>IF(A674=""," ",VLOOKUP(A674,'18.11-07.12.2024'!A:H,2,FALSE))</f>
        <v xml:space="preserve"> </v>
      </c>
      <c r="D674" s="33" t="str">
        <f>IF(A674=""," ",VLOOKUP(A674,'18.11-07.12.2024'!A:H,5,FALSE))</f>
        <v xml:space="preserve"> </v>
      </c>
      <c r="E674" s="7" t="str">
        <f>IF(A674=""," ",B674*VLOOKUP(A674,'18.11-07.12.2024'!A:H,6,FALSE))</f>
        <v xml:space="preserve"> </v>
      </c>
      <c r="F674" s="7" t="str">
        <f>IF(A674=""," ",B674*VLOOKUP(A674,'18.11-07.12.2024'!A:H,7,FALSE))</f>
        <v xml:space="preserve"> </v>
      </c>
      <c r="G674" s="7" t="str">
        <f>IF(A674=""," ",B674*VLOOKUP(A674,'18.11-07.12.2024'!A:H,8,FALSE))</f>
        <v xml:space="preserve"> </v>
      </c>
    </row>
    <row r="675" spans="1:7" ht="15" x14ac:dyDescent="0.2">
      <c r="A675" s="21"/>
      <c r="B675" s="26"/>
      <c r="C675" s="6" t="str">
        <f>IF(A675=""," ",VLOOKUP(A675,'18.11-07.12.2024'!A:H,2,FALSE))</f>
        <v xml:space="preserve"> </v>
      </c>
      <c r="D675" s="33" t="str">
        <f>IF(A675=""," ",VLOOKUP(A675,'18.11-07.12.2024'!A:H,5,FALSE))</f>
        <v xml:space="preserve"> </v>
      </c>
      <c r="E675" s="7" t="str">
        <f>IF(A675=""," ",B675*VLOOKUP(A675,'18.11-07.12.2024'!A:H,6,FALSE))</f>
        <v xml:space="preserve"> </v>
      </c>
      <c r="F675" s="7" t="str">
        <f>IF(A675=""," ",B675*VLOOKUP(A675,'18.11-07.12.2024'!A:H,7,FALSE))</f>
        <v xml:space="preserve"> </v>
      </c>
      <c r="G675" s="7" t="str">
        <f>IF(A675=""," ",B675*VLOOKUP(A675,'18.11-07.12.2024'!A:H,8,FALSE))</f>
        <v xml:space="preserve"> </v>
      </c>
    </row>
    <row r="676" spans="1:7" ht="15" x14ac:dyDescent="0.2">
      <c r="A676" s="21"/>
      <c r="B676" s="26"/>
      <c r="C676" s="6" t="str">
        <f>IF(A676=""," ",VLOOKUP(A676,'18.11-07.12.2024'!A:H,2,FALSE))</f>
        <v xml:space="preserve"> </v>
      </c>
      <c r="D676" s="33" t="str">
        <f>IF(A676=""," ",VLOOKUP(A676,'18.11-07.12.2024'!A:H,5,FALSE))</f>
        <v xml:space="preserve"> </v>
      </c>
      <c r="E676" s="7" t="str">
        <f>IF(A676=""," ",B676*VLOOKUP(A676,'18.11-07.12.2024'!A:H,6,FALSE))</f>
        <v xml:space="preserve"> </v>
      </c>
      <c r="F676" s="7" t="str">
        <f>IF(A676=""," ",B676*VLOOKUP(A676,'18.11-07.12.2024'!A:H,7,FALSE))</f>
        <v xml:space="preserve"> </v>
      </c>
      <c r="G676" s="7" t="str">
        <f>IF(A676=""," ",B676*VLOOKUP(A676,'18.11-07.12.2024'!A:H,8,FALSE))</f>
        <v xml:space="preserve"> </v>
      </c>
    </row>
    <row r="677" spans="1:7" ht="15" x14ac:dyDescent="0.2">
      <c r="A677" s="21"/>
      <c r="B677" s="26"/>
      <c r="C677" s="6" t="str">
        <f>IF(A677=""," ",VLOOKUP(A677,'18.11-07.12.2024'!A:H,2,FALSE))</f>
        <v xml:space="preserve"> </v>
      </c>
      <c r="D677" s="33" t="str">
        <f>IF(A677=""," ",VLOOKUP(A677,'18.11-07.12.2024'!A:H,5,FALSE))</f>
        <v xml:space="preserve"> </v>
      </c>
      <c r="E677" s="7" t="str">
        <f>IF(A677=""," ",B677*VLOOKUP(A677,'18.11-07.12.2024'!A:H,6,FALSE))</f>
        <v xml:space="preserve"> </v>
      </c>
      <c r="F677" s="7" t="str">
        <f>IF(A677=""," ",B677*VLOOKUP(A677,'18.11-07.12.2024'!A:H,7,FALSE))</f>
        <v xml:space="preserve"> </v>
      </c>
      <c r="G677" s="7" t="str">
        <f>IF(A677=""," ",B677*VLOOKUP(A677,'18.11-07.12.2024'!A:H,8,FALSE))</f>
        <v xml:space="preserve"> </v>
      </c>
    </row>
    <row r="678" spans="1:7" ht="15" x14ac:dyDescent="0.2">
      <c r="A678" s="21"/>
      <c r="B678" s="26"/>
      <c r="C678" s="6" t="str">
        <f>IF(A678=""," ",VLOOKUP(A678,'18.11-07.12.2024'!A:H,2,FALSE))</f>
        <v xml:space="preserve"> </v>
      </c>
      <c r="D678" s="33" t="str">
        <f>IF(A678=""," ",VLOOKUP(A678,'18.11-07.12.2024'!A:H,5,FALSE))</f>
        <v xml:space="preserve"> </v>
      </c>
      <c r="E678" s="7" t="str">
        <f>IF(A678=""," ",B678*VLOOKUP(A678,'18.11-07.12.2024'!A:H,6,FALSE))</f>
        <v xml:space="preserve"> </v>
      </c>
      <c r="F678" s="7" t="str">
        <f>IF(A678=""," ",B678*VLOOKUP(A678,'18.11-07.12.2024'!A:H,7,FALSE))</f>
        <v xml:space="preserve"> </v>
      </c>
      <c r="G678" s="7" t="str">
        <f>IF(A678=""," ",B678*VLOOKUP(A678,'18.11-07.12.2024'!A:H,8,FALSE))</f>
        <v xml:space="preserve"> </v>
      </c>
    </row>
    <row r="679" spans="1:7" ht="15" x14ac:dyDescent="0.2">
      <c r="A679" s="21"/>
      <c r="B679" s="26"/>
      <c r="C679" s="6" t="str">
        <f>IF(A679=""," ",VLOOKUP(A679,'18.11-07.12.2024'!A:H,2,FALSE))</f>
        <v xml:space="preserve"> </v>
      </c>
      <c r="D679" s="33" t="str">
        <f>IF(A679=""," ",VLOOKUP(A679,'18.11-07.12.2024'!A:H,5,FALSE))</f>
        <v xml:space="preserve"> </v>
      </c>
      <c r="E679" s="7" t="str">
        <f>IF(A679=""," ",B679*VLOOKUP(A679,'18.11-07.12.2024'!A:H,6,FALSE))</f>
        <v xml:space="preserve"> </v>
      </c>
      <c r="F679" s="7" t="str">
        <f>IF(A679=""," ",B679*VLOOKUP(A679,'18.11-07.12.2024'!A:H,7,FALSE))</f>
        <v xml:space="preserve"> </v>
      </c>
      <c r="G679" s="7" t="str">
        <f>IF(A679=""," ",B679*VLOOKUP(A679,'18.11-07.12.2024'!A:H,8,FALSE))</f>
        <v xml:space="preserve"> </v>
      </c>
    </row>
    <row r="680" spans="1:7" ht="15" x14ac:dyDescent="0.2">
      <c r="A680" s="21"/>
      <c r="B680" s="26"/>
      <c r="C680" s="6" t="str">
        <f>IF(A680=""," ",VLOOKUP(A680,'18.11-07.12.2024'!A:H,2,FALSE))</f>
        <v xml:space="preserve"> </v>
      </c>
      <c r="D680" s="33" t="str">
        <f>IF(A680=""," ",VLOOKUP(A680,'18.11-07.12.2024'!A:H,5,FALSE))</f>
        <v xml:space="preserve"> </v>
      </c>
      <c r="E680" s="7" t="str">
        <f>IF(A680=""," ",B680*VLOOKUP(A680,'18.11-07.12.2024'!A:H,6,FALSE))</f>
        <v xml:space="preserve"> </v>
      </c>
      <c r="F680" s="7" t="str">
        <f>IF(A680=""," ",B680*VLOOKUP(A680,'18.11-07.12.2024'!A:H,7,FALSE))</f>
        <v xml:space="preserve"> </v>
      </c>
      <c r="G680" s="7" t="str">
        <f>IF(A680=""," ",B680*VLOOKUP(A680,'18.11-07.12.2024'!A:H,8,FALSE))</f>
        <v xml:space="preserve"> </v>
      </c>
    </row>
    <row r="681" spans="1:7" ht="15" x14ac:dyDescent="0.2">
      <c r="A681" s="21"/>
      <c r="B681" s="26"/>
      <c r="C681" s="6" t="str">
        <f>IF(A681=""," ",VLOOKUP(A681,'18.11-07.12.2024'!A:H,2,FALSE))</f>
        <v xml:space="preserve"> </v>
      </c>
      <c r="D681" s="33" t="str">
        <f>IF(A681=""," ",VLOOKUP(A681,'18.11-07.12.2024'!A:H,5,FALSE))</f>
        <v xml:space="preserve"> </v>
      </c>
      <c r="E681" s="7" t="str">
        <f>IF(A681=""," ",B681*VLOOKUP(A681,'18.11-07.12.2024'!A:H,6,FALSE))</f>
        <v xml:space="preserve"> </v>
      </c>
      <c r="F681" s="7" t="str">
        <f>IF(A681=""," ",B681*VLOOKUP(A681,'18.11-07.12.2024'!A:H,7,FALSE))</f>
        <v xml:space="preserve"> </v>
      </c>
      <c r="G681" s="7" t="str">
        <f>IF(A681=""," ",B681*VLOOKUP(A681,'18.11-07.12.2024'!A:H,8,FALSE))</f>
        <v xml:space="preserve"> </v>
      </c>
    </row>
    <row r="682" spans="1:7" ht="15" x14ac:dyDescent="0.2">
      <c r="A682" s="21"/>
      <c r="B682" s="26"/>
      <c r="C682" s="6" t="str">
        <f>IF(A682=""," ",VLOOKUP(A682,'18.11-07.12.2024'!A:H,2,FALSE))</f>
        <v xml:space="preserve"> </v>
      </c>
      <c r="D682" s="33" t="str">
        <f>IF(A682=""," ",VLOOKUP(A682,'18.11-07.12.2024'!A:H,5,FALSE))</f>
        <v xml:space="preserve"> </v>
      </c>
      <c r="E682" s="7" t="str">
        <f>IF(A682=""," ",B682*VLOOKUP(A682,'18.11-07.12.2024'!A:H,6,FALSE))</f>
        <v xml:space="preserve"> </v>
      </c>
      <c r="F682" s="7" t="str">
        <f>IF(A682=""," ",B682*VLOOKUP(A682,'18.11-07.12.2024'!A:H,7,FALSE))</f>
        <v xml:space="preserve"> </v>
      </c>
      <c r="G682" s="7" t="str">
        <f>IF(A682=""," ",B682*VLOOKUP(A682,'18.11-07.12.2024'!A:H,8,FALSE))</f>
        <v xml:space="preserve"> </v>
      </c>
    </row>
    <row r="683" spans="1:7" ht="15" x14ac:dyDescent="0.2">
      <c r="A683" s="21"/>
      <c r="B683" s="26"/>
      <c r="C683" s="6" t="str">
        <f>IF(A683=""," ",VLOOKUP(A683,'18.11-07.12.2024'!A:H,2,FALSE))</f>
        <v xml:space="preserve"> </v>
      </c>
      <c r="D683" s="33" t="str">
        <f>IF(A683=""," ",VLOOKUP(A683,'18.11-07.12.2024'!A:H,5,FALSE))</f>
        <v xml:space="preserve"> </v>
      </c>
      <c r="E683" s="7" t="str">
        <f>IF(A683=""," ",B683*VLOOKUP(A683,'18.11-07.12.2024'!A:H,6,FALSE))</f>
        <v xml:space="preserve"> </v>
      </c>
      <c r="F683" s="7" t="str">
        <f>IF(A683=""," ",B683*VLOOKUP(A683,'18.11-07.12.2024'!A:H,7,FALSE))</f>
        <v xml:space="preserve"> </v>
      </c>
      <c r="G683" s="7" t="str">
        <f>IF(A683=""," ",B683*VLOOKUP(A683,'18.11-07.12.2024'!A:H,8,FALSE))</f>
        <v xml:space="preserve"> </v>
      </c>
    </row>
    <row r="684" spans="1:7" ht="15" x14ac:dyDescent="0.2">
      <c r="A684" s="21"/>
      <c r="B684" s="26"/>
      <c r="C684" s="6" t="str">
        <f>IF(A684=""," ",VLOOKUP(A684,'18.11-07.12.2024'!A:H,2,FALSE))</f>
        <v xml:space="preserve"> </v>
      </c>
      <c r="D684" s="33" t="str">
        <f>IF(A684=""," ",VLOOKUP(A684,'18.11-07.12.2024'!A:H,5,FALSE))</f>
        <v xml:space="preserve"> </v>
      </c>
      <c r="E684" s="7" t="str">
        <f>IF(A684=""," ",B684*VLOOKUP(A684,'18.11-07.12.2024'!A:H,6,FALSE))</f>
        <v xml:space="preserve"> </v>
      </c>
      <c r="F684" s="7" t="str">
        <f>IF(A684=""," ",B684*VLOOKUP(A684,'18.11-07.12.2024'!A:H,7,FALSE))</f>
        <v xml:space="preserve"> </v>
      </c>
      <c r="G684" s="7" t="str">
        <f>IF(A684=""," ",B684*VLOOKUP(A684,'18.11-07.12.2024'!A:H,8,FALSE))</f>
        <v xml:space="preserve"> </v>
      </c>
    </row>
    <row r="685" spans="1:7" ht="15" x14ac:dyDescent="0.2">
      <c r="A685" s="21"/>
      <c r="B685" s="26"/>
      <c r="C685" s="6" t="str">
        <f>IF(A685=""," ",VLOOKUP(A685,'18.11-07.12.2024'!A:H,2,FALSE))</f>
        <v xml:space="preserve"> </v>
      </c>
      <c r="D685" s="33" t="str">
        <f>IF(A685=""," ",VLOOKUP(A685,'18.11-07.12.2024'!A:H,5,FALSE))</f>
        <v xml:space="preserve"> </v>
      </c>
      <c r="E685" s="7" t="str">
        <f>IF(A685=""," ",B685*VLOOKUP(A685,'18.11-07.12.2024'!A:H,6,FALSE))</f>
        <v xml:space="preserve"> </v>
      </c>
      <c r="F685" s="7" t="str">
        <f>IF(A685=""," ",B685*VLOOKUP(A685,'18.11-07.12.2024'!A:H,7,FALSE))</f>
        <v xml:space="preserve"> </v>
      </c>
      <c r="G685" s="7" t="str">
        <f>IF(A685=""," ",B685*VLOOKUP(A685,'18.11-07.12.2024'!A:H,8,FALSE))</f>
        <v xml:space="preserve"> </v>
      </c>
    </row>
    <row r="686" spans="1:7" ht="15" x14ac:dyDescent="0.2">
      <c r="A686" s="21"/>
      <c r="B686" s="26"/>
      <c r="C686" s="6" t="str">
        <f>IF(A686=""," ",VLOOKUP(A686,'18.11-07.12.2024'!A:H,2,FALSE))</f>
        <v xml:space="preserve"> </v>
      </c>
      <c r="D686" s="33" t="str">
        <f>IF(A686=""," ",VLOOKUP(A686,'18.11-07.12.2024'!A:H,5,FALSE))</f>
        <v xml:space="preserve"> </v>
      </c>
      <c r="E686" s="7" t="str">
        <f>IF(A686=""," ",B686*VLOOKUP(A686,'18.11-07.12.2024'!A:H,6,FALSE))</f>
        <v xml:space="preserve"> </v>
      </c>
      <c r="F686" s="7" t="str">
        <f>IF(A686=""," ",B686*VLOOKUP(A686,'18.11-07.12.2024'!A:H,7,FALSE))</f>
        <v xml:space="preserve"> </v>
      </c>
      <c r="G686" s="7" t="str">
        <f>IF(A686=""," ",B686*VLOOKUP(A686,'18.11-07.12.2024'!A:H,8,FALSE))</f>
        <v xml:space="preserve"> </v>
      </c>
    </row>
    <row r="687" spans="1:7" ht="15" x14ac:dyDescent="0.2">
      <c r="A687" s="21"/>
      <c r="B687" s="26"/>
      <c r="C687" s="6" t="str">
        <f>IF(A687=""," ",VLOOKUP(A687,'18.11-07.12.2024'!A:H,2,FALSE))</f>
        <v xml:space="preserve"> </v>
      </c>
      <c r="D687" s="33" t="str">
        <f>IF(A687=""," ",VLOOKUP(A687,'18.11-07.12.2024'!A:H,5,FALSE))</f>
        <v xml:space="preserve"> </v>
      </c>
      <c r="E687" s="7" t="str">
        <f>IF(A687=""," ",B687*VLOOKUP(A687,'18.11-07.12.2024'!A:H,6,FALSE))</f>
        <v xml:space="preserve"> </v>
      </c>
      <c r="F687" s="7" t="str">
        <f>IF(A687=""," ",B687*VLOOKUP(A687,'18.11-07.12.2024'!A:H,7,FALSE))</f>
        <v xml:space="preserve"> </v>
      </c>
      <c r="G687" s="7" t="str">
        <f>IF(A687=""," ",B687*VLOOKUP(A687,'18.11-07.12.2024'!A:H,8,FALSE))</f>
        <v xml:space="preserve"> </v>
      </c>
    </row>
    <row r="688" spans="1:7" ht="15" x14ac:dyDescent="0.2">
      <c r="A688" s="21"/>
      <c r="B688" s="26"/>
      <c r="C688" s="6" t="str">
        <f>IF(A688=""," ",VLOOKUP(A688,'18.11-07.12.2024'!A:H,2,FALSE))</f>
        <v xml:space="preserve"> </v>
      </c>
      <c r="D688" s="33" t="str">
        <f>IF(A688=""," ",VLOOKUP(A688,'18.11-07.12.2024'!A:H,5,FALSE))</f>
        <v xml:space="preserve"> </v>
      </c>
      <c r="E688" s="7" t="str">
        <f>IF(A688=""," ",B688*VLOOKUP(A688,'18.11-07.12.2024'!A:H,6,FALSE))</f>
        <v xml:space="preserve"> </v>
      </c>
      <c r="F688" s="7" t="str">
        <f>IF(A688=""," ",B688*VLOOKUP(A688,'18.11-07.12.2024'!A:H,7,FALSE))</f>
        <v xml:space="preserve"> </v>
      </c>
      <c r="G688" s="7" t="str">
        <f>IF(A688=""," ",B688*VLOOKUP(A688,'18.11-07.12.2024'!A:H,8,FALSE))</f>
        <v xml:space="preserve"> </v>
      </c>
    </row>
    <row r="689" spans="1:7" ht="15" x14ac:dyDescent="0.2">
      <c r="A689" s="21"/>
      <c r="B689" s="26"/>
      <c r="C689" s="6" t="str">
        <f>IF(A689=""," ",VLOOKUP(A689,'18.11-07.12.2024'!A:H,2,FALSE))</f>
        <v xml:space="preserve"> </v>
      </c>
      <c r="D689" s="33" t="str">
        <f>IF(A689=""," ",VLOOKUP(A689,'18.11-07.12.2024'!A:H,5,FALSE))</f>
        <v xml:space="preserve"> </v>
      </c>
      <c r="E689" s="7" t="str">
        <f>IF(A689=""," ",B689*VLOOKUP(A689,'18.11-07.12.2024'!A:H,6,FALSE))</f>
        <v xml:space="preserve"> </v>
      </c>
      <c r="F689" s="7" t="str">
        <f>IF(A689=""," ",B689*VLOOKUP(A689,'18.11-07.12.2024'!A:H,7,FALSE))</f>
        <v xml:space="preserve"> </v>
      </c>
      <c r="G689" s="7" t="str">
        <f>IF(A689=""," ",B689*VLOOKUP(A689,'18.11-07.12.2024'!A:H,8,FALSE))</f>
        <v xml:space="preserve"> </v>
      </c>
    </row>
    <row r="690" spans="1:7" ht="15" x14ac:dyDescent="0.2">
      <c r="A690" s="21"/>
      <c r="B690" s="26"/>
      <c r="C690" s="6" t="str">
        <f>IF(A690=""," ",VLOOKUP(A690,'18.11-07.12.2024'!A:H,2,FALSE))</f>
        <v xml:space="preserve"> </v>
      </c>
      <c r="D690" s="33" t="str">
        <f>IF(A690=""," ",VLOOKUP(A690,'18.11-07.12.2024'!A:H,5,FALSE))</f>
        <v xml:space="preserve"> </v>
      </c>
      <c r="E690" s="7" t="str">
        <f>IF(A690=""," ",B690*VLOOKUP(A690,'18.11-07.12.2024'!A:H,6,FALSE))</f>
        <v xml:space="preserve"> </v>
      </c>
      <c r="F690" s="7" t="str">
        <f>IF(A690=""," ",B690*VLOOKUP(A690,'18.11-07.12.2024'!A:H,7,FALSE))</f>
        <v xml:space="preserve"> </v>
      </c>
      <c r="G690" s="7" t="str">
        <f>IF(A690=""," ",B690*VLOOKUP(A690,'18.11-07.12.2024'!A:H,8,FALSE))</f>
        <v xml:space="preserve"> </v>
      </c>
    </row>
    <row r="691" spans="1:7" ht="15" x14ac:dyDescent="0.2">
      <c r="A691" s="21"/>
      <c r="B691" s="26"/>
      <c r="C691" s="6" t="str">
        <f>IF(A691=""," ",VLOOKUP(A691,'18.11-07.12.2024'!A:H,2,FALSE))</f>
        <v xml:space="preserve"> </v>
      </c>
      <c r="D691" s="33" t="str">
        <f>IF(A691=""," ",VLOOKUP(A691,'18.11-07.12.2024'!A:H,5,FALSE))</f>
        <v xml:space="preserve"> </v>
      </c>
      <c r="E691" s="7" t="str">
        <f>IF(A691=""," ",B691*VLOOKUP(A691,'18.11-07.12.2024'!A:H,6,FALSE))</f>
        <v xml:space="preserve"> </v>
      </c>
      <c r="F691" s="7" t="str">
        <f>IF(A691=""," ",B691*VLOOKUP(A691,'18.11-07.12.2024'!A:H,7,FALSE))</f>
        <v xml:space="preserve"> </v>
      </c>
      <c r="G691" s="7" t="str">
        <f>IF(A691=""," ",B691*VLOOKUP(A691,'18.11-07.12.2024'!A:H,8,FALSE))</f>
        <v xml:space="preserve"> </v>
      </c>
    </row>
    <row r="692" spans="1:7" ht="15" x14ac:dyDescent="0.2">
      <c r="A692" s="21"/>
      <c r="B692" s="26"/>
      <c r="C692" s="6" t="str">
        <f>IF(A692=""," ",VLOOKUP(A692,'18.11-07.12.2024'!A:H,2,FALSE))</f>
        <v xml:space="preserve"> </v>
      </c>
      <c r="D692" s="33" t="str">
        <f>IF(A692=""," ",VLOOKUP(A692,'18.11-07.12.2024'!A:H,5,FALSE))</f>
        <v xml:space="preserve"> </v>
      </c>
      <c r="E692" s="7" t="str">
        <f>IF(A692=""," ",B692*VLOOKUP(A692,'18.11-07.12.2024'!A:H,6,FALSE))</f>
        <v xml:space="preserve"> </v>
      </c>
      <c r="F692" s="7" t="str">
        <f>IF(A692=""," ",B692*VLOOKUP(A692,'18.11-07.12.2024'!A:H,7,FALSE))</f>
        <v xml:space="preserve"> </v>
      </c>
      <c r="G692" s="7" t="str">
        <f>IF(A692=""," ",B692*VLOOKUP(A692,'18.11-07.12.2024'!A:H,8,FALSE))</f>
        <v xml:space="preserve"> </v>
      </c>
    </row>
    <row r="693" spans="1:7" ht="15" x14ac:dyDescent="0.2">
      <c r="A693" s="21"/>
      <c r="B693" s="26"/>
      <c r="C693" s="6" t="str">
        <f>IF(A693=""," ",VLOOKUP(A693,'18.11-07.12.2024'!A:H,2,FALSE))</f>
        <v xml:space="preserve"> </v>
      </c>
      <c r="D693" s="33" t="str">
        <f>IF(A693=""," ",VLOOKUP(A693,'18.11-07.12.2024'!A:H,5,FALSE))</f>
        <v xml:space="preserve"> </v>
      </c>
      <c r="E693" s="7" t="str">
        <f>IF(A693=""," ",B693*VLOOKUP(A693,'18.11-07.12.2024'!A:H,6,FALSE))</f>
        <v xml:space="preserve"> </v>
      </c>
      <c r="F693" s="7" t="str">
        <f>IF(A693=""," ",B693*VLOOKUP(A693,'18.11-07.12.2024'!A:H,7,FALSE))</f>
        <v xml:space="preserve"> </v>
      </c>
      <c r="G693" s="7" t="str">
        <f>IF(A693=""," ",B693*VLOOKUP(A693,'18.11-07.12.2024'!A:H,8,FALSE))</f>
        <v xml:space="preserve"> </v>
      </c>
    </row>
    <row r="694" spans="1:7" ht="15" x14ac:dyDescent="0.2">
      <c r="A694" s="21"/>
      <c r="B694" s="26"/>
      <c r="C694" s="6" t="str">
        <f>IF(A694=""," ",VLOOKUP(A694,'18.11-07.12.2024'!A:H,2,FALSE))</f>
        <v xml:space="preserve"> </v>
      </c>
      <c r="D694" s="33" t="str">
        <f>IF(A694=""," ",VLOOKUP(A694,'18.11-07.12.2024'!A:H,5,FALSE))</f>
        <v xml:space="preserve"> </v>
      </c>
      <c r="E694" s="7" t="str">
        <f>IF(A694=""," ",B694*VLOOKUP(A694,'18.11-07.12.2024'!A:H,6,FALSE))</f>
        <v xml:space="preserve"> </v>
      </c>
      <c r="F694" s="7" t="str">
        <f>IF(A694=""," ",B694*VLOOKUP(A694,'18.11-07.12.2024'!A:H,7,FALSE))</f>
        <v xml:space="preserve"> </v>
      </c>
      <c r="G694" s="7" t="str">
        <f>IF(A694=""," ",B694*VLOOKUP(A694,'18.11-07.12.2024'!A:H,8,FALSE))</f>
        <v xml:space="preserve"> </v>
      </c>
    </row>
    <row r="695" spans="1:7" ht="15" x14ac:dyDescent="0.2">
      <c r="A695" s="21"/>
      <c r="B695" s="26"/>
      <c r="C695" s="6" t="str">
        <f>IF(A695=""," ",VLOOKUP(A695,'18.11-07.12.2024'!A:H,2,FALSE))</f>
        <v xml:space="preserve"> </v>
      </c>
      <c r="D695" s="33" t="str">
        <f>IF(A695=""," ",VLOOKUP(A695,'18.11-07.12.2024'!A:H,5,FALSE))</f>
        <v xml:space="preserve"> </v>
      </c>
      <c r="E695" s="7" t="str">
        <f>IF(A695=""," ",B695*VLOOKUP(A695,'18.11-07.12.2024'!A:H,6,FALSE))</f>
        <v xml:space="preserve"> </v>
      </c>
      <c r="F695" s="7" t="str">
        <f>IF(A695=""," ",B695*VLOOKUP(A695,'18.11-07.12.2024'!A:H,7,FALSE))</f>
        <v xml:space="preserve"> </v>
      </c>
      <c r="G695" s="7" t="str">
        <f>IF(A695=""," ",B695*VLOOKUP(A695,'18.11-07.12.2024'!A:H,8,FALSE))</f>
        <v xml:space="preserve"> </v>
      </c>
    </row>
    <row r="696" spans="1:7" ht="15" x14ac:dyDescent="0.2">
      <c r="A696" s="21"/>
      <c r="B696" s="26"/>
      <c r="C696" s="6" t="str">
        <f>IF(A696=""," ",VLOOKUP(A696,'18.11-07.12.2024'!A:H,2,FALSE))</f>
        <v xml:space="preserve"> </v>
      </c>
      <c r="D696" s="33" t="str">
        <f>IF(A696=""," ",VLOOKUP(A696,'18.11-07.12.2024'!A:H,5,FALSE))</f>
        <v xml:space="preserve"> </v>
      </c>
      <c r="E696" s="7" t="str">
        <f>IF(A696=""," ",B696*VLOOKUP(A696,'18.11-07.12.2024'!A:H,6,FALSE))</f>
        <v xml:space="preserve"> </v>
      </c>
      <c r="F696" s="7" t="str">
        <f>IF(A696=""," ",B696*VLOOKUP(A696,'18.11-07.12.2024'!A:H,7,FALSE))</f>
        <v xml:space="preserve"> </v>
      </c>
      <c r="G696" s="7" t="str">
        <f>IF(A696=""," ",B696*VLOOKUP(A696,'18.11-07.12.2024'!A:H,8,FALSE))</f>
        <v xml:space="preserve"> </v>
      </c>
    </row>
    <row r="697" spans="1:7" ht="15" x14ac:dyDescent="0.2">
      <c r="A697" s="21"/>
      <c r="B697" s="26"/>
      <c r="C697" s="6" t="str">
        <f>IF(A697=""," ",VLOOKUP(A697,'18.11-07.12.2024'!A:H,2,FALSE))</f>
        <v xml:space="preserve"> </v>
      </c>
      <c r="D697" s="33" t="str">
        <f>IF(A697=""," ",VLOOKUP(A697,'18.11-07.12.2024'!A:H,5,FALSE))</f>
        <v xml:space="preserve"> </v>
      </c>
      <c r="E697" s="7" t="str">
        <f>IF(A697=""," ",B697*VLOOKUP(A697,'18.11-07.12.2024'!A:H,6,FALSE))</f>
        <v xml:space="preserve"> </v>
      </c>
      <c r="F697" s="7" t="str">
        <f>IF(A697=""," ",B697*VLOOKUP(A697,'18.11-07.12.2024'!A:H,7,FALSE))</f>
        <v xml:space="preserve"> </v>
      </c>
      <c r="G697" s="7" t="str">
        <f>IF(A697=""," ",B697*VLOOKUP(A697,'18.11-07.12.2024'!A:H,8,FALSE))</f>
        <v xml:space="preserve"> </v>
      </c>
    </row>
    <row r="698" spans="1:7" ht="15" x14ac:dyDescent="0.2">
      <c r="A698" s="21"/>
      <c r="B698" s="26"/>
      <c r="C698" s="6" t="str">
        <f>IF(A698=""," ",VLOOKUP(A698,'18.11-07.12.2024'!A:H,2,FALSE))</f>
        <v xml:space="preserve"> </v>
      </c>
      <c r="D698" s="33" t="str">
        <f>IF(A698=""," ",VLOOKUP(A698,'18.11-07.12.2024'!A:H,5,FALSE))</f>
        <v xml:space="preserve"> </v>
      </c>
      <c r="E698" s="7" t="str">
        <f>IF(A698=""," ",B698*VLOOKUP(A698,'18.11-07.12.2024'!A:H,6,FALSE))</f>
        <v xml:space="preserve"> </v>
      </c>
      <c r="F698" s="7" t="str">
        <f>IF(A698=""," ",B698*VLOOKUP(A698,'18.11-07.12.2024'!A:H,7,FALSE))</f>
        <v xml:space="preserve"> </v>
      </c>
      <c r="G698" s="7" t="str">
        <f>IF(A698=""," ",B698*VLOOKUP(A698,'18.11-07.12.2024'!A:H,8,FALSE))</f>
        <v xml:space="preserve"> </v>
      </c>
    </row>
    <row r="699" spans="1:7" ht="15" x14ac:dyDescent="0.2">
      <c r="A699" s="21"/>
      <c r="B699" s="26"/>
      <c r="C699" s="6" t="str">
        <f>IF(A699=""," ",VLOOKUP(A699,'18.11-07.12.2024'!A:H,2,FALSE))</f>
        <v xml:space="preserve"> </v>
      </c>
      <c r="D699" s="33" t="str">
        <f>IF(A699=""," ",VLOOKUP(A699,'18.11-07.12.2024'!A:H,5,FALSE))</f>
        <v xml:space="preserve"> </v>
      </c>
      <c r="E699" s="7" t="str">
        <f>IF(A699=""," ",B699*VLOOKUP(A699,'18.11-07.12.2024'!A:H,6,FALSE))</f>
        <v xml:space="preserve"> </v>
      </c>
      <c r="F699" s="7" t="str">
        <f>IF(A699=""," ",B699*VLOOKUP(A699,'18.11-07.12.2024'!A:H,7,FALSE))</f>
        <v xml:space="preserve"> </v>
      </c>
      <c r="G699" s="7" t="str">
        <f>IF(A699=""," ",B699*VLOOKUP(A699,'18.11-07.12.2024'!A:H,8,FALSE))</f>
        <v xml:space="preserve"> </v>
      </c>
    </row>
    <row r="700" spans="1:7" ht="15" x14ac:dyDescent="0.2">
      <c r="A700" s="21"/>
      <c r="B700" s="26"/>
      <c r="C700" s="6" t="str">
        <f>IF(A700=""," ",VLOOKUP(A700,'18.11-07.12.2024'!A:H,2,FALSE))</f>
        <v xml:space="preserve"> </v>
      </c>
      <c r="D700" s="33" t="str">
        <f>IF(A700=""," ",VLOOKUP(A700,'18.11-07.12.2024'!A:H,5,FALSE))</f>
        <v xml:space="preserve"> </v>
      </c>
      <c r="E700" s="7" t="str">
        <f>IF(A700=""," ",B700*VLOOKUP(A700,'18.11-07.12.2024'!A:H,6,FALSE))</f>
        <v xml:space="preserve"> </v>
      </c>
      <c r="F700" s="7" t="str">
        <f>IF(A700=""," ",B700*VLOOKUP(A700,'18.11-07.12.2024'!A:H,7,FALSE))</f>
        <v xml:space="preserve"> </v>
      </c>
      <c r="G700" s="7" t="str">
        <f>IF(A700=""," ",B700*VLOOKUP(A700,'18.11-07.12.2024'!A:H,8,FALSE))</f>
        <v xml:space="preserve"> </v>
      </c>
    </row>
    <row r="701" spans="1:7" ht="15" x14ac:dyDescent="0.2">
      <c r="A701" s="21"/>
      <c r="B701" s="26"/>
      <c r="C701" s="6" t="str">
        <f>IF(A701=""," ",VLOOKUP(A701,'18.11-07.12.2024'!A:H,2,FALSE))</f>
        <v xml:space="preserve"> </v>
      </c>
      <c r="D701" s="33" t="str">
        <f>IF(A701=""," ",VLOOKUP(A701,'18.11-07.12.2024'!A:H,5,FALSE))</f>
        <v xml:space="preserve"> </v>
      </c>
      <c r="E701" s="7" t="str">
        <f>IF(A701=""," ",B701*VLOOKUP(A701,'18.11-07.12.2024'!A:H,6,FALSE))</f>
        <v xml:space="preserve"> </v>
      </c>
      <c r="F701" s="7" t="str">
        <f>IF(A701=""," ",B701*VLOOKUP(A701,'18.11-07.12.2024'!A:H,7,FALSE))</f>
        <v xml:space="preserve"> </v>
      </c>
      <c r="G701" s="7" t="str">
        <f>IF(A701=""," ",B701*VLOOKUP(A701,'18.11-07.12.2024'!A:H,8,FALSE))</f>
        <v xml:space="preserve"> </v>
      </c>
    </row>
    <row r="702" spans="1:7" ht="15" x14ac:dyDescent="0.2">
      <c r="A702" s="21"/>
      <c r="B702" s="26"/>
      <c r="C702" s="6" t="str">
        <f>IF(A702=""," ",VLOOKUP(A702,'18.11-07.12.2024'!A:H,2,FALSE))</f>
        <v xml:space="preserve"> </v>
      </c>
      <c r="D702" s="33" t="str">
        <f>IF(A702=""," ",VLOOKUP(A702,'18.11-07.12.2024'!A:H,5,FALSE))</f>
        <v xml:space="preserve"> </v>
      </c>
      <c r="E702" s="7" t="str">
        <f>IF(A702=""," ",B702*VLOOKUP(A702,'18.11-07.12.2024'!A:H,6,FALSE))</f>
        <v xml:space="preserve"> </v>
      </c>
      <c r="F702" s="7" t="str">
        <f>IF(A702=""," ",B702*VLOOKUP(A702,'18.11-07.12.2024'!A:H,7,FALSE))</f>
        <v xml:space="preserve"> </v>
      </c>
      <c r="G702" s="7" t="str">
        <f>IF(A702=""," ",B702*VLOOKUP(A702,'18.11-07.12.2024'!A:H,8,FALSE))</f>
        <v xml:space="preserve"> </v>
      </c>
    </row>
    <row r="703" spans="1:7" ht="15" x14ac:dyDescent="0.2">
      <c r="A703" s="21"/>
      <c r="B703" s="26"/>
      <c r="C703" s="6" t="str">
        <f>IF(A703=""," ",VLOOKUP(A703,'18.11-07.12.2024'!A:H,2,FALSE))</f>
        <v xml:space="preserve"> </v>
      </c>
      <c r="D703" s="33" t="str">
        <f>IF(A703=""," ",VLOOKUP(A703,'18.11-07.12.2024'!A:H,5,FALSE))</f>
        <v xml:space="preserve"> </v>
      </c>
      <c r="E703" s="7" t="str">
        <f>IF(A703=""," ",B703*VLOOKUP(A703,'18.11-07.12.2024'!A:H,6,FALSE))</f>
        <v xml:space="preserve"> </v>
      </c>
      <c r="F703" s="7" t="str">
        <f>IF(A703=""," ",B703*VLOOKUP(A703,'18.11-07.12.2024'!A:H,7,FALSE))</f>
        <v xml:space="preserve"> </v>
      </c>
      <c r="G703" s="7" t="str">
        <f>IF(A703=""," ",B703*VLOOKUP(A703,'18.11-07.12.2024'!A:H,8,FALSE))</f>
        <v xml:space="preserve"> </v>
      </c>
    </row>
    <row r="704" spans="1:7" ht="15" x14ac:dyDescent="0.2">
      <c r="A704" s="21"/>
      <c r="B704" s="26"/>
      <c r="C704" s="6" t="str">
        <f>IF(A704=""," ",VLOOKUP(A704,'18.11-07.12.2024'!A:H,2,FALSE))</f>
        <v xml:space="preserve"> </v>
      </c>
      <c r="D704" s="33" t="str">
        <f>IF(A704=""," ",VLOOKUP(A704,'18.11-07.12.2024'!A:H,5,FALSE))</f>
        <v xml:space="preserve"> </v>
      </c>
      <c r="E704" s="7" t="str">
        <f>IF(A704=""," ",B704*VLOOKUP(A704,'18.11-07.12.2024'!A:H,6,FALSE))</f>
        <v xml:space="preserve"> </v>
      </c>
      <c r="F704" s="7" t="str">
        <f>IF(A704=""," ",B704*VLOOKUP(A704,'18.11-07.12.2024'!A:H,7,FALSE))</f>
        <v xml:space="preserve"> </v>
      </c>
      <c r="G704" s="7" t="str">
        <f>IF(A704=""," ",B704*VLOOKUP(A704,'18.11-07.12.2024'!A:H,8,FALSE))</f>
        <v xml:space="preserve"> </v>
      </c>
    </row>
    <row r="705" spans="1:7" ht="15" x14ac:dyDescent="0.2">
      <c r="A705" s="21"/>
      <c r="B705" s="26"/>
      <c r="C705" s="6" t="str">
        <f>IF(A705=""," ",VLOOKUP(A705,'18.11-07.12.2024'!A:H,2,FALSE))</f>
        <v xml:space="preserve"> </v>
      </c>
      <c r="D705" s="33" t="str">
        <f>IF(A705=""," ",VLOOKUP(A705,'18.11-07.12.2024'!A:H,5,FALSE))</f>
        <v xml:space="preserve"> </v>
      </c>
      <c r="E705" s="7" t="str">
        <f>IF(A705=""," ",B705*VLOOKUP(A705,'18.11-07.12.2024'!A:H,6,FALSE))</f>
        <v xml:space="preserve"> </v>
      </c>
      <c r="F705" s="7" t="str">
        <f>IF(A705=""," ",B705*VLOOKUP(A705,'18.11-07.12.2024'!A:H,7,FALSE))</f>
        <v xml:space="preserve"> </v>
      </c>
      <c r="G705" s="7" t="str">
        <f>IF(A705=""," ",B705*VLOOKUP(A705,'18.11-07.12.2024'!A:H,8,FALSE))</f>
        <v xml:space="preserve"> </v>
      </c>
    </row>
    <row r="706" spans="1:7" ht="15" x14ac:dyDescent="0.2">
      <c r="A706" s="21"/>
      <c r="B706" s="26"/>
      <c r="C706" s="6" t="str">
        <f>IF(A706=""," ",VLOOKUP(A706,'18.11-07.12.2024'!A:H,2,FALSE))</f>
        <v xml:space="preserve"> </v>
      </c>
      <c r="D706" s="33" t="str">
        <f>IF(A706=""," ",VLOOKUP(A706,'18.11-07.12.2024'!A:H,5,FALSE))</f>
        <v xml:space="preserve"> </v>
      </c>
      <c r="E706" s="7" t="str">
        <f>IF(A706=""," ",B706*VLOOKUP(A706,'18.11-07.12.2024'!A:H,6,FALSE))</f>
        <v xml:space="preserve"> </v>
      </c>
      <c r="F706" s="7" t="str">
        <f>IF(A706=""," ",B706*VLOOKUP(A706,'18.11-07.12.2024'!A:H,7,FALSE))</f>
        <v xml:space="preserve"> </v>
      </c>
      <c r="G706" s="7" t="str">
        <f>IF(A706=""," ",B706*VLOOKUP(A706,'18.11-07.12.2024'!A:H,8,FALSE))</f>
        <v xml:space="preserve"> </v>
      </c>
    </row>
    <row r="707" spans="1:7" ht="15" x14ac:dyDescent="0.2">
      <c r="A707" s="21"/>
      <c r="B707" s="26"/>
      <c r="C707" s="6" t="str">
        <f>IF(A707=""," ",VLOOKUP(A707,'18.11-07.12.2024'!A:H,2,FALSE))</f>
        <v xml:space="preserve"> </v>
      </c>
      <c r="D707" s="33" t="str">
        <f>IF(A707=""," ",VLOOKUP(A707,'18.11-07.12.2024'!A:H,5,FALSE))</f>
        <v xml:space="preserve"> </v>
      </c>
      <c r="E707" s="7" t="str">
        <f>IF(A707=""," ",B707*VLOOKUP(A707,'18.11-07.12.2024'!A:H,6,FALSE))</f>
        <v xml:space="preserve"> </v>
      </c>
      <c r="F707" s="7" t="str">
        <f>IF(A707=""," ",B707*VLOOKUP(A707,'18.11-07.12.2024'!A:H,7,FALSE))</f>
        <v xml:space="preserve"> </v>
      </c>
      <c r="G707" s="7" t="str">
        <f>IF(A707=""," ",B707*VLOOKUP(A707,'18.11-07.12.2024'!A:H,8,FALSE))</f>
        <v xml:space="preserve"> </v>
      </c>
    </row>
    <row r="708" spans="1:7" ht="15" x14ac:dyDescent="0.2">
      <c r="A708" s="21"/>
      <c r="B708" s="26"/>
      <c r="C708" s="6" t="str">
        <f>IF(A708=""," ",VLOOKUP(A708,'18.11-07.12.2024'!A:H,2,FALSE))</f>
        <v xml:space="preserve"> </v>
      </c>
      <c r="D708" s="33" t="str">
        <f>IF(A708=""," ",VLOOKUP(A708,'18.11-07.12.2024'!A:H,5,FALSE))</f>
        <v xml:space="preserve"> </v>
      </c>
      <c r="E708" s="7" t="str">
        <f>IF(A708=""," ",B708*VLOOKUP(A708,'18.11-07.12.2024'!A:H,6,FALSE))</f>
        <v xml:space="preserve"> </v>
      </c>
      <c r="F708" s="7" t="str">
        <f>IF(A708=""," ",B708*VLOOKUP(A708,'18.11-07.12.2024'!A:H,7,FALSE))</f>
        <v xml:space="preserve"> </v>
      </c>
      <c r="G708" s="7" t="str">
        <f>IF(A708=""," ",B708*VLOOKUP(A708,'18.11-07.12.2024'!A:H,8,FALSE))</f>
        <v xml:space="preserve"> </v>
      </c>
    </row>
    <row r="709" spans="1:7" ht="15" x14ac:dyDescent="0.2">
      <c r="A709" s="21"/>
      <c r="B709" s="26"/>
      <c r="C709" s="6" t="str">
        <f>IF(A709=""," ",VLOOKUP(A709,'18.11-07.12.2024'!A:H,2,FALSE))</f>
        <v xml:space="preserve"> </v>
      </c>
      <c r="D709" s="33" t="str">
        <f>IF(A709=""," ",VLOOKUP(A709,'18.11-07.12.2024'!A:H,5,FALSE))</f>
        <v xml:space="preserve"> </v>
      </c>
      <c r="E709" s="7" t="str">
        <f>IF(A709=""," ",B709*VLOOKUP(A709,'18.11-07.12.2024'!A:H,6,FALSE))</f>
        <v xml:space="preserve"> </v>
      </c>
      <c r="F709" s="7" t="str">
        <f>IF(A709=""," ",B709*VLOOKUP(A709,'18.11-07.12.2024'!A:H,7,FALSE))</f>
        <v xml:space="preserve"> </v>
      </c>
      <c r="G709" s="7" t="str">
        <f>IF(A709=""," ",B709*VLOOKUP(A709,'18.11-07.12.2024'!A:H,8,FALSE))</f>
        <v xml:space="preserve"> </v>
      </c>
    </row>
    <row r="710" spans="1:7" ht="15" x14ac:dyDescent="0.2">
      <c r="A710" s="21"/>
      <c r="B710" s="26"/>
      <c r="C710" s="6" t="str">
        <f>IF(A710=""," ",VLOOKUP(A710,'18.11-07.12.2024'!A:H,2,FALSE))</f>
        <v xml:space="preserve"> </v>
      </c>
      <c r="D710" s="33" t="str">
        <f>IF(A710=""," ",VLOOKUP(A710,'18.11-07.12.2024'!A:H,5,FALSE))</f>
        <v xml:space="preserve"> </v>
      </c>
      <c r="E710" s="7" t="str">
        <f>IF(A710=""," ",B710*VLOOKUP(A710,'18.11-07.12.2024'!A:H,6,FALSE))</f>
        <v xml:space="preserve"> </v>
      </c>
      <c r="F710" s="7" t="str">
        <f>IF(A710=""," ",B710*VLOOKUP(A710,'18.11-07.12.2024'!A:H,7,FALSE))</f>
        <v xml:space="preserve"> </v>
      </c>
      <c r="G710" s="7" t="str">
        <f>IF(A710=""," ",B710*VLOOKUP(A710,'18.11-07.12.2024'!A:H,8,FALSE))</f>
        <v xml:space="preserve"> </v>
      </c>
    </row>
    <row r="711" spans="1:7" ht="15" x14ac:dyDescent="0.2">
      <c r="A711" s="21"/>
      <c r="B711" s="26"/>
      <c r="C711" s="6" t="str">
        <f>IF(A711=""," ",VLOOKUP(A711,'18.11-07.12.2024'!A:H,2,FALSE))</f>
        <v xml:space="preserve"> </v>
      </c>
      <c r="D711" s="33" t="str">
        <f>IF(A711=""," ",VLOOKUP(A711,'18.11-07.12.2024'!A:H,5,FALSE))</f>
        <v xml:space="preserve"> </v>
      </c>
      <c r="E711" s="7" t="str">
        <f>IF(A711=""," ",B711*VLOOKUP(A711,'18.11-07.12.2024'!A:H,6,FALSE))</f>
        <v xml:space="preserve"> </v>
      </c>
      <c r="F711" s="7" t="str">
        <f>IF(A711=""," ",B711*VLOOKUP(A711,'18.11-07.12.2024'!A:H,7,FALSE))</f>
        <v xml:space="preserve"> </v>
      </c>
      <c r="G711" s="7" t="str">
        <f>IF(A711=""," ",B711*VLOOKUP(A711,'18.11-07.12.2024'!A:H,8,FALSE))</f>
        <v xml:space="preserve"> </v>
      </c>
    </row>
    <row r="712" spans="1:7" ht="15" x14ac:dyDescent="0.2">
      <c r="A712" s="21"/>
      <c r="B712" s="26"/>
      <c r="C712" s="6" t="str">
        <f>IF(A712=""," ",VLOOKUP(A712,'18.11-07.12.2024'!A:H,2,FALSE))</f>
        <v xml:space="preserve"> </v>
      </c>
      <c r="D712" s="33" t="str">
        <f>IF(A712=""," ",VLOOKUP(A712,'18.11-07.12.2024'!A:H,5,FALSE))</f>
        <v xml:space="preserve"> </v>
      </c>
      <c r="E712" s="7" t="str">
        <f>IF(A712=""," ",B712*VLOOKUP(A712,'18.11-07.12.2024'!A:H,6,FALSE))</f>
        <v xml:space="preserve"> </v>
      </c>
      <c r="F712" s="7" t="str">
        <f>IF(A712=""," ",B712*VLOOKUP(A712,'18.11-07.12.2024'!A:H,7,FALSE))</f>
        <v xml:space="preserve"> </v>
      </c>
      <c r="G712" s="7" t="str">
        <f>IF(A712=""," ",B712*VLOOKUP(A712,'18.11-07.12.2024'!A:H,8,FALSE))</f>
        <v xml:space="preserve"> </v>
      </c>
    </row>
    <row r="713" spans="1:7" ht="15" x14ac:dyDescent="0.2">
      <c r="A713" s="21"/>
      <c r="B713" s="26"/>
      <c r="C713" s="6" t="str">
        <f>IF(A713=""," ",VLOOKUP(A713,'18.11-07.12.2024'!A:H,2,FALSE))</f>
        <v xml:space="preserve"> </v>
      </c>
      <c r="D713" s="33" t="str">
        <f>IF(A713=""," ",VLOOKUP(A713,'18.11-07.12.2024'!A:H,5,FALSE))</f>
        <v xml:space="preserve"> </v>
      </c>
      <c r="E713" s="7" t="str">
        <f>IF(A713=""," ",B713*VLOOKUP(A713,'18.11-07.12.2024'!A:H,6,FALSE))</f>
        <v xml:space="preserve"> </v>
      </c>
      <c r="F713" s="7" t="str">
        <f>IF(A713=""," ",B713*VLOOKUP(A713,'18.11-07.12.2024'!A:H,7,FALSE))</f>
        <v xml:space="preserve"> </v>
      </c>
      <c r="G713" s="7" t="str">
        <f>IF(A713=""," ",B713*VLOOKUP(A713,'18.11-07.12.2024'!A:H,8,FALSE))</f>
        <v xml:space="preserve"> </v>
      </c>
    </row>
    <row r="714" spans="1:7" ht="15" x14ac:dyDescent="0.2">
      <c r="A714" s="21"/>
      <c r="B714" s="26"/>
      <c r="C714" s="6" t="str">
        <f>IF(A714=""," ",VLOOKUP(A714,'18.11-07.12.2024'!A:H,2,FALSE))</f>
        <v xml:space="preserve"> </v>
      </c>
      <c r="D714" s="33" t="str">
        <f>IF(A714=""," ",VLOOKUP(A714,'18.11-07.12.2024'!A:H,5,FALSE))</f>
        <v xml:space="preserve"> </v>
      </c>
      <c r="E714" s="7" t="str">
        <f>IF(A714=""," ",B714*VLOOKUP(A714,'18.11-07.12.2024'!A:H,6,FALSE))</f>
        <v xml:space="preserve"> </v>
      </c>
      <c r="F714" s="7" t="str">
        <f>IF(A714=""," ",B714*VLOOKUP(A714,'18.11-07.12.2024'!A:H,7,FALSE))</f>
        <v xml:space="preserve"> </v>
      </c>
      <c r="G714" s="7" t="str">
        <f>IF(A714=""," ",B714*VLOOKUP(A714,'18.11-07.12.2024'!A:H,8,FALSE))</f>
        <v xml:space="preserve"> </v>
      </c>
    </row>
    <row r="715" spans="1:7" ht="15" x14ac:dyDescent="0.2">
      <c r="A715" s="21"/>
      <c r="B715" s="26"/>
      <c r="C715" s="6" t="str">
        <f>IF(A715=""," ",VLOOKUP(A715,'18.11-07.12.2024'!A:H,2,FALSE))</f>
        <v xml:space="preserve"> </v>
      </c>
      <c r="D715" s="33" t="str">
        <f>IF(A715=""," ",VLOOKUP(A715,'18.11-07.12.2024'!A:H,5,FALSE))</f>
        <v xml:space="preserve"> </v>
      </c>
      <c r="E715" s="7" t="str">
        <f>IF(A715=""," ",B715*VLOOKUP(A715,'18.11-07.12.2024'!A:H,6,FALSE))</f>
        <v xml:space="preserve"> </v>
      </c>
      <c r="F715" s="7" t="str">
        <f>IF(A715=""," ",B715*VLOOKUP(A715,'18.11-07.12.2024'!A:H,7,FALSE))</f>
        <v xml:space="preserve"> </v>
      </c>
      <c r="G715" s="7" t="str">
        <f>IF(A715=""," ",B715*VLOOKUP(A715,'18.11-07.12.2024'!A:H,8,FALSE))</f>
        <v xml:space="preserve"> </v>
      </c>
    </row>
    <row r="716" spans="1:7" ht="15" x14ac:dyDescent="0.2">
      <c r="A716" s="21"/>
      <c r="B716" s="26"/>
      <c r="C716" s="6" t="str">
        <f>IF(A716=""," ",VLOOKUP(A716,'18.11-07.12.2024'!A:H,2,FALSE))</f>
        <v xml:space="preserve"> </v>
      </c>
      <c r="D716" s="33" t="str">
        <f>IF(A716=""," ",VLOOKUP(A716,'18.11-07.12.2024'!A:H,5,FALSE))</f>
        <v xml:space="preserve"> </v>
      </c>
      <c r="E716" s="7" t="str">
        <f>IF(A716=""," ",B716*VLOOKUP(A716,'18.11-07.12.2024'!A:H,6,FALSE))</f>
        <v xml:space="preserve"> </v>
      </c>
      <c r="F716" s="7" t="str">
        <f>IF(A716=""," ",B716*VLOOKUP(A716,'18.11-07.12.2024'!A:H,7,FALSE))</f>
        <v xml:space="preserve"> </v>
      </c>
      <c r="G716" s="7" t="str">
        <f>IF(A716=""," ",B716*VLOOKUP(A716,'18.11-07.12.2024'!A:H,8,FALSE))</f>
        <v xml:space="preserve"> </v>
      </c>
    </row>
    <row r="717" spans="1:7" ht="15" x14ac:dyDescent="0.2">
      <c r="A717" s="21"/>
      <c r="B717" s="26"/>
      <c r="C717" s="6" t="str">
        <f>IF(A717=""," ",VLOOKUP(A717,'18.11-07.12.2024'!A:H,2,FALSE))</f>
        <v xml:space="preserve"> </v>
      </c>
      <c r="D717" s="33" t="str">
        <f>IF(A717=""," ",VLOOKUP(A717,'18.11-07.12.2024'!A:H,5,FALSE))</f>
        <v xml:space="preserve"> </v>
      </c>
      <c r="E717" s="7" t="str">
        <f>IF(A717=""," ",B717*VLOOKUP(A717,'18.11-07.12.2024'!A:H,6,FALSE))</f>
        <v xml:space="preserve"> </v>
      </c>
      <c r="F717" s="7" t="str">
        <f>IF(A717=""," ",B717*VLOOKUP(A717,'18.11-07.12.2024'!A:H,7,FALSE))</f>
        <v xml:space="preserve"> </v>
      </c>
      <c r="G717" s="7" t="str">
        <f>IF(A717=""," ",B717*VLOOKUP(A717,'18.11-07.12.2024'!A:H,8,FALSE))</f>
        <v xml:space="preserve"> </v>
      </c>
    </row>
    <row r="718" spans="1:7" ht="15" x14ac:dyDescent="0.2">
      <c r="A718" s="21"/>
      <c r="B718" s="26"/>
      <c r="C718" s="6" t="str">
        <f>IF(A718=""," ",VLOOKUP(A718,'18.11-07.12.2024'!A:H,2,FALSE))</f>
        <v xml:space="preserve"> </v>
      </c>
      <c r="D718" s="33" t="str">
        <f>IF(A718=""," ",VLOOKUP(A718,'18.11-07.12.2024'!A:H,5,FALSE))</f>
        <v xml:space="preserve"> </v>
      </c>
      <c r="E718" s="7" t="str">
        <f>IF(A718=""," ",B718*VLOOKUP(A718,'18.11-07.12.2024'!A:H,6,FALSE))</f>
        <v xml:space="preserve"> </v>
      </c>
      <c r="F718" s="7" t="str">
        <f>IF(A718=""," ",B718*VLOOKUP(A718,'18.11-07.12.2024'!A:H,7,FALSE))</f>
        <v xml:space="preserve"> </v>
      </c>
      <c r="G718" s="7" t="str">
        <f>IF(A718=""," ",B718*VLOOKUP(A718,'18.11-07.12.2024'!A:H,8,FALSE))</f>
        <v xml:space="preserve"> </v>
      </c>
    </row>
    <row r="719" spans="1:7" ht="15" x14ac:dyDescent="0.2">
      <c r="A719" s="21"/>
      <c r="B719" s="26"/>
      <c r="C719" s="6" t="str">
        <f>IF(A719=""," ",VLOOKUP(A719,'18.11-07.12.2024'!A:H,2,FALSE))</f>
        <v xml:space="preserve"> </v>
      </c>
      <c r="D719" s="33" t="str">
        <f>IF(A719=""," ",VLOOKUP(A719,'18.11-07.12.2024'!A:H,5,FALSE))</f>
        <v xml:space="preserve"> </v>
      </c>
      <c r="E719" s="7" t="str">
        <f>IF(A719=""," ",B719*VLOOKUP(A719,'18.11-07.12.2024'!A:H,6,FALSE))</f>
        <v xml:space="preserve"> </v>
      </c>
      <c r="F719" s="7" t="str">
        <f>IF(A719=""," ",B719*VLOOKUP(A719,'18.11-07.12.2024'!A:H,7,FALSE))</f>
        <v xml:space="preserve"> </v>
      </c>
      <c r="G719" s="7" t="str">
        <f>IF(A719=""," ",B719*VLOOKUP(A719,'18.11-07.12.2024'!A:H,8,FALSE))</f>
        <v xml:space="preserve"> </v>
      </c>
    </row>
    <row r="720" spans="1:7" ht="15" x14ac:dyDescent="0.2">
      <c r="A720" s="21"/>
      <c r="B720" s="26"/>
      <c r="C720" s="6" t="str">
        <f>IF(A720=""," ",VLOOKUP(A720,'18.11-07.12.2024'!A:H,2,FALSE))</f>
        <v xml:space="preserve"> </v>
      </c>
      <c r="D720" s="33" t="str">
        <f>IF(A720=""," ",VLOOKUP(A720,'18.11-07.12.2024'!A:H,5,FALSE))</f>
        <v xml:space="preserve"> </v>
      </c>
      <c r="E720" s="7" t="str">
        <f>IF(A720=""," ",B720*VLOOKUP(A720,'18.11-07.12.2024'!A:H,6,FALSE))</f>
        <v xml:space="preserve"> </v>
      </c>
      <c r="F720" s="7" t="str">
        <f>IF(A720=""," ",B720*VLOOKUP(A720,'18.11-07.12.2024'!A:H,7,FALSE))</f>
        <v xml:space="preserve"> </v>
      </c>
      <c r="G720" s="7" t="str">
        <f>IF(A720=""," ",B720*VLOOKUP(A720,'18.11-07.12.2024'!A:H,8,FALSE))</f>
        <v xml:space="preserve"> </v>
      </c>
    </row>
    <row r="721" spans="1:7" ht="15" x14ac:dyDescent="0.2">
      <c r="A721" s="21"/>
      <c r="B721" s="26"/>
      <c r="C721" s="6" t="str">
        <f>IF(A721=""," ",VLOOKUP(A721,'18.11-07.12.2024'!A:H,2,FALSE))</f>
        <v xml:space="preserve"> </v>
      </c>
      <c r="D721" s="33" t="str">
        <f>IF(A721=""," ",VLOOKUP(A721,'18.11-07.12.2024'!A:H,5,FALSE))</f>
        <v xml:space="preserve"> </v>
      </c>
      <c r="E721" s="7" t="str">
        <f>IF(A721=""," ",B721*VLOOKUP(A721,'18.11-07.12.2024'!A:H,6,FALSE))</f>
        <v xml:space="preserve"> </v>
      </c>
      <c r="F721" s="7" t="str">
        <f>IF(A721=""," ",B721*VLOOKUP(A721,'18.11-07.12.2024'!A:H,7,FALSE))</f>
        <v xml:space="preserve"> </v>
      </c>
      <c r="G721" s="7" t="str">
        <f>IF(A721=""," ",B721*VLOOKUP(A721,'18.11-07.12.2024'!A:H,8,FALSE))</f>
        <v xml:space="preserve"> </v>
      </c>
    </row>
    <row r="722" spans="1:7" ht="15" x14ac:dyDescent="0.2">
      <c r="A722" s="21"/>
      <c r="B722" s="26"/>
      <c r="C722" s="6" t="str">
        <f>IF(A722=""," ",VLOOKUP(A722,'18.11-07.12.2024'!A:H,2,FALSE))</f>
        <v xml:space="preserve"> </v>
      </c>
      <c r="D722" s="33" t="str">
        <f>IF(A722=""," ",VLOOKUP(A722,'18.11-07.12.2024'!A:H,5,FALSE))</f>
        <v xml:space="preserve"> </v>
      </c>
      <c r="E722" s="7" t="str">
        <f>IF(A722=""," ",B722*VLOOKUP(A722,'18.11-07.12.2024'!A:H,6,FALSE))</f>
        <v xml:space="preserve"> </v>
      </c>
      <c r="F722" s="7" t="str">
        <f>IF(A722=""," ",B722*VLOOKUP(A722,'18.11-07.12.2024'!A:H,7,FALSE))</f>
        <v xml:space="preserve"> </v>
      </c>
      <c r="G722" s="7" t="str">
        <f>IF(A722=""," ",B722*VLOOKUP(A722,'18.11-07.12.2024'!A:H,8,FALSE))</f>
        <v xml:space="preserve"> </v>
      </c>
    </row>
    <row r="723" spans="1:7" ht="15" x14ac:dyDescent="0.2">
      <c r="A723" s="21"/>
      <c r="B723" s="26"/>
      <c r="C723" s="6" t="str">
        <f>IF(A723=""," ",VLOOKUP(A723,'18.11-07.12.2024'!A:H,2,FALSE))</f>
        <v xml:space="preserve"> </v>
      </c>
      <c r="D723" s="33" t="str">
        <f>IF(A723=""," ",VLOOKUP(A723,'18.11-07.12.2024'!A:H,5,FALSE))</f>
        <v xml:space="preserve"> </v>
      </c>
      <c r="E723" s="7" t="str">
        <f>IF(A723=""," ",B723*VLOOKUP(A723,'18.11-07.12.2024'!A:H,6,FALSE))</f>
        <v xml:space="preserve"> </v>
      </c>
      <c r="F723" s="7" t="str">
        <f>IF(A723=""," ",B723*VLOOKUP(A723,'18.11-07.12.2024'!A:H,7,FALSE))</f>
        <v xml:space="preserve"> </v>
      </c>
      <c r="G723" s="7" t="str">
        <f>IF(A723=""," ",B723*VLOOKUP(A723,'18.11-07.12.2024'!A:H,8,FALSE))</f>
        <v xml:space="preserve"> </v>
      </c>
    </row>
    <row r="724" spans="1:7" ht="15" x14ac:dyDescent="0.2">
      <c r="A724" s="21"/>
      <c r="B724" s="26"/>
      <c r="C724" s="6" t="str">
        <f>IF(A724=""," ",VLOOKUP(A724,'18.11-07.12.2024'!A:H,2,FALSE))</f>
        <v xml:space="preserve"> </v>
      </c>
      <c r="D724" s="33" t="str">
        <f>IF(A724=""," ",VLOOKUP(A724,'18.11-07.12.2024'!A:H,5,FALSE))</f>
        <v xml:space="preserve"> </v>
      </c>
      <c r="E724" s="7" t="str">
        <f>IF(A724=""," ",B724*VLOOKUP(A724,'18.11-07.12.2024'!A:H,6,FALSE))</f>
        <v xml:space="preserve"> </v>
      </c>
      <c r="F724" s="7" t="str">
        <f>IF(A724=""," ",B724*VLOOKUP(A724,'18.11-07.12.2024'!A:H,7,FALSE))</f>
        <v xml:space="preserve"> </v>
      </c>
      <c r="G724" s="7" t="str">
        <f>IF(A724=""," ",B724*VLOOKUP(A724,'18.11-07.12.2024'!A:H,8,FALSE))</f>
        <v xml:space="preserve"> </v>
      </c>
    </row>
    <row r="725" spans="1:7" ht="15" x14ac:dyDescent="0.2">
      <c r="A725" s="21"/>
      <c r="B725" s="26"/>
      <c r="C725" s="6" t="str">
        <f>IF(A725=""," ",VLOOKUP(A725,'18.11-07.12.2024'!A:H,2,FALSE))</f>
        <v xml:space="preserve"> </v>
      </c>
      <c r="D725" s="33" t="str">
        <f>IF(A725=""," ",VLOOKUP(A725,'18.11-07.12.2024'!A:H,5,FALSE))</f>
        <v xml:space="preserve"> </v>
      </c>
      <c r="E725" s="7" t="str">
        <f>IF(A725=""," ",B725*VLOOKUP(A725,'18.11-07.12.2024'!A:H,6,FALSE))</f>
        <v xml:space="preserve"> </v>
      </c>
      <c r="F725" s="7" t="str">
        <f>IF(A725=""," ",B725*VLOOKUP(A725,'18.11-07.12.2024'!A:H,7,FALSE))</f>
        <v xml:space="preserve"> </v>
      </c>
      <c r="G725" s="7" t="str">
        <f>IF(A725=""," ",B725*VLOOKUP(A725,'18.11-07.12.2024'!A:H,8,FALSE))</f>
        <v xml:space="preserve"> </v>
      </c>
    </row>
    <row r="726" spans="1:7" ht="15" x14ac:dyDescent="0.2">
      <c r="A726" s="21"/>
      <c r="B726" s="26"/>
      <c r="C726" s="6" t="str">
        <f>IF(A726=""," ",VLOOKUP(A726,'18.11-07.12.2024'!A:H,2,FALSE))</f>
        <v xml:space="preserve"> </v>
      </c>
      <c r="D726" s="33" t="str">
        <f>IF(A726=""," ",VLOOKUP(A726,'18.11-07.12.2024'!A:H,5,FALSE))</f>
        <v xml:space="preserve"> </v>
      </c>
      <c r="E726" s="7" t="str">
        <f>IF(A726=""," ",B726*VLOOKUP(A726,'18.11-07.12.2024'!A:H,6,FALSE))</f>
        <v xml:space="preserve"> </v>
      </c>
      <c r="F726" s="7" t="str">
        <f>IF(A726=""," ",B726*VLOOKUP(A726,'18.11-07.12.2024'!A:H,7,FALSE))</f>
        <v xml:space="preserve"> </v>
      </c>
      <c r="G726" s="7" t="str">
        <f>IF(A726=""," ",B726*VLOOKUP(A726,'18.11-07.12.2024'!A:H,8,FALSE))</f>
        <v xml:space="preserve"> </v>
      </c>
    </row>
    <row r="727" spans="1:7" ht="15" x14ac:dyDescent="0.2">
      <c r="A727" s="21"/>
      <c r="B727" s="26"/>
      <c r="C727" s="6" t="str">
        <f>IF(A727=""," ",VLOOKUP(A727,'18.11-07.12.2024'!A:H,2,FALSE))</f>
        <v xml:space="preserve"> </v>
      </c>
      <c r="D727" s="33" t="str">
        <f>IF(A727=""," ",VLOOKUP(A727,'18.11-07.12.2024'!A:H,5,FALSE))</f>
        <v xml:space="preserve"> </v>
      </c>
      <c r="E727" s="7" t="str">
        <f>IF(A727=""," ",B727*VLOOKUP(A727,'18.11-07.12.2024'!A:H,6,FALSE))</f>
        <v xml:space="preserve"> </v>
      </c>
      <c r="F727" s="7" t="str">
        <f>IF(A727=""," ",B727*VLOOKUP(A727,'18.11-07.12.2024'!A:H,7,FALSE))</f>
        <v xml:space="preserve"> </v>
      </c>
      <c r="G727" s="7" t="str">
        <f>IF(A727=""," ",B727*VLOOKUP(A727,'18.11-07.12.2024'!A:H,8,FALSE))</f>
        <v xml:space="preserve"> </v>
      </c>
    </row>
    <row r="728" spans="1:7" ht="15" x14ac:dyDescent="0.2">
      <c r="A728" s="21"/>
      <c r="B728" s="26"/>
      <c r="C728" s="6" t="str">
        <f>IF(A728=""," ",VLOOKUP(A728,'18.11-07.12.2024'!A:H,2,FALSE))</f>
        <v xml:space="preserve"> </v>
      </c>
      <c r="D728" s="33" t="str">
        <f>IF(A728=""," ",VLOOKUP(A728,'18.11-07.12.2024'!A:H,5,FALSE))</f>
        <v xml:space="preserve"> </v>
      </c>
      <c r="E728" s="7" t="str">
        <f>IF(A728=""," ",B728*VLOOKUP(A728,'18.11-07.12.2024'!A:H,6,FALSE))</f>
        <v xml:space="preserve"> </v>
      </c>
      <c r="F728" s="7" t="str">
        <f>IF(A728=""," ",B728*VLOOKUP(A728,'18.11-07.12.2024'!A:H,7,FALSE))</f>
        <v xml:space="preserve"> </v>
      </c>
      <c r="G728" s="7" t="str">
        <f>IF(A728=""," ",B728*VLOOKUP(A728,'18.11-07.12.2024'!A:H,8,FALSE))</f>
        <v xml:space="preserve"> </v>
      </c>
    </row>
    <row r="729" spans="1:7" ht="15" x14ac:dyDescent="0.2">
      <c r="A729" s="21"/>
      <c r="B729" s="26"/>
      <c r="C729" s="6" t="str">
        <f>IF(A729=""," ",VLOOKUP(A729,'18.11-07.12.2024'!A:H,2,FALSE))</f>
        <v xml:space="preserve"> </v>
      </c>
      <c r="D729" s="33" t="str">
        <f>IF(A729=""," ",VLOOKUP(A729,'18.11-07.12.2024'!A:H,5,FALSE))</f>
        <v xml:space="preserve"> </v>
      </c>
      <c r="E729" s="7" t="str">
        <f>IF(A729=""," ",B729*VLOOKUP(A729,'18.11-07.12.2024'!A:H,6,FALSE))</f>
        <v xml:space="preserve"> </v>
      </c>
      <c r="F729" s="7" t="str">
        <f>IF(A729=""," ",B729*VLOOKUP(A729,'18.11-07.12.2024'!A:H,7,FALSE))</f>
        <v xml:space="preserve"> </v>
      </c>
      <c r="G729" s="7" t="str">
        <f>IF(A729=""," ",B729*VLOOKUP(A729,'18.11-07.12.2024'!A:H,8,FALSE))</f>
        <v xml:space="preserve"> </v>
      </c>
    </row>
    <row r="730" spans="1:7" ht="15" x14ac:dyDescent="0.2">
      <c r="A730" s="21"/>
      <c r="B730" s="26"/>
      <c r="C730" s="6" t="str">
        <f>IF(A730=""," ",VLOOKUP(A730,'18.11-07.12.2024'!A:H,2,FALSE))</f>
        <v xml:space="preserve"> </v>
      </c>
      <c r="D730" s="33" t="str">
        <f>IF(A730=""," ",VLOOKUP(A730,'18.11-07.12.2024'!A:H,5,FALSE))</f>
        <v xml:space="preserve"> </v>
      </c>
      <c r="E730" s="7" t="str">
        <f>IF(A730=""," ",B730*VLOOKUP(A730,'18.11-07.12.2024'!A:H,6,FALSE))</f>
        <v xml:space="preserve"> </v>
      </c>
      <c r="F730" s="7" t="str">
        <f>IF(A730=""," ",B730*VLOOKUP(A730,'18.11-07.12.2024'!A:H,7,FALSE))</f>
        <v xml:space="preserve"> </v>
      </c>
      <c r="G730" s="7" t="str">
        <f>IF(A730=""," ",B730*VLOOKUP(A730,'18.11-07.12.2024'!A:H,8,FALSE))</f>
        <v xml:space="preserve"> </v>
      </c>
    </row>
    <row r="731" spans="1:7" ht="15" x14ac:dyDescent="0.2">
      <c r="A731" s="21"/>
      <c r="B731" s="26"/>
      <c r="C731" s="6" t="str">
        <f>IF(A731=""," ",VLOOKUP(A731,'18.11-07.12.2024'!A:H,2,FALSE))</f>
        <v xml:space="preserve"> </v>
      </c>
      <c r="D731" s="33" t="str">
        <f>IF(A731=""," ",VLOOKUP(A731,'18.11-07.12.2024'!A:H,5,FALSE))</f>
        <v xml:space="preserve"> </v>
      </c>
      <c r="E731" s="7" t="str">
        <f>IF(A731=""," ",B731*VLOOKUP(A731,'18.11-07.12.2024'!A:H,6,FALSE))</f>
        <v xml:space="preserve"> </v>
      </c>
      <c r="F731" s="7" t="str">
        <f>IF(A731=""," ",B731*VLOOKUP(A731,'18.11-07.12.2024'!A:H,7,FALSE))</f>
        <v xml:space="preserve"> </v>
      </c>
      <c r="G731" s="7" t="str">
        <f>IF(A731=""," ",B731*VLOOKUP(A731,'18.11-07.12.2024'!A:H,8,FALSE))</f>
        <v xml:space="preserve"> </v>
      </c>
    </row>
    <row r="732" spans="1:7" ht="15" x14ac:dyDescent="0.2">
      <c r="A732" s="21"/>
      <c r="B732" s="26"/>
      <c r="C732" s="6" t="str">
        <f>IF(A732=""," ",VLOOKUP(A732,'18.11-07.12.2024'!A:H,2,FALSE))</f>
        <v xml:space="preserve"> </v>
      </c>
      <c r="D732" s="33" t="str">
        <f>IF(A732=""," ",VLOOKUP(A732,'18.11-07.12.2024'!A:H,5,FALSE))</f>
        <v xml:space="preserve"> </v>
      </c>
      <c r="E732" s="7" t="str">
        <f>IF(A732=""," ",B732*VLOOKUP(A732,'18.11-07.12.2024'!A:H,6,FALSE))</f>
        <v xml:space="preserve"> </v>
      </c>
      <c r="F732" s="7" t="str">
        <f>IF(A732=""," ",B732*VLOOKUP(A732,'18.11-07.12.2024'!A:H,7,FALSE))</f>
        <v xml:space="preserve"> </v>
      </c>
      <c r="G732" s="7" t="str">
        <f>IF(A732=""," ",B732*VLOOKUP(A732,'18.11-07.12.2024'!A:H,8,FALSE))</f>
        <v xml:space="preserve"> </v>
      </c>
    </row>
    <row r="733" spans="1:7" ht="15" x14ac:dyDescent="0.2">
      <c r="A733" s="21"/>
      <c r="B733" s="26"/>
      <c r="C733" s="6" t="str">
        <f>IF(A733=""," ",VLOOKUP(A733,'18.11-07.12.2024'!A:H,2,FALSE))</f>
        <v xml:space="preserve"> </v>
      </c>
      <c r="D733" s="33" t="str">
        <f>IF(A733=""," ",VLOOKUP(A733,'18.11-07.12.2024'!A:H,5,FALSE))</f>
        <v xml:space="preserve"> </v>
      </c>
      <c r="E733" s="7" t="str">
        <f>IF(A733=""," ",B733*VLOOKUP(A733,'18.11-07.12.2024'!A:H,6,FALSE))</f>
        <v xml:space="preserve"> </v>
      </c>
      <c r="F733" s="7" t="str">
        <f>IF(A733=""," ",B733*VLOOKUP(A733,'18.11-07.12.2024'!A:H,7,FALSE))</f>
        <v xml:space="preserve"> </v>
      </c>
      <c r="G733" s="7" t="str">
        <f>IF(A733=""," ",B733*VLOOKUP(A733,'18.11-07.12.2024'!A:H,8,FALSE))</f>
        <v xml:space="preserve"> </v>
      </c>
    </row>
    <row r="734" spans="1:7" ht="15" x14ac:dyDescent="0.2">
      <c r="A734" s="21"/>
      <c r="B734" s="26"/>
      <c r="C734" s="6" t="str">
        <f>IF(A734=""," ",VLOOKUP(A734,'18.11-07.12.2024'!A:H,2,FALSE))</f>
        <v xml:space="preserve"> </v>
      </c>
      <c r="D734" s="33" t="str">
        <f>IF(A734=""," ",VLOOKUP(A734,'18.11-07.12.2024'!A:H,5,FALSE))</f>
        <v xml:space="preserve"> </v>
      </c>
      <c r="E734" s="7" t="str">
        <f>IF(A734=""," ",B734*VLOOKUP(A734,'18.11-07.12.2024'!A:H,6,FALSE))</f>
        <v xml:space="preserve"> </v>
      </c>
      <c r="F734" s="7" t="str">
        <f>IF(A734=""," ",B734*VLOOKUP(A734,'18.11-07.12.2024'!A:H,7,FALSE))</f>
        <v xml:space="preserve"> </v>
      </c>
      <c r="G734" s="7" t="str">
        <f>IF(A734=""," ",B734*VLOOKUP(A734,'18.11-07.12.2024'!A:H,8,FALSE))</f>
        <v xml:space="preserve"> </v>
      </c>
    </row>
    <row r="735" spans="1:7" ht="15" x14ac:dyDescent="0.2">
      <c r="A735" s="21"/>
      <c r="B735" s="26"/>
      <c r="C735" s="6" t="str">
        <f>IF(A735=""," ",VLOOKUP(A735,'18.11-07.12.2024'!A:H,2,FALSE))</f>
        <v xml:space="preserve"> </v>
      </c>
      <c r="D735" s="33" t="str">
        <f>IF(A735=""," ",VLOOKUP(A735,'18.11-07.12.2024'!A:H,5,FALSE))</f>
        <v xml:space="preserve"> </v>
      </c>
      <c r="E735" s="7" t="str">
        <f>IF(A735=""," ",B735*VLOOKUP(A735,'18.11-07.12.2024'!A:H,6,FALSE))</f>
        <v xml:space="preserve"> </v>
      </c>
      <c r="F735" s="7" t="str">
        <f>IF(A735=""," ",B735*VLOOKUP(A735,'18.11-07.12.2024'!A:H,7,FALSE))</f>
        <v xml:space="preserve"> </v>
      </c>
      <c r="G735" s="7" t="str">
        <f>IF(A735=""," ",B735*VLOOKUP(A735,'18.11-07.12.2024'!A:H,8,FALSE))</f>
        <v xml:space="preserve"> </v>
      </c>
    </row>
    <row r="736" spans="1:7" ht="15" x14ac:dyDescent="0.2">
      <c r="A736" s="21"/>
      <c r="B736" s="26"/>
      <c r="C736" s="6" t="str">
        <f>IF(A736=""," ",VLOOKUP(A736,'18.11-07.12.2024'!A:H,2,FALSE))</f>
        <v xml:space="preserve"> </v>
      </c>
      <c r="D736" s="33" t="str">
        <f>IF(A736=""," ",VLOOKUP(A736,'18.11-07.12.2024'!A:H,5,FALSE))</f>
        <v xml:space="preserve"> </v>
      </c>
      <c r="E736" s="7" t="str">
        <f>IF(A736=""," ",B736*VLOOKUP(A736,'18.11-07.12.2024'!A:H,6,FALSE))</f>
        <v xml:space="preserve"> </v>
      </c>
      <c r="F736" s="7" t="str">
        <f>IF(A736=""," ",B736*VLOOKUP(A736,'18.11-07.12.2024'!A:H,7,FALSE))</f>
        <v xml:space="preserve"> </v>
      </c>
      <c r="G736" s="7" t="str">
        <f>IF(A736=""," ",B736*VLOOKUP(A736,'18.11-07.12.2024'!A:H,8,FALSE))</f>
        <v xml:space="preserve"> </v>
      </c>
    </row>
    <row r="737" spans="1:7" ht="15" x14ac:dyDescent="0.2">
      <c r="A737" s="21"/>
      <c r="B737" s="26"/>
      <c r="C737" s="6" t="str">
        <f>IF(A737=""," ",VLOOKUP(A737,'18.11-07.12.2024'!A:H,2,FALSE))</f>
        <v xml:space="preserve"> </v>
      </c>
      <c r="D737" s="33" t="str">
        <f>IF(A737=""," ",VLOOKUP(A737,'18.11-07.12.2024'!A:H,5,FALSE))</f>
        <v xml:space="preserve"> </v>
      </c>
      <c r="E737" s="7" t="str">
        <f>IF(A737=""," ",B737*VLOOKUP(A737,'18.11-07.12.2024'!A:H,6,FALSE))</f>
        <v xml:space="preserve"> </v>
      </c>
      <c r="F737" s="7" t="str">
        <f>IF(A737=""," ",B737*VLOOKUP(A737,'18.11-07.12.2024'!A:H,7,FALSE))</f>
        <v xml:space="preserve"> </v>
      </c>
      <c r="G737" s="7" t="str">
        <f>IF(A737=""," ",B737*VLOOKUP(A737,'18.11-07.12.2024'!A:H,8,FALSE))</f>
        <v xml:space="preserve"> </v>
      </c>
    </row>
    <row r="738" spans="1:7" ht="15" x14ac:dyDescent="0.2">
      <c r="A738" s="21"/>
      <c r="B738" s="26"/>
      <c r="C738" s="6" t="str">
        <f>IF(A738=""," ",VLOOKUP(A738,'18.11-07.12.2024'!A:H,2,FALSE))</f>
        <v xml:space="preserve"> </v>
      </c>
      <c r="D738" s="33" t="str">
        <f>IF(A738=""," ",VLOOKUP(A738,'18.11-07.12.2024'!A:H,5,FALSE))</f>
        <v xml:space="preserve"> </v>
      </c>
      <c r="E738" s="7" t="str">
        <f>IF(A738=""," ",B738*VLOOKUP(A738,'18.11-07.12.2024'!A:H,6,FALSE))</f>
        <v xml:space="preserve"> </v>
      </c>
      <c r="F738" s="7" t="str">
        <f>IF(A738=""," ",B738*VLOOKUP(A738,'18.11-07.12.2024'!A:H,7,FALSE))</f>
        <v xml:space="preserve"> </v>
      </c>
      <c r="G738" s="7" t="str">
        <f>IF(A738=""," ",B738*VLOOKUP(A738,'18.11-07.12.2024'!A:H,8,FALSE))</f>
        <v xml:space="preserve"> </v>
      </c>
    </row>
    <row r="739" spans="1:7" ht="15" x14ac:dyDescent="0.2">
      <c r="A739" s="21"/>
      <c r="B739" s="26"/>
      <c r="C739" s="6" t="str">
        <f>IF(A739=""," ",VLOOKUP(A739,'18.11-07.12.2024'!A:H,2,FALSE))</f>
        <v xml:space="preserve"> </v>
      </c>
      <c r="D739" s="33" t="str">
        <f>IF(A739=""," ",VLOOKUP(A739,'18.11-07.12.2024'!A:H,5,FALSE))</f>
        <v xml:space="preserve"> </v>
      </c>
      <c r="E739" s="7" t="str">
        <f>IF(A739=""," ",B739*VLOOKUP(A739,'18.11-07.12.2024'!A:H,6,FALSE))</f>
        <v xml:space="preserve"> </v>
      </c>
      <c r="F739" s="7" t="str">
        <f>IF(A739=""," ",B739*VLOOKUP(A739,'18.11-07.12.2024'!A:H,7,FALSE))</f>
        <v xml:space="preserve"> </v>
      </c>
      <c r="G739" s="7" t="str">
        <f>IF(A739=""," ",B739*VLOOKUP(A739,'18.11-07.12.2024'!A:H,8,FALSE))</f>
        <v xml:space="preserve"> </v>
      </c>
    </row>
    <row r="740" spans="1:7" ht="15" x14ac:dyDescent="0.2">
      <c r="A740" s="21"/>
      <c r="B740" s="26"/>
      <c r="C740" s="6" t="str">
        <f>IF(A740=""," ",VLOOKUP(A740,'18.11-07.12.2024'!A:H,2,FALSE))</f>
        <v xml:space="preserve"> </v>
      </c>
      <c r="D740" s="33" t="str">
        <f>IF(A740=""," ",VLOOKUP(A740,'18.11-07.12.2024'!A:H,5,FALSE))</f>
        <v xml:space="preserve"> </v>
      </c>
      <c r="E740" s="7" t="str">
        <f>IF(A740=""," ",B740*VLOOKUP(A740,'18.11-07.12.2024'!A:H,6,FALSE))</f>
        <v xml:space="preserve"> </v>
      </c>
      <c r="F740" s="7" t="str">
        <f>IF(A740=""," ",B740*VLOOKUP(A740,'18.11-07.12.2024'!A:H,7,FALSE))</f>
        <v xml:space="preserve"> </v>
      </c>
      <c r="G740" s="7" t="str">
        <f>IF(A740=""," ",B740*VLOOKUP(A740,'18.11-07.12.2024'!A:H,8,FALSE))</f>
        <v xml:space="preserve"> </v>
      </c>
    </row>
    <row r="741" spans="1:7" ht="15" x14ac:dyDescent="0.2">
      <c r="A741" s="21"/>
      <c r="B741" s="26"/>
      <c r="C741" s="6" t="str">
        <f>IF(A741=""," ",VLOOKUP(A741,'18.11-07.12.2024'!A:H,2,FALSE))</f>
        <v xml:space="preserve"> </v>
      </c>
      <c r="D741" s="33" t="str">
        <f>IF(A741=""," ",VLOOKUP(A741,'18.11-07.12.2024'!A:H,5,FALSE))</f>
        <v xml:space="preserve"> </v>
      </c>
      <c r="E741" s="7" t="str">
        <f>IF(A741=""," ",B741*VLOOKUP(A741,'18.11-07.12.2024'!A:H,6,FALSE))</f>
        <v xml:space="preserve"> </v>
      </c>
      <c r="F741" s="7" t="str">
        <f>IF(A741=""," ",B741*VLOOKUP(A741,'18.11-07.12.2024'!A:H,7,FALSE))</f>
        <v xml:space="preserve"> </v>
      </c>
      <c r="G741" s="7" t="str">
        <f>IF(A741=""," ",B741*VLOOKUP(A741,'18.11-07.12.2024'!A:H,8,FALSE))</f>
        <v xml:space="preserve"> </v>
      </c>
    </row>
    <row r="742" spans="1:7" ht="15" x14ac:dyDescent="0.2">
      <c r="A742" s="21"/>
      <c r="B742" s="26"/>
      <c r="C742" s="6" t="str">
        <f>IF(A742=""," ",VLOOKUP(A742,'18.11-07.12.2024'!A:H,2,FALSE))</f>
        <v xml:space="preserve"> </v>
      </c>
      <c r="D742" s="33" t="str">
        <f>IF(A742=""," ",VLOOKUP(A742,'18.11-07.12.2024'!A:H,5,FALSE))</f>
        <v xml:space="preserve"> </v>
      </c>
      <c r="E742" s="7" t="str">
        <f>IF(A742=""," ",B742*VLOOKUP(A742,'18.11-07.12.2024'!A:H,6,FALSE))</f>
        <v xml:space="preserve"> </v>
      </c>
      <c r="F742" s="7" t="str">
        <f>IF(A742=""," ",B742*VLOOKUP(A742,'18.11-07.12.2024'!A:H,7,FALSE))</f>
        <v xml:space="preserve"> </v>
      </c>
      <c r="G742" s="7" t="str">
        <f>IF(A742=""," ",B742*VLOOKUP(A742,'18.11-07.12.2024'!A:H,8,FALSE))</f>
        <v xml:space="preserve"> </v>
      </c>
    </row>
    <row r="743" spans="1:7" ht="15" x14ac:dyDescent="0.2">
      <c r="A743" s="21"/>
      <c r="B743" s="26"/>
      <c r="C743" s="6" t="str">
        <f>IF(A743=""," ",VLOOKUP(A743,'18.11-07.12.2024'!A:H,2,FALSE))</f>
        <v xml:space="preserve"> </v>
      </c>
      <c r="D743" s="33" t="str">
        <f>IF(A743=""," ",VLOOKUP(A743,'18.11-07.12.2024'!A:H,5,FALSE))</f>
        <v xml:space="preserve"> </v>
      </c>
      <c r="E743" s="7" t="str">
        <f>IF(A743=""," ",B743*VLOOKUP(A743,'18.11-07.12.2024'!A:H,6,FALSE))</f>
        <v xml:space="preserve"> </v>
      </c>
      <c r="F743" s="7" t="str">
        <f>IF(A743=""," ",B743*VLOOKUP(A743,'18.11-07.12.2024'!A:H,7,FALSE))</f>
        <v xml:space="preserve"> </v>
      </c>
      <c r="G743" s="7" t="str">
        <f>IF(A743=""," ",B743*VLOOKUP(A743,'18.11-07.12.2024'!A:H,8,FALSE))</f>
        <v xml:space="preserve"> </v>
      </c>
    </row>
    <row r="744" spans="1:7" ht="15" x14ac:dyDescent="0.2">
      <c r="A744" s="21"/>
      <c r="B744" s="26"/>
      <c r="C744" s="6" t="str">
        <f>IF(A744=""," ",VLOOKUP(A744,'18.11-07.12.2024'!A:H,2,FALSE))</f>
        <v xml:space="preserve"> </v>
      </c>
      <c r="D744" s="33" t="str">
        <f>IF(A744=""," ",VLOOKUP(A744,'18.11-07.12.2024'!A:H,5,FALSE))</f>
        <v xml:space="preserve"> </v>
      </c>
      <c r="E744" s="7" t="str">
        <f>IF(A744=""," ",B744*VLOOKUP(A744,'18.11-07.12.2024'!A:H,6,FALSE))</f>
        <v xml:space="preserve"> </v>
      </c>
      <c r="F744" s="7" t="str">
        <f>IF(A744=""," ",B744*VLOOKUP(A744,'18.11-07.12.2024'!A:H,7,FALSE))</f>
        <v xml:space="preserve"> </v>
      </c>
      <c r="G744" s="7" t="str">
        <f>IF(A744=""," ",B744*VLOOKUP(A744,'18.11-07.12.2024'!A:H,8,FALSE))</f>
        <v xml:space="preserve"> </v>
      </c>
    </row>
    <row r="745" spans="1:7" ht="15" x14ac:dyDescent="0.2">
      <c r="A745" s="21"/>
      <c r="B745" s="26"/>
      <c r="C745" s="6" t="str">
        <f>IF(A745=""," ",VLOOKUP(A745,'18.11-07.12.2024'!A:H,2,FALSE))</f>
        <v xml:space="preserve"> </v>
      </c>
      <c r="D745" s="33" t="str">
        <f>IF(A745=""," ",VLOOKUP(A745,'18.11-07.12.2024'!A:H,5,FALSE))</f>
        <v xml:space="preserve"> </v>
      </c>
      <c r="E745" s="7" t="str">
        <f>IF(A745=""," ",B745*VLOOKUP(A745,'18.11-07.12.2024'!A:H,6,FALSE))</f>
        <v xml:space="preserve"> </v>
      </c>
      <c r="F745" s="7" t="str">
        <f>IF(A745=""," ",B745*VLOOKUP(A745,'18.11-07.12.2024'!A:H,7,FALSE))</f>
        <v xml:space="preserve"> </v>
      </c>
      <c r="G745" s="7" t="str">
        <f>IF(A745=""," ",B745*VLOOKUP(A745,'18.11-07.12.2024'!A:H,8,FALSE))</f>
        <v xml:space="preserve"> </v>
      </c>
    </row>
    <row r="746" spans="1:7" ht="15" x14ac:dyDescent="0.2">
      <c r="A746" s="21"/>
      <c r="B746" s="26"/>
      <c r="C746" s="6" t="str">
        <f>IF(A746=""," ",VLOOKUP(A746,'18.11-07.12.2024'!A:H,2,FALSE))</f>
        <v xml:space="preserve"> </v>
      </c>
      <c r="D746" s="33" t="str">
        <f>IF(A746=""," ",VLOOKUP(A746,'18.11-07.12.2024'!A:H,5,FALSE))</f>
        <v xml:space="preserve"> </v>
      </c>
      <c r="E746" s="7" t="str">
        <f>IF(A746=""," ",B746*VLOOKUP(A746,'18.11-07.12.2024'!A:H,6,FALSE))</f>
        <v xml:space="preserve"> </v>
      </c>
      <c r="F746" s="7" t="str">
        <f>IF(A746=""," ",B746*VLOOKUP(A746,'18.11-07.12.2024'!A:H,7,FALSE))</f>
        <v xml:space="preserve"> </v>
      </c>
      <c r="G746" s="7" t="str">
        <f>IF(A746=""," ",B746*VLOOKUP(A746,'18.11-07.12.2024'!A:H,8,FALSE))</f>
        <v xml:space="preserve"> </v>
      </c>
    </row>
    <row r="747" spans="1:7" ht="15" x14ac:dyDescent="0.2">
      <c r="A747" s="21"/>
      <c r="B747" s="26"/>
      <c r="C747" s="6" t="str">
        <f>IF(A747=""," ",VLOOKUP(A747,'18.11-07.12.2024'!A:H,2,FALSE))</f>
        <v xml:space="preserve"> </v>
      </c>
      <c r="D747" s="33" t="str">
        <f>IF(A747=""," ",VLOOKUP(A747,'18.11-07.12.2024'!A:H,5,FALSE))</f>
        <v xml:space="preserve"> </v>
      </c>
      <c r="E747" s="7" t="str">
        <f>IF(A747=""," ",B747*VLOOKUP(A747,'18.11-07.12.2024'!A:H,6,FALSE))</f>
        <v xml:space="preserve"> </v>
      </c>
      <c r="F747" s="7" t="str">
        <f>IF(A747=""," ",B747*VLOOKUP(A747,'18.11-07.12.2024'!A:H,7,FALSE))</f>
        <v xml:space="preserve"> </v>
      </c>
      <c r="G747" s="7" t="str">
        <f>IF(A747=""," ",B747*VLOOKUP(A747,'18.11-07.12.2024'!A:H,8,FALSE))</f>
        <v xml:space="preserve"> </v>
      </c>
    </row>
    <row r="748" spans="1:7" ht="15" x14ac:dyDescent="0.2">
      <c r="A748" s="21"/>
      <c r="B748" s="26"/>
      <c r="C748" s="6" t="str">
        <f>IF(A748=""," ",VLOOKUP(A748,'18.11-07.12.2024'!A:H,2,FALSE))</f>
        <v xml:space="preserve"> </v>
      </c>
      <c r="D748" s="33" t="str">
        <f>IF(A748=""," ",VLOOKUP(A748,'18.11-07.12.2024'!A:H,5,FALSE))</f>
        <v xml:space="preserve"> </v>
      </c>
      <c r="E748" s="7" t="str">
        <f>IF(A748=""," ",B748*VLOOKUP(A748,'18.11-07.12.2024'!A:H,6,FALSE))</f>
        <v xml:space="preserve"> </v>
      </c>
      <c r="F748" s="7" t="str">
        <f>IF(A748=""," ",B748*VLOOKUP(A748,'18.11-07.12.2024'!A:H,7,FALSE))</f>
        <v xml:space="preserve"> </v>
      </c>
      <c r="G748" s="7" t="str">
        <f>IF(A748=""," ",B748*VLOOKUP(A748,'18.11-07.12.2024'!A:H,8,FALSE))</f>
        <v xml:space="preserve"> </v>
      </c>
    </row>
    <row r="749" spans="1:7" ht="15" x14ac:dyDescent="0.2">
      <c r="A749" s="21"/>
      <c r="B749" s="26"/>
      <c r="C749" s="6" t="str">
        <f>IF(A749=""," ",VLOOKUP(A749,'18.11-07.12.2024'!A:H,2,FALSE))</f>
        <v xml:space="preserve"> </v>
      </c>
      <c r="D749" s="33" t="str">
        <f>IF(A749=""," ",VLOOKUP(A749,'18.11-07.12.2024'!A:H,5,FALSE))</f>
        <v xml:space="preserve"> </v>
      </c>
      <c r="E749" s="7" t="str">
        <f>IF(A749=""," ",B749*VLOOKUP(A749,'18.11-07.12.2024'!A:H,6,FALSE))</f>
        <v xml:space="preserve"> </v>
      </c>
      <c r="F749" s="7" t="str">
        <f>IF(A749=""," ",B749*VLOOKUP(A749,'18.11-07.12.2024'!A:H,7,FALSE))</f>
        <v xml:space="preserve"> </v>
      </c>
      <c r="G749" s="7" t="str">
        <f>IF(A749=""," ",B749*VLOOKUP(A749,'18.11-07.12.2024'!A:H,8,FALSE))</f>
        <v xml:space="preserve"> </v>
      </c>
    </row>
    <row r="750" spans="1:7" ht="15" x14ac:dyDescent="0.2">
      <c r="A750" s="21"/>
      <c r="B750" s="26"/>
      <c r="C750" s="6" t="str">
        <f>IF(A750=""," ",VLOOKUP(A750,'18.11-07.12.2024'!A:H,2,FALSE))</f>
        <v xml:space="preserve"> </v>
      </c>
      <c r="D750" s="33" t="str">
        <f>IF(A750=""," ",VLOOKUP(A750,'18.11-07.12.2024'!A:H,5,FALSE))</f>
        <v xml:space="preserve"> </v>
      </c>
      <c r="E750" s="7" t="str">
        <f>IF(A750=""," ",B750*VLOOKUP(A750,'18.11-07.12.2024'!A:H,6,FALSE))</f>
        <v xml:space="preserve"> </v>
      </c>
      <c r="F750" s="7" t="str">
        <f>IF(A750=""," ",B750*VLOOKUP(A750,'18.11-07.12.2024'!A:H,7,FALSE))</f>
        <v xml:space="preserve"> </v>
      </c>
      <c r="G750" s="7" t="str">
        <f>IF(A750=""," ",B750*VLOOKUP(A750,'18.11-07.12.2024'!A:H,8,FALSE))</f>
        <v xml:space="preserve"> </v>
      </c>
    </row>
    <row r="751" spans="1:7" ht="15" x14ac:dyDescent="0.2">
      <c r="A751" s="21"/>
      <c r="B751" s="26"/>
      <c r="C751" s="6" t="str">
        <f>IF(A751=""," ",VLOOKUP(A751,'18.11-07.12.2024'!A:H,2,FALSE))</f>
        <v xml:space="preserve"> </v>
      </c>
      <c r="D751" s="33" t="str">
        <f>IF(A751=""," ",VLOOKUP(A751,'18.11-07.12.2024'!A:H,5,FALSE))</f>
        <v xml:space="preserve"> </v>
      </c>
      <c r="E751" s="7" t="str">
        <f>IF(A751=""," ",B751*VLOOKUP(A751,'18.11-07.12.2024'!A:H,6,FALSE))</f>
        <v xml:space="preserve"> </v>
      </c>
      <c r="F751" s="7" t="str">
        <f>IF(A751=""," ",B751*VLOOKUP(A751,'18.11-07.12.2024'!A:H,7,FALSE))</f>
        <v xml:space="preserve"> </v>
      </c>
      <c r="G751" s="7" t="str">
        <f>IF(A751=""," ",B751*VLOOKUP(A751,'18.11-07.12.2024'!A:H,8,FALSE))</f>
        <v xml:space="preserve"> </v>
      </c>
    </row>
    <row r="752" spans="1:7" ht="15" x14ac:dyDescent="0.2">
      <c r="A752" s="21"/>
      <c r="B752" s="26"/>
      <c r="C752" s="6" t="str">
        <f>IF(A752=""," ",VLOOKUP(A752,'18.11-07.12.2024'!A:H,2,FALSE))</f>
        <v xml:space="preserve"> </v>
      </c>
      <c r="D752" s="33" t="str">
        <f>IF(A752=""," ",VLOOKUP(A752,'18.11-07.12.2024'!A:H,5,FALSE))</f>
        <v xml:space="preserve"> </v>
      </c>
      <c r="E752" s="7" t="str">
        <f>IF(A752=""," ",B752*VLOOKUP(A752,'18.11-07.12.2024'!A:H,6,FALSE))</f>
        <v xml:space="preserve"> </v>
      </c>
      <c r="F752" s="7" t="str">
        <f>IF(A752=""," ",B752*VLOOKUP(A752,'18.11-07.12.2024'!A:H,7,FALSE))</f>
        <v xml:space="preserve"> </v>
      </c>
      <c r="G752" s="7" t="str">
        <f>IF(A752=""," ",B752*VLOOKUP(A752,'18.11-07.12.2024'!A:H,8,FALSE))</f>
        <v xml:space="preserve"> </v>
      </c>
    </row>
    <row r="753" spans="1:7" ht="15" x14ac:dyDescent="0.2">
      <c r="A753" s="21"/>
      <c r="B753" s="26"/>
      <c r="C753" s="6" t="str">
        <f>IF(A753=""," ",VLOOKUP(A753,'18.11-07.12.2024'!A:H,2,FALSE))</f>
        <v xml:space="preserve"> </v>
      </c>
      <c r="D753" s="33" t="str">
        <f>IF(A753=""," ",VLOOKUP(A753,'18.11-07.12.2024'!A:H,5,FALSE))</f>
        <v xml:space="preserve"> </v>
      </c>
      <c r="E753" s="7" t="str">
        <f>IF(A753=""," ",B753*VLOOKUP(A753,'18.11-07.12.2024'!A:H,6,FALSE))</f>
        <v xml:space="preserve"> </v>
      </c>
      <c r="F753" s="7" t="str">
        <f>IF(A753=""," ",B753*VLOOKUP(A753,'18.11-07.12.2024'!A:H,7,FALSE))</f>
        <v xml:space="preserve"> </v>
      </c>
      <c r="G753" s="7" t="str">
        <f>IF(A753=""," ",B753*VLOOKUP(A753,'18.11-07.12.2024'!A:H,8,FALSE))</f>
        <v xml:space="preserve"> </v>
      </c>
    </row>
    <row r="754" spans="1:7" ht="15" x14ac:dyDescent="0.2">
      <c r="A754" s="21"/>
      <c r="B754" s="26"/>
      <c r="C754" s="6" t="str">
        <f>IF(A754=""," ",VLOOKUP(A754,'18.11-07.12.2024'!A:H,2,FALSE))</f>
        <v xml:space="preserve"> </v>
      </c>
      <c r="D754" s="33" t="str">
        <f>IF(A754=""," ",VLOOKUP(A754,'18.11-07.12.2024'!A:H,5,FALSE))</f>
        <v xml:space="preserve"> </v>
      </c>
      <c r="E754" s="7" t="str">
        <f>IF(A754=""," ",B754*VLOOKUP(A754,'18.11-07.12.2024'!A:H,6,FALSE))</f>
        <v xml:space="preserve"> </v>
      </c>
      <c r="F754" s="7" t="str">
        <f>IF(A754=""," ",B754*VLOOKUP(A754,'18.11-07.12.2024'!A:H,7,FALSE))</f>
        <v xml:space="preserve"> </v>
      </c>
      <c r="G754" s="7" t="str">
        <f>IF(A754=""," ",B754*VLOOKUP(A754,'18.11-07.12.2024'!A:H,8,FALSE))</f>
        <v xml:space="preserve"> </v>
      </c>
    </row>
    <row r="755" spans="1:7" ht="15" x14ac:dyDescent="0.2">
      <c r="A755" s="21"/>
      <c r="B755" s="26"/>
      <c r="C755" s="6" t="str">
        <f>IF(A755=""," ",VLOOKUP(A755,'18.11-07.12.2024'!A:H,2,FALSE))</f>
        <v xml:space="preserve"> </v>
      </c>
      <c r="D755" s="33" t="str">
        <f>IF(A755=""," ",VLOOKUP(A755,'18.11-07.12.2024'!A:H,5,FALSE))</f>
        <v xml:space="preserve"> </v>
      </c>
      <c r="E755" s="7" t="str">
        <f>IF(A755=""," ",B755*VLOOKUP(A755,'18.11-07.12.2024'!A:H,6,FALSE))</f>
        <v xml:space="preserve"> </v>
      </c>
      <c r="F755" s="7" t="str">
        <f>IF(A755=""," ",B755*VLOOKUP(A755,'18.11-07.12.2024'!A:H,7,FALSE))</f>
        <v xml:space="preserve"> </v>
      </c>
      <c r="G755" s="7" t="str">
        <f>IF(A755=""," ",B755*VLOOKUP(A755,'18.11-07.12.2024'!A:H,8,FALSE))</f>
        <v xml:space="preserve"> </v>
      </c>
    </row>
    <row r="756" spans="1:7" ht="15" x14ac:dyDescent="0.2">
      <c r="A756" s="21"/>
      <c r="B756" s="26"/>
      <c r="C756" s="6" t="str">
        <f>IF(A756=""," ",VLOOKUP(A756,'18.11-07.12.2024'!A:H,2,FALSE))</f>
        <v xml:space="preserve"> </v>
      </c>
      <c r="D756" s="33" t="str">
        <f>IF(A756=""," ",VLOOKUP(A756,'18.11-07.12.2024'!A:H,5,FALSE))</f>
        <v xml:space="preserve"> </v>
      </c>
      <c r="E756" s="7" t="str">
        <f>IF(A756=""," ",B756*VLOOKUP(A756,'18.11-07.12.2024'!A:H,6,FALSE))</f>
        <v xml:space="preserve"> </v>
      </c>
      <c r="F756" s="7" t="str">
        <f>IF(A756=""," ",B756*VLOOKUP(A756,'18.11-07.12.2024'!A:H,7,FALSE))</f>
        <v xml:space="preserve"> </v>
      </c>
      <c r="G756" s="7" t="str">
        <f>IF(A756=""," ",B756*VLOOKUP(A756,'18.11-07.12.2024'!A:H,8,FALSE))</f>
        <v xml:space="preserve"> </v>
      </c>
    </row>
    <row r="757" spans="1:7" ht="15" x14ac:dyDescent="0.2">
      <c r="A757" s="21"/>
      <c r="B757" s="26"/>
      <c r="C757" s="6" t="str">
        <f>IF(A757=""," ",VLOOKUP(A757,'18.11-07.12.2024'!A:H,2,FALSE))</f>
        <v xml:space="preserve"> </v>
      </c>
      <c r="D757" s="33" t="str">
        <f>IF(A757=""," ",VLOOKUP(A757,'18.11-07.12.2024'!A:H,5,FALSE))</f>
        <v xml:space="preserve"> </v>
      </c>
      <c r="E757" s="7" t="str">
        <f>IF(A757=""," ",B757*VLOOKUP(A757,'18.11-07.12.2024'!A:H,6,FALSE))</f>
        <v xml:space="preserve"> </v>
      </c>
      <c r="F757" s="7" t="str">
        <f>IF(A757=""," ",B757*VLOOKUP(A757,'18.11-07.12.2024'!A:H,7,FALSE))</f>
        <v xml:space="preserve"> </v>
      </c>
      <c r="G757" s="7" t="str">
        <f>IF(A757=""," ",B757*VLOOKUP(A757,'18.11-07.12.2024'!A:H,8,FALSE))</f>
        <v xml:space="preserve"> </v>
      </c>
    </row>
    <row r="758" spans="1:7" ht="15" x14ac:dyDescent="0.2">
      <c r="A758" s="21"/>
      <c r="B758" s="26"/>
      <c r="C758" s="6" t="str">
        <f>IF(A758=""," ",VLOOKUP(A758,'18.11-07.12.2024'!A:H,2,FALSE))</f>
        <v xml:space="preserve"> </v>
      </c>
      <c r="D758" s="33" t="str">
        <f>IF(A758=""," ",VLOOKUP(A758,'18.11-07.12.2024'!A:H,5,FALSE))</f>
        <v xml:space="preserve"> </v>
      </c>
      <c r="E758" s="7" t="str">
        <f>IF(A758=""," ",B758*VLOOKUP(A758,'18.11-07.12.2024'!A:H,6,FALSE))</f>
        <v xml:space="preserve"> </v>
      </c>
      <c r="F758" s="7" t="str">
        <f>IF(A758=""," ",B758*VLOOKUP(A758,'18.11-07.12.2024'!A:H,7,FALSE))</f>
        <v xml:space="preserve"> </v>
      </c>
      <c r="G758" s="7" t="str">
        <f>IF(A758=""," ",B758*VLOOKUP(A758,'18.11-07.12.2024'!A:H,8,FALSE))</f>
        <v xml:space="preserve"> </v>
      </c>
    </row>
    <row r="759" spans="1:7" ht="15" x14ac:dyDescent="0.2">
      <c r="A759" s="21"/>
      <c r="B759" s="26"/>
      <c r="C759" s="6" t="str">
        <f>IF(A759=""," ",VLOOKUP(A759,'18.11-07.12.2024'!A:H,2,FALSE))</f>
        <v xml:space="preserve"> </v>
      </c>
      <c r="D759" s="33" t="str">
        <f>IF(A759=""," ",VLOOKUP(A759,'18.11-07.12.2024'!A:H,5,FALSE))</f>
        <v xml:space="preserve"> </v>
      </c>
      <c r="E759" s="7" t="str">
        <f>IF(A759=""," ",B759*VLOOKUP(A759,'18.11-07.12.2024'!A:H,6,FALSE))</f>
        <v xml:space="preserve"> </v>
      </c>
      <c r="F759" s="7" t="str">
        <f>IF(A759=""," ",B759*VLOOKUP(A759,'18.11-07.12.2024'!A:H,7,FALSE))</f>
        <v xml:space="preserve"> </v>
      </c>
      <c r="G759" s="7" t="str">
        <f>IF(A759=""," ",B759*VLOOKUP(A759,'18.11-07.12.2024'!A:H,8,FALSE))</f>
        <v xml:space="preserve"> </v>
      </c>
    </row>
    <row r="760" spans="1:7" ht="15" x14ac:dyDescent="0.2">
      <c r="A760" s="21"/>
      <c r="B760" s="26"/>
      <c r="C760" s="6" t="str">
        <f>IF(A760=""," ",VLOOKUP(A760,'18.11-07.12.2024'!A:H,2,FALSE))</f>
        <v xml:space="preserve"> </v>
      </c>
      <c r="D760" s="33" t="str">
        <f>IF(A760=""," ",VLOOKUP(A760,'18.11-07.12.2024'!A:H,5,FALSE))</f>
        <v xml:space="preserve"> </v>
      </c>
      <c r="E760" s="7" t="str">
        <f>IF(A760=""," ",B760*VLOOKUP(A760,'18.11-07.12.2024'!A:H,6,FALSE))</f>
        <v xml:space="preserve"> </v>
      </c>
      <c r="F760" s="7" t="str">
        <f>IF(A760=""," ",B760*VLOOKUP(A760,'18.11-07.12.2024'!A:H,7,FALSE))</f>
        <v xml:space="preserve"> </v>
      </c>
      <c r="G760" s="7" t="str">
        <f>IF(A760=""," ",B760*VLOOKUP(A760,'18.11-07.12.2024'!A:H,8,FALSE))</f>
        <v xml:space="preserve"> </v>
      </c>
    </row>
    <row r="761" spans="1:7" ht="15" x14ac:dyDescent="0.2">
      <c r="A761" s="21"/>
      <c r="B761" s="26"/>
      <c r="C761" s="6" t="str">
        <f>IF(A761=""," ",VLOOKUP(A761,'18.11-07.12.2024'!A:H,2,FALSE))</f>
        <v xml:space="preserve"> </v>
      </c>
      <c r="D761" s="33" t="str">
        <f>IF(A761=""," ",VLOOKUP(A761,'18.11-07.12.2024'!A:H,5,FALSE))</f>
        <v xml:space="preserve"> </v>
      </c>
      <c r="E761" s="7" t="str">
        <f>IF(A761=""," ",B761*VLOOKUP(A761,'18.11-07.12.2024'!A:H,6,FALSE))</f>
        <v xml:space="preserve"> </v>
      </c>
      <c r="F761" s="7" t="str">
        <f>IF(A761=""," ",B761*VLOOKUP(A761,'18.11-07.12.2024'!A:H,7,FALSE))</f>
        <v xml:space="preserve"> </v>
      </c>
      <c r="G761" s="7" t="str">
        <f>IF(A761=""," ",B761*VLOOKUP(A761,'18.11-07.12.2024'!A:H,8,FALSE))</f>
        <v xml:space="preserve"> </v>
      </c>
    </row>
    <row r="762" spans="1:7" ht="15" x14ac:dyDescent="0.2">
      <c r="A762" s="21"/>
      <c r="B762" s="26"/>
      <c r="C762" s="6" t="str">
        <f>IF(A762=""," ",VLOOKUP(A762,'18.11-07.12.2024'!A:H,2,FALSE))</f>
        <v xml:space="preserve"> </v>
      </c>
      <c r="D762" s="33" t="str">
        <f>IF(A762=""," ",VLOOKUP(A762,'18.11-07.12.2024'!A:H,5,FALSE))</f>
        <v xml:space="preserve"> </v>
      </c>
      <c r="E762" s="7" t="str">
        <f>IF(A762=""," ",B762*VLOOKUP(A762,'18.11-07.12.2024'!A:H,6,FALSE))</f>
        <v xml:space="preserve"> </v>
      </c>
      <c r="F762" s="7" t="str">
        <f>IF(A762=""," ",B762*VLOOKUP(A762,'18.11-07.12.2024'!A:H,7,FALSE))</f>
        <v xml:space="preserve"> </v>
      </c>
      <c r="G762" s="7" t="str">
        <f>IF(A762=""," ",B762*VLOOKUP(A762,'18.11-07.12.2024'!A:H,8,FALSE))</f>
        <v xml:space="preserve"> </v>
      </c>
    </row>
    <row r="763" spans="1:7" ht="15" x14ac:dyDescent="0.2">
      <c r="A763" s="21"/>
      <c r="B763" s="26"/>
      <c r="C763" s="6" t="str">
        <f>IF(A763=""," ",VLOOKUP(A763,'18.11-07.12.2024'!A:H,2,FALSE))</f>
        <v xml:space="preserve"> </v>
      </c>
      <c r="D763" s="33" t="str">
        <f>IF(A763=""," ",VLOOKUP(A763,'18.11-07.12.2024'!A:H,5,FALSE))</f>
        <v xml:space="preserve"> </v>
      </c>
      <c r="E763" s="7" t="str">
        <f>IF(A763=""," ",B763*VLOOKUP(A763,'18.11-07.12.2024'!A:H,6,FALSE))</f>
        <v xml:space="preserve"> </v>
      </c>
      <c r="F763" s="7" t="str">
        <f>IF(A763=""," ",B763*VLOOKUP(A763,'18.11-07.12.2024'!A:H,7,FALSE))</f>
        <v xml:space="preserve"> </v>
      </c>
      <c r="G763" s="7" t="str">
        <f>IF(A763=""," ",B763*VLOOKUP(A763,'18.11-07.12.2024'!A:H,8,FALSE))</f>
        <v xml:space="preserve"> </v>
      </c>
    </row>
    <row r="764" spans="1:7" ht="15" x14ac:dyDescent="0.2">
      <c r="A764" s="21"/>
      <c r="B764" s="26"/>
      <c r="C764" s="6" t="str">
        <f>IF(A764=""," ",VLOOKUP(A764,'18.11-07.12.2024'!A:H,2,FALSE))</f>
        <v xml:space="preserve"> </v>
      </c>
      <c r="D764" s="33" t="str">
        <f>IF(A764=""," ",VLOOKUP(A764,'18.11-07.12.2024'!A:H,5,FALSE))</f>
        <v xml:space="preserve"> </v>
      </c>
      <c r="E764" s="7" t="str">
        <f>IF(A764=""," ",B764*VLOOKUP(A764,'18.11-07.12.2024'!A:H,6,FALSE))</f>
        <v xml:space="preserve"> </v>
      </c>
      <c r="F764" s="7" t="str">
        <f>IF(A764=""," ",B764*VLOOKUP(A764,'18.11-07.12.2024'!A:H,7,FALSE))</f>
        <v xml:space="preserve"> </v>
      </c>
      <c r="G764" s="7" t="str">
        <f>IF(A764=""," ",B764*VLOOKUP(A764,'18.11-07.12.2024'!A:H,8,FALSE))</f>
        <v xml:space="preserve"> </v>
      </c>
    </row>
    <row r="765" spans="1:7" ht="15" x14ac:dyDescent="0.2">
      <c r="A765" s="21"/>
      <c r="B765" s="26"/>
      <c r="C765" s="6" t="str">
        <f>IF(A765=""," ",VLOOKUP(A765,'18.11-07.12.2024'!A:H,2,FALSE))</f>
        <v xml:space="preserve"> </v>
      </c>
      <c r="D765" s="33" t="str">
        <f>IF(A765=""," ",VLOOKUP(A765,'18.11-07.12.2024'!A:H,5,FALSE))</f>
        <v xml:space="preserve"> </v>
      </c>
      <c r="E765" s="7" t="str">
        <f>IF(A765=""," ",B765*VLOOKUP(A765,'18.11-07.12.2024'!A:H,6,FALSE))</f>
        <v xml:space="preserve"> </v>
      </c>
      <c r="F765" s="7" t="str">
        <f>IF(A765=""," ",B765*VLOOKUP(A765,'18.11-07.12.2024'!A:H,7,FALSE))</f>
        <v xml:space="preserve"> </v>
      </c>
      <c r="G765" s="7" t="str">
        <f>IF(A765=""," ",B765*VLOOKUP(A765,'18.11-07.12.2024'!A:H,8,FALSE))</f>
        <v xml:space="preserve"> </v>
      </c>
    </row>
    <row r="766" spans="1:7" ht="15" x14ac:dyDescent="0.2">
      <c r="A766" s="21"/>
      <c r="B766" s="26"/>
      <c r="C766" s="6" t="str">
        <f>IF(A766=""," ",VLOOKUP(A766,'18.11-07.12.2024'!A:H,2,FALSE))</f>
        <v xml:space="preserve"> </v>
      </c>
      <c r="D766" s="33" t="str">
        <f>IF(A766=""," ",VLOOKUP(A766,'18.11-07.12.2024'!A:H,5,FALSE))</f>
        <v xml:space="preserve"> </v>
      </c>
      <c r="E766" s="7" t="str">
        <f>IF(A766=""," ",B766*VLOOKUP(A766,'18.11-07.12.2024'!A:H,6,FALSE))</f>
        <v xml:space="preserve"> </v>
      </c>
      <c r="F766" s="7" t="str">
        <f>IF(A766=""," ",B766*VLOOKUP(A766,'18.11-07.12.2024'!A:H,7,FALSE))</f>
        <v xml:space="preserve"> </v>
      </c>
      <c r="G766" s="7" t="str">
        <f>IF(A766=""," ",B766*VLOOKUP(A766,'18.11-07.12.2024'!A:H,8,FALSE))</f>
        <v xml:space="preserve"> </v>
      </c>
    </row>
    <row r="767" spans="1:7" ht="15" x14ac:dyDescent="0.2">
      <c r="A767" s="21"/>
      <c r="B767" s="26"/>
      <c r="C767" s="6" t="str">
        <f>IF(A767=""," ",VLOOKUP(A767,'18.11-07.12.2024'!A:H,2,FALSE))</f>
        <v xml:space="preserve"> </v>
      </c>
      <c r="D767" s="33" t="str">
        <f>IF(A767=""," ",VLOOKUP(A767,'18.11-07.12.2024'!A:H,5,FALSE))</f>
        <v xml:space="preserve"> </v>
      </c>
      <c r="E767" s="7" t="str">
        <f>IF(A767=""," ",B767*VLOOKUP(A767,'18.11-07.12.2024'!A:H,6,FALSE))</f>
        <v xml:space="preserve"> </v>
      </c>
      <c r="F767" s="7" t="str">
        <f>IF(A767=""," ",B767*VLOOKUP(A767,'18.11-07.12.2024'!A:H,7,FALSE))</f>
        <v xml:space="preserve"> </v>
      </c>
      <c r="G767" s="7" t="str">
        <f>IF(A767=""," ",B767*VLOOKUP(A767,'18.11-07.12.2024'!A:H,8,FALSE))</f>
        <v xml:space="preserve"> </v>
      </c>
    </row>
    <row r="768" spans="1:7" ht="15" x14ac:dyDescent="0.2">
      <c r="A768" s="21"/>
      <c r="B768" s="26"/>
      <c r="C768" s="6" t="str">
        <f>IF(A768=""," ",VLOOKUP(A768,'18.11-07.12.2024'!A:H,2,FALSE))</f>
        <v xml:space="preserve"> </v>
      </c>
      <c r="D768" s="33" t="str">
        <f>IF(A768=""," ",VLOOKUP(A768,'18.11-07.12.2024'!A:H,5,FALSE))</f>
        <v xml:space="preserve"> </v>
      </c>
      <c r="E768" s="7" t="str">
        <f>IF(A768=""," ",B768*VLOOKUP(A768,'18.11-07.12.2024'!A:H,6,FALSE))</f>
        <v xml:space="preserve"> </v>
      </c>
      <c r="F768" s="7" t="str">
        <f>IF(A768=""," ",B768*VLOOKUP(A768,'18.11-07.12.2024'!A:H,7,FALSE))</f>
        <v xml:space="preserve"> </v>
      </c>
      <c r="G768" s="7" t="str">
        <f>IF(A768=""," ",B768*VLOOKUP(A768,'18.11-07.12.2024'!A:H,8,FALSE))</f>
        <v xml:space="preserve"> </v>
      </c>
    </row>
    <row r="769" spans="1:7" ht="15" x14ac:dyDescent="0.2">
      <c r="A769" s="21"/>
      <c r="B769" s="26"/>
      <c r="C769" s="6" t="str">
        <f>IF(A769=""," ",VLOOKUP(A769,'18.11-07.12.2024'!A:H,2,FALSE))</f>
        <v xml:space="preserve"> </v>
      </c>
      <c r="D769" s="33" t="str">
        <f>IF(A769=""," ",VLOOKUP(A769,'18.11-07.12.2024'!A:H,5,FALSE))</f>
        <v xml:space="preserve"> </v>
      </c>
      <c r="E769" s="7" t="str">
        <f>IF(A769=""," ",B769*VLOOKUP(A769,'18.11-07.12.2024'!A:H,6,FALSE))</f>
        <v xml:space="preserve"> </v>
      </c>
      <c r="F769" s="7" t="str">
        <f>IF(A769=""," ",B769*VLOOKUP(A769,'18.11-07.12.2024'!A:H,7,FALSE))</f>
        <v xml:space="preserve"> </v>
      </c>
      <c r="G769" s="7" t="str">
        <f>IF(A769=""," ",B769*VLOOKUP(A769,'18.11-07.12.2024'!A:H,8,FALSE))</f>
        <v xml:space="preserve"> </v>
      </c>
    </row>
    <row r="770" spans="1:7" ht="15" x14ac:dyDescent="0.2">
      <c r="A770" s="21"/>
      <c r="B770" s="26"/>
      <c r="C770" s="6" t="str">
        <f>IF(A770=""," ",VLOOKUP(A770,'18.11-07.12.2024'!A:H,2,FALSE))</f>
        <v xml:space="preserve"> </v>
      </c>
      <c r="D770" s="33" t="str">
        <f>IF(A770=""," ",VLOOKUP(A770,'18.11-07.12.2024'!A:H,5,FALSE))</f>
        <v xml:space="preserve"> </v>
      </c>
      <c r="E770" s="7" t="str">
        <f>IF(A770=""," ",B770*VLOOKUP(A770,'18.11-07.12.2024'!A:H,6,FALSE))</f>
        <v xml:space="preserve"> </v>
      </c>
      <c r="F770" s="7" t="str">
        <f>IF(A770=""," ",B770*VLOOKUP(A770,'18.11-07.12.2024'!A:H,7,FALSE))</f>
        <v xml:space="preserve"> </v>
      </c>
      <c r="G770" s="7" t="str">
        <f>IF(A770=""," ",B770*VLOOKUP(A770,'18.11-07.12.2024'!A:H,8,FALSE))</f>
        <v xml:space="preserve"> </v>
      </c>
    </row>
    <row r="771" spans="1:7" ht="15" x14ac:dyDescent="0.2">
      <c r="A771" s="21"/>
      <c r="B771" s="26"/>
      <c r="C771" s="6" t="str">
        <f>IF(A771=""," ",VLOOKUP(A771,'18.11-07.12.2024'!A:H,2,FALSE))</f>
        <v xml:space="preserve"> </v>
      </c>
      <c r="D771" s="33" t="str">
        <f>IF(A771=""," ",VLOOKUP(A771,'18.11-07.12.2024'!A:H,5,FALSE))</f>
        <v xml:space="preserve"> </v>
      </c>
      <c r="E771" s="7" t="str">
        <f>IF(A771=""," ",B771*VLOOKUP(A771,'18.11-07.12.2024'!A:H,6,FALSE))</f>
        <v xml:space="preserve"> </v>
      </c>
      <c r="F771" s="7" t="str">
        <f>IF(A771=""," ",B771*VLOOKUP(A771,'18.11-07.12.2024'!A:H,7,FALSE))</f>
        <v xml:space="preserve"> </v>
      </c>
      <c r="G771" s="7" t="str">
        <f>IF(A771=""," ",B771*VLOOKUP(A771,'18.11-07.12.2024'!A:H,8,FALSE))</f>
        <v xml:space="preserve"> </v>
      </c>
    </row>
    <row r="772" spans="1:7" ht="15" x14ac:dyDescent="0.2">
      <c r="A772" s="21"/>
      <c r="B772" s="26"/>
      <c r="C772" s="6" t="str">
        <f>IF(A772=""," ",VLOOKUP(A772,'18.11-07.12.2024'!A:H,2,FALSE))</f>
        <v xml:space="preserve"> </v>
      </c>
      <c r="D772" s="33" t="str">
        <f>IF(A772=""," ",VLOOKUP(A772,'18.11-07.12.2024'!A:H,5,FALSE))</f>
        <v xml:space="preserve"> </v>
      </c>
      <c r="E772" s="7" t="str">
        <f>IF(A772=""," ",B772*VLOOKUP(A772,'18.11-07.12.2024'!A:H,6,FALSE))</f>
        <v xml:space="preserve"> </v>
      </c>
      <c r="F772" s="7" t="str">
        <f>IF(A772=""," ",B772*VLOOKUP(A772,'18.11-07.12.2024'!A:H,7,FALSE))</f>
        <v xml:space="preserve"> </v>
      </c>
      <c r="G772" s="7" t="str">
        <f>IF(A772=""," ",B772*VLOOKUP(A772,'18.11-07.12.2024'!A:H,8,FALSE))</f>
        <v xml:space="preserve"> </v>
      </c>
    </row>
    <row r="773" spans="1:7" ht="15" x14ac:dyDescent="0.2">
      <c r="A773" s="21"/>
      <c r="B773" s="26"/>
      <c r="C773" s="6" t="str">
        <f>IF(A773=""," ",VLOOKUP(A773,'18.11-07.12.2024'!A:H,2,FALSE))</f>
        <v xml:space="preserve"> </v>
      </c>
      <c r="D773" s="33" t="str">
        <f>IF(A773=""," ",VLOOKUP(A773,'18.11-07.12.2024'!A:H,5,FALSE))</f>
        <v xml:space="preserve"> </v>
      </c>
      <c r="E773" s="7" t="str">
        <f>IF(A773=""," ",B773*VLOOKUP(A773,'18.11-07.12.2024'!A:H,6,FALSE))</f>
        <v xml:space="preserve"> </v>
      </c>
      <c r="F773" s="7" t="str">
        <f>IF(A773=""," ",B773*VLOOKUP(A773,'18.11-07.12.2024'!A:H,7,FALSE))</f>
        <v xml:space="preserve"> </v>
      </c>
      <c r="G773" s="7" t="str">
        <f>IF(A773=""," ",B773*VLOOKUP(A773,'18.11-07.12.2024'!A:H,8,FALSE))</f>
        <v xml:space="preserve"> </v>
      </c>
    </row>
    <row r="774" spans="1:7" ht="15" x14ac:dyDescent="0.2">
      <c r="A774" s="21"/>
      <c r="B774" s="26"/>
      <c r="C774" s="6" t="str">
        <f>IF(A774=""," ",VLOOKUP(A774,'18.11-07.12.2024'!A:H,2,FALSE))</f>
        <v xml:space="preserve"> </v>
      </c>
      <c r="D774" s="33" t="str">
        <f>IF(A774=""," ",VLOOKUP(A774,'18.11-07.12.2024'!A:H,5,FALSE))</f>
        <v xml:space="preserve"> </v>
      </c>
      <c r="E774" s="7" t="str">
        <f>IF(A774=""," ",B774*VLOOKUP(A774,'18.11-07.12.2024'!A:H,6,FALSE))</f>
        <v xml:space="preserve"> </v>
      </c>
      <c r="F774" s="7" t="str">
        <f>IF(A774=""," ",B774*VLOOKUP(A774,'18.11-07.12.2024'!A:H,7,FALSE))</f>
        <v xml:space="preserve"> </v>
      </c>
      <c r="G774" s="7" t="str">
        <f>IF(A774=""," ",B774*VLOOKUP(A774,'18.11-07.12.2024'!A:H,8,FALSE))</f>
        <v xml:space="preserve"> </v>
      </c>
    </row>
    <row r="775" spans="1:7" ht="15" x14ac:dyDescent="0.2">
      <c r="A775" s="21"/>
      <c r="B775" s="26"/>
      <c r="C775" s="6" t="str">
        <f>IF(A775=""," ",VLOOKUP(A775,'18.11-07.12.2024'!A:H,2,FALSE))</f>
        <v xml:space="preserve"> </v>
      </c>
      <c r="D775" s="33" t="str">
        <f>IF(A775=""," ",VLOOKUP(A775,'18.11-07.12.2024'!A:H,5,FALSE))</f>
        <v xml:space="preserve"> </v>
      </c>
      <c r="E775" s="7" t="str">
        <f>IF(A775=""," ",B775*VLOOKUP(A775,'18.11-07.12.2024'!A:H,6,FALSE))</f>
        <v xml:space="preserve"> </v>
      </c>
      <c r="F775" s="7" t="str">
        <f>IF(A775=""," ",B775*VLOOKUP(A775,'18.11-07.12.2024'!A:H,7,FALSE))</f>
        <v xml:space="preserve"> </v>
      </c>
      <c r="G775" s="7" t="str">
        <f>IF(A775=""," ",B775*VLOOKUP(A775,'18.11-07.12.2024'!A:H,8,FALSE))</f>
        <v xml:space="preserve"> </v>
      </c>
    </row>
    <row r="776" spans="1:7" ht="15" x14ac:dyDescent="0.2">
      <c r="A776" s="21"/>
      <c r="B776" s="26"/>
      <c r="C776" s="6" t="str">
        <f>IF(A776=""," ",VLOOKUP(A776,'18.11-07.12.2024'!A:H,2,FALSE))</f>
        <v xml:space="preserve"> </v>
      </c>
      <c r="D776" s="33" t="str">
        <f>IF(A776=""," ",VLOOKUP(A776,'18.11-07.12.2024'!A:H,5,FALSE))</f>
        <v xml:space="preserve"> </v>
      </c>
      <c r="E776" s="7" t="str">
        <f>IF(A776=""," ",B776*VLOOKUP(A776,'18.11-07.12.2024'!A:H,6,FALSE))</f>
        <v xml:space="preserve"> </v>
      </c>
      <c r="F776" s="7" t="str">
        <f>IF(A776=""," ",B776*VLOOKUP(A776,'18.11-07.12.2024'!A:H,7,FALSE))</f>
        <v xml:space="preserve"> </v>
      </c>
      <c r="G776" s="7" t="str">
        <f>IF(A776=""," ",B776*VLOOKUP(A776,'18.11-07.12.2024'!A:H,8,FALSE))</f>
        <v xml:space="preserve"> </v>
      </c>
    </row>
    <row r="777" spans="1:7" ht="15" x14ac:dyDescent="0.2">
      <c r="A777" s="21"/>
      <c r="B777" s="26"/>
      <c r="C777" s="6" t="str">
        <f>IF(A777=""," ",VLOOKUP(A777,'18.11-07.12.2024'!A:H,2,FALSE))</f>
        <v xml:space="preserve"> </v>
      </c>
      <c r="D777" s="33" t="str">
        <f>IF(A777=""," ",VLOOKUP(A777,'18.11-07.12.2024'!A:H,5,FALSE))</f>
        <v xml:space="preserve"> </v>
      </c>
      <c r="E777" s="7" t="str">
        <f>IF(A777=""," ",B777*VLOOKUP(A777,'18.11-07.12.2024'!A:H,6,FALSE))</f>
        <v xml:space="preserve"> </v>
      </c>
      <c r="F777" s="7" t="str">
        <f>IF(A777=""," ",B777*VLOOKUP(A777,'18.11-07.12.2024'!A:H,7,FALSE))</f>
        <v xml:space="preserve"> </v>
      </c>
      <c r="G777" s="7" t="str">
        <f>IF(A777=""," ",B777*VLOOKUP(A777,'18.11-07.12.2024'!A:H,8,FALSE))</f>
        <v xml:space="preserve"> </v>
      </c>
    </row>
    <row r="778" spans="1:7" ht="15" x14ac:dyDescent="0.2">
      <c r="A778" s="21"/>
      <c r="B778" s="26"/>
      <c r="C778" s="6" t="str">
        <f>IF(A778=""," ",VLOOKUP(A778,'18.11-07.12.2024'!A:H,2,FALSE))</f>
        <v xml:space="preserve"> </v>
      </c>
      <c r="D778" s="33" t="str">
        <f>IF(A778=""," ",VLOOKUP(A778,'18.11-07.12.2024'!A:H,5,FALSE))</f>
        <v xml:space="preserve"> </v>
      </c>
      <c r="E778" s="7" t="str">
        <f>IF(A778=""," ",B778*VLOOKUP(A778,'18.11-07.12.2024'!A:H,6,FALSE))</f>
        <v xml:space="preserve"> </v>
      </c>
      <c r="F778" s="7" t="str">
        <f>IF(A778=""," ",B778*VLOOKUP(A778,'18.11-07.12.2024'!A:H,7,FALSE))</f>
        <v xml:space="preserve"> </v>
      </c>
      <c r="G778" s="7" t="str">
        <f>IF(A778=""," ",B778*VLOOKUP(A778,'18.11-07.12.2024'!A:H,8,FALSE))</f>
        <v xml:space="preserve"> </v>
      </c>
    </row>
    <row r="779" spans="1:7" ht="15" x14ac:dyDescent="0.2">
      <c r="A779" s="21"/>
      <c r="B779" s="26"/>
      <c r="C779" s="6" t="str">
        <f>IF(A779=""," ",VLOOKUP(A779,'18.11-07.12.2024'!A:H,2,FALSE))</f>
        <v xml:space="preserve"> </v>
      </c>
      <c r="D779" s="33" t="str">
        <f>IF(A779=""," ",VLOOKUP(A779,'18.11-07.12.2024'!A:H,5,FALSE))</f>
        <v xml:space="preserve"> </v>
      </c>
      <c r="E779" s="7" t="str">
        <f>IF(A779=""," ",B779*VLOOKUP(A779,'18.11-07.12.2024'!A:H,6,FALSE))</f>
        <v xml:space="preserve"> </v>
      </c>
      <c r="F779" s="7" t="str">
        <f>IF(A779=""," ",B779*VLOOKUP(A779,'18.11-07.12.2024'!A:H,7,FALSE))</f>
        <v xml:space="preserve"> </v>
      </c>
      <c r="G779" s="7" t="str">
        <f>IF(A779=""," ",B779*VLOOKUP(A779,'18.11-07.12.2024'!A:H,8,FALSE))</f>
        <v xml:space="preserve"> </v>
      </c>
    </row>
    <row r="780" spans="1:7" ht="15" x14ac:dyDescent="0.2">
      <c r="A780" s="21"/>
      <c r="B780" s="26"/>
      <c r="C780" s="6" t="str">
        <f>IF(A780=""," ",VLOOKUP(A780,'18.11-07.12.2024'!A:H,2,FALSE))</f>
        <v xml:space="preserve"> </v>
      </c>
      <c r="D780" s="33" t="str">
        <f>IF(A780=""," ",VLOOKUP(A780,'18.11-07.12.2024'!A:H,5,FALSE))</f>
        <v xml:space="preserve"> </v>
      </c>
      <c r="E780" s="7" t="str">
        <f>IF(A780=""," ",B780*VLOOKUP(A780,'18.11-07.12.2024'!A:H,6,FALSE))</f>
        <v xml:space="preserve"> </v>
      </c>
      <c r="F780" s="7" t="str">
        <f>IF(A780=""," ",B780*VLOOKUP(A780,'18.11-07.12.2024'!A:H,7,FALSE))</f>
        <v xml:space="preserve"> </v>
      </c>
      <c r="G780" s="7" t="str">
        <f>IF(A780=""," ",B780*VLOOKUP(A780,'18.11-07.12.2024'!A:H,8,FALSE))</f>
        <v xml:space="preserve"> </v>
      </c>
    </row>
    <row r="781" spans="1:7" ht="15" x14ac:dyDescent="0.2">
      <c r="A781" s="21"/>
      <c r="B781" s="26"/>
      <c r="C781" s="6" t="str">
        <f>IF(A781=""," ",VLOOKUP(A781,'18.11-07.12.2024'!A:H,2,FALSE))</f>
        <v xml:space="preserve"> </v>
      </c>
      <c r="D781" s="33" t="str">
        <f>IF(A781=""," ",VLOOKUP(A781,'18.11-07.12.2024'!A:H,5,FALSE))</f>
        <v xml:space="preserve"> </v>
      </c>
      <c r="E781" s="7" t="str">
        <f>IF(A781=""," ",B781*VLOOKUP(A781,'18.11-07.12.2024'!A:H,6,FALSE))</f>
        <v xml:space="preserve"> </v>
      </c>
      <c r="F781" s="7" t="str">
        <f>IF(A781=""," ",B781*VLOOKUP(A781,'18.11-07.12.2024'!A:H,7,FALSE))</f>
        <v xml:space="preserve"> </v>
      </c>
      <c r="G781" s="7" t="str">
        <f>IF(A781=""," ",B781*VLOOKUP(A781,'18.11-07.12.2024'!A:H,8,FALSE))</f>
        <v xml:space="preserve"> </v>
      </c>
    </row>
    <row r="782" spans="1:7" ht="15" x14ac:dyDescent="0.2">
      <c r="A782" s="21"/>
      <c r="B782" s="26"/>
      <c r="C782" s="6" t="str">
        <f>IF(A782=""," ",VLOOKUP(A782,'18.11-07.12.2024'!A:H,2,FALSE))</f>
        <v xml:space="preserve"> </v>
      </c>
      <c r="D782" s="33" t="str">
        <f>IF(A782=""," ",VLOOKUP(A782,'18.11-07.12.2024'!A:H,5,FALSE))</f>
        <v xml:space="preserve"> </v>
      </c>
      <c r="E782" s="7" t="str">
        <f>IF(A782=""," ",B782*VLOOKUP(A782,'18.11-07.12.2024'!A:H,6,FALSE))</f>
        <v xml:space="preserve"> </v>
      </c>
      <c r="F782" s="7" t="str">
        <f>IF(A782=""," ",B782*VLOOKUP(A782,'18.11-07.12.2024'!A:H,7,FALSE))</f>
        <v xml:space="preserve"> </v>
      </c>
      <c r="G782" s="7" t="str">
        <f>IF(A782=""," ",B782*VLOOKUP(A782,'18.11-07.12.2024'!A:H,8,FALSE))</f>
        <v xml:space="preserve"> </v>
      </c>
    </row>
    <row r="783" spans="1:7" ht="15" x14ac:dyDescent="0.2">
      <c r="A783" s="21"/>
      <c r="B783" s="26"/>
      <c r="C783" s="6" t="str">
        <f>IF(A783=""," ",VLOOKUP(A783,'18.11-07.12.2024'!A:H,2,FALSE))</f>
        <v xml:space="preserve"> </v>
      </c>
      <c r="D783" s="33" t="str">
        <f>IF(A783=""," ",VLOOKUP(A783,'18.11-07.12.2024'!A:H,5,FALSE))</f>
        <v xml:space="preserve"> </v>
      </c>
      <c r="E783" s="7" t="str">
        <f>IF(A783=""," ",B783*VLOOKUP(A783,'18.11-07.12.2024'!A:H,6,FALSE))</f>
        <v xml:space="preserve"> </v>
      </c>
      <c r="F783" s="7" t="str">
        <f>IF(A783=""," ",B783*VLOOKUP(A783,'18.11-07.12.2024'!A:H,7,FALSE))</f>
        <v xml:space="preserve"> </v>
      </c>
      <c r="G783" s="7" t="str">
        <f>IF(A783=""," ",B783*VLOOKUP(A783,'18.11-07.12.2024'!A:H,8,FALSE))</f>
        <v xml:space="preserve"> </v>
      </c>
    </row>
    <row r="784" spans="1:7" ht="15" x14ac:dyDescent="0.2">
      <c r="A784" s="21"/>
      <c r="B784" s="26"/>
      <c r="C784" s="6" t="str">
        <f>IF(A784=""," ",VLOOKUP(A784,'18.11-07.12.2024'!A:H,2,FALSE))</f>
        <v xml:space="preserve"> </v>
      </c>
      <c r="D784" s="33" t="str">
        <f>IF(A784=""," ",VLOOKUP(A784,'18.11-07.12.2024'!A:H,5,FALSE))</f>
        <v xml:space="preserve"> </v>
      </c>
      <c r="E784" s="7" t="str">
        <f>IF(A784=""," ",B784*VLOOKUP(A784,'18.11-07.12.2024'!A:H,6,FALSE))</f>
        <v xml:space="preserve"> </v>
      </c>
      <c r="F784" s="7" t="str">
        <f>IF(A784=""," ",B784*VLOOKUP(A784,'18.11-07.12.2024'!A:H,7,FALSE))</f>
        <v xml:space="preserve"> </v>
      </c>
      <c r="G784" s="7" t="str">
        <f>IF(A784=""," ",B784*VLOOKUP(A784,'18.11-07.12.2024'!A:H,8,FALSE))</f>
        <v xml:space="preserve"> </v>
      </c>
    </row>
    <row r="785" spans="1:7" ht="15" x14ac:dyDescent="0.2">
      <c r="A785" s="21"/>
      <c r="B785" s="26"/>
      <c r="C785" s="6" t="str">
        <f>IF(A785=""," ",VLOOKUP(A785,'18.11-07.12.2024'!A:H,2,FALSE))</f>
        <v xml:space="preserve"> </v>
      </c>
      <c r="D785" s="33" t="str">
        <f>IF(A785=""," ",VLOOKUP(A785,'18.11-07.12.2024'!A:H,5,FALSE))</f>
        <v xml:space="preserve"> </v>
      </c>
      <c r="E785" s="7" t="str">
        <f>IF(A785=""," ",B785*VLOOKUP(A785,'18.11-07.12.2024'!A:H,6,FALSE))</f>
        <v xml:space="preserve"> </v>
      </c>
      <c r="F785" s="7" t="str">
        <f>IF(A785=""," ",B785*VLOOKUP(A785,'18.11-07.12.2024'!A:H,7,FALSE))</f>
        <v xml:space="preserve"> </v>
      </c>
      <c r="G785" s="7" t="str">
        <f>IF(A785=""," ",B785*VLOOKUP(A785,'18.11-07.12.2024'!A:H,8,FALSE))</f>
        <v xml:space="preserve"> </v>
      </c>
    </row>
    <row r="786" spans="1:7" ht="15" x14ac:dyDescent="0.2">
      <c r="A786" s="21"/>
      <c r="B786" s="26"/>
      <c r="C786" s="6" t="str">
        <f>IF(A786=""," ",VLOOKUP(A786,'18.11-07.12.2024'!A:H,2,FALSE))</f>
        <v xml:space="preserve"> </v>
      </c>
      <c r="D786" s="33" t="str">
        <f>IF(A786=""," ",VLOOKUP(A786,'18.11-07.12.2024'!A:H,5,FALSE))</f>
        <v xml:space="preserve"> </v>
      </c>
      <c r="E786" s="7" t="str">
        <f>IF(A786=""," ",B786*VLOOKUP(A786,'18.11-07.12.2024'!A:H,6,FALSE))</f>
        <v xml:space="preserve"> </v>
      </c>
      <c r="F786" s="7" t="str">
        <f>IF(A786=""," ",B786*VLOOKUP(A786,'18.11-07.12.2024'!A:H,7,FALSE))</f>
        <v xml:space="preserve"> </v>
      </c>
      <c r="G786" s="7" t="str">
        <f>IF(A786=""," ",B786*VLOOKUP(A786,'18.11-07.12.2024'!A:H,8,FALSE))</f>
        <v xml:space="preserve"> </v>
      </c>
    </row>
    <row r="787" spans="1:7" ht="15" x14ac:dyDescent="0.2">
      <c r="A787" s="21"/>
      <c r="B787" s="26"/>
      <c r="C787" s="6" t="str">
        <f>IF(A787=""," ",VLOOKUP(A787,'18.11-07.12.2024'!A:H,2,FALSE))</f>
        <v xml:space="preserve"> </v>
      </c>
      <c r="D787" s="33" t="str">
        <f>IF(A787=""," ",VLOOKUP(A787,'18.11-07.12.2024'!A:H,5,FALSE))</f>
        <v xml:space="preserve"> </v>
      </c>
      <c r="E787" s="7" t="str">
        <f>IF(A787=""," ",B787*VLOOKUP(A787,'18.11-07.12.2024'!A:H,6,FALSE))</f>
        <v xml:space="preserve"> </v>
      </c>
      <c r="F787" s="7" t="str">
        <f>IF(A787=""," ",B787*VLOOKUP(A787,'18.11-07.12.2024'!A:H,7,FALSE))</f>
        <v xml:space="preserve"> </v>
      </c>
      <c r="G787" s="7" t="str">
        <f>IF(A787=""," ",B787*VLOOKUP(A787,'18.11-07.12.2024'!A:H,8,FALSE))</f>
        <v xml:space="preserve"> </v>
      </c>
    </row>
    <row r="788" spans="1:7" ht="15" x14ac:dyDescent="0.2">
      <c r="A788" s="21"/>
      <c r="B788" s="26"/>
      <c r="C788" s="6" t="str">
        <f>IF(A788=""," ",VLOOKUP(A788,'18.11-07.12.2024'!A:H,2,FALSE))</f>
        <v xml:space="preserve"> </v>
      </c>
      <c r="D788" s="33" t="str">
        <f>IF(A788=""," ",VLOOKUP(A788,'18.11-07.12.2024'!A:H,5,FALSE))</f>
        <v xml:space="preserve"> </v>
      </c>
      <c r="E788" s="7" t="str">
        <f>IF(A788=""," ",B788*VLOOKUP(A788,'18.11-07.12.2024'!A:H,6,FALSE))</f>
        <v xml:space="preserve"> </v>
      </c>
      <c r="F788" s="7" t="str">
        <f>IF(A788=""," ",B788*VLOOKUP(A788,'18.11-07.12.2024'!A:H,7,FALSE))</f>
        <v xml:space="preserve"> </v>
      </c>
      <c r="G788" s="7" t="str">
        <f>IF(A788=""," ",B788*VLOOKUP(A788,'18.11-07.12.2024'!A:H,8,FALSE))</f>
        <v xml:space="preserve"> </v>
      </c>
    </row>
    <row r="789" spans="1:7" ht="15" x14ac:dyDescent="0.2">
      <c r="A789" s="21"/>
      <c r="B789" s="26"/>
      <c r="C789" s="6" t="str">
        <f>IF(A789=""," ",VLOOKUP(A789,'18.11-07.12.2024'!A:H,2,FALSE))</f>
        <v xml:space="preserve"> </v>
      </c>
      <c r="D789" s="33" t="str">
        <f>IF(A789=""," ",VLOOKUP(A789,'18.11-07.12.2024'!A:H,5,FALSE))</f>
        <v xml:space="preserve"> </v>
      </c>
      <c r="E789" s="7" t="str">
        <f>IF(A789=""," ",B789*VLOOKUP(A789,'18.11-07.12.2024'!A:H,6,FALSE))</f>
        <v xml:space="preserve"> </v>
      </c>
      <c r="F789" s="7" t="str">
        <f>IF(A789=""," ",B789*VLOOKUP(A789,'18.11-07.12.2024'!A:H,7,FALSE))</f>
        <v xml:space="preserve"> </v>
      </c>
      <c r="G789" s="7" t="str">
        <f>IF(A789=""," ",B789*VLOOKUP(A789,'18.11-07.12.2024'!A:H,8,FALSE))</f>
        <v xml:space="preserve"> </v>
      </c>
    </row>
    <row r="790" spans="1:7" ht="15" x14ac:dyDescent="0.2">
      <c r="A790" s="21"/>
      <c r="B790" s="26"/>
      <c r="C790" s="6" t="str">
        <f>IF(A790=""," ",VLOOKUP(A790,'18.11-07.12.2024'!A:H,2,FALSE))</f>
        <v xml:space="preserve"> </v>
      </c>
      <c r="D790" s="33" t="str">
        <f>IF(A790=""," ",VLOOKUP(A790,'18.11-07.12.2024'!A:H,5,FALSE))</f>
        <v xml:space="preserve"> </v>
      </c>
      <c r="E790" s="7" t="str">
        <f>IF(A790=""," ",B790*VLOOKUP(A790,'18.11-07.12.2024'!A:H,6,FALSE))</f>
        <v xml:space="preserve"> </v>
      </c>
      <c r="F790" s="7" t="str">
        <f>IF(A790=""," ",B790*VLOOKUP(A790,'18.11-07.12.2024'!A:H,7,FALSE))</f>
        <v xml:space="preserve"> </v>
      </c>
      <c r="G790" s="7" t="str">
        <f>IF(A790=""," ",B790*VLOOKUP(A790,'18.11-07.12.2024'!A:H,8,FALSE))</f>
        <v xml:space="preserve"> </v>
      </c>
    </row>
    <row r="791" spans="1:7" ht="15" x14ac:dyDescent="0.2">
      <c r="A791" s="21"/>
      <c r="B791" s="26"/>
      <c r="C791" s="6" t="str">
        <f>IF(A791=""," ",VLOOKUP(A791,'18.11-07.12.2024'!A:H,2,FALSE))</f>
        <v xml:space="preserve"> </v>
      </c>
      <c r="D791" s="33" t="str">
        <f>IF(A791=""," ",VLOOKUP(A791,'18.11-07.12.2024'!A:H,5,FALSE))</f>
        <v xml:space="preserve"> </v>
      </c>
      <c r="E791" s="7" t="str">
        <f>IF(A791=""," ",B791*VLOOKUP(A791,'18.11-07.12.2024'!A:H,6,FALSE))</f>
        <v xml:space="preserve"> </v>
      </c>
      <c r="F791" s="7" t="str">
        <f>IF(A791=""," ",B791*VLOOKUP(A791,'18.11-07.12.2024'!A:H,7,FALSE))</f>
        <v xml:space="preserve"> </v>
      </c>
      <c r="G791" s="7" t="str">
        <f>IF(A791=""," ",B791*VLOOKUP(A791,'18.11-07.12.2024'!A:H,8,FALSE))</f>
        <v xml:space="preserve"> </v>
      </c>
    </row>
    <row r="792" spans="1:7" ht="15" x14ac:dyDescent="0.2">
      <c r="A792" s="21"/>
      <c r="B792" s="26"/>
      <c r="C792" s="6" t="str">
        <f>IF(A792=""," ",VLOOKUP(A792,'18.11-07.12.2024'!A:H,2,FALSE))</f>
        <v xml:space="preserve"> </v>
      </c>
      <c r="D792" s="33" t="str">
        <f>IF(A792=""," ",VLOOKUP(A792,'18.11-07.12.2024'!A:H,5,FALSE))</f>
        <v xml:space="preserve"> </v>
      </c>
      <c r="E792" s="7" t="str">
        <f>IF(A792=""," ",B792*VLOOKUP(A792,'18.11-07.12.2024'!A:H,6,FALSE))</f>
        <v xml:space="preserve"> </v>
      </c>
      <c r="F792" s="7" t="str">
        <f>IF(A792=""," ",B792*VLOOKUP(A792,'18.11-07.12.2024'!A:H,7,FALSE))</f>
        <v xml:space="preserve"> </v>
      </c>
      <c r="G792" s="7" t="str">
        <f>IF(A792=""," ",B792*VLOOKUP(A792,'18.11-07.12.2024'!A:H,8,FALSE))</f>
        <v xml:space="preserve"> </v>
      </c>
    </row>
    <row r="793" spans="1:7" ht="15" x14ac:dyDescent="0.2">
      <c r="A793" s="21"/>
      <c r="B793" s="26"/>
      <c r="C793" s="6" t="str">
        <f>IF(A793=""," ",VLOOKUP(A793,'18.11-07.12.2024'!A:H,2,FALSE))</f>
        <v xml:space="preserve"> </v>
      </c>
      <c r="D793" s="33" t="str">
        <f>IF(A793=""," ",VLOOKUP(A793,'18.11-07.12.2024'!A:H,5,FALSE))</f>
        <v xml:space="preserve"> </v>
      </c>
      <c r="E793" s="7" t="str">
        <f>IF(A793=""," ",B793*VLOOKUP(A793,'18.11-07.12.2024'!A:H,6,FALSE))</f>
        <v xml:space="preserve"> </v>
      </c>
      <c r="F793" s="7" t="str">
        <f>IF(A793=""," ",B793*VLOOKUP(A793,'18.11-07.12.2024'!A:H,7,FALSE))</f>
        <v xml:space="preserve"> </v>
      </c>
      <c r="G793" s="7" t="str">
        <f>IF(A793=""," ",B793*VLOOKUP(A793,'18.11-07.12.2024'!A:H,8,FALSE))</f>
        <v xml:space="preserve"> </v>
      </c>
    </row>
    <row r="794" spans="1:7" ht="15" x14ac:dyDescent="0.2">
      <c r="A794" s="21"/>
      <c r="B794" s="26"/>
      <c r="C794" s="6" t="str">
        <f>IF(A794=""," ",VLOOKUP(A794,'18.11-07.12.2024'!A:H,2,FALSE))</f>
        <v xml:space="preserve"> </v>
      </c>
      <c r="D794" s="33" t="str">
        <f>IF(A794=""," ",VLOOKUP(A794,'18.11-07.12.2024'!A:H,5,FALSE))</f>
        <v xml:space="preserve"> </v>
      </c>
      <c r="E794" s="7" t="str">
        <f>IF(A794=""," ",B794*VLOOKUP(A794,'18.11-07.12.2024'!A:H,6,FALSE))</f>
        <v xml:space="preserve"> </v>
      </c>
      <c r="F794" s="7" t="str">
        <f>IF(A794=""," ",B794*VLOOKUP(A794,'18.11-07.12.2024'!A:H,7,FALSE))</f>
        <v xml:space="preserve"> </v>
      </c>
      <c r="G794" s="7" t="str">
        <f>IF(A794=""," ",B794*VLOOKUP(A794,'18.11-07.12.2024'!A:H,8,FALSE))</f>
        <v xml:space="preserve"> </v>
      </c>
    </row>
    <row r="795" spans="1:7" ht="15" x14ac:dyDescent="0.2">
      <c r="A795" s="21"/>
      <c r="B795" s="26"/>
      <c r="C795" s="6" t="str">
        <f>IF(A795=""," ",VLOOKUP(A795,'18.11-07.12.2024'!A:H,2,FALSE))</f>
        <v xml:space="preserve"> </v>
      </c>
      <c r="D795" s="33" t="str">
        <f>IF(A795=""," ",VLOOKUP(A795,'18.11-07.12.2024'!A:H,5,FALSE))</f>
        <v xml:space="preserve"> </v>
      </c>
      <c r="E795" s="7" t="str">
        <f>IF(A795=""," ",B795*VLOOKUP(A795,'18.11-07.12.2024'!A:H,6,FALSE))</f>
        <v xml:space="preserve"> </v>
      </c>
      <c r="F795" s="7" t="str">
        <f>IF(A795=""," ",B795*VLOOKUP(A795,'18.11-07.12.2024'!A:H,7,FALSE))</f>
        <v xml:space="preserve"> </v>
      </c>
      <c r="G795" s="7" t="str">
        <f>IF(A795=""," ",B795*VLOOKUP(A795,'18.11-07.12.2024'!A:H,8,FALSE))</f>
        <v xml:space="preserve"> </v>
      </c>
    </row>
    <row r="796" spans="1:7" ht="15" x14ac:dyDescent="0.2">
      <c r="A796" s="21"/>
      <c r="B796" s="26"/>
      <c r="C796" s="6" t="str">
        <f>IF(A796=""," ",VLOOKUP(A796,'18.11-07.12.2024'!A:H,2,FALSE))</f>
        <v xml:space="preserve"> </v>
      </c>
      <c r="D796" s="33" t="str">
        <f>IF(A796=""," ",VLOOKUP(A796,'18.11-07.12.2024'!A:H,5,FALSE))</f>
        <v xml:space="preserve"> </v>
      </c>
      <c r="E796" s="7" t="str">
        <f>IF(A796=""," ",B796*VLOOKUP(A796,'18.11-07.12.2024'!A:H,6,FALSE))</f>
        <v xml:space="preserve"> </v>
      </c>
      <c r="F796" s="7" t="str">
        <f>IF(A796=""," ",B796*VLOOKUP(A796,'18.11-07.12.2024'!A:H,7,FALSE))</f>
        <v xml:space="preserve"> </v>
      </c>
      <c r="G796" s="7" t="str">
        <f>IF(A796=""," ",B796*VLOOKUP(A796,'18.11-07.12.2024'!A:H,8,FALSE))</f>
        <v xml:space="preserve"> </v>
      </c>
    </row>
    <row r="797" spans="1:7" ht="15" x14ac:dyDescent="0.2">
      <c r="A797" s="21"/>
      <c r="B797" s="26"/>
      <c r="C797" s="6" t="str">
        <f>IF(A797=""," ",VLOOKUP(A797,'18.11-07.12.2024'!A:H,2,FALSE))</f>
        <v xml:space="preserve"> </v>
      </c>
      <c r="D797" s="33" t="str">
        <f>IF(A797=""," ",VLOOKUP(A797,'18.11-07.12.2024'!A:H,5,FALSE))</f>
        <v xml:space="preserve"> </v>
      </c>
      <c r="E797" s="7" t="str">
        <f>IF(A797=""," ",B797*VLOOKUP(A797,'18.11-07.12.2024'!A:H,6,FALSE))</f>
        <v xml:space="preserve"> </v>
      </c>
      <c r="F797" s="7" t="str">
        <f>IF(A797=""," ",B797*VLOOKUP(A797,'18.11-07.12.2024'!A:H,7,FALSE))</f>
        <v xml:space="preserve"> </v>
      </c>
      <c r="G797" s="7" t="str">
        <f>IF(A797=""," ",B797*VLOOKUP(A797,'18.11-07.12.2024'!A:H,8,FALSE))</f>
        <v xml:space="preserve"> </v>
      </c>
    </row>
    <row r="798" spans="1:7" ht="15" x14ac:dyDescent="0.2">
      <c r="A798" s="21"/>
      <c r="B798" s="26"/>
      <c r="C798" s="6" t="str">
        <f>IF(A798=""," ",VLOOKUP(A798,'18.11-07.12.2024'!A:H,2,FALSE))</f>
        <v xml:space="preserve"> </v>
      </c>
      <c r="D798" s="33" t="str">
        <f>IF(A798=""," ",VLOOKUP(A798,'18.11-07.12.2024'!A:H,5,FALSE))</f>
        <v xml:space="preserve"> </v>
      </c>
      <c r="E798" s="7" t="str">
        <f>IF(A798=""," ",B798*VLOOKUP(A798,'18.11-07.12.2024'!A:H,6,FALSE))</f>
        <v xml:space="preserve"> </v>
      </c>
      <c r="F798" s="7" t="str">
        <f>IF(A798=""," ",B798*VLOOKUP(A798,'18.11-07.12.2024'!A:H,7,FALSE))</f>
        <v xml:space="preserve"> </v>
      </c>
      <c r="G798" s="7" t="str">
        <f>IF(A798=""," ",B798*VLOOKUP(A798,'18.11-07.12.2024'!A:H,8,FALSE))</f>
        <v xml:space="preserve"> </v>
      </c>
    </row>
    <row r="799" spans="1:7" ht="15" x14ac:dyDescent="0.2">
      <c r="A799" s="21"/>
      <c r="B799" s="26"/>
      <c r="C799" s="6" t="str">
        <f>IF(A799=""," ",VLOOKUP(A799,'18.11-07.12.2024'!A:H,2,FALSE))</f>
        <v xml:space="preserve"> </v>
      </c>
      <c r="D799" s="33" t="str">
        <f>IF(A799=""," ",VLOOKUP(A799,'18.11-07.12.2024'!A:H,5,FALSE))</f>
        <v xml:space="preserve"> </v>
      </c>
      <c r="E799" s="7" t="str">
        <f>IF(A799=""," ",B799*VLOOKUP(A799,'18.11-07.12.2024'!A:H,6,FALSE))</f>
        <v xml:space="preserve"> </v>
      </c>
      <c r="F799" s="7" t="str">
        <f>IF(A799=""," ",B799*VLOOKUP(A799,'18.11-07.12.2024'!A:H,7,FALSE))</f>
        <v xml:space="preserve"> </v>
      </c>
      <c r="G799" s="7" t="str">
        <f>IF(A799=""," ",B799*VLOOKUP(A799,'18.11-07.12.2024'!A:H,8,FALSE))</f>
        <v xml:space="preserve"> </v>
      </c>
    </row>
    <row r="800" spans="1:7" ht="15" x14ac:dyDescent="0.2">
      <c r="A800" s="21"/>
      <c r="B800" s="26"/>
      <c r="C800" s="6" t="str">
        <f>IF(A800=""," ",VLOOKUP(A800,'18.11-07.12.2024'!A:H,2,FALSE))</f>
        <v xml:space="preserve"> </v>
      </c>
      <c r="D800" s="33" t="str">
        <f>IF(A800=""," ",VLOOKUP(A800,'18.11-07.12.2024'!A:H,5,FALSE))</f>
        <v xml:space="preserve"> </v>
      </c>
      <c r="E800" s="7" t="str">
        <f>IF(A800=""," ",B800*VLOOKUP(A800,'18.11-07.12.2024'!A:H,6,FALSE))</f>
        <v xml:space="preserve"> </v>
      </c>
      <c r="F800" s="7" t="str">
        <f>IF(A800=""," ",B800*VLOOKUP(A800,'18.11-07.12.2024'!A:H,7,FALSE))</f>
        <v xml:space="preserve"> </v>
      </c>
      <c r="G800" s="7" t="str">
        <f>IF(A800=""," ",B800*VLOOKUP(A800,'18.11-07.12.2024'!A:H,8,FALSE))</f>
        <v xml:space="preserve"> </v>
      </c>
    </row>
    <row r="801" spans="1:7" ht="15" x14ac:dyDescent="0.2">
      <c r="A801" s="21"/>
      <c r="B801" s="26"/>
      <c r="C801" s="6" t="str">
        <f>IF(A801=""," ",VLOOKUP(A801,'18.11-07.12.2024'!A:H,2,FALSE))</f>
        <v xml:space="preserve"> </v>
      </c>
      <c r="D801" s="33" t="str">
        <f>IF(A801=""," ",VLOOKUP(A801,'18.11-07.12.2024'!A:H,5,FALSE))</f>
        <v xml:space="preserve"> </v>
      </c>
      <c r="E801" s="7" t="str">
        <f>IF(A801=""," ",B801*VLOOKUP(A801,'18.11-07.12.2024'!A:H,6,FALSE))</f>
        <v xml:space="preserve"> </v>
      </c>
      <c r="F801" s="7" t="str">
        <f>IF(A801=""," ",B801*VLOOKUP(A801,'18.11-07.12.2024'!A:H,7,FALSE))</f>
        <v xml:space="preserve"> </v>
      </c>
      <c r="G801" s="7" t="str">
        <f>IF(A801=""," ",B801*VLOOKUP(A801,'18.11-07.12.2024'!A:H,8,FALSE))</f>
        <v xml:space="preserve"> </v>
      </c>
    </row>
    <row r="802" spans="1:7" ht="15" x14ac:dyDescent="0.2">
      <c r="A802" s="21"/>
      <c r="B802" s="26"/>
      <c r="C802" s="6" t="str">
        <f>IF(A802=""," ",VLOOKUP(A802,'18.11-07.12.2024'!A:H,2,FALSE))</f>
        <v xml:space="preserve"> </v>
      </c>
      <c r="D802" s="33" t="str">
        <f>IF(A802=""," ",VLOOKUP(A802,'18.11-07.12.2024'!A:H,5,FALSE))</f>
        <v xml:space="preserve"> </v>
      </c>
      <c r="E802" s="7" t="str">
        <f>IF(A802=""," ",B802*VLOOKUP(A802,'18.11-07.12.2024'!A:H,6,FALSE))</f>
        <v xml:space="preserve"> </v>
      </c>
      <c r="F802" s="7" t="str">
        <f>IF(A802=""," ",B802*VLOOKUP(A802,'18.11-07.12.2024'!A:H,7,FALSE))</f>
        <v xml:space="preserve"> </v>
      </c>
      <c r="G802" s="7" t="str">
        <f>IF(A802=""," ",B802*VLOOKUP(A802,'18.11-07.12.2024'!A:H,8,FALSE))</f>
        <v xml:space="preserve"> </v>
      </c>
    </row>
    <row r="803" spans="1:7" ht="15" x14ac:dyDescent="0.2">
      <c r="A803" s="21"/>
      <c r="B803" s="26"/>
      <c r="C803" s="6" t="str">
        <f>IF(A803=""," ",VLOOKUP(A803,'18.11-07.12.2024'!A:H,2,FALSE))</f>
        <v xml:space="preserve"> </v>
      </c>
      <c r="D803" s="33" t="str">
        <f>IF(A803=""," ",VLOOKUP(A803,'18.11-07.12.2024'!A:H,5,FALSE))</f>
        <v xml:space="preserve"> </v>
      </c>
      <c r="E803" s="7" t="str">
        <f>IF(A803=""," ",B803*VLOOKUP(A803,'18.11-07.12.2024'!A:H,6,FALSE))</f>
        <v xml:space="preserve"> </v>
      </c>
      <c r="F803" s="7" t="str">
        <f>IF(A803=""," ",B803*VLOOKUP(A803,'18.11-07.12.2024'!A:H,7,FALSE))</f>
        <v xml:space="preserve"> </v>
      </c>
      <c r="G803" s="7" t="str">
        <f>IF(A803=""," ",B803*VLOOKUP(A803,'18.11-07.12.2024'!A:H,8,FALSE))</f>
        <v xml:space="preserve"> </v>
      </c>
    </row>
    <row r="804" spans="1:7" ht="15" x14ac:dyDescent="0.2">
      <c r="A804" s="21"/>
      <c r="B804" s="26"/>
      <c r="C804" s="6" t="str">
        <f>IF(A804=""," ",VLOOKUP(A804,'18.11-07.12.2024'!A:H,2,FALSE))</f>
        <v xml:space="preserve"> </v>
      </c>
      <c r="D804" s="33" t="str">
        <f>IF(A804=""," ",VLOOKUP(A804,'18.11-07.12.2024'!A:H,5,FALSE))</f>
        <v xml:space="preserve"> </v>
      </c>
      <c r="E804" s="7" t="str">
        <f>IF(A804=""," ",B804*VLOOKUP(A804,'18.11-07.12.2024'!A:H,6,FALSE))</f>
        <v xml:space="preserve"> </v>
      </c>
      <c r="F804" s="7" t="str">
        <f>IF(A804=""," ",B804*VLOOKUP(A804,'18.11-07.12.2024'!A:H,7,FALSE))</f>
        <v xml:space="preserve"> </v>
      </c>
      <c r="G804" s="7" t="str">
        <f>IF(A804=""," ",B804*VLOOKUP(A804,'18.11-07.12.2024'!A:H,8,FALSE))</f>
        <v xml:space="preserve"> </v>
      </c>
    </row>
    <row r="805" spans="1:7" ht="15" x14ac:dyDescent="0.2">
      <c r="A805" s="21"/>
      <c r="B805" s="26"/>
      <c r="C805" s="6" t="str">
        <f>IF(A805=""," ",VLOOKUP(A805,'18.11-07.12.2024'!A:H,2,FALSE))</f>
        <v xml:space="preserve"> </v>
      </c>
      <c r="D805" s="33" t="str">
        <f>IF(A805=""," ",VLOOKUP(A805,'18.11-07.12.2024'!A:H,5,FALSE))</f>
        <v xml:space="preserve"> </v>
      </c>
      <c r="E805" s="7" t="str">
        <f>IF(A805=""," ",B805*VLOOKUP(A805,'18.11-07.12.2024'!A:H,6,FALSE))</f>
        <v xml:space="preserve"> </v>
      </c>
      <c r="F805" s="7" t="str">
        <f>IF(A805=""," ",B805*VLOOKUP(A805,'18.11-07.12.2024'!A:H,7,FALSE))</f>
        <v xml:space="preserve"> </v>
      </c>
      <c r="G805" s="7" t="str">
        <f>IF(A805=""," ",B805*VLOOKUP(A805,'18.11-07.12.2024'!A:H,8,FALSE))</f>
        <v xml:space="preserve"> </v>
      </c>
    </row>
    <row r="806" spans="1:7" ht="15" x14ac:dyDescent="0.2">
      <c r="A806" s="21"/>
      <c r="B806" s="26"/>
      <c r="C806" s="6" t="str">
        <f>IF(A806=""," ",VLOOKUP(A806,'18.11-07.12.2024'!A:H,2,FALSE))</f>
        <v xml:space="preserve"> </v>
      </c>
      <c r="D806" s="33" t="str">
        <f>IF(A806=""," ",VLOOKUP(A806,'18.11-07.12.2024'!A:H,5,FALSE))</f>
        <v xml:space="preserve"> </v>
      </c>
      <c r="E806" s="7" t="str">
        <f>IF(A806=""," ",B806*VLOOKUP(A806,'18.11-07.12.2024'!A:H,6,FALSE))</f>
        <v xml:space="preserve"> </v>
      </c>
      <c r="F806" s="7" t="str">
        <f>IF(A806=""," ",B806*VLOOKUP(A806,'18.11-07.12.2024'!A:H,7,FALSE))</f>
        <v xml:space="preserve"> </v>
      </c>
      <c r="G806" s="7" t="str">
        <f>IF(A806=""," ",B806*VLOOKUP(A806,'18.11-07.12.2024'!A:H,8,FALSE))</f>
        <v xml:space="preserve"> </v>
      </c>
    </row>
    <row r="807" spans="1:7" ht="15" x14ac:dyDescent="0.2">
      <c r="A807" s="21"/>
      <c r="B807" s="26"/>
      <c r="C807" s="6" t="str">
        <f>IF(A807=""," ",VLOOKUP(A807,'18.11-07.12.2024'!A:H,2,FALSE))</f>
        <v xml:space="preserve"> </v>
      </c>
      <c r="D807" s="33" t="str">
        <f>IF(A807=""," ",VLOOKUP(A807,'18.11-07.12.2024'!A:H,5,FALSE))</f>
        <v xml:space="preserve"> </v>
      </c>
      <c r="E807" s="7" t="str">
        <f>IF(A807=""," ",B807*VLOOKUP(A807,'18.11-07.12.2024'!A:H,6,FALSE))</f>
        <v xml:space="preserve"> </v>
      </c>
      <c r="F807" s="7" t="str">
        <f>IF(A807=""," ",B807*VLOOKUP(A807,'18.11-07.12.2024'!A:H,7,FALSE))</f>
        <v xml:space="preserve"> </v>
      </c>
      <c r="G807" s="7" t="str">
        <f>IF(A807=""," ",B807*VLOOKUP(A807,'18.11-07.12.2024'!A:H,8,FALSE))</f>
        <v xml:space="preserve"> </v>
      </c>
    </row>
    <row r="808" spans="1:7" ht="15" x14ac:dyDescent="0.2">
      <c r="A808" s="21"/>
      <c r="B808" s="26"/>
      <c r="C808" s="6" t="str">
        <f>IF(A808=""," ",VLOOKUP(A808,'18.11-07.12.2024'!A:H,2,FALSE))</f>
        <v xml:space="preserve"> </v>
      </c>
      <c r="D808" s="33" t="str">
        <f>IF(A808=""," ",VLOOKUP(A808,'18.11-07.12.2024'!A:H,5,FALSE))</f>
        <v xml:space="preserve"> </v>
      </c>
      <c r="E808" s="7" t="str">
        <f>IF(A808=""," ",B808*VLOOKUP(A808,'18.11-07.12.2024'!A:H,6,FALSE))</f>
        <v xml:space="preserve"> </v>
      </c>
      <c r="F808" s="7" t="str">
        <f>IF(A808=""," ",B808*VLOOKUP(A808,'18.11-07.12.2024'!A:H,7,FALSE))</f>
        <v xml:space="preserve"> </v>
      </c>
      <c r="G808" s="7" t="str">
        <f>IF(A808=""," ",B808*VLOOKUP(A808,'18.11-07.12.2024'!A:H,8,FALSE))</f>
        <v xml:space="preserve"> </v>
      </c>
    </row>
    <row r="809" spans="1:7" ht="15" x14ac:dyDescent="0.2">
      <c r="A809" s="21"/>
      <c r="B809" s="26"/>
      <c r="C809" s="6" t="str">
        <f>IF(A809=""," ",VLOOKUP(A809,'18.11-07.12.2024'!A:H,2,FALSE))</f>
        <v xml:space="preserve"> </v>
      </c>
      <c r="D809" s="33" t="str">
        <f>IF(A809=""," ",VLOOKUP(A809,'18.11-07.12.2024'!A:H,5,FALSE))</f>
        <v xml:space="preserve"> </v>
      </c>
      <c r="E809" s="7" t="str">
        <f>IF(A809=""," ",B809*VLOOKUP(A809,'18.11-07.12.2024'!A:H,6,FALSE))</f>
        <v xml:space="preserve"> </v>
      </c>
      <c r="F809" s="7" t="str">
        <f>IF(A809=""," ",B809*VLOOKUP(A809,'18.11-07.12.2024'!A:H,7,FALSE))</f>
        <v xml:space="preserve"> </v>
      </c>
      <c r="G809" s="7" t="str">
        <f>IF(A809=""," ",B809*VLOOKUP(A809,'18.11-07.12.2024'!A:H,8,FALSE))</f>
        <v xml:space="preserve"> </v>
      </c>
    </row>
    <row r="810" spans="1:7" ht="15" x14ac:dyDescent="0.2">
      <c r="A810" s="21"/>
      <c r="B810" s="26"/>
      <c r="C810" s="6" t="str">
        <f>IF(A810=""," ",VLOOKUP(A810,'18.11-07.12.2024'!A:H,2,FALSE))</f>
        <v xml:space="preserve"> </v>
      </c>
      <c r="D810" s="33" t="str">
        <f>IF(A810=""," ",VLOOKUP(A810,'18.11-07.12.2024'!A:H,5,FALSE))</f>
        <v xml:space="preserve"> </v>
      </c>
      <c r="E810" s="7" t="str">
        <f>IF(A810=""," ",B810*VLOOKUP(A810,'18.11-07.12.2024'!A:H,6,FALSE))</f>
        <v xml:space="preserve"> </v>
      </c>
      <c r="F810" s="7" t="str">
        <f>IF(A810=""," ",B810*VLOOKUP(A810,'18.11-07.12.2024'!A:H,7,FALSE))</f>
        <v xml:space="preserve"> </v>
      </c>
      <c r="G810" s="7" t="str">
        <f>IF(A810=""," ",B810*VLOOKUP(A810,'18.11-07.12.2024'!A:H,8,FALSE))</f>
        <v xml:space="preserve"> </v>
      </c>
    </row>
    <row r="811" spans="1:7" ht="15" x14ac:dyDescent="0.2">
      <c r="A811" s="21"/>
      <c r="B811" s="26"/>
      <c r="C811" s="6" t="str">
        <f>IF(A811=""," ",VLOOKUP(A811,'18.11-07.12.2024'!A:H,2,FALSE))</f>
        <v xml:space="preserve"> </v>
      </c>
      <c r="D811" s="33" t="str">
        <f>IF(A811=""," ",VLOOKUP(A811,'18.11-07.12.2024'!A:H,5,FALSE))</f>
        <v xml:space="preserve"> </v>
      </c>
      <c r="E811" s="7" t="str">
        <f>IF(A811=""," ",B811*VLOOKUP(A811,'18.11-07.12.2024'!A:H,6,FALSE))</f>
        <v xml:space="preserve"> </v>
      </c>
      <c r="F811" s="7" t="str">
        <f>IF(A811=""," ",B811*VLOOKUP(A811,'18.11-07.12.2024'!A:H,7,FALSE))</f>
        <v xml:space="preserve"> </v>
      </c>
      <c r="G811" s="7" t="str">
        <f>IF(A811=""," ",B811*VLOOKUP(A811,'18.11-07.12.2024'!A:H,8,FALSE))</f>
        <v xml:space="preserve"> </v>
      </c>
    </row>
    <row r="812" spans="1:7" ht="15" x14ac:dyDescent="0.2">
      <c r="A812" s="21"/>
      <c r="B812" s="26"/>
      <c r="C812" s="6" t="str">
        <f>IF(A812=""," ",VLOOKUP(A812,'18.11-07.12.2024'!A:H,2,FALSE))</f>
        <v xml:space="preserve"> </v>
      </c>
      <c r="D812" s="33" t="str">
        <f>IF(A812=""," ",VLOOKUP(A812,'18.11-07.12.2024'!A:H,5,FALSE))</f>
        <v xml:space="preserve"> </v>
      </c>
      <c r="E812" s="7" t="str">
        <f>IF(A812=""," ",B812*VLOOKUP(A812,'18.11-07.12.2024'!A:H,6,FALSE))</f>
        <v xml:space="preserve"> </v>
      </c>
      <c r="F812" s="7" t="str">
        <f>IF(A812=""," ",B812*VLOOKUP(A812,'18.11-07.12.2024'!A:H,7,FALSE))</f>
        <v xml:space="preserve"> </v>
      </c>
      <c r="G812" s="7" t="str">
        <f>IF(A812=""," ",B812*VLOOKUP(A812,'18.11-07.12.2024'!A:H,8,FALSE))</f>
        <v xml:space="preserve"> </v>
      </c>
    </row>
    <row r="813" spans="1:7" ht="15" x14ac:dyDescent="0.2">
      <c r="A813" s="21"/>
      <c r="B813" s="26"/>
      <c r="C813" s="6" t="str">
        <f>IF(A813=""," ",VLOOKUP(A813,'18.11-07.12.2024'!A:H,2,FALSE))</f>
        <v xml:space="preserve"> </v>
      </c>
      <c r="D813" s="33" t="str">
        <f>IF(A813=""," ",VLOOKUP(A813,'18.11-07.12.2024'!A:H,5,FALSE))</f>
        <v xml:space="preserve"> </v>
      </c>
      <c r="E813" s="7" t="str">
        <f>IF(A813=""," ",B813*VLOOKUP(A813,'18.11-07.12.2024'!A:H,6,FALSE))</f>
        <v xml:space="preserve"> </v>
      </c>
      <c r="F813" s="7" t="str">
        <f>IF(A813=""," ",B813*VLOOKUP(A813,'18.11-07.12.2024'!A:H,7,FALSE))</f>
        <v xml:space="preserve"> </v>
      </c>
      <c r="G813" s="7" t="str">
        <f>IF(A813=""," ",B813*VLOOKUP(A813,'18.11-07.12.2024'!A:H,8,FALSE))</f>
        <v xml:space="preserve"> </v>
      </c>
    </row>
    <row r="814" spans="1:7" ht="15" x14ac:dyDescent="0.2">
      <c r="A814" s="21"/>
      <c r="B814" s="26"/>
      <c r="C814" s="6" t="str">
        <f>IF(A814=""," ",VLOOKUP(A814,'18.11-07.12.2024'!A:H,2,FALSE))</f>
        <v xml:space="preserve"> </v>
      </c>
      <c r="D814" s="33" t="str">
        <f>IF(A814=""," ",VLOOKUP(A814,'18.11-07.12.2024'!A:H,5,FALSE))</f>
        <v xml:space="preserve"> </v>
      </c>
      <c r="E814" s="7" t="str">
        <f>IF(A814=""," ",B814*VLOOKUP(A814,'18.11-07.12.2024'!A:H,6,FALSE))</f>
        <v xml:space="preserve"> </v>
      </c>
      <c r="F814" s="7" t="str">
        <f>IF(A814=""," ",B814*VLOOKUP(A814,'18.11-07.12.2024'!A:H,7,FALSE))</f>
        <v xml:space="preserve"> </v>
      </c>
      <c r="G814" s="7" t="str">
        <f>IF(A814=""," ",B814*VLOOKUP(A814,'18.11-07.12.2024'!A:H,8,FALSE))</f>
        <v xml:space="preserve"> </v>
      </c>
    </row>
    <row r="815" spans="1:7" ht="15" x14ac:dyDescent="0.2">
      <c r="A815" s="21"/>
      <c r="B815" s="26"/>
      <c r="C815" s="6" t="str">
        <f>IF(A815=""," ",VLOOKUP(A815,'18.11-07.12.2024'!A:H,2,FALSE))</f>
        <v xml:space="preserve"> </v>
      </c>
      <c r="D815" s="33" t="str">
        <f>IF(A815=""," ",VLOOKUP(A815,'18.11-07.12.2024'!A:H,5,FALSE))</f>
        <v xml:space="preserve"> </v>
      </c>
      <c r="E815" s="7" t="str">
        <f>IF(A815=""," ",B815*VLOOKUP(A815,'18.11-07.12.2024'!A:H,6,FALSE))</f>
        <v xml:space="preserve"> </v>
      </c>
      <c r="F815" s="7" t="str">
        <f>IF(A815=""," ",B815*VLOOKUP(A815,'18.11-07.12.2024'!A:H,7,FALSE))</f>
        <v xml:space="preserve"> </v>
      </c>
      <c r="G815" s="7" t="str">
        <f>IF(A815=""," ",B815*VLOOKUP(A815,'18.11-07.12.2024'!A:H,8,FALSE))</f>
        <v xml:space="preserve"> </v>
      </c>
    </row>
    <row r="816" spans="1:7" ht="15" x14ac:dyDescent="0.2">
      <c r="A816" s="21"/>
      <c r="B816" s="26"/>
      <c r="C816" s="6" t="str">
        <f>IF(A816=""," ",VLOOKUP(A816,'18.11-07.12.2024'!A:H,2,FALSE))</f>
        <v xml:space="preserve"> </v>
      </c>
      <c r="D816" s="33" t="str">
        <f>IF(A816=""," ",VLOOKUP(A816,'18.11-07.12.2024'!A:H,5,FALSE))</f>
        <v xml:space="preserve"> </v>
      </c>
      <c r="E816" s="7" t="str">
        <f>IF(A816=""," ",B816*VLOOKUP(A816,'18.11-07.12.2024'!A:H,6,FALSE))</f>
        <v xml:space="preserve"> </v>
      </c>
      <c r="F816" s="7" t="str">
        <f>IF(A816=""," ",B816*VLOOKUP(A816,'18.11-07.12.2024'!A:H,7,FALSE))</f>
        <v xml:space="preserve"> </v>
      </c>
      <c r="G816" s="7" t="str">
        <f>IF(A816=""," ",B816*VLOOKUP(A816,'18.11-07.12.2024'!A:H,8,FALSE))</f>
        <v xml:space="preserve"> </v>
      </c>
    </row>
    <row r="817" spans="1:7" ht="15" x14ac:dyDescent="0.2">
      <c r="A817" s="21"/>
      <c r="B817" s="26"/>
      <c r="C817" s="6" t="str">
        <f>IF(A817=""," ",VLOOKUP(A817,'18.11-07.12.2024'!A:H,2,FALSE))</f>
        <v xml:space="preserve"> </v>
      </c>
      <c r="D817" s="33" t="str">
        <f>IF(A817=""," ",VLOOKUP(A817,'18.11-07.12.2024'!A:H,5,FALSE))</f>
        <v xml:space="preserve"> </v>
      </c>
      <c r="E817" s="7" t="str">
        <f>IF(A817=""," ",B817*VLOOKUP(A817,'18.11-07.12.2024'!A:H,6,FALSE))</f>
        <v xml:space="preserve"> </v>
      </c>
      <c r="F817" s="7" t="str">
        <f>IF(A817=""," ",B817*VLOOKUP(A817,'18.11-07.12.2024'!A:H,7,FALSE))</f>
        <v xml:space="preserve"> </v>
      </c>
      <c r="G817" s="7" t="str">
        <f>IF(A817=""," ",B817*VLOOKUP(A817,'18.11-07.12.2024'!A:H,8,FALSE))</f>
        <v xml:space="preserve"> </v>
      </c>
    </row>
    <row r="818" spans="1:7" ht="15" x14ac:dyDescent="0.2">
      <c r="A818" s="21"/>
      <c r="B818" s="26"/>
      <c r="C818" s="6" t="str">
        <f>IF(A818=""," ",VLOOKUP(A818,'18.11-07.12.2024'!A:H,2,FALSE))</f>
        <v xml:space="preserve"> </v>
      </c>
      <c r="D818" s="33" t="str">
        <f>IF(A818=""," ",VLOOKUP(A818,'18.11-07.12.2024'!A:H,5,FALSE))</f>
        <v xml:space="preserve"> </v>
      </c>
      <c r="E818" s="7" t="str">
        <f>IF(A818=""," ",B818*VLOOKUP(A818,'18.11-07.12.2024'!A:H,6,FALSE))</f>
        <v xml:space="preserve"> </v>
      </c>
      <c r="F818" s="7" t="str">
        <f>IF(A818=""," ",B818*VLOOKUP(A818,'18.11-07.12.2024'!A:H,7,FALSE))</f>
        <v xml:space="preserve"> </v>
      </c>
      <c r="G818" s="7" t="str">
        <f>IF(A818=""," ",B818*VLOOKUP(A818,'18.11-07.12.2024'!A:H,8,FALSE))</f>
        <v xml:space="preserve"> </v>
      </c>
    </row>
    <row r="819" spans="1:7" ht="15" x14ac:dyDescent="0.2">
      <c r="A819" s="21"/>
      <c r="B819" s="26"/>
      <c r="C819" s="6" t="str">
        <f>IF(A819=""," ",VLOOKUP(A819,'18.11-07.12.2024'!A:H,2,FALSE))</f>
        <v xml:space="preserve"> </v>
      </c>
      <c r="D819" s="33" t="str">
        <f>IF(A819=""," ",VLOOKUP(A819,'18.11-07.12.2024'!A:H,5,FALSE))</f>
        <v xml:space="preserve"> </v>
      </c>
      <c r="E819" s="7" t="str">
        <f>IF(A819=""," ",B819*VLOOKUP(A819,'18.11-07.12.2024'!A:H,6,FALSE))</f>
        <v xml:space="preserve"> </v>
      </c>
      <c r="F819" s="7" t="str">
        <f>IF(A819=""," ",B819*VLOOKUP(A819,'18.11-07.12.2024'!A:H,7,FALSE))</f>
        <v xml:space="preserve"> </v>
      </c>
      <c r="G819" s="7" t="str">
        <f>IF(A819=""," ",B819*VLOOKUP(A819,'18.11-07.12.2024'!A:H,8,FALSE))</f>
        <v xml:space="preserve"> </v>
      </c>
    </row>
    <row r="820" spans="1:7" ht="15" x14ac:dyDescent="0.2">
      <c r="A820" s="21"/>
      <c r="B820" s="26"/>
      <c r="C820" s="6" t="str">
        <f>IF(A820=""," ",VLOOKUP(A820,'18.11-07.12.2024'!A:H,2,FALSE))</f>
        <v xml:space="preserve"> </v>
      </c>
      <c r="D820" s="33" t="str">
        <f>IF(A820=""," ",VLOOKUP(A820,'18.11-07.12.2024'!A:H,5,FALSE))</f>
        <v xml:space="preserve"> </v>
      </c>
      <c r="E820" s="7" t="str">
        <f>IF(A820=""," ",B820*VLOOKUP(A820,'18.11-07.12.2024'!A:H,6,FALSE))</f>
        <v xml:space="preserve"> </v>
      </c>
      <c r="F820" s="7" t="str">
        <f>IF(A820=""," ",B820*VLOOKUP(A820,'18.11-07.12.2024'!A:H,7,FALSE))</f>
        <v xml:space="preserve"> </v>
      </c>
      <c r="G820" s="7" t="str">
        <f>IF(A820=""," ",B820*VLOOKUP(A820,'18.11-07.12.2024'!A:H,8,FALSE))</f>
        <v xml:space="preserve"> </v>
      </c>
    </row>
    <row r="821" spans="1:7" ht="15" x14ac:dyDescent="0.2">
      <c r="A821" s="21"/>
      <c r="B821" s="26"/>
      <c r="C821" s="6" t="str">
        <f>IF(A821=""," ",VLOOKUP(A821,'18.11-07.12.2024'!A:H,2,FALSE))</f>
        <v xml:space="preserve"> </v>
      </c>
      <c r="D821" s="33" t="str">
        <f>IF(A821=""," ",VLOOKUP(A821,'18.11-07.12.2024'!A:H,5,FALSE))</f>
        <v xml:space="preserve"> </v>
      </c>
      <c r="E821" s="7" t="str">
        <f>IF(A821=""," ",B821*VLOOKUP(A821,'18.11-07.12.2024'!A:H,6,FALSE))</f>
        <v xml:space="preserve"> </v>
      </c>
      <c r="F821" s="7" t="str">
        <f>IF(A821=""," ",B821*VLOOKUP(A821,'18.11-07.12.2024'!A:H,7,FALSE))</f>
        <v xml:space="preserve"> </v>
      </c>
      <c r="G821" s="7" t="str">
        <f>IF(A821=""," ",B821*VLOOKUP(A821,'18.11-07.12.2024'!A:H,8,FALSE))</f>
        <v xml:space="preserve"> </v>
      </c>
    </row>
    <row r="822" spans="1:7" ht="15" x14ac:dyDescent="0.2">
      <c r="A822" s="21"/>
      <c r="B822" s="26"/>
      <c r="C822" s="6" t="str">
        <f>IF(A822=""," ",VLOOKUP(A822,'18.11-07.12.2024'!A:H,2,FALSE))</f>
        <v xml:space="preserve"> </v>
      </c>
      <c r="D822" s="33" t="str">
        <f>IF(A822=""," ",VLOOKUP(A822,'18.11-07.12.2024'!A:H,5,FALSE))</f>
        <v xml:space="preserve"> </v>
      </c>
      <c r="E822" s="7" t="str">
        <f>IF(A822=""," ",B822*VLOOKUP(A822,'18.11-07.12.2024'!A:H,6,FALSE))</f>
        <v xml:space="preserve"> </v>
      </c>
      <c r="F822" s="7" t="str">
        <f>IF(A822=""," ",B822*VLOOKUP(A822,'18.11-07.12.2024'!A:H,7,FALSE))</f>
        <v xml:space="preserve"> </v>
      </c>
      <c r="G822" s="7" t="str">
        <f>IF(A822=""," ",B822*VLOOKUP(A822,'18.11-07.12.2024'!A:H,8,FALSE))</f>
        <v xml:space="preserve"> </v>
      </c>
    </row>
    <row r="823" spans="1:7" ht="15" x14ac:dyDescent="0.2">
      <c r="A823" s="21"/>
      <c r="B823" s="26"/>
      <c r="C823" s="6" t="str">
        <f>IF(A823=""," ",VLOOKUP(A823,'18.11-07.12.2024'!A:H,2,FALSE))</f>
        <v xml:space="preserve"> </v>
      </c>
      <c r="D823" s="33" t="str">
        <f>IF(A823=""," ",VLOOKUP(A823,'18.11-07.12.2024'!A:H,5,FALSE))</f>
        <v xml:space="preserve"> </v>
      </c>
      <c r="E823" s="7" t="str">
        <f>IF(A823=""," ",B823*VLOOKUP(A823,'18.11-07.12.2024'!A:H,6,FALSE))</f>
        <v xml:space="preserve"> </v>
      </c>
      <c r="F823" s="7" t="str">
        <f>IF(A823=""," ",B823*VLOOKUP(A823,'18.11-07.12.2024'!A:H,7,FALSE))</f>
        <v xml:space="preserve"> </v>
      </c>
      <c r="G823" s="7" t="str">
        <f>IF(A823=""," ",B823*VLOOKUP(A823,'18.11-07.12.2024'!A:H,8,FALSE))</f>
        <v xml:space="preserve"> </v>
      </c>
    </row>
    <row r="824" spans="1:7" ht="15" x14ac:dyDescent="0.2">
      <c r="A824" s="21"/>
      <c r="B824" s="26"/>
      <c r="C824" s="6" t="str">
        <f>IF(A824=""," ",VLOOKUP(A824,'18.11-07.12.2024'!A:H,2,FALSE))</f>
        <v xml:space="preserve"> </v>
      </c>
      <c r="D824" s="33" t="str">
        <f>IF(A824=""," ",VLOOKUP(A824,'18.11-07.12.2024'!A:H,5,FALSE))</f>
        <v xml:space="preserve"> </v>
      </c>
      <c r="E824" s="7" t="str">
        <f>IF(A824=""," ",B824*VLOOKUP(A824,'18.11-07.12.2024'!A:H,6,FALSE))</f>
        <v xml:space="preserve"> </v>
      </c>
      <c r="F824" s="7" t="str">
        <f>IF(A824=""," ",B824*VLOOKUP(A824,'18.11-07.12.2024'!A:H,7,FALSE))</f>
        <v xml:space="preserve"> </v>
      </c>
      <c r="G824" s="7" t="str">
        <f>IF(A824=""," ",B824*VLOOKUP(A824,'18.11-07.12.2024'!A:H,8,FALSE))</f>
        <v xml:space="preserve"> </v>
      </c>
    </row>
    <row r="825" spans="1:7" ht="15" x14ac:dyDescent="0.2">
      <c r="A825" s="21"/>
      <c r="B825" s="26"/>
      <c r="C825" s="6" t="str">
        <f>IF(A825=""," ",VLOOKUP(A825,'18.11-07.12.2024'!A:H,2,FALSE))</f>
        <v xml:space="preserve"> </v>
      </c>
      <c r="D825" s="33" t="str">
        <f>IF(A825=""," ",VLOOKUP(A825,'18.11-07.12.2024'!A:H,5,FALSE))</f>
        <v xml:space="preserve"> </v>
      </c>
      <c r="E825" s="7" t="str">
        <f>IF(A825=""," ",B825*VLOOKUP(A825,'18.11-07.12.2024'!A:H,6,FALSE))</f>
        <v xml:space="preserve"> </v>
      </c>
      <c r="F825" s="7" t="str">
        <f>IF(A825=""," ",B825*VLOOKUP(A825,'18.11-07.12.2024'!A:H,7,FALSE))</f>
        <v xml:space="preserve"> </v>
      </c>
      <c r="G825" s="7" t="str">
        <f>IF(A825=""," ",B825*VLOOKUP(A825,'18.11-07.12.2024'!A:H,8,FALSE))</f>
        <v xml:space="preserve"> </v>
      </c>
    </row>
    <row r="826" spans="1:7" ht="15" x14ac:dyDescent="0.2">
      <c r="A826" s="21"/>
      <c r="B826" s="26"/>
      <c r="C826" s="6" t="str">
        <f>IF(A826=""," ",VLOOKUP(A826,'18.11-07.12.2024'!A:H,2,FALSE))</f>
        <v xml:space="preserve"> </v>
      </c>
      <c r="D826" s="33" t="str">
        <f>IF(A826=""," ",VLOOKUP(A826,'18.11-07.12.2024'!A:H,5,FALSE))</f>
        <v xml:space="preserve"> </v>
      </c>
      <c r="E826" s="7" t="str">
        <f>IF(A826=""," ",B826*VLOOKUP(A826,'18.11-07.12.2024'!A:H,6,FALSE))</f>
        <v xml:space="preserve"> </v>
      </c>
      <c r="F826" s="7" t="str">
        <f>IF(A826=""," ",B826*VLOOKUP(A826,'18.11-07.12.2024'!A:H,7,FALSE))</f>
        <v xml:space="preserve"> </v>
      </c>
      <c r="G826" s="7" t="str">
        <f>IF(A826=""," ",B826*VLOOKUP(A826,'18.11-07.12.2024'!A:H,8,FALSE))</f>
        <v xml:space="preserve"> </v>
      </c>
    </row>
    <row r="827" spans="1:7" ht="15" x14ac:dyDescent="0.2">
      <c r="A827" s="21"/>
      <c r="B827" s="26"/>
      <c r="C827" s="6" t="str">
        <f>IF(A827=""," ",VLOOKUP(A827,'18.11-07.12.2024'!A:H,2,FALSE))</f>
        <v xml:space="preserve"> </v>
      </c>
      <c r="D827" s="33" t="str">
        <f>IF(A827=""," ",VLOOKUP(A827,'18.11-07.12.2024'!A:H,5,FALSE))</f>
        <v xml:space="preserve"> </v>
      </c>
      <c r="E827" s="7" t="str">
        <f>IF(A827=""," ",B827*VLOOKUP(A827,'18.11-07.12.2024'!A:H,6,FALSE))</f>
        <v xml:space="preserve"> </v>
      </c>
      <c r="F827" s="7" t="str">
        <f>IF(A827=""," ",B827*VLOOKUP(A827,'18.11-07.12.2024'!A:H,7,FALSE))</f>
        <v xml:space="preserve"> </v>
      </c>
      <c r="G827" s="7" t="str">
        <f>IF(A827=""," ",B827*VLOOKUP(A827,'18.11-07.12.2024'!A:H,8,FALSE))</f>
        <v xml:space="preserve"> </v>
      </c>
    </row>
    <row r="828" spans="1:7" ht="15" x14ac:dyDescent="0.2">
      <c r="A828" s="21"/>
      <c r="B828" s="26"/>
      <c r="C828" s="6" t="str">
        <f>IF(A828=""," ",VLOOKUP(A828,'18.11-07.12.2024'!A:H,2,FALSE))</f>
        <v xml:space="preserve"> </v>
      </c>
      <c r="D828" s="33" t="str">
        <f>IF(A828=""," ",VLOOKUP(A828,'18.11-07.12.2024'!A:H,5,FALSE))</f>
        <v xml:space="preserve"> </v>
      </c>
      <c r="E828" s="7" t="str">
        <f>IF(A828=""," ",B828*VLOOKUP(A828,'18.11-07.12.2024'!A:H,6,FALSE))</f>
        <v xml:space="preserve"> </v>
      </c>
      <c r="F828" s="7" t="str">
        <f>IF(A828=""," ",B828*VLOOKUP(A828,'18.11-07.12.2024'!A:H,7,FALSE))</f>
        <v xml:space="preserve"> </v>
      </c>
      <c r="G828" s="7" t="str">
        <f>IF(A828=""," ",B828*VLOOKUP(A828,'18.11-07.12.2024'!A:H,8,FALSE))</f>
        <v xml:space="preserve"> </v>
      </c>
    </row>
    <row r="829" spans="1:7" ht="15" x14ac:dyDescent="0.2">
      <c r="A829" s="21"/>
      <c r="B829" s="26"/>
      <c r="C829" s="6" t="str">
        <f>IF(A829=""," ",VLOOKUP(A829,'18.11-07.12.2024'!A:H,2,FALSE))</f>
        <v xml:space="preserve"> </v>
      </c>
      <c r="D829" s="33" t="str">
        <f>IF(A829=""," ",VLOOKUP(A829,'18.11-07.12.2024'!A:H,5,FALSE))</f>
        <v xml:space="preserve"> </v>
      </c>
      <c r="E829" s="7" t="str">
        <f>IF(A829=""," ",B829*VLOOKUP(A829,'18.11-07.12.2024'!A:H,6,FALSE))</f>
        <v xml:space="preserve"> </v>
      </c>
      <c r="F829" s="7" t="str">
        <f>IF(A829=""," ",B829*VLOOKUP(A829,'18.11-07.12.2024'!A:H,7,FALSE))</f>
        <v xml:space="preserve"> </v>
      </c>
      <c r="G829" s="7" t="str">
        <f>IF(A829=""," ",B829*VLOOKUP(A829,'18.11-07.12.2024'!A:H,8,FALSE))</f>
        <v xml:space="preserve"> </v>
      </c>
    </row>
    <row r="830" spans="1:7" ht="15" x14ac:dyDescent="0.2">
      <c r="A830" s="21"/>
      <c r="B830" s="26"/>
      <c r="C830" s="6" t="str">
        <f>IF(A830=""," ",VLOOKUP(A830,'18.11-07.12.2024'!A:H,2,FALSE))</f>
        <v xml:space="preserve"> </v>
      </c>
      <c r="D830" s="33" t="str">
        <f>IF(A830=""," ",VLOOKUP(A830,'18.11-07.12.2024'!A:H,5,FALSE))</f>
        <v xml:space="preserve"> </v>
      </c>
      <c r="E830" s="7" t="str">
        <f>IF(A830=""," ",B830*VLOOKUP(A830,'18.11-07.12.2024'!A:H,6,FALSE))</f>
        <v xml:space="preserve"> </v>
      </c>
      <c r="F830" s="7" t="str">
        <f>IF(A830=""," ",B830*VLOOKUP(A830,'18.11-07.12.2024'!A:H,7,FALSE))</f>
        <v xml:space="preserve"> </v>
      </c>
      <c r="G830" s="7" t="str">
        <f>IF(A830=""," ",B830*VLOOKUP(A830,'18.11-07.12.2024'!A:H,8,FALSE))</f>
        <v xml:space="preserve"> </v>
      </c>
    </row>
    <row r="831" spans="1:7" ht="15" x14ac:dyDescent="0.2">
      <c r="A831" s="21"/>
      <c r="B831" s="26"/>
      <c r="C831" s="6" t="str">
        <f>IF(A831=""," ",VLOOKUP(A831,'18.11-07.12.2024'!A:H,2,FALSE))</f>
        <v xml:space="preserve"> </v>
      </c>
      <c r="D831" s="33" t="str">
        <f>IF(A831=""," ",VLOOKUP(A831,'18.11-07.12.2024'!A:H,5,FALSE))</f>
        <v xml:space="preserve"> </v>
      </c>
      <c r="E831" s="7" t="str">
        <f>IF(A831=""," ",B831*VLOOKUP(A831,'18.11-07.12.2024'!A:H,6,FALSE))</f>
        <v xml:space="preserve"> </v>
      </c>
      <c r="F831" s="7" t="str">
        <f>IF(A831=""," ",B831*VLOOKUP(A831,'18.11-07.12.2024'!A:H,7,FALSE))</f>
        <v xml:space="preserve"> </v>
      </c>
      <c r="G831" s="7" t="str">
        <f>IF(A831=""," ",B831*VLOOKUP(A831,'18.11-07.12.2024'!A:H,8,FALSE))</f>
        <v xml:space="preserve"> </v>
      </c>
    </row>
    <row r="832" spans="1:7" ht="15" x14ac:dyDescent="0.2">
      <c r="A832" s="21"/>
      <c r="B832" s="26"/>
      <c r="C832" s="6" t="str">
        <f>IF(A832=""," ",VLOOKUP(A832,'18.11-07.12.2024'!A:H,2,FALSE))</f>
        <v xml:space="preserve"> </v>
      </c>
      <c r="D832" s="33" t="str">
        <f>IF(A832=""," ",VLOOKUP(A832,'18.11-07.12.2024'!A:H,5,FALSE))</f>
        <v xml:space="preserve"> </v>
      </c>
      <c r="E832" s="7" t="str">
        <f>IF(A832=""," ",B832*VLOOKUP(A832,'18.11-07.12.2024'!A:H,6,FALSE))</f>
        <v xml:space="preserve"> </v>
      </c>
      <c r="F832" s="7" t="str">
        <f>IF(A832=""," ",B832*VLOOKUP(A832,'18.11-07.12.2024'!A:H,7,FALSE))</f>
        <v xml:space="preserve"> </v>
      </c>
      <c r="G832" s="7" t="str">
        <f>IF(A832=""," ",B832*VLOOKUP(A832,'18.11-07.12.2024'!A:H,8,FALSE))</f>
        <v xml:space="preserve"> </v>
      </c>
    </row>
    <row r="833" spans="1:7" ht="15" x14ac:dyDescent="0.2">
      <c r="A833" s="21"/>
      <c r="B833" s="26"/>
      <c r="C833" s="6" t="str">
        <f>IF(A833=""," ",VLOOKUP(A833,'18.11-07.12.2024'!A:H,2,FALSE))</f>
        <v xml:space="preserve"> </v>
      </c>
      <c r="D833" s="33" t="str">
        <f>IF(A833=""," ",VLOOKUP(A833,'18.11-07.12.2024'!A:H,5,FALSE))</f>
        <v xml:space="preserve"> </v>
      </c>
      <c r="E833" s="7" t="str">
        <f>IF(A833=""," ",B833*VLOOKUP(A833,'18.11-07.12.2024'!A:H,6,FALSE))</f>
        <v xml:space="preserve"> </v>
      </c>
      <c r="F833" s="7" t="str">
        <f>IF(A833=""," ",B833*VLOOKUP(A833,'18.11-07.12.2024'!A:H,7,FALSE))</f>
        <v xml:space="preserve"> </v>
      </c>
      <c r="G833" s="7" t="str">
        <f>IF(A833=""," ",B833*VLOOKUP(A833,'18.11-07.12.2024'!A:H,8,FALSE))</f>
        <v xml:space="preserve"> </v>
      </c>
    </row>
    <row r="834" spans="1:7" ht="15" x14ac:dyDescent="0.2">
      <c r="A834" s="21"/>
      <c r="B834" s="26"/>
      <c r="C834" s="6" t="str">
        <f>IF(A834=""," ",VLOOKUP(A834,'18.11-07.12.2024'!A:H,2,FALSE))</f>
        <v xml:space="preserve"> </v>
      </c>
      <c r="D834" s="33" t="str">
        <f>IF(A834=""," ",VLOOKUP(A834,'18.11-07.12.2024'!A:H,5,FALSE))</f>
        <v xml:space="preserve"> </v>
      </c>
      <c r="E834" s="7" t="str">
        <f>IF(A834=""," ",B834*VLOOKUP(A834,'18.11-07.12.2024'!A:H,6,FALSE))</f>
        <v xml:space="preserve"> </v>
      </c>
      <c r="F834" s="7" t="str">
        <f>IF(A834=""," ",B834*VLOOKUP(A834,'18.11-07.12.2024'!A:H,7,FALSE))</f>
        <v xml:space="preserve"> </v>
      </c>
      <c r="G834" s="7" t="str">
        <f>IF(A834=""," ",B834*VLOOKUP(A834,'18.11-07.12.2024'!A:H,8,FALSE))</f>
        <v xml:space="preserve"> </v>
      </c>
    </row>
    <row r="835" spans="1:7" ht="15" x14ac:dyDescent="0.2">
      <c r="A835" s="21"/>
      <c r="B835" s="26"/>
      <c r="C835" s="6" t="str">
        <f>IF(A835=""," ",VLOOKUP(A835,'18.11-07.12.2024'!A:H,2,FALSE))</f>
        <v xml:space="preserve"> </v>
      </c>
      <c r="D835" s="33" t="str">
        <f>IF(A835=""," ",VLOOKUP(A835,'18.11-07.12.2024'!A:H,5,FALSE))</f>
        <v xml:space="preserve"> </v>
      </c>
      <c r="E835" s="7" t="str">
        <f>IF(A835=""," ",B835*VLOOKUP(A835,'18.11-07.12.2024'!A:H,6,FALSE))</f>
        <v xml:space="preserve"> </v>
      </c>
      <c r="F835" s="7" t="str">
        <f>IF(A835=""," ",B835*VLOOKUP(A835,'18.11-07.12.2024'!A:H,7,FALSE))</f>
        <v xml:space="preserve"> </v>
      </c>
      <c r="G835" s="7" t="str">
        <f>IF(A835=""," ",B835*VLOOKUP(A835,'18.11-07.12.2024'!A:H,8,FALSE))</f>
        <v xml:space="preserve"> </v>
      </c>
    </row>
    <row r="836" spans="1:7" ht="15" x14ac:dyDescent="0.2">
      <c r="A836" s="21"/>
      <c r="B836" s="26"/>
      <c r="C836" s="6" t="str">
        <f>IF(A836=""," ",VLOOKUP(A836,'18.11-07.12.2024'!A:H,2,FALSE))</f>
        <v xml:space="preserve"> </v>
      </c>
      <c r="D836" s="33" t="str">
        <f>IF(A836=""," ",VLOOKUP(A836,'18.11-07.12.2024'!A:H,5,FALSE))</f>
        <v xml:space="preserve"> </v>
      </c>
      <c r="E836" s="7" t="str">
        <f>IF(A836=""," ",B836*VLOOKUP(A836,'18.11-07.12.2024'!A:H,6,FALSE))</f>
        <v xml:space="preserve"> </v>
      </c>
      <c r="F836" s="7" t="str">
        <f>IF(A836=""," ",B836*VLOOKUP(A836,'18.11-07.12.2024'!A:H,7,FALSE))</f>
        <v xml:space="preserve"> </v>
      </c>
      <c r="G836" s="7" t="str">
        <f>IF(A836=""," ",B836*VLOOKUP(A836,'18.11-07.12.2024'!A:H,8,FALSE))</f>
        <v xml:space="preserve"> </v>
      </c>
    </row>
    <row r="837" spans="1:7" ht="15" x14ac:dyDescent="0.2">
      <c r="A837" s="21"/>
      <c r="B837" s="26"/>
      <c r="C837" s="6" t="str">
        <f>IF(A837=""," ",VLOOKUP(A837,'18.11-07.12.2024'!A:H,2,FALSE))</f>
        <v xml:space="preserve"> </v>
      </c>
      <c r="D837" s="33" t="str">
        <f>IF(A837=""," ",VLOOKUP(A837,'18.11-07.12.2024'!A:H,5,FALSE))</f>
        <v xml:space="preserve"> </v>
      </c>
      <c r="E837" s="7" t="str">
        <f>IF(A837=""," ",B837*VLOOKUP(A837,'18.11-07.12.2024'!A:H,6,FALSE))</f>
        <v xml:space="preserve"> </v>
      </c>
      <c r="F837" s="7" t="str">
        <f>IF(A837=""," ",B837*VLOOKUP(A837,'18.11-07.12.2024'!A:H,7,FALSE))</f>
        <v xml:space="preserve"> </v>
      </c>
      <c r="G837" s="7" t="str">
        <f>IF(A837=""," ",B837*VLOOKUP(A837,'18.11-07.12.2024'!A:H,8,FALSE))</f>
        <v xml:space="preserve"> </v>
      </c>
    </row>
    <row r="838" spans="1:7" ht="15" x14ac:dyDescent="0.2">
      <c r="A838" s="21"/>
      <c r="B838" s="26"/>
      <c r="C838" s="6" t="str">
        <f>IF(A838=""," ",VLOOKUP(A838,'18.11-07.12.2024'!A:H,2,FALSE))</f>
        <v xml:space="preserve"> </v>
      </c>
      <c r="D838" s="33" t="str">
        <f>IF(A838=""," ",VLOOKUP(A838,'18.11-07.12.2024'!A:H,5,FALSE))</f>
        <v xml:space="preserve"> </v>
      </c>
      <c r="E838" s="7" t="str">
        <f>IF(A838=""," ",B838*VLOOKUP(A838,'18.11-07.12.2024'!A:H,6,FALSE))</f>
        <v xml:space="preserve"> </v>
      </c>
      <c r="F838" s="7" t="str">
        <f>IF(A838=""," ",B838*VLOOKUP(A838,'18.11-07.12.2024'!A:H,7,FALSE))</f>
        <v xml:space="preserve"> </v>
      </c>
      <c r="G838" s="7" t="str">
        <f>IF(A838=""," ",B838*VLOOKUP(A838,'18.11-07.12.2024'!A:H,8,FALSE))</f>
        <v xml:space="preserve"> </v>
      </c>
    </row>
    <row r="839" spans="1:7" ht="15" x14ac:dyDescent="0.2">
      <c r="A839" s="21"/>
      <c r="B839" s="26"/>
      <c r="C839" s="6" t="str">
        <f>IF(A839=""," ",VLOOKUP(A839,'18.11-07.12.2024'!A:H,2,FALSE))</f>
        <v xml:space="preserve"> </v>
      </c>
      <c r="D839" s="33" t="str">
        <f>IF(A839=""," ",VLOOKUP(A839,'18.11-07.12.2024'!A:H,5,FALSE))</f>
        <v xml:space="preserve"> </v>
      </c>
      <c r="E839" s="7" t="str">
        <f>IF(A839=""," ",B839*VLOOKUP(A839,'18.11-07.12.2024'!A:H,6,FALSE))</f>
        <v xml:space="preserve"> </v>
      </c>
      <c r="F839" s="7" t="str">
        <f>IF(A839=""," ",B839*VLOOKUP(A839,'18.11-07.12.2024'!A:H,7,FALSE))</f>
        <v xml:space="preserve"> </v>
      </c>
      <c r="G839" s="7" t="str">
        <f>IF(A839=""," ",B839*VLOOKUP(A839,'18.11-07.12.2024'!A:H,8,FALSE))</f>
        <v xml:space="preserve"> </v>
      </c>
    </row>
    <row r="840" spans="1:7" ht="15" x14ac:dyDescent="0.2">
      <c r="A840" s="21"/>
      <c r="B840" s="26"/>
      <c r="C840" s="6" t="str">
        <f>IF(A840=""," ",VLOOKUP(A840,'18.11-07.12.2024'!A:H,2,FALSE))</f>
        <v xml:space="preserve"> </v>
      </c>
      <c r="D840" s="33" t="str">
        <f>IF(A840=""," ",VLOOKUP(A840,'18.11-07.12.2024'!A:H,5,FALSE))</f>
        <v xml:space="preserve"> </v>
      </c>
      <c r="E840" s="7" t="str">
        <f>IF(A840=""," ",B840*VLOOKUP(A840,'18.11-07.12.2024'!A:H,6,FALSE))</f>
        <v xml:space="preserve"> </v>
      </c>
      <c r="F840" s="7" t="str">
        <f>IF(A840=""," ",B840*VLOOKUP(A840,'18.11-07.12.2024'!A:H,7,FALSE))</f>
        <v xml:space="preserve"> </v>
      </c>
      <c r="G840" s="7" t="str">
        <f>IF(A840=""," ",B840*VLOOKUP(A840,'18.11-07.12.2024'!A:H,8,FALSE))</f>
        <v xml:space="preserve"> </v>
      </c>
    </row>
    <row r="841" spans="1:7" ht="15" x14ac:dyDescent="0.2">
      <c r="A841" s="21"/>
      <c r="B841" s="26"/>
      <c r="C841" s="6" t="str">
        <f>IF(A841=""," ",VLOOKUP(A841,'18.11-07.12.2024'!A:H,2,FALSE))</f>
        <v xml:space="preserve"> </v>
      </c>
      <c r="D841" s="33" t="str">
        <f>IF(A841=""," ",VLOOKUP(A841,'18.11-07.12.2024'!A:H,5,FALSE))</f>
        <v xml:space="preserve"> </v>
      </c>
      <c r="E841" s="7" t="str">
        <f>IF(A841=""," ",B841*VLOOKUP(A841,'18.11-07.12.2024'!A:H,6,FALSE))</f>
        <v xml:space="preserve"> </v>
      </c>
      <c r="F841" s="7" t="str">
        <f>IF(A841=""," ",B841*VLOOKUP(A841,'18.11-07.12.2024'!A:H,7,FALSE))</f>
        <v xml:space="preserve"> </v>
      </c>
      <c r="G841" s="7" t="str">
        <f>IF(A841=""," ",B841*VLOOKUP(A841,'18.11-07.12.2024'!A:H,8,FALSE))</f>
        <v xml:space="preserve"> </v>
      </c>
    </row>
    <row r="842" spans="1:7" ht="15" x14ac:dyDescent="0.2">
      <c r="A842" s="21"/>
      <c r="B842" s="26"/>
      <c r="C842" s="6" t="str">
        <f>IF(A842=""," ",VLOOKUP(A842,'18.11-07.12.2024'!A:H,2,FALSE))</f>
        <v xml:space="preserve"> </v>
      </c>
      <c r="D842" s="33" t="str">
        <f>IF(A842=""," ",VLOOKUP(A842,'18.11-07.12.2024'!A:H,5,FALSE))</f>
        <v xml:space="preserve"> </v>
      </c>
      <c r="E842" s="7" t="str">
        <f>IF(A842=""," ",B842*VLOOKUP(A842,'18.11-07.12.2024'!A:H,6,FALSE))</f>
        <v xml:space="preserve"> </v>
      </c>
      <c r="F842" s="7" t="str">
        <f>IF(A842=""," ",B842*VLOOKUP(A842,'18.11-07.12.2024'!A:H,7,FALSE))</f>
        <v xml:space="preserve"> </v>
      </c>
      <c r="G842" s="7" t="str">
        <f>IF(A842=""," ",B842*VLOOKUP(A842,'18.11-07.12.2024'!A:H,8,FALSE))</f>
        <v xml:space="preserve"> </v>
      </c>
    </row>
    <row r="843" spans="1:7" ht="15" x14ac:dyDescent="0.2">
      <c r="A843" s="21"/>
      <c r="B843" s="26"/>
      <c r="C843" s="6" t="str">
        <f>IF(A843=""," ",VLOOKUP(A843,'18.11-07.12.2024'!A:H,2,FALSE))</f>
        <v xml:space="preserve"> </v>
      </c>
      <c r="D843" s="33" t="str">
        <f>IF(A843=""," ",VLOOKUP(A843,'18.11-07.12.2024'!A:H,5,FALSE))</f>
        <v xml:space="preserve"> </v>
      </c>
      <c r="E843" s="7" t="str">
        <f>IF(A843=""," ",B843*VLOOKUP(A843,'18.11-07.12.2024'!A:H,6,FALSE))</f>
        <v xml:space="preserve"> </v>
      </c>
      <c r="F843" s="7" t="str">
        <f>IF(A843=""," ",B843*VLOOKUP(A843,'18.11-07.12.2024'!A:H,7,FALSE))</f>
        <v xml:space="preserve"> </v>
      </c>
      <c r="G843" s="7" t="str">
        <f>IF(A843=""," ",B843*VLOOKUP(A843,'18.11-07.12.2024'!A:H,8,FALSE))</f>
        <v xml:space="preserve"> </v>
      </c>
    </row>
    <row r="844" spans="1:7" ht="15" x14ac:dyDescent="0.2">
      <c r="A844" s="21"/>
      <c r="B844" s="26"/>
      <c r="C844" s="6" t="str">
        <f>IF(A844=""," ",VLOOKUP(A844,'18.11-07.12.2024'!A:H,2,FALSE))</f>
        <v xml:space="preserve"> </v>
      </c>
      <c r="D844" s="33" t="str">
        <f>IF(A844=""," ",VLOOKUP(A844,'18.11-07.12.2024'!A:H,5,FALSE))</f>
        <v xml:space="preserve"> </v>
      </c>
      <c r="E844" s="7" t="str">
        <f>IF(A844=""," ",B844*VLOOKUP(A844,'18.11-07.12.2024'!A:H,6,FALSE))</f>
        <v xml:space="preserve"> </v>
      </c>
      <c r="F844" s="7" t="str">
        <f>IF(A844=""," ",B844*VLOOKUP(A844,'18.11-07.12.2024'!A:H,7,FALSE))</f>
        <v xml:space="preserve"> </v>
      </c>
      <c r="G844" s="7" t="str">
        <f>IF(A844=""," ",B844*VLOOKUP(A844,'18.11-07.12.2024'!A:H,8,FALSE))</f>
        <v xml:space="preserve"> </v>
      </c>
    </row>
    <row r="845" spans="1:7" ht="15" x14ac:dyDescent="0.2">
      <c r="A845" s="21"/>
      <c r="B845" s="26"/>
      <c r="C845" s="6" t="str">
        <f>IF(A845=""," ",VLOOKUP(A845,'18.11-07.12.2024'!A:H,2,FALSE))</f>
        <v xml:space="preserve"> </v>
      </c>
      <c r="D845" s="33" t="str">
        <f>IF(A845=""," ",VLOOKUP(A845,'18.11-07.12.2024'!A:H,5,FALSE))</f>
        <v xml:space="preserve"> </v>
      </c>
      <c r="E845" s="7" t="str">
        <f>IF(A845=""," ",B845*VLOOKUP(A845,'18.11-07.12.2024'!A:H,6,FALSE))</f>
        <v xml:space="preserve"> </v>
      </c>
      <c r="F845" s="7" t="str">
        <f>IF(A845=""," ",B845*VLOOKUP(A845,'18.11-07.12.2024'!A:H,7,FALSE))</f>
        <v xml:space="preserve"> </v>
      </c>
      <c r="G845" s="7" t="str">
        <f>IF(A845=""," ",B845*VLOOKUP(A845,'18.11-07.12.2024'!A:H,8,FALSE))</f>
        <v xml:space="preserve"> </v>
      </c>
    </row>
    <row r="846" spans="1:7" ht="15" x14ac:dyDescent="0.2">
      <c r="A846" s="21"/>
      <c r="B846" s="26"/>
      <c r="C846" s="6" t="str">
        <f>IF(A846=""," ",VLOOKUP(A846,'18.11-07.12.2024'!A:H,2,FALSE))</f>
        <v xml:space="preserve"> </v>
      </c>
      <c r="D846" s="33" t="str">
        <f>IF(A846=""," ",VLOOKUP(A846,'18.11-07.12.2024'!A:H,5,FALSE))</f>
        <v xml:space="preserve"> </v>
      </c>
      <c r="E846" s="7" t="str">
        <f>IF(A846=""," ",B846*VLOOKUP(A846,'18.11-07.12.2024'!A:H,6,FALSE))</f>
        <v xml:space="preserve"> </v>
      </c>
      <c r="F846" s="7" t="str">
        <f>IF(A846=""," ",B846*VLOOKUP(A846,'18.11-07.12.2024'!A:H,7,FALSE))</f>
        <v xml:space="preserve"> </v>
      </c>
      <c r="G846" s="7" t="str">
        <f>IF(A846=""," ",B846*VLOOKUP(A846,'18.11-07.12.2024'!A:H,8,FALSE))</f>
        <v xml:space="preserve"> </v>
      </c>
    </row>
    <row r="847" spans="1:7" ht="15" x14ac:dyDescent="0.2">
      <c r="A847" s="21"/>
      <c r="B847" s="26"/>
      <c r="C847" s="6" t="str">
        <f>IF(A847=""," ",VLOOKUP(A847,'18.11-07.12.2024'!A:H,2,FALSE))</f>
        <v xml:space="preserve"> </v>
      </c>
      <c r="D847" s="33" t="str">
        <f>IF(A847=""," ",VLOOKUP(A847,'18.11-07.12.2024'!A:H,5,FALSE))</f>
        <v xml:space="preserve"> </v>
      </c>
      <c r="E847" s="7" t="str">
        <f>IF(A847=""," ",B847*VLOOKUP(A847,'18.11-07.12.2024'!A:H,6,FALSE))</f>
        <v xml:space="preserve"> </v>
      </c>
      <c r="F847" s="7" t="str">
        <f>IF(A847=""," ",B847*VLOOKUP(A847,'18.11-07.12.2024'!A:H,7,FALSE))</f>
        <v xml:space="preserve"> </v>
      </c>
      <c r="G847" s="7" t="str">
        <f>IF(A847=""," ",B847*VLOOKUP(A847,'18.11-07.12.2024'!A:H,8,FALSE))</f>
        <v xml:space="preserve"> </v>
      </c>
    </row>
    <row r="848" spans="1:7" ht="15" x14ac:dyDescent="0.2">
      <c r="A848" s="21"/>
      <c r="B848" s="26"/>
      <c r="C848" s="6" t="str">
        <f>IF(A848=""," ",VLOOKUP(A848,'18.11-07.12.2024'!A:H,2,FALSE))</f>
        <v xml:space="preserve"> </v>
      </c>
      <c r="D848" s="33" t="str">
        <f>IF(A848=""," ",VLOOKUP(A848,'18.11-07.12.2024'!A:H,5,FALSE))</f>
        <v xml:space="preserve"> </v>
      </c>
      <c r="E848" s="7" t="str">
        <f>IF(A848=""," ",B848*VLOOKUP(A848,'18.11-07.12.2024'!A:H,6,FALSE))</f>
        <v xml:space="preserve"> </v>
      </c>
      <c r="F848" s="7" t="str">
        <f>IF(A848=""," ",B848*VLOOKUP(A848,'18.11-07.12.2024'!A:H,7,FALSE))</f>
        <v xml:space="preserve"> </v>
      </c>
      <c r="G848" s="7" t="str">
        <f>IF(A848=""," ",B848*VLOOKUP(A848,'18.11-07.12.2024'!A:H,8,FALSE))</f>
        <v xml:space="preserve"> </v>
      </c>
    </row>
    <row r="849" spans="1:7" ht="15" x14ac:dyDescent="0.2">
      <c r="A849" s="21"/>
      <c r="B849" s="26"/>
      <c r="C849" s="6" t="str">
        <f>IF(A849=""," ",VLOOKUP(A849,'18.11-07.12.2024'!A:H,2,FALSE))</f>
        <v xml:space="preserve"> </v>
      </c>
      <c r="D849" s="33" t="str">
        <f>IF(A849=""," ",VLOOKUP(A849,'18.11-07.12.2024'!A:H,5,FALSE))</f>
        <v xml:space="preserve"> </v>
      </c>
      <c r="E849" s="7" t="str">
        <f>IF(A849=""," ",B849*VLOOKUP(A849,'18.11-07.12.2024'!A:H,6,FALSE))</f>
        <v xml:space="preserve"> </v>
      </c>
      <c r="F849" s="7" t="str">
        <f>IF(A849=""," ",B849*VLOOKUP(A849,'18.11-07.12.2024'!A:H,7,FALSE))</f>
        <v xml:space="preserve"> </v>
      </c>
      <c r="G849" s="7" t="str">
        <f>IF(A849=""," ",B849*VLOOKUP(A849,'18.11-07.12.2024'!A:H,8,FALSE))</f>
        <v xml:space="preserve"> </v>
      </c>
    </row>
    <row r="850" spans="1:7" ht="15" x14ac:dyDescent="0.2">
      <c r="A850" s="21"/>
      <c r="B850" s="26"/>
      <c r="C850" s="6" t="str">
        <f>IF(A850=""," ",VLOOKUP(A850,'18.11-07.12.2024'!A:H,2,FALSE))</f>
        <v xml:space="preserve"> </v>
      </c>
      <c r="D850" s="33" t="str">
        <f>IF(A850=""," ",VLOOKUP(A850,'18.11-07.12.2024'!A:H,5,FALSE))</f>
        <v xml:space="preserve"> </v>
      </c>
      <c r="E850" s="7" t="str">
        <f>IF(A850=""," ",B850*VLOOKUP(A850,'18.11-07.12.2024'!A:H,6,FALSE))</f>
        <v xml:space="preserve"> </v>
      </c>
      <c r="F850" s="7" t="str">
        <f>IF(A850=""," ",B850*VLOOKUP(A850,'18.11-07.12.2024'!A:H,7,FALSE))</f>
        <v xml:space="preserve"> </v>
      </c>
      <c r="G850" s="7" t="str">
        <f>IF(A850=""," ",B850*VLOOKUP(A850,'18.11-07.12.2024'!A:H,8,FALSE))</f>
        <v xml:space="preserve"> </v>
      </c>
    </row>
    <row r="851" spans="1:7" ht="15" x14ac:dyDescent="0.2">
      <c r="A851" s="21"/>
      <c r="B851" s="26"/>
      <c r="C851" s="6" t="str">
        <f>IF(A851=""," ",VLOOKUP(A851,'18.11-07.12.2024'!A:H,2,FALSE))</f>
        <v xml:space="preserve"> </v>
      </c>
      <c r="D851" s="33" t="str">
        <f>IF(A851=""," ",VLOOKUP(A851,'18.11-07.12.2024'!A:H,5,FALSE))</f>
        <v xml:space="preserve"> </v>
      </c>
      <c r="E851" s="7" t="str">
        <f>IF(A851=""," ",B851*VLOOKUP(A851,'18.11-07.12.2024'!A:H,6,FALSE))</f>
        <v xml:space="preserve"> </v>
      </c>
      <c r="F851" s="7" t="str">
        <f>IF(A851=""," ",B851*VLOOKUP(A851,'18.11-07.12.2024'!A:H,7,FALSE))</f>
        <v xml:space="preserve"> </v>
      </c>
      <c r="G851" s="7" t="str">
        <f>IF(A851=""," ",B851*VLOOKUP(A851,'18.11-07.12.2024'!A:H,8,FALSE))</f>
        <v xml:space="preserve"> </v>
      </c>
    </row>
    <row r="852" spans="1:7" ht="15" x14ac:dyDescent="0.2">
      <c r="A852" s="21"/>
      <c r="B852" s="26"/>
      <c r="C852" s="6" t="str">
        <f>IF(A852=""," ",VLOOKUP(A852,'18.11-07.12.2024'!A:H,2,FALSE))</f>
        <v xml:space="preserve"> </v>
      </c>
      <c r="D852" s="33" t="str">
        <f>IF(A852=""," ",VLOOKUP(A852,'18.11-07.12.2024'!A:H,5,FALSE))</f>
        <v xml:space="preserve"> </v>
      </c>
      <c r="E852" s="7" t="str">
        <f>IF(A852=""," ",B852*VLOOKUP(A852,'18.11-07.12.2024'!A:H,6,FALSE))</f>
        <v xml:space="preserve"> </v>
      </c>
      <c r="F852" s="7" t="str">
        <f>IF(A852=""," ",B852*VLOOKUP(A852,'18.11-07.12.2024'!A:H,7,FALSE))</f>
        <v xml:space="preserve"> </v>
      </c>
      <c r="G852" s="7" t="str">
        <f>IF(A852=""," ",B852*VLOOKUP(A852,'18.11-07.12.2024'!A:H,8,FALSE))</f>
        <v xml:space="preserve"> </v>
      </c>
    </row>
    <row r="853" spans="1:7" ht="15" x14ac:dyDescent="0.2">
      <c r="A853" s="21"/>
      <c r="B853" s="26"/>
      <c r="C853" s="6" t="str">
        <f>IF(A853=""," ",VLOOKUP(A853,'18.11-07.12.2024'!A:H,2,FALSE))</f>
        <v xml:space="preserve"> </v>
      </c>
      <c r="D853" s="33" t="str">
        <f>IF(A853=""," ",VLOOKUP(A853,'18.11-07.12.2024'!A:H,5,FALSE))</f>
        <v xml:space="preserve"> </v>
      </c>
      <c r="E853" s="7" t="str">
        <f>IF(A853=""," ",B853*VLOOKUP(A853,'18.11-07.12.2024'!A:H,6,FALSE))</f>
        <v xml:space="preserve"> </v>
      </c>
      <c r="F853" s="7" t="str">
        <f>IF(A853=""," ",B853*VLOOKUP(A853,'18.11-07.12.2024'!A:H,7,FALSE))</f>
        <v xml:space="preserve"> </v>
      </c>
      <c r="G853" s="7" t="str">
        <f>IF(A853=""," ",B853*VLOOKUP(A853,'18.11-07.12.2024'!A:H,8,FALSE))</f>
        <v xml:space="preserve"> </v>
      </c>
    </row>
    <row r="854" spans="1:7" ht="15" x14ac:dyDescent="0.2">
      <c r="A854" s="21"/>
      <c r="B854" s="26"/>
      <c r="C854" s="6" t="str">
        <f>IF(A854=""," ",VLOOKUP(A854,'18.11-07.12.2024'!A:H,2,FALSE))</f>
        <v xml:space="preserve"> </v>
      </c>
      <c r="D854" s="33" t="str">
        <f>IF(A854=""," ",VLOOKUP(A854,'18.11-07.12.2024'!A:H,5,FALSE))</f>
        <v xml:space="preserve"> </v>
      </c>
      <c r="E854" s="7" t="str">
        <f>IF(A854=""," ",B854*VLOOKUP(A854,'18.11-07.12.2024'!A:H,6,FALSE))</f>
        <v xml:space="preserve"> </v>
      </c>
      <c r="F854" s="7" t="str">
        <f>IF(A854=""," ",B854*VLOOKUP(A854,'18.11-07.12.2024'!A:H,7,FALSE))</f>
        <v xml:space="preserve"> </v>
      </c>
      <c r="G854" s="7" t="str">
        <f>IF(A854=""," ",B854*VLOOKUP(A854,'18.11-07.12.2024'!A:H,8,FALSE))</f>
        <v xml:space="preserve"> </v>
      </c>
    </row>
    <row r="855" spans="1:7" ht="15" x14ac:dyDescent="0.2">
      <c r="A855" s="21"/>
      <c r="B855" s="26"/>
      <c r="C855" s="6" t="str">
        <f>IF(A855=""," ",VLOOKUP(A855,'18.11-07.12.2024'!A:H,2,FALSE))</f>
        <v xml:space="preserve"> </v>
      </c>
      <c r="D855" s="33" t="str">
        <f>IF(A855=""," ",VLOOKUP(A855,'18.11-07.12.2024'!A:H,5,FALSE))</f>
        <v xml:space="preserve"> </v>
      </c>
      <c r="E855" s="7" t="str">
        <f>IF(A855=""," ",B855*VLOOKUP(A855,'18.11-07.12.2024'!A:H,6,FALSE))</f>
        <v xml:space="preserve"> </v>
      </c>
      <c r="F855" s="7" t="str">
        <f>IF(A855=""," ",B855*VLOOKUP(A855,'18.11-07.12.2024'!A:H,7,FALSE))</f>
        <v xml:space="preserve"> </v>
      </c>
      <c r="G855" s="7" t="str">
        <f>IF(A855=""," ",B855*VLOOKUP(A855,'18.11-07.12.2024'!A:H,8,FALSE))</f>
        <v xml:space="preserve"> </v>
      </c>
    </row>
    <row r="856" spans="1:7" ht="15" x14ac:dyDescent="0.2">
      <c r="A856" s="21"/>
      <c r="B856" s="26"/>
      <c r="C856" s="6" t="str">
        <f>IF(A856=""," ",VLOOKUP(A856,'18.11-07.12.2024'!A:H,2,FALSE))</f>
        <v xml:space="preserve"> </v>
      </c>
      <c r="D856" s="33" t="str">
        <f>IF(A856=""," ",VLOOKUP(A856,'18.11-07.12.2024'!A:H,5,FALSE))</f>
        <v xml:space="preserve"> </v>
      </c>
      <c r="E856" s="7" t="str">
        <f>IF(A856=""," ",B856*VLOOKUP(A856,'18.11-07.12.2024'!A:H,6,FALSE))</f>
        <v xml:space="preserve"> </v>
      </c>
      <c r="F856" s="7" t="str">
        <f>IF(A856=""," ",B856*VLOOKUP(A856,'18.11-07.12.2024'!A:H,7,FALSE))</f>
        <v xml:space="preserve"> </v>
      </c>
      <c r="G856" s="7" t="str">
        <f>IF(A856=""," ",B856*VLOOKUP(A856,'18.11-07.12.2024'!A:H,8,FALSE))</f>
        <v xml:space="preserve"> </v>
      </c>
    </row>
    <row r="857" spans="1:7" ht="15" x14ac:dyDescent="0.2">
      <c r="A857" s="21"/>
      <c r="B857" s="26"/>
      <c r="C857" s="6" t="str">
        <f>IF(A857=""," ",VLOOKUP(A857,'18.11-07.12.2024'!A:H,2,FALSE))</f>
        <v xml:space="preserve"> </v>
      </c>
      <c r="D857" s="33" t="str">
        <f>IF(A857=""," ",VLOOKUP(A857,'18.11-07.12.2024'!A:H,5,FALSE))</f>
        <v xml:space="preserve"> </v>
      </c>
      <c r="E857" s="7" t="str">
        <f>IF(A857=""," ",B857*VLOOKUP(A857,'18.11-07.12.2024'!A:H,6,FALSE))</f>
        <v xml:space="preserve"> </v>
      </c>
      <c r="F857" s="7" t="str">
        <f>IF(A857=""," ",B857*VLOOKUP(A857,'18.11-07.12.2024'!A:H,7,FALSE))</f>
        <v xml:space="preserve"> </v>
      </c>
      <c r="G857" s="7" t="str">
        <f>IF(A857=""," ",B857*VLOOKUP(A857,'18.11-07.12.2024'!A:H,8,FALSE))</f>
        <v xml:space="preserve"> </v>
      </c>
    </row>
    <row r="858" spans="1:7" ht="15" x14ac:dyDescent="0.2">
      <c r="A858" s="21"/>
      <c r="B858" s="26"/>
      <c r="C858" s="6" t="str">
        <f>IF(A858=""," ",VLOOKUP(A858,'18.11-07.12.2024'!A:H,2,FALSE))</f>
        <v xml:space="preserve"> </v>
      </c>
      <c r="D858" s="33" t="str">
        <f>IF(A858=""," ",VLOOKUP(A858,'18.11-07.12.2024'!A:H,5,FALSE))</f>
        <v xml:space="preserve"> </v>
      </c>
      <c r="E858" s="7" t="str">
        <f>IF(A858=""," ",B858*VLOOKUP(A858,'18.11-07.12.2024'!A:H,6,FALSE))</f>
        <v xml:space="preserve"> </v>
      </c>
      <c r="F858" s="7" t="str">
        <f>IF(A858=""," ",B858*VLOOKUP(A858,'18.11-07.12.2024'!A:H,7,FALSE))</f>
        <v xml:space="preserve"> </v>
      </c>
      <c r="G858" s="7" t="str">
        <f>IF(A858=""," ",B858*VLOOKUP(A858,'18.11-07.12.2024'!A:H,8,FALSE))</f>
        <v xml:space="preserve"> </v>
      </c>
    </row>
    <row r="859" spans="1:7" ht="15" x14ac:dyDescent="0.2">
      <c r="A859" s="21"/>
      <c r="B859" s="26"/>
      <c r="C859" s="6" t="str">
        <f>IF(A859=""," ",VLOOKUP(A859,'18.11-07.12.2024'!A:H,2,FALSE))</f>
        <v xml:space="preserve"> </v>
      </c>
      <c r="D859" s="33" t="str">
        <f>IF(A859=""," ",VLOOKUP(A859,'18.11-07.12.2024'!A:H,5,FALSE))</f>
        <v xml:space="preserve"> </v>
      </c>
      <c r="E859" s="7" t="str">
        <f>IF(A859=""," ",B859*VLOOKUP(A859,'18.11-07.12.2024'!A:H,6,FALSE))</f>
        <v xml:space="preserve"> </v>
      </c>
      <c r="F859" s="7" t="str">
        <f>IF(A859=""," ",B859*VLOOKUP(A859,'18.11-07.12.2024'!A:H,7,FALSE))</f>
        <v xml:space="preserve"> </v>
      </c>
      <c r="G859" s="7" t="str">
        <f>IF(A859=""," ",B859*VLOOKUP(A859,'18.11-07.12.2024'!A:H,8,FALSE))</f>
        <v xml:space="preserve"> </v>
      </c>
    </row>
    <row r="860" spans="1:7" ht="15" x14ac:dyDescent="0.2">
      <c r="A860" s="21"/>
      <c r="B860" s="26"/>
      <c r="C860" s="6" t="str">
        <f>IF(A860=""," ",VLOOKUP(A860,'18.11-07.12.2024'!A:H,2,FALSE))</f>
        <v xml:space="preserve"> </v>
      </c>
      <c r="D860" s="33" t="str">
        <f>IF(A860=""," ",VLOOKUP(A860,'18.11-07.12.2024'!A:H,5,FALSE))</f>
        <v xml:space="preserve"> </v>
      </c>
      <c r="E860" s="7" t="str">
        <f>IF(A860=""," ",B860*VLOOKUP(A860,'18.11-07.12.2024'!A:H,6,FALSE))</f>
        <v xml:space="preserve"> </v>
      </c>
      <c r="F860" s="7" t="str">
        <f>IF(A860=""," ",B860*VLOOKUP(A860,'18.11-07.12.2024'!A:H,7,FALSE))</f>
        <v xml:space="preserve"> </v>
      </c>
      <c r="G860" s="7" t="str">
        <f>IF(A860=""," ",B860*VLOOKUP(A860,'18.11-07.12.2024'!A:H,8,FALSE))</f>
        <v xml:space="preserve"> </v>
      </c>
    </row>
    <row r="861" spans="1:7" ht="15" x14ac:dyDescent="0.2">
      <c r="A861" s="21"/>
      <c r="B861" s="26"/>
      <c r="C861" s="6" t="str">
        <f>IF(A861=""," ",VLOOKUP(A861,'18.11-07.12.2024'!A:H,2,FALSE))</f>
        <v xml:space="preserve"> </v>
      </c>
      <c r="D861" s="33" t="str">
        <f>IF(A861=""," ",VLOOKUP(A861,'18.11-07.12.2024'!A:H,5,FALSE))</f>
        <v xml:space="preserve"> </v>
      </c>
      <c r="E861" s="7" t="str">
        <f>IF(A861=""," ",B861*VLOOKUP(A861,'18.11-07.12.2024'!A:H,6,FALSE))</f>
        <v xml:space="preserve"> </v>
      </c>
      <c r="F861" s="7" t="str">
        <f>IF(A861=""," ",B861*VLOOKUP(A861,'18.11-07.12.2024'!A:H,7,FALSE))</f>
        <v xml:space="preserve"> </v>
      </c>
      <c r="G861" s="7" t="str">
        <f>IF(A861=""," ",B861*VLOOKUP(A861,'18.11-07.12.2024'!A:H,8,FALSE))</f>
        <v xml:space="preserve"> </v>
      </c>
    </row>
    <row r="862" spans="1:7" ht="15" x14ac:dyDescent="0.2">
      <c r="A862" s="21"/>
      <c r="B862" s="26"/>
      <c r="C862" s="6" t="str">
        <f>IF(A862=""," ",VLOOKUP(A862,'18.11-07.12.2024'!A:H,2,FALSE))</f>
        <v xml:space="preserve"> </v>
      </c>
      <c r="D862" s="33" t="str">
        <f>IF(A862=""," ",VLOOKUP(A862,'18.11-07.12.2024'!A:H,5,FALSE))</f>
        <v xml:space="preserve"> </v>
      </c>
      <c r="E862" s="7" t="str">
        <f>IF(A862=""," ",B862*VLOOKUP(A862,'18.11-07.12.2024'!A:H,6,FALSE))</f>
        <v xml:space="preserve"> </v>
      </c>
      <c r="F862" s="7" t="str">
        <f>IF(A862=""," ",B862*VLOOKUP(A862,'18.11-07.12.2024'!A:H,7,FALSE))</f>
        <v xml:space="preserve"> </v>
      </c>
      <c r="G862" s="7" t="str">
        <f>IF(A862=""," ",B862*VLOOKUP(A862,'18.11-07.12.2024'!A:H,8,FALSE))</f>
        <v xml:space="preserve"> </v>
      </c>
    </row>
    <row r="863" spans="1:7" ht="15" x14ac:dyDescent="0.2">
      <c r="A863" s="21"/>
      <c r="B863" s="26"/>
      <c r="C863" s="6" t="str">
        <f>IF(A863=""," ",VLOOKUP(A863,'18.11-07.12.2024'!A:H,2,FALSE))</f>
        <v xml:space="preserve"> </v>
      </c>
      <c r="D863" s="33" t="str">
        <f>IF(A863=""," ",VLOOKUP(A863,'18.11-07.12.2024'!A:H,5,FALSE))</f>
        <v xml:space="preserve"> </v>
      </c>
      <c r="E863" s="7" t="str">
        <f>IF(A863=""," ",B863*VLOOKUP(A863,'18.11-07.12.2024'!A:H,6,FALSE))</f>
        <v xml:space="preserve"> </v>
      </c>
      <c r="F863" s="7" t="str">
        <f>IF(A863=""," ",B863*VLOOKUP(A863,'18.11-07.12.2024'!A:H,7,FALSE))</f>
        <v xml:space="preserve"> </v>
      </c>
      <c r="G863" s="7" t="str">
        <f>IF(A863=""," ",B863*VLOOKUP(A863,'18.11-07.12.2024'!A:H,8,FALSE))</f>
        <v xml:space="preserve"> </v>
      </c>
    </row>
    <row r="864" spans="1:7" ht="15" x14ac:dyDescent="0.2">
      <c r="A864" s="21"/>
      <c r="B864" s="26"/>
      <c r="C864" s="6" t="str">
        <f>IF(A864=""," ",VLOOKUP(A864,'18.11-07.12.2024'!A:H,2,FALSE))</f>
        <v xml:space="preserve"> </v>
      </c>
      <c r="D864" s="33" t="str">
        <f>IF(A864=""," ",VLOOKUP(A864,'18.11-07.12.2024'!A:H,5,FALSE))</f>
        <v xml:space="preserve"> </v>
      </c>
      <c r="E864" s="7" t="str">
        <f>IF(A864=""," ",B864*VLOOKUP(A864,'18.11-07.12.2024'!A:H,6,FALSE))</f>
        <v xml:space="preserve"> </v>
      </c>
      <c r="F864" s="7" t="str">
        <f>IF(A864=""," ",B864*VLOOKUP(A864,'18.11-07.12.2024'!A:H,7,FALSE))</f>
        <v xml:space="preserve"> </v>
      </c>
      <c r="G864" s="7" t="str">
        <f>IF(A864=""," ",B864*VLOOKUP(A864,'18.11-07.12.2024'!A:H,8,FALSE))</f>
        <v xml:space="preserve"> </v>
      </c>
    </row>
    <row r="865" spans="1:7" ht="15" x14ac:dyDescent="0.2">
      <c r="A865" s="21"/>
      <c r="B865" s="26"/>
      <c r="C865" s="6" t="str">
        <f>IF(A865=""," ",VLOOKUP(A865,'18.11-07.12.2024'!A:H,2,FALSE))</f>
        <v xml:space="preserve"> </v>
      </c>
      <c r="D865" s="33" t="str">
        <f>IF(A865=""," ",VLOOKUP(A865,'18.11-07.12.2024'!A:H,5,FALSE))</f>
        <v xml:space="preserve"> </v>
      </c>
      <c r="E865" s="7" t="str">
        <f>IF(A865=""," ",B865*VLOOKUP(A865,'18.11-07.12.2024'!A:H,6,FALSE))</f>
        <v xml:space="preserve"> </v>
      </c>
      <c r="F865" s="7" t="str">
        <f>IF(A865=""," ",B865*VLOOKUP(A865,'18.11-07.12.2024'!A:H,7,FALSE))</f>
        <v xml:space="preserve"> </v>
      </c>
      <c r="G865" s="7" t="str">
        <f>IF(A865=""," ",B865*VLOOKUP(A865,'18.11-07.12.2024'!A:H,8,FALSE))</f>
        <v xml:space="preserve"> </v>
      </c>
    </row>
    <row r="866" spans="1:7" ht="15" x14ac:dyDescent="0.2">
      <c r="A866" s="21"/>
      <c r="B866" s="26"/>
      <c r="C866" s="6" t="str">
        <f>IF(A866=""," ",VLOOKUP(A866,'18.11-07.12.2024'!A:H,2,FALSE))</f>
        <v xml:space="preserve"> </v>
      </c>
      <c r="D866" s="33" t="str">
        <f>IF(A866=""," ",VLOOKUP(A866,'18.11-07.12.2024'!A:H,5,FALSE))</f>
        <v xml:space="preserve"> </v>
      </c>
      <c r="E866" s="7" t="str">
        <f>IF(A866=""," ",B866*VLOOKUP(A866,'18.11-07.12.2024'!A:H,6,FALSE))</f>
        <v xml:space="preserve"> </v>
      </c>
      <c r="F866" s="7" t="str">
        <f>IF(A866=""," ",B866*VLOOKUP(A866,'18.11-07.12.2024'!A:H,7,FALSE))</f>
        <v xml:space="preserve"> </v>
      </c>
      <c r="G866" s="7" t="str">
        <f>IF(A866=""," ",B866*VLOOKUP(A866,'18.11-07.12.2024'!A:H,8,FALSE))</f>
        <v xml:space="preserve"> </v>
      </c>
    </row>
    <row r="867" spans="1:7" ht="15" x14ac:dyDescent="0.2">
      <c r="A867" s="21"/>
      <c r="B867" s="26"/>
      <c r="C867" s="6" t="str">
        <f>IF(A867=""," ",VLOOKUP(A867,'18.11-07.12.2024'!A:H,2,FALSE))</f>
        <v xml:space="preserve"> </v>
      </c>
      <c r="D867" s="33" t="str">
        <f>IF(A867=""," ",VLOOKUP(A867,'18.11-07.12.2024'!A:H,5,FALSE))</f>
        <v xml:space="preserve"> </v>
      </c>
      <c r="E867" s="7" t="str">
        <f>IF(A867=""," ",B867*VLOOKUP(A867,'18.11-07.12.2024'!A:H,6,FALSE))</f>
        <v xml:space="preserve"> </v>
      </c>
      <c r="F867" s="7" t="str">
        <f>IF(A867=""," ",B867*VLOOKUP(A867,'18.11-07.12.2024'!A:H,7,FALSE))</f>
        <v xml:space="preserve"> </v>
      </c>
      <c r="G867" s="7" t="str">
        <f>IF(A867=""," ",B867*VLOOKUP(A867,'18.11-07.12.2024'!A:H,8,FALSE))</f>
        <v xml:space="preserve"> </v>
      </c>
    </row>
    <row r="868" spans="1:7" ht="15" x14ac:dyDescent="0.2">
      <c r="A868" s="21"/>
      <c r="B868" s="26"/>
      <c r="C868" s="6" t="str">
        <f>IF(A868=""," ",VLOOKUP(A868,'18.11-07.12.2024'!A:H,2,FALSE))</f>
        <v xml:space="preserve"> </v>
      </c>
      <c r="D868" s="33" t="str">
        <f>IF(A868=""," ",VLOOKUP(A868,'18.11-07.12.2024'!A:H,5,FALSE))</f>
        <v xml:space="preserve"> </v>
      </c>
      <c r="E868" s="7" t="str">
        <f>IF(A868=""," ",B868*VLOOKUP(A868,'18.11-07.12.2024'!A:H,6,FALSE))</f>
        <v xml:space="preserve"> </v>
      </c>
      <c r="F868" s="7" t="str">
        <f>IF(A868=""," ",B868*VLOOKUP(A868,'18.11-07.12.2024'!A:H,7,FALSE))</f>
        <v xml:space="preserve"> </v>
      </c>
      <c r="G868" s="7" t="str">
        <f>IF(A868=""," ",B868*VLOOKUP(A868,'18.11-07.12.2024'!A:H,8,FALSE))</f>
        <v xml:space="preserve"> </v>
      </c>
    </row>
    <row r="869" spans="1:7" ht="15" x14ac:dyDescent="0.2">
      <c r="A869" s="21"/>
      <c r="B869" s="26"/>
      <c r="C869" s="6" t="str">
        <f>IF(A869=""," ",VLOOKUP(A869,'18.11-07.12.2024'!A:H,2,FALSE))</f>
        <v xml:space="preserve"> </v>
      </c>
      <c r="D869" s="33" t="str">
        <f>IF(A869=""," ",VLOOKUP(A869,'18.11-07.12.2024'!A:H,5,FALSE))</f>
        <v xml:space="preserve"> </v>
      </c>
      <c r="E869" s="7" t="str">
        <f>IF(A869=""," ",B869*VLOOKUP(A869,'18.11-07.12.2024'!A:H,6,FALSE))</f>
        <v xml:space="preserve"> </v>
      </c>
      <c r="F869" s="7" t="str">
        <f>IF(A869=""," ",B869*VLOOKUP(A869,'18.11-07.12.2024'!A:H,7,FALSE))</f>
        <v xml:space="preserve"> </v>
      </c>
      <c r="G869" s="7" t="str">
        <f>IF(A869=""," ",B869*VLOOKUP(A869,'18.11-07.12.2024'!A:H,8,FALSE))</f>
        <v xml:space="preserve"> </v>
      </c>
    </row>
    <row r="870" spans="1:7" ht="15" x14ac:dyDescent="0.2">
      <c r="A870" s="21"/>
      <c r="B870" s="26"/>
      <c r="C870" s="6" t="str">
        <f>IF(A870=""," ",VLOOKUP(A870,'18.11-07.12.2024'!A:H,2,FALSE))</f>
        <v xml:space="preserve"> </v>
      </c>
      <c r="D870" s="33" t="str">
        <f>IF(A870=""," ",VLOOKUP(A870,'18.11-07.12.2024'!A:H,5,FALSE))</f>
        <v xml:space="preserve"> </v>
      </c>
      <c r="E870" s="7" t="str">
        <f>IF(A870=""," ",B870*VLOOKUP(A870,'18.11-07.12.2024'!A:H,6,FALSE))</f>
        <v xml:space="preserve"> </v>
      </c>
      <c r="F870" s="7" t="str">
        <f>IF(A870=""," ",B870*VLOOKUP(A870,'18.11-07.12.2024'!A:H,7,FALSE))</f>
        <v xml:space="preserve"> </v>
      </c>
      <c r="G870" s="7" t="str">
        <f>IF(A870=""," ",B870*VLOOKUP(A870,'18.11-07.12.2024'!A:H,8,FALSE))</f>
        <v xml:space="preserve"> </v>
      </c>
    </row>
    <row r="871" spans="1:7" ht="15" x14ac:dyDescent="0.2">
      <c r="A871" s="21"/>
      <c r="B871" s="26"/>
      <c r="C871" s="6" t="str">
        <f>IF(A871=""," ",VLOOKUP(A871,'18.11-07.12.2024'!A:H,2,FALSE))</f>
        <v xml:space="preserve"> </v>
      </c>
      <c r="D871" s="33" t="str">
        <f>IF(A871=""," ",VLOOKUP(A871,'18.11-07.12.2024'!A:H,5,FALSE))</f>
        <v xml:space="preserve"> </v>
      </c>
      <c r="E871" s="7" t="str">
        <f>IF(A871=""," ",B871*VLOOKUP(A871,'18.11-07.12.2024'!A:H,6,FALSE))</f>
        <v xml:space="preserve"> </v>
      </c>
      <c r="F871" s="7" t="str">
        <f>IF(A871=""," ",B871*VLOOKUP(A871,'18.11-07.12.2024'!A:H,7,FALSE))</f>
        <v xml:space="preserve"> </v>
      </c>
      <c r="G871" s="7" t="str">
        <f>IF(A871=""," ",B871*VLOOKUP(A871,'18.11-07.12.2024'!A:H,8,FALSE))</f>
        <v xml:space="preserve"> </v>
      </c>
    </row>
    <row r="872" spans="1:7" ht="15" x14ac:dyDescent="0.2">
      <c r="A872" s="21"/>
      <c r="B872" s="26"/>
      <c r="C872" s="6" t="str">
        <f>IF(A872=""," ",VLOOKUP(A872,'18.11-07.12.2024'!A:H,2,FALSE))</f>
        <v xml:space="preserve"> </v>
      </c>
      <c r="D872" s="33" t="str">
        <f>IF(A872=""," ",VLOOKUP(A872,'18.11-07.12.2024'!A:H,5,FALSE))</f>
        <v xml:space="preserve"> </v>
      </c>
      <c r="E872" s="7" t="str">
        <f>IF(A872=""," ",B872*VLOOKUP(A872,'18.11-07.12.2024'!A:H,6,FALSE))</f>
        <v xml:space="preserve"> </v>
      </c>
      <c r="F872" s="7" t="str">
        <f>IF(A872=""," ",B872*VLOOKUP(A872,'18.11-07.12.2024'!A:H,7,FALSE))</f>
        <v xml:space="preserve"> </v>
      </c>
      <c r="G872" s="7" t="str">
        <f>IF(A872=""," ",B872*VLOOKUP(A872,'18.11-07.12.2024'!A:H,8,FALSE))</f>
        <v xml:space="preserve"> </v>
      </c>
    </row>
    <row r="873" spans="1:7" ht="15" x14ac:dyDescent="0.2">
      <c r="A873" s="21"/>
      <c r="B873" s="26"/>
      <c r="C873" s="6" t="str">
        <f>IF(A873=""," ",VLOOKUP(A873,'18.11-07.12.2024'!A:H,2,FALSE))</f>
        <v xml:space="preserve"> </v>
      </c>
      <c r="D873" s="33" t="str">
        <f>IF(A873=""," ",VLOOKUP(A873,'18.11-07.12.2024'!A:H,5,FALSE))</f>
        <v xml:space="preserve"> </v>
      </c>
      <c r="E873" s="7" t="str">
        <f>IF(A873=""," ",B873*VLOOKUP(A873,'18.11-07.12.2024'!A:H,6,FALSE))</f>
        <v xml:space="preserve"> </v>
      </c>
      <c r="F873" s="7" t="str">
        <f>IF(A873=""," ",B873*VLOOKUP(A873,'18.11-07.12.2024'!A:H,7,FALSE))</f>
        <v xml:space="preserve"> </v>
      </c>
      <c r="G873" s="7" t="str">
        <f>IF(A873=""," ",B873*VLOOKUP(A873,'18.11-07.12.2024'!A:H,8,FALSE))</f>
        <v xml:space="preserve"> </v>
      </c>
    </row>
    <row r="874" spans="1:7" ht="15" x14ac:dyDescent="0.2">
      <c r="A874" s="21"/>
      <c r="B874" s="26"/>
      <c r="C874" s="6" t="str">
        <f>IF(A874=""," ",VLOOKUP(A874,'18.11-07.12.2024'!A:H,2,FALSE))</f>
        <v xml:space="preserve"> </v>
      </c>
      <c r="D874" s="33" t="str">
        <f>IF(A874=""," ",VLOOKUP(A874,'18.11-07.12.2024'!A:H,5,FALSE))</f>
        <v xml:space="preserve"> </v>
      </c>
      <c r="E874" s="7" t="str">
        <f>IF(A874=""," ",B874*VLOOKUP(A874,'18.11-07.12.2024'!A:H,6,FALSE))</f>
        <v xml:space="preserve"> </v>
      </c>
      <c r="F874" s="7" t="str">
        <f>IF(A874=""," ",B874*VLOOKUP(A874,'18.11-07.12.2024'!A:H,7,FALSE))</f>
        <v xml:space="preserve"> </v>
      </c>
      <c r="G874" s="7" t="str">
        <f>IF(A874=""," ",B874*VLOOKUP(A874,'18.11-07.12.2024'!A:H,8,FALSE))</f>
        <v xml:space="preserve"> </v>
      </c>
    </row>
    <row r="875" spans="1:7" ht="15" x14ac:dyDescent="0.2">
      <c r="A875" s="21"/>
      <c r="B875" s="26"/>
      <c r="C875" s="6" t="str">
        <f>IF(A875=""," ",VLOOKUP(A875,'18.11-07.12.2024'!A:H,2,FALSE))</f>
        <v xml:space="preserve"> </v>
      </c>
      <c r="D875" s="33" t="str">
        <f>IF(A875=""," ",VLOOKUP(A875,'18.11-07.12.2024'!A:H,5,FALSE))</f>
        <v xml:space="preserve"> </v>
      </c>
      <c r="E875" s="7" t="str">
        <f>IF(A875=""," ",B875*VLOOKUP(A875,'18.11-07.12.2024'!A:H,6,FALSE))</f>
        <v xml:space="preserve"> </v>
      </c>
      <c r="F875" s="7" t="str">
        <f>IF(A875=""," ",B875*VLOOKUP(A875,'18.11-07.12.2024'!A:H,7,FALSE))</f>
        <v xml:space="preserve"> </v>
      </c>
      <c r="G875" s="7" t="str">
        <f>IF(A875=""," ",B875*VLOOKUP(A875,'18.11-07.12.2024'!A:H,8,FALSE))</f>
        <v xml:space="preserve"> </v>
      </c>
    </row>
    <row r="876" spans="1:7" ht="15" x14ac:dyDescent="0.2">
      <c r="A876" s="21"/>
      <c r="B876" s="26"/>
      <c r="C876" s="6" t="str">
        <f>IF(A876=""," ",VLOOKUP(A876,'18.11-07.12.2024'!A:H,2,FALSE))</f>
        <v xml:space="preserve"> </v>
      </c>
      <c r="D876" s="33" t="str">
        <f>IF(A876=""," ",VLOOKUP(A876,'18.11-07.12.2024'!A:H,5,FALSE))</f>
        <v xml:space="preserve"> </v>
      </c>
      <c r="E876" s="7" t="str">
        <f>IF(A876=""," ",B876*VLOOKUP(A876,'18.11-07.12.2024'!A:H,6,FALSE))</f>
        <v xml:space="preserve"> </v>
      </c>
      <c r="F876" s="7" t="str">
        <f>IF(A876=""," ",B876*VLOOKUP(A876,'18.11-07.12.2024'!A:H,7,FALSE))</f>
        <v xml:space="preserve"> </v>
      </c>
      <c r="G876" s="7" t="str">
        <f>IF(A876=""," ",B876*VLOOKUP(A876,'18.11-07.12.2024'!A:H,8,FALSE))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5"/>
  <sheetViews>
    <sheetView zoomScale="68" zoomScaleNormal="68" workbookViewId="0">
      <pane ySplit="1" topLeftCell="A2" activePane="bottomLeft" state="frozen"/>
      <selection pane="bottomLeft" activeCell="D21" sqref="D21"/>
    </sheetView>
  </sheetViews>
  <sheetFormatPr defaultRowHeight="14.25" x14ac:dyDescent="0.2"/>
  <cols>
    <col min="1" max="1" width="13.140625" style="36" customWidth="1"/>
    <col min="2" max="3" width="11.7109375" style="36" customWidth="1"/>
    <col min="4" max="4" width="15.42578125" style="39" customWidth="1"/>
    <col min="5" max="5" width="163" style="35" bestFit="1" customWidth="1"/>
    <col min="6" max="6" width="8.42578125" style="36" customWidth="1"/>
    <col min="7" max="8" width="9.140625" style="36"/>
    <col min="9" max="16384" width="9.140625" style="35"/>
  </cols>
  <sheetData>
    <row r="1" spans="1:8" s="34" customFormat="1" ht="18" customHeight="1" thickBot="1" x14ac:dyDescent="0.3">
      <c r="A1" s="46" t="s">
        <v>0</v>
      </c>
      <c r="B1" s="16" t="s">
        <v>2</v>
      </c>
      <c r="C1" s="8" t="s">
        <v>11</v>
      </c>
      <c r="D1" s="8" t="s">
        <v>12</v>
      </c>
      <c r="E1" s="10" t="s">
        <v>8</v>
      </c>
      <c r="F1" s="8" t="s">
        <v>4</v>
      </c>
      <c r="G1" s="9" t="s">
        <v>5</v>
      </c>
      <c r="H1" s="9" t="s">
        <v>6</v>
      </c>
    </row>
    <row r="2" spans="1:8" s="34" customFormat="1" ht="15" thickBot="1" x14ac:dyDescent="0.3">
      <c r="A2" s="56" t="s">
        <v>9</v>
      </c>
      <c r="B2" s="57"/>
      <c r="C2" s="57"/>
      <c r="D2" s="58"/>
      <c r="E2" s="59"/>
      <c r="F2" s="60"/>
      <c r="G2" s="61"/>
      <c r="H2" s="61"/>
    </row>
    <row r="3" spans="1:8" s="34" customFormat="1" ht="14.25" customHeight="1" x14ac:dyDescent="0.2">
      <c r="A3" s="62" t="s">
        <v>1381</v>
      </c>
      <c r="B3" s="63"/>
      <c r="C3" s="64" t="s">
        <v>42</v>
      </c>
      <c r="D3" s="8"/>
      <c r="E3" s="68" t="s">
        <v>61</v>
      </c>
      <c r="F3" s="69">
        <v>0</v>
      </c>
      <c r="G3" s="70">
        <v>0</v>
      </c>
      <c r="H3" s="71">
        <v>35</v>
      </c>
    </row>
    <row r="4" spans="1:8" s="34" customFormat="1" ht="14.25" customHeight="1" x14ac:dyDescent="0.2">
      <c r="A4" s="62" t="s">
        <v>1382</v>
      </c>
      <c r="B4" s="63">
        <v>0.50083333333333302</v>
      </c>
      <c r="C4" s="64" t="s">
        <v>43</v>
      </c>
      <c r="D4" s="8"/>
      <c r="E4" s="68" t="s">
        <v>62</v>
      </c>
      <c r="F4" s="69">
        <v>6</v>
      </c>
      <c r="G4" s="70">
        <v>384</v>
      </c>
      <c r="H4" s="71">
        <v>599</v>
      </c>
    </row>
    <row r="5" spans="1:8" s="34" customFormat="1" ht="14.25" customHeight="1" x14ac:dyDescent="0.2">
      <c r="A5" s="62" t="s">
        <v>1383</v>
      </c>
      <c r="B5" s="63">
        <v>0.45679999999999998</v>
      </c>
      <c r="C5" s="64" t="s">
        <v>44</v>
      </c>
      <c r="D5" s="8"/>
      <c r="E5" s="68" t="s">
        <v>63</v>
      </c>
      <c r="F5" s="69">
        <v>7</v>
      </c>
      <c r="G5" s="70">
        <v>436</v>
      </c>
      <c r="H5" s="71">
        <v>679</v>
      </c>
    </row>
    <row r="6" spans="1:8" s="34" customFormat="1" ht="14.25" customHeight="1" x14ac:dyDescent="0.2">
      <c r="A6" s="62" t="s">
        <v>1384</v>
      </c>
      <c r="B6" s="63">
        <v>0.45679999999999998</v>
      </c>
      <c r="C6" s="64" t="s">
        <v>44</v>
      </c>
      <c r="D6" s="8"/>
      <c r="E6" s="68" t="s">
        <v>64</v>
      </c>
      <c r="F6" s="69">
        <v>7</v>
      </c>
      <c r="G6" s="70">
        <v>436</v>
      </c>
      <c r="H6" s="71">
        <v>679</v>
      </c>
    </row>
    <row r="7" spans="1:8" s="34" customFormat="1" ht="14.25" customHeight="1" x14ac:dyDescent="0.2">
      <c r="A7" s="62" t="s">
        <v>1385</v>
      </c>
      <c r="B7" s="63">
        <v>0.45679999999999998</v>
      </c>
      <c r="C7" s="64" t="s">
        <v>44</v>
      </c>
      <c r="D7" s="8"/>
      <c r="E7" s="68" t="s">
        <v>65</v>
      </c>
      <c r="F7" s="69">
        <v>7</v>
      </c>
      <c r="G7" s="70">
        <v>436</v>
      </c>
      <c r="H7" s="71">
        <v>679</v>
      </c>
    </row>
    <row r="8" spans="1:8" s="34" customFormat="1" ht="14.25" customHeight="1" x14ac:dyDescent="0.2">
      <c r="A8" s="62" t="s">
        <v>1386</v>
      </c>
      <c r="B8" s="63">
        <v>0.44080000000000003</v>
      </c>
      <c r="C8" s="64" t="s">
        <v>45</v>
      </c>
      <c r="D8" s="8"/>
      <c r="E8" s="68" t="s">
        <v>66</v>
      </c>
      <c r="F8" s="69">
        <v>7</v>
      </c>
      <c r="G8" s="70">
        <v>449</v>
      </c>
      <c r="H8" s="71">
        <v>699</v>
      </c>
    </row>
    <row r="9" spans="1:8" s="34" customFormat="1" ht="14.25" customHeight="1" x14ac:dyDescent="0.2">
      <c r="A9" s="62" t="s">
        <v>1387</v>
      </c>
      <c r="B9" s="63">
        <v>0.450625</v>
      </c>
      <c r="C9" s="64" t="s">
        <v>45</v>
      </c>
      <c r="D9" s="8"/>
      <c r="E9" s="68" t="s">
        <v>67</v>
      </c>
      <c r="F9" s="69">
        <v>9</v>
      </c>
      <c r="G9" s="70">
        <v>564</v>
      </c>
      <c r="H9" s="71">
        <v>879</v>
      </c>
    </row>
    <row r="10" spans="1:8" s="34" customFormat="1" ht="14.25" customHeight="1" x14ac:dyDescent="0.2">
      <c r="A10" s="62" t="s">
        <v>1388</v>
      </c>
      <c r="B10" s="63">
        <v>0.40181818181818202</v>
      </c>
      <c r="C10" s="64" t="s">
        <v>46</v>
      </c>
      <c r="D10" s="8"/>
      <c r="E10" s="68" t="s">
        <v>68</v>
      </c>
      <c r="F10" s="69">
        <v>3</v>
      </c>
      <c r="G10" s="70">
        <v>211</v>
      </c>
      <c r="H10" s="71">
        <v>329</v>
      </c>
    </row>
    <row r="11" spans="1:8" s="34" customFormat="1" ht="14.25" customHeight="1" x14ac:dyDescent="0.2">
      <c r="A11" s="62" t="s">
        <v>1389</v>
      </c>
      <c r="B11" s="63">
        <v>0.40181818181818202</v>
      </c>
      <c r="C11" s="64" t="s">
        <v>46</v>
      </c>
      <c r="D11" s="8"/>
      <c r="E11" s="68" t="s">
        <v>69</v>
      </c>
      <c r="F11" s="69">
        <v>3</v>
      </c>
      <c r="G11" s="70">
        <v>211</v>
      </c>
      <c r="H11" s="71">
        <v>329</v>
      </c>
    </row>
    <row r="12" spans="1:8" s="34" customFormat="1" ht="14.25" customHeight="1" x14ac:dyDescent="0.2">
      <c r="A12" s="62" t="s">
        <v>1390</v>
      </c>
      <c r="B12" s="63">
        <v>0.40181818181818202</v>
      </c>
      <c r="C12" s="64" t="s">
        <v>46</v>
      </c>
      <c r="D12" s="8"/>
      <c r="E12" s="68" t="s">
        <v>70</v>
      </c>
      <c r="F12" s="69">
        <v>3</v>
      </c>
      <c r="G12" s="70">
        <v>211</v>
      </c>
      <c r="H12" s="71">
        <v>329</v>
      </c>
    </row>
    <row r="13" spans="1:8" s="34" customFormat="1" ht="14.25" customHeight="1" x14ac:dyDescent="0.2">
      <c r="A13" s="62" t="s">
        <v>1391</v>
      </c>
      <c r="B13" s="63">
        <v>0.40181818181818202</v>
      </c>
      <c r="C13" s="64" t="s">
        <v>46</v>
      </c>
      <c r="D13" s="8"/>
      <c r="E13" s="68" t="s">
        <v>71</v>
      </c>
      <c r="F13" s="69">
        <v>3</v>
      </c>
      <c r="G13" s="70">
        <v>211</v>
      </c>
      <c r="H13" s="71">
        <v>329</v>
      </c>
    </row>
    <row r="14" spans="1:8" s="34" customFormat="1" ht="14.25" customHeight="1" x14ac:dyDescent="0.2">
      <c r="A14" s="62" t="s">
        <v>1392</v>
      </c>
      <c r="B14" s="63">
        <v>0.44428571428571401</v>
      </c>
      <c r="C14" s="64" t="s">
        <v>45</v>
      </c>
      <c r="D14" s="8"/>
      <c r="E14" s="68" t="s">
        <v>72</v>
      </c>
      <c r="F14" s="69">
        <v>4</v>
      </c>
      <c r="G14" s="70">
        <v>249</v>
      </c>
      <c r="H14" s="71">
        <v>389</v>
      </c>
    </row>
    <row r="15" spans="1:8" s="34" customFormat="1" ht="14.25" customHeight="1" x14ac:dyDescent="0.2">
      <c r="A15" s="62" t="s">
        <v>1393</v>
      </c>
      <c r="B15" s="63">
        <v>0.34869565217391302</v>
      </c>
      <c r="C15" s="64" t="s">
        <v>47</v>
      </c>
      <c r="D15" s="8"/>
      <c r="E15" s="68" t="s">
        <v>31</v>
      </c>
      <c r="F15" s="69">
        <v>7</v>
      </c>
      <c r="G15" s="70">
        <v>480</v>
      </c>
      <c r="H15" s="71">
        <v>749</v>
      </c>
    </row>
    <row r="16" spans="1:8" s="34" customFormat="1" ht="14.25" customHeight="1" x14ac:dyDescent="0.2">
      <c r="A16" s="62" t="s">
        <v>1394</v>
      </c>
      <c r="B16" s="63">
        <v>0.34869565217391302</v>
      </c>
      <c r="C16" s="64" t="s">
        <v>48</v>
      </c>
      <c r="D16" s="8"/>
      <c r="E16" s="68" t="s">
        <v>73</v>
      </c>
      <c r="F16" s="69">
        <v>7</v>
      </c>
      <c r="G16" s="70">
        <v>480</v>
      </c>
      <c r="H16" s="71">
        <v>749</v>
      </c>
    </row>
    <row r="17" spans="1:8" s="34" customFormat="1" ht="14.25" customHeight="1" x14ac:dyDescent="0.2">
      <c r="A17" s="62" t="s">
        <v>1395</v>
      </c>
      <c r="B17" s="63">
        <v>0.34869565217391302</v>
      </c>
      <c r="C17" s="64" t="s">
        <v>49</v>
      </c>
      <c r="D17" s="8"/>
      <c r="E17" s="68" t="s">
        <v>74</v>
      </c>
      <c r="F17" s="69">
        <v>7</v>
      </c>
      <c r="G17" s="70">
        <v>480</v>
      </c>
      <c r="H17" s="71">
        <v>749</v>
      </c>
    </row>
    <row r="18" spans="1:8" s="34" customFormat="1" ht="14.25" customHeight="1" x14ac:dyDescent="0.2">
      <c r="A18" s="62" t="s">
        <v>1396</v>
      </c>
      <c r="B18" s="63">
        <v>0.34869565217391302</v>
      </c>
      <c r="C18" s="64" t="s">
        <v>47</v>
      </c>
      <c r="D18" s="8"/>
      <c r="E18" s="68" t="s">
        <v>75</v>
      </c>
      <c r="F18" s="69">
        <v>7</v>
      </c>
      <c r="G18" s="70">
        <v>480</v>
      </c>
      <c r="H18" s="71">
        <v>749</v>
      </c>
    </row>
    <row r="19" spans="1:8" s="34" customFormat="1" ht="14.25" customHeight="1" x14ac:dyDescent="0.2">
      <c r="A19" s="62" t="s">
        <v>1397</v>
      </c>
      <c r="B19" s="63">
        <v>0.34869565217391302</v>
      </c>
      <c r="C19" s="64" t="s">
        <v>48</v>
      </c>
      <c r="D19" s="8"/>
      <c r="E19" s="68" t="s">
        <v>76</v>
      </c>
      <c r="F19" s="69">
        <v>7</v>
      </c>
      <c r="G19" s="70">
        <v>480</v>
      </c>
      <c r="H19" s="71">
        <v>749</v>
      </c>
    </row>
    <row r="20" spans="1:8" s="34" customFormat="1" ht="14.25" customHeight="1" x14ac:dyDescent="0.2">
      <c r="A20" s="62" t="s">
        <v>1398</v>
      </c>
      <c r="B20" s="63">
        <v>0.34869565217391302</v>
      </c>
      <c r="C20" s="64" t="s">
        <v>48</v>
      </c>
      <c r="D20" s="8"/>
      <c r="E20" s="68" t="s">
        <v>77</v>
      </c>
      <c r="F20" s="69">
        <v>7</v>
      </c>
      <c r="G20" s="70">
        <v>480</v>
      </c>
      <c r="H20" s="71">
        <v>749</v>
      </c>
    </row>
    <row r="21" spans="1:8" s="34" customFormat="1" ht="14.25" customHeight="1" x14ac:dyDescent="0.2">
      <c r="A21" s="62" t="s">
        <v>1399</v>
      </c>
      <c r="B21" s="63">
        <v>0.60124999999999995</v>
      </c>
      <c r="C21" s="64" t="s">
        <v>50</v>
      </c>
      <c r="D21" s="8"/>
      <c r="E21" s="68" t="s">
        <v>78</v>
      </c>
      <c r="F21" s="69">
        <v>3</v>
      </c>
      <c r="G21" s="70">
        <v>205</v>
      </c>
      <c r="H21" s="71">
        <v>319</v>
      </c>
    </row>
    <row r="22" spans="1:8" s="34" customFormat="1" ht="14.25" customHeight="1" x14ac:dyDescent="0.2">
      <c r="A22" s="62" t="s">
        <v>1400</v>
      </c>
      <c r="B22" s="63">
        <v>0.35154639175257701</v>
      </c>
      <c r="C22" s="64" t="s">
        <v>51</v>
      </c>
      <c r="D22" s="8"/>
      <c r="E22" s="68" t="s">
        <v>79</v>
      </c>
      <c r="F22" s="69">
        <v>6</v>
      </c>
      <c r="G22" s="70">
        <v>403</v>
      </c>
      <c r="H22" s="71">
        <v>629</v>
      </c>
    </row>
    <row r="23" spans="1:8" s="34" customFormat="1" ht="14.25" customHeight="1" x14ac:dyDescent="0.2">
      <c r="A23" s="62" t="s">
        <v>1401</v>
      </c>
      <c r="B23" s="63">
        <v>0.46216216216216199</v>
      </c>
      <c r="C23" s="64" t="s">
        <v>52</v>
      </c>
      <c r="D23" s="8"/>
      <c r="E23" s="68" t="s">
        <v>80</v>
      </c>
      <c r="F23" s="69">
        <v>2</v>
      </c>
      <c r="G23" s="70">
        <v>64</v>
      </c>
      <c r="H23" s="71">
        <v>199</v>
      </c>
    </row>
    <row r="24" spans="1:8" s="34" customFormat="1" ht="14.25" customHeight="1" x14ac:dyDescent="0.2">
      <c r="A24" s="62" t="s">
        <v>1402</v>
      </c>
      <c r="B24" s="63">
        <v>0.44814814814814802</v>
      </c>
      <c r="C24" s="64" t="s">
        <v>53</v>
      </c>
      <c r="D24" s="8"/>
      <c r="E24" s="68" t="s">
        <v>29</v>
      </c>
      <c r="F24" s="69">
        <v>1</v>
      </c>
      <c r="G24" s="70">
        <v>48</v>
      </c>
      <c r="H24" s="71">
        <v>149</v>
      </c>
    </row>
    <row r="25" spans="1:8" s="34" customFormat="1" ht="14.25" customHeight="1" x14ac:dyDescent="0.2">
      <c r="A25" s="62" t="s">
        <v>1403</v>
      </c>
      <c r="B25" s="63"/>
      <c r="C25" s="64" t="s">
        <v>54</v>
      </c>
      <c r="D25" s="8"/>
      <c r="E25" s="68" t="s">
        <v>81</v>
      </c>
      <c r="F25" s="69">
        <v>16</v>
      </c>
      <c r="G25" s="70">
        <v>513</v>
      </c>
      <c r="H25" s="71">
        <v>1600</v>
      </c>
    </row>
    <row r="26" spans="1:8" s="34" customFormat="1" ht="14.25" customHeight="1" x14ac:dyDescent="0.2">
      <c r="A26" s="62" t="s">
        <v>1404</v>
      </c>
      <c r="B26" s="63">
        <v>0.395081967213115</v>
      </c>
      <c r="C26" s="64" t="s">
        <v>55</v>
      </c>
      <c r="D26" s="8"/>
      <c r="E26" s="68" t="s">
        <v>82</v>
      </c>
      <c r="F26" s="69">
        <v>4</v>
      </c>
      <c r="G26" s="70">
        <v>118</v>
      </c>
      <c r="H26" s="71">
        <v>369</v>
      </c>
    </row>
    <row r="27" spans="1:8" s="34" customFormat="1" ht="14.25" customHeight="1" x14ac:dyDescent="0.2">
      <c r="A27" s="62" t="s">
        <v>1405</v>
      </c>
      <c r="B27" s="63">
        <v>0.3604</v>
      </c>
      <c r="C27" s="64" t="s">
        <v>55</v>
      </c>
      <c r="D27" s="8"/>
      <c r="E27" s="68" t="s">
        <v>83</v>
      </c>
      <c r="F27" s="69">
        <v>16</v>
      </c>
      <c r="G27" s="70">
        <v>513</v>
      </c>
      <c r="H27" s="71">
        <v>1599</v>
      </c>
    </row>
    <row r="28" spans="1:8" s="34" customFormat="1" ht="14.25" customHeight="1" x14ac:dyDescent="0.2">
      <c r="A28" s="62" t="s">
        <v>1406</v>
      </c>
      <c r="B28" s="63">
        <v>0.40810810810810799</v>
      </c>
      <c r="C28" s="64" t="s">
        <v>55</v>
      </c>
      <c r="D28" s="8"/>
      <c r="E28" s="68" t="s">
        <v>84</v>
      </c>
      <c r="F28" s="69">
        <v>2</v>
      </c>
      <c r="G28" s="70">
        <v>70</v>
      </c>
      <c r="H28" s="71">
        <v>219</v>
      </c>
    </row>
    <row r="29" spans="1:8" s="34" customFormat="1" ht="14.25" customHeight="1" x14ac:dyDescent="0.2">
      <c r="A29" s="62" t="s">
        <v>1407</v>
      </c>
      <c r="B29" s="63"/>
      <c r="C29" s="64" t="s">
        <v>56</v>
      </c>
      <c r="D29" s="8"/>
      <c r="E29" s="68" t="s">
        <v>85</v>
      </c>
      <c r="F29" s="69">
        <v>30</v>
      </c>
      <c r="G29" s="70">
        <v>962</v>
      </c>
      <c r="H29" s="71">
        <v>2999</v>
      </c>
    </row>
    <row r="30" spans="1:8" s="34" customFormat="1" ht="14.25" customHeight="1" x14ac:dyDescent="0.2">
      <c r="A30" s="62" t="s">
        <v>1408</v>
      </c>
      <c r="B30" s="63"/>
      <c r="C30" s="64" t="s">
        <v>57</v>
      </c>
      <c r="D30" s="8"/>
      <c r="E30" s="68" t="s">
        <v>86</v>
      </c>
      <c r="F30" s="69">
        <v>13</v>
      </c>
      <c r="G30" s="70">
        <v>417</v>
      </c>
      <c r="H30" s="71">
        <v>1299</v>
      </c>
    </row>
    <row r="31" spans="1:8" s="34" customFormat="1" ht="14.25" customHeight="1" x14ac:dyDescent="0.2">
      <c r="A31" s="62" t="s">
        <v>1409</v>
      </c>
      <c r="B31" s="63"/>
      <c r="C31" s="64" t="s">
        <v>57</v>
      </c>
      <c r="D31" s="8"/>
      <c r="E31" s="68" t="s">
        <v>87</v>
      </c>
      <c r="F31" s="69">
        <v>16</v>
      </c>
      <c r="G31" s="70">
        <v>513</v>
      </c>
      <c r="H31" s="71">
        <v>1599</v>
      </c>
    </row>
    <row r="32" spans="1:8" s="34" customFormat="1" ht="14.25" customHeight="1" x14ac:dyDescent="0.2">
      <c r="A32" s="62" t="s">
        <v>1410</v>
      </c>
      <c r="B32" s="63"/>
      <c r="C32" s="64" t="s">
        <v>58</v>
      </c>
      <c r="D32" s="8"/>
      <c r="E32" s="68" t="s">
        <v>88</v>
      </c>
      <c r="F32" s="69">
        <v>25</v>
      </c>
      <c r="G32" s="70">
        <v>802</v>
      </c>
      <c r="H32" s="71">
        <v>2499</v>
      </c>
    </row>
    <row r="33" spans="1:8" s="34" customFormat="1" ht="14.25" customHeight="1" x14ac:dyDescent="0.2">
      <c r="A33" s="62" t="s">
        <v>1411</v>
      </c>
      <c r="B33" s="63"/>
      <c r="C33" s="64" t="s">
        <v>58</v>
      </c>
      <c r="D33" s="8"/>
      <c r="E33" s="68" t="s">
        <v>89</v>
      </c>
      <c r="F33" s="69">
        <v>9</v>
      </c>
      <c r="G33" s="70">
        <v>288</v>
      </c>
      <c r="H33" s="71">
        <v>899</v>
      </c>
    </row>
    <row r="34" spans="1:8" s="34" customFormat="1" ht="14.25" customHeight="1" x14ac:dyDescent="0.2">
      <c r="A34" s="62" t="s">
        <v>1412</v>
      </c>
      <c r="B34" s="63"/>
      <c r="C34" s="64" t="s">
        <v>58</v>
      </c>
      <c r="D34" s="8"/>
      <c r="E34" s="68" t="s">
        <v>90</v>
      </c>
      <c r="F34" s="69">
        <v>10</v>
      </c>
      <c r="G34" s="70">
        <v>321</v>
      </c>
      <c r="H34" s="71">
        <v>999</v>
      </c>
    </row>
    <row r="35" spans="1:8" s="34" customFormat="1" ht="14.25" customHeight="1" x14ac:dyDescent="0.2">
      <c r="A35" s="62" t="s">
        <v>1413</v>
      </c>
      <c r="B35" s="63"/>
      <c r="C35" s="64" t="s">
        <v>59</v>
      </c>
      <c r="D35" s="8"/>
      <c r="E35" s="68" t="s">
        <v>91</v>
      </c>
      <c r="F35" s="69">
        <v>15</v>
      </c>
      <c r="G35" s="70">
        <v>481</v>
      </c>
      <c r="H35" s="71">
        <v>1499</v>
      </c>
    </row>
    <row r="36" spans="1:8" s="34" customFormat="1" ht="14.25" customHeight="1" thickBot="1" x14ac:dyDescent="0.25">
      <c r="A36" s="65" t="s">
        <v>1414</v>
      </c>
      <c r="B36" s="66">
        <v>0.44862068965517199</v>
      </c>
      <c r="C36" s="67" t="s">
        <v>60</v>
      </c>
      <c r="D36" s="8"/>
      <c r="E36" s="72" t="s">
        <v>92</v>
      </c>
      <c r="F36" s="73">
        <v>16</v>
      </c>
      <c r="G36" s="74">
        <v>1026</v>
      </c>
      <c r="H36" s="75">
        <v>1599</v>
      </c>
    </row>
    <row r="37" spans="1:8" s="34" customFormat="1" ht="14.25" customHeight="1" thickBot="1" x14ac:dyDescent="0.3">
      <c r="A37" s="76" t="s">
        <v>10</v>
      </c>
      <c r="B37" s="77"/>
      <c r="C37" s="77"/>
      <c r="D37" s="78"/>
      <c r="E37" s="79"/>
      <c r="F37" s="80"/>
      <c r="G37" s="81"/>
      <c r="H37" s="81"/>
    </row>
    <row r="38" spans="1:8" ht="15" thickBot="1" x14ac:dyDescent="0.25">
      <c r="A38" s="56" t="s">
        <v>41</v>
      </c>
      <c r="B38" s="57"/>
      <c r="C38" s="57"/>
      <c r="D38" s="58"/>
      <c r="E38" s="82" t="s">
        <v>93</v>
      </c>
      <c r="F38" s="60"/>
      <c r="G38" s="61"/>
      <c r="H38" s="61"/>
    </row>
    <row r="39" spans="1:8" x14ac:dyDescent="0.2">
      <c r="A39" s="138" t="s">
        <v>1415</v>
      </c>
      <c r="B39" s="139">
        <v>0.20050000000000001</v>
      </c>
      <c r="C39" s="140" t="s">
        <v>94</v>
      </c>
      <c r="D39" s="141"/>
      <c r="E39" s="142" t="s">
        <v>95</v>
      </c>
      <c r="F39" s="143">
        <v>16</v>
      </c>
      <c r="G39" s="144">
        <v>1026</v>
      </c>
      <c r="H39" s="145">
        <v>1599</v>
      </c>
    </row>
    <row r="40" spans="1:8" x14ac:dyDescent="0.2">
      <c r="A40" s="52" t="s">
        <v>1416</v>
      </c>
      <c r="B40" s="98"/>
      <c r="C40" s="43" t="s">
        <v>96</v>
      </c>
      <c r="D40" s="8"/>
      <c r="E40" s="68" t="s">
        <v>107</v>
      </c>
      <c r="F40" s="10">
        <v>52</v>
      </c>
      <c r="G40" s="99">
        <v>3208</v>
      </c>
      <c r="H40" s="99">
        <v>5000</v>
      </c>
    </row>
    <row r="41" spans="1:8" x14ac:dyDescent="0.2">
      <c r="A41" s="84" t="s">
        <v>1417</v>
      </c>
      <c r="B41" s="63"/>
      <c r="C41" s="64" t="s">
        <v>97</v>
      </c>
      <c r="D41" s="8"/>
      <c r="E41" s="68" t="s">
        <v>108</v>
      </c>
      <c r="F41" s="69">
        <v>52</v>
      </c>
      <c r="G41" s="70">
        <v>3208</v>
      </c>
      <c r="H41" s="71">
        <v>5000</v>
      </c>
    </row>
    <row r="42" spans="1:8" x14ac:dyDescent="0.2">
      <c r="A42" s="84" t="s">
        <v>1418</v>
      </c>
      <c r="B42" s="63"/>
      <c r="C42" s="64" t="s">
        <v>97</v>
      </c>
      <c r="D42" s="8"/>
      <c r="E42" s="68" t="s">
        <v>109</v>
      </c>
      <c r="F42" s="69">
        <v>52</v>
      </c>
      <c r="G42" s="70">
        <v>3208</v>
      </c>
      <c r="H42" s="71">
        <v>5000</v>
      </c>
    </row>
    <row r="43" spans="1:8" x14ac:dyDescent="0.2">
      <c r="A43" s="84" t="s">
        <v>1419</v>
      </c>
      <c r="B43" s="63"/>
      <c r="C43" s="64" t="s">
        <v>97</v>
      </c>
      <c r="D43" s="8"/>
      <c r="E43" s="68" t="s">
        <v>110</v>
      </c>
      <c r="F43" s="69">
        <v>52</v>
      </c>
      <c r="G43" s="70">
        <v>3208</v>
      </c>
      <c r="H43" s="71">
        <v>5000</v>
      </c>
    </row>
    <row r="44" spans="1:8" x14ac:dyDescent="0.2">
      <c r="A44" s="84" t="s">
        <v>1420</v>
      </c>
      <c r="B44" s="63"/>
      <c r="C44" s="64" t="s">
        <v>96</v>
      </c>
      <c r="D44" s="8"/>
      <c r="E44" s="68" t="s">
        <v>111</v>
      </c>
      <c r="F44" s="69">
        <v>52</v>
      </c>
      <c r="G44" s="70">
        <v>3208</v>
      </c>
      <c r="H44" s="71">
        <v>5000</v>
      </c>
    </row>
    <row r="45" spans="1:8" x14ac:dyDescent="0.2">
      <c r="A45" s="84" t="s">
        <v>1421</v>
      </c>
      <c r="B45" s="63"/>
      <c r="C45" s="64" t="s">
        <v>98</v>
      </c>
      <c r="D45" s="8"/>
      <c r="E45" s="68" t="s">
        <v>32</v>
      </c>
      <c r="F45" s="69">
        <v>24</v>
      </c>
      <c r="G45" s="70">
        <v>1475</v>
      </c>
      <c r="H45" s="71">
        <v>2300</v>
      </c>
    </row>
    <row r="46" spans="1:8" x14ac:dyDescent="0.2">
      <c r="A46" s="84" t="s">
        <v>1422</v>
      </c>
      <c r="B46" s="63">
        <v>0.39321428571428602</v>
      </c>
      <c r="C46" s="64" t="s">
        <v>99</v>
      </c>
      <c r="D46" s="8"/>
      <c r="E46" s="68" t="s">
        <v>112</v>
      </c>
      <c r="F46" s="69">
        <v>18</v>
      </c>
      <c r="G46" s="70">
        <v>1090</v>
      </c>
      <c r="H46" s="71">
        <v>1699</v>
      </c>
    </row>
    <row r="47" spans="1:8" x14ac:dyDescent="0.2">
      <c r="A47" s="84" t="s">
        <v>1423</v>
      </c>
      <c r="B47" s="63"/>
      <c r="C47" s="64" t="s">
        <v>100</v>
      </c>
      <c r="D47" s="8"/>
      <c r="E47" s="68" t="s">
        <v>33</v>
      </c>
      <c r="F47" s="69">
        <v>29</v>
      </c>
      <c r="G47" s="70">
        <v>1797</v>
      </c>
      <c r="H47" s="71">
        <v>2800</v>
      </c>
    </row>
    <row r="48" spans="1:8" x14ac:dyDescent="0.2">
      <c r="A48" s="84" t="s">
        <v>1424</v>
      </c>
      <c r="B48" s="63"/>
      <c r="C48" s="64" t="s">
        <v>100</v>
      </c>
      <c r="D48" s="8"/>
      <c r="E48" s="68" t="s">
        <v>34</v>
      </c>
      <c r="F48" s="69">
        <v>29</v>
      </c>
      <c r="G48" s="70">
        <v>1797</v>
      </c>
      <c r="H48" s="71">
        <v>2800</v>
      </c>
    </row>
    <row r="49" spans="1:8" x14ac:dyDescent="0.2">
      <c r="A49" s="84" t="s">
        <v>1425</v>
      </c>
      <c r="B49" s="63"/>
      <c r="C49" s="64" t="s">
        <v>101</v>
      </c>
      <c r="D49" s="8"/>
      <c r="E49" s="68" t="s">
        <v>113</v>
      </c>
      <c r="F49" s="69">
        <v>50</v>
      </c>
      <c r="G49" s="70">
        <v>2887</v>
      </c>
      <c r="H49" s="71">
        <v>4500</v>
      </c>
    </row>
    <row r="50" spans="1:8" x14ac:dyDescent="0.2">
      <c r="A50" s="84" t="s">
        <v>1426</v>
      </c>
      <c r="B50" s="63"/>
      <c r="C50" s="64" t="s">
        <v>101</v>
      </c>
      <c r="D50" s="8"/>
      <c r="E50" s="68" t="s">
        <v>114</v>
      </c>
      <c r="F50" s="69">
        <v>50</v>
      </c>
      <c r="G50" s="70">
        <v>2887</v>
      </c>
      <c r="H50" s="71">
        <v>4500</v>
      </c>
    </row>
    <row r="51" spans="1:8" x14ac:dyDescent="0.2">
      <c r="A51" s="84" t="s">
        <v>1427</v>
      </c>
      <c r="B51" s="63"/>
      <c r="C51" s="64" t="s">
        <v>96</v>
      </c>
      <c r="D51" s="8"/>
      <c r="E51" s="68" t="s">
        <v>115</v>
      </c>
      <c r="F51" s="69">
        <v>70</v>
      </c>
      <c r="G51" s="70">
        <v>3850</v>
      </c>
      <c r="H51" s="71">
        <v>6000</v>
      </c>
    </row>
    <row r="52" spans="1:8" x14ac:dyDescent="0.2">
      <c r="A52" s="85" t="s">
        <v>1428</v>
      </c>
      <c r="B52" s="63"/>
      <c r="C52" s="64" t="s">
        <v>102</v>
      </c>
      <c r="D52" s="8"/>
      <c r="E52" s="11" t="s">
        <v>116</v>
      </c>
      <c r="F52" s="69">
        <v>18</v>
      </c>
      <c r="G52" s="70">
        <v>1155</v>
      </c>
      <c r="H52" s="71">
        <v>1800</v>
      </c>
    </row>
    <row r="53" spans="1:8" x14ac:dyDescent="0.2">
      <c r="A53" s="85" t="s">
        <v>1429</v>
      </c>
      <c r="B53" s="63"/>
      <c r="C53" s="64" t="s">
        <v>102</v>
      </c>
      <c r="D53" s="8"/>
      <c r="E53" s="11" t="s">
        <v>117</v>
      </c>
      <c r="F53" s="69">
        <v>13</v>
      </c>
      <c r="G53" s="70">
        <v>834</v>
      </c>
      <c r="H53" s="71">
        <v>1300</v>
      </c>
    </row>
    <row r="54" spans="1:8" x14ac:dyDescent="0.2">
      <c r="A54" s="86" t="s">
        <v>1430</v>
      </c>
      <c r="B54" s="63">
        <v>0.251</v>
      </c>
      <c r="C54" s="64" t="s">
        <v>103</v>
      </c>
      <c r="D54" s="8"/>
      <c r="E54" s="11" t="s">
        <v>118</v>
      </c>
      <c r="F54" s="69">
        <v>7</v>
      </c>
      <c r="G54" s="70">
        <v>480</v>
      </c>
      <c r="H54" s="71">
        <v>749</v>
      </c>
    </row>
    <row r="55" spans="1:8" x14ac:dyDescent="0.2">
      <c r="A55" s="86" t="s">
        <v>1431</v>
      </c>
      <c r="B55" s="63"/>
      <c r="C55" s="64" t="s">
        <v>104</v>
      </c>
      <c r="D55" s="8"/>
      <c r="E55" s="11" t="s">
        <v>119</v>
      </c>
      <c r="F55" s="69">
        <v>35</v>
      </c>
      <c r="G55" s="70">
        <v>2245</v>
      </c>
      <c r="H55" s="71">
        <v>3500</v>
      </c>
    </row>
    <row r="56" spans="1:8" x14ac:dyDescent="0.2">
      <c r="A56" s="86" t="s">
        <v>1432</v>
      </c>
      <c r="B56" s="63">
        <v>0.242068965517241</v>
      </c>
      <c r="C56" s="64" t="s">
        <v>102</v>
      </c>
      <c r="D56" s="8"/>
      <c r="E56" s="11" t="s">
        <v>120</v>
      </c>
      <c r="F56" s="69">
        <v>11</v>
      </c>
      <c r="G56" s="70">
        <v>705</v>
      </c>
      <c r="H56" s="71">
        <v>1099</v>
      </c>
    </row>
    <row r="57" spans="1:8" x14ac:dyDescent="0.2">
      <c r="A57" s="86" t="s">
        <v>1433</v>
      </c>
      <c r="B57" s="63"/>
      <c r="C57" s="64" t="s">
        <v>102</v>
      </c>
      <c r="D57" s="8"/>
      <c r="E57" s="11" t="s">
        <v>121</v>
      </c>
      <c r="F57" s="69">
        <v>13</v>
      </c>
      <c r="G57" s="70">
        <v>834</v>
      </c>
      <c r="H57" s="71">
        <v>1300</v>
      </c>
    </row>
    <row r="58" spans="1:8" x14ac:dyDescent="0.2">
      <c r="A58" s="84" t="s">
        <v>1434</v>
      </c>
      <c r="B58" s="63"/>
      <c r="C58" s="64" t="s">
        <v>96</v>
      </c>
      <c r="D58" s="8"/>
      <c r="E58" s="68" t="s">
        <v>122</v>
      </c>
      <c r="F58" s="69">
        <v>70</v>
      </c>
      <c r="G58" s="70">
        <v>3850</v>
      </c>
      <c r="H58" s="71">
        <v>6000</v>
      </c>
    </row>
    <row r="59" spans="1:8" x14ac:dyDescent="0.2">
      <c r="A59" s="87" t="s">
        <v>1435</v>
      </c>
      <c r="B59" s="63"/>
      <c r="C59" s="64" t="s">
        <v>96</v>
      </c>
      <c r="D59" s="8"/>
      <c r="E59" s="90" t="s">
        <v>123</v>
      </c>
      <c r="F59" s="69">
        <v>70</v>
      </c>
      <c r="G59" s="70">
        <v>3850</v>
      </c>
      <c r="H59" s="71">
        <v>6000</v>
      </c>
    </row>
    <row r="60" spans="1:8" x14ac:dyDescent="0.2">
      <c r="A60" s="85" t="s">
        <v>1436</v>
      </c>
      <c r="B60" s="63"/>
      <c r="C60" s="64" t="s">
        <v>98</v>
      </c>
      <c r="D60" s="8"/>
      <c r="E60" s="91" t="s">
        <v>124</v>
      </c>
      <c r="F60" s="69">
        <v>24</v>
      </c>
      <c r="G60" s="70">
        <v>1475</v>
      </c>
      <c r="H60" s="71">
        <v>2300</v>
      </c>
    </row>
    <row r="61" spans="1:8" x14ac:dyDescent="0.2">
      <c r="A61" s="85" t="s">
        <v>1437</v>
      </c>
      <c r="B61" s="63">
        <v>0.217826086956522</v>
      </c>
      <c r="C61" s="64" t="s">
        <v>105</v>
      </c>
      <c r="D61" s="8"/>
      <c r="E61" s="68" t="s">
        <v>125</v>
      </c>
      <c r="F61" s="69">
        <v>18</v>
      </c>
      <c r="G61" s="70">
        <v>1154</v>
      </c>
      <c r="H61" s="71">
        <v>1799</v>
      </c>
    </row>
    <row r="62" spans="1:8" x14ac:dyDescent="0.2">
      <c r="A62" s="85" t="s">
        <v>1438</v>
      </c>
      <c r="B62" s="63"/>
      <c r="C62" s="64" t="s">
        <v>96</v>
      </c>
      <c r="D62" s="8"/>
      <c r="E62" s="91" t="s">
        <v>126</v>
      </c>
      <c r="F62" s="69">
        <v>1</v>
      </c>
      <c r="G62" s="70">
        <v>38</v>
      </c>
      <c r="H62" s="71">
        <v>119</v>
      </c>
    </row>
    <row r="63" spans="1:8" x14ac:dyDescent="0.2">
      <c r="A63" s="85" t="s">
        <v>1439</v>
      </c>
      <c r="B63" s="63">
        <v>0.27808676307007801</v>
      </c>
      <c r="C63" s="64" t="s">
        <v>102</v>
      </c>
      <c r="D63" s="8"/>
      <c r="E63" s="91" t="s">
        <v>127</v>
      </c>
      <c r="F63" s="69">
        <v>6</v>
      </c>
      <c r="G63" s="70">
        <v>208</v>
      </c>
      <c r="H63" s="71">
        <v>649</v>
      </c>
    </row>
    <row r="64" spans="1:8" x14ac:dyDescent="0.2">
      <c r="A64" s="88" t="s">
        <v>1440</v>
      </c>
      <c r="B64" s="63"/>
      <c r="C64" s="64" t="s">
        <v>104</v>
      </c>
      <c r="D64" s="8"/>
      <c r="E64" s="90" t="s">
        <v>128</v>
      </c>
      <c r="F64" s="69">
        <v>7</v>
      </c>
      <c r="G64" s="70">
        <v>224</v>
      </c>
      <c r="H64" s="71">
        <v>699</v>
      </c>
    </row>
    <row r="65" spans="1:8" x14ac:dyDescent="0.2">
      <c r="A65" s="88" t="s">
        <v>1441</v>
      </c>
      <c r="B65" s="63"/>
      <c r="C65" s="64" t="s">
        <v>97</v>
      </c>
      <c r="D65" s="8"/>
      <c r="E65" s="91" t="s">
        <v>129</v>
      </c>
      <c r="F65" s="69">
        <v>10</v>
      </c>
      <c r="G65" s="70">
        <v>321</v>
      </c>
      <c r="H65" s="71">
        <v>999</v>
      </c>
    </row>
    <row r="66" spans="1:8" x14ac:dyDescent="0.2">
      <c r="A66" s="86" t="s">
        <v>1442</v>
      </c>
      <c r="B66" s="63"/>
      <c r="C66" s="64" t="s">
        <v>96</v>
      </c>
      <c r="D66" s="8"/>
      <c r="E66" s="68" t="s">
        <v>130</v>
      </c>
      <c r="F66" s="69">
        <v>9</v>
      </c>
      <c r="G66" s="70">
        <v>288</v>
      </c>
      <c r="H66" s="71">
        <v>899</v>
      </c>
    </row>
    <row r="67" spans="1:8" ht="15" thickBot="1" x14ac:dyDescent="0.25">
      <c r="A67" s="89" t="s">
        <v>1443</v>
      </c>
      <c r="B67" s="66">
        <v>0.29773809523809502</v>
      </c>
      <c r="C67" s="67" t="s">
        <v>106</v>
      </c>
      <c r="D67" s="8"/>
      <c r="E67" s="92" t="s">
        <v>131</v>
      </c>
      <c r="F67" s="73">
        <v>71</v>
      </c>
      <c r="G67" s="74">
        <v>3785</v>
      </c>
      <c r="H67" s="75">
        <v>5899</v>
      </c>
    </row>
    <row r="68" spans="1:8" ht="15" thickBot="1" x14ac:dyDescent="0.25">
      <c r="A68" s="93" t="s">
        <v>41</v>
      </c>
      <c r="B68" s="94"/>
      <c r="C68" s="94"/>
      <c r="D68" s="95"/>
      <c r="E68" s="82" t="s">
        <v>132</v>
      </c>
      <c r="F68" s="96"/>
      <c r="G68" s="97"/>
      <c r="H68" s="97"/>
    </row>
    <row r="69" spans="1:8" ht="15" thickBot="1" x14ac:dyDescent="0.25">
      <c r="A69" s="93" t="s">
        <v>41</v>
      </c>
      <c r="B69" s="94"/>
      <c r="C69" s="94"/>
      <c r="D69" s="95"/>
      <c r="E69" s="82" t="s">
        <v>133</v>
      </c>
      <c r="F69" s="96"/>
      <c r="G69" s="97"/>
      <c r="H69" s="97"/>
    </row>
    <row r="70" spans="1:8" x14ac:dyDescent="0.2">
      <c r="A70" s="83" t="s">
        <v>1444</v>
      </c>
      <c r="B70" s="63">
        <v>0.40200000000000002</v>
      </c>
      <c r="C70" s="64" t="s">
        <v>134</v>
      </c>
      <c r="D70" s="8"/>
      <c r="E70" s="68" t="s">
        <v>254</v>
      </c>
      <c r="F70" s="69">
        <v>3</v>
      </c>
      <c r="G70" s="70">
        <v>192</v>
      </c>
      <c r="H70" s="71">
        <v>299</v>
      </c>
    </row>
    <row r="71" spans="1:8" x14ac:dyDescent="0.2">
      <c r="A71" s="83" t="s">
        <v>1445</v>
      </c>
      <c r="B71" s="63">
        <v>0.40200000000000002</v>
      </c>
      <c r="C71" s="64" t="s">
        <v>134</v>
      </c>
      <c r="D71" s="8"/>
      <c r="E71" s="68" t="s">
        <v>255</v>
      </c>
      <c r="F71" s="69">
        <v>3</v>
      </c>
      <c r="G71" s="70">
        <v>192</v>
      </c>
      <c r="H71" s="71">
        <v>299</v>
      </c>
    </row>
    <row r="72" spans="1:8" x14ac:dyDescent="0.2">
      <c r="A72" s="83" t="s">
        <v>1446</v>
      </c>
      <c r="B72" s="63">
        <v>0.40200000000000002</v>
      </c>
      <c r="C72" s="64" t="s">
        <v>134</v>
      </c>
      <c r="D72" s="8"/>
      <c r="E72" s="68" t="s">
        <v>256</v>
      </c>
      <c r="F72" s="69">
        <v>3</v>
      </c>
      <c r="G72" s="70">
        <v>192</v>
      </c>
      <c r="H72" s="71">
        <v>299</v>
      </c>
    </row>
    <row r="73" spans="1:8" x14ac:dyDescent="0.2">
      <c r="A73" s="83" t="s">
        <v>1447</v>
      </c>
      <c r="B73" s="63">
        <v>0.40200000000000002</v>
      </c>
      <c r="C73" s="64" t="s">
        <v>134</v>
      </c>
      <c r="D73" s="8"/>
      <c r="E73" s="68" t="s">
        <v>257</v>
      </c>
      <c r="F73" s="69">
        <v>3</v>
      </c>
      <c r="G73" s="70">
        <v>192</v>
      </c>
      <c r="H73" s="71">
        <v>299</v>
      </c>
    </row>
    <row r="74" spans="1:8" x14ac:dyDescent="0.2">
      <c r="A74" s="83" t="s">
        <v>1448</v>
      </c>
      <c r="B74" s="63">
        <v>0.40200000000000002</v>
      </c>
      <c r="C74" s="64" t="s">
        <v>134</v>
      </c>
      <c r="D74" s="8"/>
      <c r="E74" s="68" t="s">
        <v>258</v>
      </c>
      <c r="F74" s="69">
        <v>3</v>
      </c>
      <c r="G74" s="70">
        <v>192</v>
      </c>
      <c r="H74" s="71">
        <v>299</v>
      </c>
    </row>
    <row r="75" spans="1:8" x14ac:dyDescent="0.2">
      <c r="A75" s="83" t="s">
        <v>1449</v>
      </c>
      <c r="B75" s="63">
        <v>0.40200000000000002</v>
      </c>
      <c r="C75" s="64" t="s">
        <v>134</v>
      </c>
      <c r="D75" s="8"/>
      <c r="E75" s="68" t="s">
        <v>259</v>
      </c>
      <c r="F75" s="69">
        <v>3</v>
      </c>
      <c r="G75" s="70">
        <v>192</v>
      </c>
      <c r="H75" s="71">
        <v>299</v>
      </c>
    </row>
    <row r="76" spans="1:8" x14ac:dyDescent="0.2">
      <c r="A76" s="83" t="s">
        <v>1450</v>
      </c>
      <c r="B76" s="63">
        <v>0.40200000000000002</v>
      </c>
      <c r="C76" s="64" t="s">
        <v>134</v>
      </c>
      <c r="D76" s="8"/>
      <c r="E76" s="68" t="s">
        <v>260</v>
      </c>
      <c r="F76" s="69">
        <v>3</v>
      </c>
      <c r="G76" s="70">
        <v>192</v>
      </c>
      <c r="H76" s="71">
        <v>299</v>
      </c>
    </row>
    <row r="77" spans="1:8" x14ac:dyDescent="0.2">
      <c r="A77" s="83" t="s">
        <v>1451</v>
      </c>
      <c r="B77" s="63">
        <v>0.40200000000000002</v>
      </c>
      <c r="C77" s="64" t="s">
        <v>134</v>
      </c>
      <c r="D77" s="8"/>
      <c r="E77" s="68" t="s">
        <v>261</v>
      </c>
      <c r="F77" s="69">
        <v>3</v>
      </c>
      <c r="G77" s="70">
        <v>192</v>
      </c>
      <c r="H77" s="71">
        <v>299</v>
      </c>
    </row>
    <row r="78" spans="1:8" x14ac:dyDescent="0.2">
      <c r="A78" s="83" t="s">
        <v>1452</v>
      </c>
      <c r="B78" s="63">
        <v>0.52291666666666703</v>
      </c>
      <c r="C78" s="64" t="s">
        <v>135</v>
      </c>
      <c r="D78" s="8"/>
      <c r="E78" s="68" t="s">
        <v>262</v>
      </c>
      <c r="F78" s="69">
        <v>2</v>
      </c>
      <c r="G78" s="70">
        <v>147</v>
      </c>
      <c r="H78" s="71">
        <v>229</v>
      </c>
    </row>
    <row r="79" spans="1:8" x14ac:dyDescent="0.2">
      <c r="A79" s="83" t="s">
        <v>1453</v>
      </c>
      <c r="B79" s="63">
        <v>0.52291666666666703</v>
      </c>
      <c r="C79" s="64" t="s">
        <v>135</v>
      </c>
      <c r="D79" s="8"/>
      <c r="E79" s="68" t="s">
        <v>263</v>
      </c>
      <c r="F79" s="69">
        <v>2</v>
      </c>
      <c r="G79" s="70">
        <v>147</v>
      </c>
      <c r="H79" s="71">
        <v>229</v>
      </c>
    </row>
    <row r="80" spans="1:8" x14ac:dyDescent="0.2">
      <c r="A80" s="83" t="s">
        <v>1454</v>
      </c>
      <c r="B80" s="63">
        <v>0.52291666666666703</v>
      </c>
      <c r="C80" s="64" t="s">
        <v>135</v>
      </c>
      <c r="D80" s="8"/>
      <c r="E80" s="68" t="s">
        <v>264</v>
      </c>
      <c r="F80" s="69">
        <v>2</v>
      </c>
      <c r="G80" s="70">
        <v>147</v>
      </c>
      <c r="H80" s="71">
        <v>229</v>
      </c>
    </row>
    <row r="81" spans="1:8" x14ac:dyDescent="0.2">
      <c r="A81" s="83" t="s">
        <v>1455</v>
      </c>
      <c r="B81" s="63">
        <v>0.52291666666666703</v>
      </c>
      <c r="C81" s="64" t="s">
        <v>135</v>
      </c>
      <c r="D81" s="8"/>
      <c r="E81" s="68" t="s">
        <v>265</v>
      </c>
      <c r="F81" s="69">
        <v>2</v>
      </c>
      <c r="G81" s="70">
        <v>147</v>
      </c>
      <c r="H81" s="71">
        <v>229</v>
      </c>
    </row>
    <row r="82" spans="1:8" x14ac:dyDescent="0.2">
      <c r="A82" s="83" t="s">
        <v>1456</v>
      </c>
      <c r="B82" s="63">
        <v>0.52291666666666703</v>
      </c>
      <c r="C82" s="64" t="s">
        <v>135</v>
      </c>
      <c r="D82" s="8"/>
      <c r="E82" s="68" t="s">
        <v>266</v>
      </c>
      <c r="F82" s="69">
        <v>2</v>
      </c>
      <c r="G82" s="70">
        <v>147</v>
      </c>
      <c r="H82" s="71">
        <v>229</v>
      </c>
    </row>
    <row r="83" spans="1:8" x14ac:dyDescent="0.2">
      <c r="A83" s="83" t="s">
        <v>1457</v>
      </c>
      <c r="B83" s="63">
        <v>0.52291666666666703</v>
      </c>
      <c r="C83" s="64" t="s">
        <v>135</v>
      </c>
      <c r="D83" s="8"/>
      <c r="E83" s="68" t="s">
        <v>267</v>
      </c>
      <c r="F83" s="69">
        <v>2</v>
      </c>
      <c r="G83" s="70">
        <v>147</v>
      </c>
      <c r="H83" s="71">
        <v>229</v>
      </c>
    </row>
    <row r="84" spans="1:8" x14ac:dyDescent="0.2">
      <c r="A84" s="83" t="s">
        <v>1458</v>
      </c>
      <c r="B84" s="63">
        <v>0.52291666666666703</v>
      </c>
      <c r="C84" s="64" t="s">
        <v>135</v>
      </c>
      <c r="D84" s="8"/>
      <c r="E84" s="68" t="s">
        <v>268</v>
      </c>
      <c r="F84" s="69">
        <v>2</v>
      </c>
      <c r="G84" s="70">
        <v>147</v>
      </c>
      <c r="H84" s="71">
        <v>229</v>
      </c>
    </row>
    <row r="85" spans="1:8" x14ac:dyDescent="0.2">
      <c r="A85" s="83" t="s">
        <v>1459</v>
      </c>
      <c r="B85" s="63">
        <v>0.52291666666666703</v>
      </c>
      <c r="C85" s="64" t="s">
        <v>135</v>
      </c>
      <c r="D85" s="8"/>
      <c r="E85" s="68" t="s">
        <v>269</v>
      </c>
      <c r="F85" s="69">
        <v>2</v>
      </c>
      <c r="G85" s="70">
        <v>147</v>
      </c>
      <c r="H85" s="71">
        <v>229</v>
      </c>
    </row>
    <row r="86" spans="1:8" x14ac:dyDescent="0.2">
      <c r="A86" s="83" t="s">
        <v>1460</v>
      </c>
      <c r="B86" s="63">
        <v>0.52291666666666703</v>
      </c>
      <c r="C86" s="64" t="s">
        <v>135</v>
      </c>
      <c r="D86" s="8"/>
      <c r="E86" s="68" t="s">
        <v>270</v>
      </c>
      <c r="F86" s="69">
        <v>2</v>
      </c>
      <c r="G86" s="70">
        <v>147</v>
      </c>
      <c r="H86" s="71">
        <v>229</v>
      </c>
    </row>
    <row r="87" spans="1:8" x14ac:dyDescent="0.2">
      <c r="A87" s="83" t="s">
        <v>1461</v>
      </c>
      <c r="B87" s="63">
        <v>0.52291666666666703</v>
      </c>
      <c r="C87" s="64" t="s">
        <v>135</v>
      </c>
      <c r="D87" s="8"/>
      <c r="E87" s="68" t="s">
        <v>271</v>
      </c>
      <c r="F87" s="69">
        <v>2</v>
      </c>
      <c r="G87" s="70">
        <v>147</v>
      </c>
      <c r="H87" s="71">
        <v>229</v>
      </c>
    </row>
    <row r="88" spans="1:8" x14ac:dyDescent="0.2">
      <c r="A88" s="83" t="s">
        <v>1462</v>
      </c>
      <c r="B88" s="63">
        <v>0.52291666666666703</v>
      </c>
      <c r="C88" s="64" t="s">
        <v>135</v>
      </c>
      <c r="D88" s="8"/>
      <c r="E88" s="68" t="s">
        <v>272</v>
      </c>
      <c r="F88" s="69">
        <v>2</v>
      </c>
      <c r="G88" s="70">
        <v>147</v>
      </c>
      <c r="H88" s="71">
        <v>229</v>
      </c>
    </row>
    <row r="89" spans="1:8" x14ac:dyDescent="0.2">
      <c r="A89" s="83" t="s">
        <v>1463</v>
      </c>
      <c r="B89" s="63">
        <v>0.52291666666666703</v>
      </c>
      <c r="C89" s="64" t="s">
        <v>135</v>
      </c>
      <c r="D89" s="8"/>
      <c r="E89" s="68" t="s">
        <v>273</v>
      </c>
      <c r="F89" s="69">
        <v>2</v>
      </c>
      <c r="G89" s="70">
        <v>147</v>
      </c>
      <c r="H89" s="71">
        <v>229</v>
      </c>
    </row>
    <row r="90" spans="1:8" x14ac:dyDescent="0.2">
      <c r="A90" s="83" t="s">
        <v>1464</v>
      </c>
      <c r="B90" s="63">
        <v>0.52291666666666703</v>
      </c>
      <c r="C90" s="64" t="s">
        <v>135</v>
      </c>
      <c r="D90" s="8"/>
      <c r="E90" s="68" t="s">
        <v>274</v>
      </c>
      <c r="F90" s="69">
        <v>2</v>
      </c>
      <c r="G90" s="70">
        <v>147</v>
      </c>
      <c r="H90" s="71">
        <v>229</v>
      </c>
    </row>
    <row r="91" spans="1:8" x14ac:dyDescent="0.2">
      <c r="A91" s="83" t="s">
        <v>1465</v>
      </c>
      <c r="B91" s="63">
        <v>0.52291666666666703</v>
      </c>
      <c r="C91" s="64" t="s">
        <v>135</v>
      </c>
      <c r="D91" s="8"/>
      <c r="E91" s="68" t="s">
        <v>275</v>
      </c>
      <c r="F91" s="69">
        <v>2</v>
      </c>
      <c r="G91" s="70">
        <v>147</v>
      </c>
      <c r="H91" s="71">
        <v>229</v>
      </c>
    </row>
    <row r="92" spans="1:8" x14ac:dyDescent="0.2">
      <c r="A92" s="83" t="s">
        <v>1466</v>
      </c>
      <c r="B92" s="63">
        <v>0.52291666666666703</v>
      </c>
      <c r="C92" s="64" t="s">
        <v>135</v>
      </c>
      <c r="D92" s="8"/>
      <c r="E92" s="68" t="s">
        <v>276</v>
      </c>
      <c r="F92" s="69">
        <v>2</v>
      </c>
      <c r="G92" s="70">
        <v>147</v>
      </c>
      <c r="H92" s="71">
        <v>229</v>
      </c>
    </row>
    <row r="93" spans="1:8" x14ac:dyDescent="0.2">
      <c r="A93" s="83" t="s">
        <v>1467</v>
      </c>
      <c r="B93" s="63">
        <v>0.50111111111111095</v>
      </c>
      <c r="C93" s="64" t="s">
        <v>136</v>
      </c>
      <c r="D93" s="8"/>
      <c r="E93" s="68" t="s">
        <v>277</v>
      </c>
      <c r="F93" s="69">
        <v>4</v>
      </c>
      <c r="G93" s="70">
        <v>288</v>
      </c>
      <c r="H93" s="71">
        <v>449</v>
      </c>
    </row>
    <row r="94" spans="1:8" x14ac:dyDescent="0.2">
      <c r="A94" s="83" t="s">
        <v>1468</v>
      </c>
      <c r="B94" s="63">
        <v>0.50111111111111095</v>
      </c>
      <c r="C94" s="64" t="s">
        <v>136</v>
      </c>
      <c r="D94" s="8"/>
      <c r="E94" s="68" t="s">
        <v>278</v>
      </c>
      <c r="F94" s="69">
        <v>4</v>
      </c>
      <c r="G94" s="70">
        <v>288</v>
      </c>
      <c r="H94" s="71">
        <v>449</v>
      </c>
    </row>
    <row r="95" spans="1:8" x14ac:dyDescent="0.2">
      <c r="A95" s="83" t="s">
        <v>1469</v>
      </c>
      <c r="B95" s="63">
        <v>0.50111111111111095</v>
      </c>
      <c r="C95" s="64" t="s">
        <v>136</v>
      </c>
      <c r="D95" s="8"/>
      <c r="E95" s="68" t="s">
        <v>279</v>
      </c>
      <c r="F95" s="69">
        <v>4</v>
      </c>
      <c r="G95" s="70">
        <v>288</v>
      </c>
      <c r="H95" s="71">
        <v>449</v>
      </c>
    </row>
    <row r="96" spans="1:8" x14ac:dyDescent="0.2">
      <c r="A96" s="83" t="s">
        <v>1470</v>
      </c>
      <c r="B96" s="63">
        <v>0.50111111111111095</v>
      </c>
      <c r="C96" s="64" t="s">
        <v>136</v>
      </c>
      <c r="D96" s="8"/>
      <c r="E96" s="68" t="s">
        <v>280</v>
      </c>
      <c r="F96" s="69">
        <v>4</v>
      </c>
      <c r="G96" s="70">
        <v>288</v>
      </c>
      <c r="H96" s="71">
        <v>449</v>
      </c>
    </row>
    <row r="97" spans="1:8" x14ac:dyDescent="0.2">
      <c r="A97" s="83" t="s">
        <v>1471</v>
      </c>
      <c r="B97" s="63">
        <v>0.50111111111111095</v>
      </c>
      <c r="C97" s="64" t="s">
        <v>136</v>
      </c>
      <c r="D97" s="8"/>
      <c r="E97" s="68" t="s">
        <v>281</v>
      </c>
      <c r="F97" s="69">
        <v>4</v>
      </c>
      <c r="G97" s="70">
        <v>288</v>
      </c>
      <c r="H97" s="71">
        <v>449</v>
      </c>
    </row>
    <row r="98" spans="1:8" x14ac:dyDescent="0.2">
      <c r="A98" s="83" t="s">
        <v>1472</v>
      </c>
      <c r="B98" s="63">
        <v>0.50111111111111095</v>
      </c>
      <c r="C98" s="64" t="s">
        <v>136</v>
      </c>
      <c r="D98" s="8"/>
      <c r="E98" s="68" t="s">
        <v>282</v>
      </c>
      <c r="F98" s="69">
        <v>4</v>
      </c>
      <c r="G98" s="70">
        <v>288</v>
      </c>
      <c r="H98" s="71">
        <v>449</v>
      </c>
    </row>
    <row r="99" spans="1:8" x14ac:dyDescent="0.2">
      <c r="A99" s="83" t="s">
        <v>1473</v>
      </c>
      <c r="B99" s="63">
        <v>0.50111111111111095</v>
      </c>
      <c r="C99" s="64" t="s">
        <v>136</v>
      </c>
      <c r="D99" s="8"/>
      <c r="E99" s="68" t="s">
        <v>283</v>
      </c>
      <c r="F99" s="69">
        <v>4</v>
      </c>
      <c r="G99" s="70">
        <v>288</v>
      </c>
      <c r="H99" s="71">
        <v>449</v>
      </c>
    </row>
    <row r="100" spans="1:8" x14ac:dyDescent="0.2">
      <c r="A100" s="83" t="s">
        <v>1474</v>
      </c>
      <c r="B100" s="63">
        <v>0.50111111111111095</v>
      </c>
      <c r="C100" s="64" t="s">
        <v>136</v>
      </c>
      <c r="D100" s="8"/>
      <c r="E100" s="68" t="s">
        <v>284</v>
      </c>
      <c r="F100" s="69">
        <v>4</v>
      </c>
      <c r="G100" s="70">
        <v>288</v>
      </c>
      <c r="H100" s="71">
        <v>449</v>
      </c>
    </row>
    <row r="101" spans="1:8" x14ac:dyDescent="0.2">
      <c r="A101" s="83" t="s">
        <v>1475</v>
      </c>
      <c r="B101" s="63">
        <v>0.50111111111111095</v>
      </c>
      <c r="C101" s="64" t="s">
        <v>136</v>
      </c>
      <c r="D101" s="8"/>
      <c r="E101" s="68" t="s">
        <v>285</v>
      </c>
      <c r="F101" s="69">
        <v>4</v>
      </c>
      <c r="G101" s="70">
        <v>288</v>
      </c>
      <c r="H101" s="71">
        <v>449</v>
      </c>
    </row>
    <row r="102" spans="1:8" x14ac:dyDescent="0.2">
      <c r="A102" s="83" t="s">
        <v>1476</v>
      </c>
      <c r="B102" s="63">
        <v>0.50111111111111095</v>
      </c>
      <c r="C102" s="64" t="s">
        <v>136</v>
      </c>
      <c r="D102" s="8"/>
      <c r="E102" s="68" t="s">
        <v>286</v>
      </c>
      <c r="F102" s="69">
        <v>4</v>
      </c>
      <c r="G102" s="70">
        <v>288</v>
      </c>
      <c r="H102" s="71">
        <v>449</v>
      </c>
    </row>
    <row r="103" spans="1:8" x14ac:dyDescent="0.2">
      <c r="A103" s="83" t="s">
        <v>1477</v>
      </c>
      <c r="B103" s="63">
        <v>0.49652173913043501</v>
      </c>
      <c r="C103" s="64" t="s">
        <v>137</v>
      </c>
      <c r="D103" s="8"/>
      <c r="E103" s="68" t="s">
        <v>287</v>
      </c>
      <c r="F103" s="69">
        <v>6</v>
      </c>
      <c r="G103" s="70">
        <v>372</v>
      </c>
      <c r="H103" s="71">
        <v>579</v>
      </c>
    </row>
    <row r="104" spans="1:8" x14ac:dyDescent="0.2">
      <c r="A104" s="83" t="s">
        <v>1478</v>
      </c>
      <c r="B104" s="63">
        <v>0.49652173913043501</v>
      </c>
      <c r="C104" s="64" t="s">
        <v>137</v>
      </c>
      <c r="D104" s="8"/>
      <c r="E104" s="68" t="s">
        <v>288</v>
      </c>
      <c r="F104" s="69">
        <v>6</v>
      </c>
      <c r="G104" s="70">
        <v>372</v>
      </c>
      <c r="H104" s="71">
        <v>579</v>
      </c>
    </row>
    <row r="105" spans="1:8" x14ac:dyDescent="0.2">
      <c r="A105" s="83" t="s">
        <v>1479</v>
      </c>
      <c r="B105" s="63">
        <v>0.49652173913043501</v>
      </c>
      <c r="C105" s="64" t="s">
        <v>137</v>
      </c>
      <c r="D105" s="8"/>
      <c r="E105" s="68" t="s">
        <v>289</v>
      </c>
      <c r="F105" s="69">
        <v>6</v>
      </c>
      <c r="G105" s="70">
        <v>372</v>
      </c>
      <c r="H105" s="71">
        <v>579</v>
      </c>
    </row>
    <row r="106" spans="1:8" x14ac:dyDescent="0.2">
      <c r="A106" s="83" t="s">
        <v>1480</v>
      </c>
      <c r="B106" s="63">
        <v>0.49652173913043501</v>
      </c>
      <c r="C106" s="64" t="s">
        <v>137</v>
      </c>
      <c r="D106" s="8"/>
      <c r="E106" s="68" t="s">
        <v>290</v>
      </c>
      <c r="F106" s="69">
        <v>6</v>
      </c>
      <c r="G106" s="70">
        <v>372</v>
      </c>
      <c r="H106" s="71">
        <v>579</v>
      </c>
    </row>
    <row r="107" spans="1:8" x14ac:dyDescent="0.2">
      <c r="A107" s="83" t="s">
        <v>1481</v>
      </c>
      <c r="B107" s="63">
        <v>0.49652173913043501</v>
      </c>
      <c r="C107" s="64" t="s">
        <v>137</v>
      </c>
      <c r="D107" s="8"/>
      <c r="E107" s="68" t="s">
        <v>291</v>
      </c>
      <c r="F107" s="69">
        <v>6</v>
      </c>
      <c r="G107" s="70">
        <v>372</v>
      </c>
      <c r="H107" s="71">
        <v>579</v>
      </c>
    </row>
    <row r="108" spans="1:8" x14ac:dyDescent="0.2">
      <c r="A108" s="83" t="s">
        <v>1482</v>
      </c>
      <c r="B108" s="63">
        <v>0.49652173913043501</v>
      </c>
      <c r="C108" s="64" t="s">
        <v>137</v>
      </c>
      <c r="D108" s="8"/>
      <c r="E108" s="68" t="s">
        <v>292</v>
      </c>
      <c r="F108" s="69">
        <v>6</v>
      </c>
      <c r="G108" s="70">
        <v>372</v>
      </c>
      <c r="H108" s="71">
        <v>579</v>
      </c>
    </row>
    <row r="109" spans="1:8" x14ac:dyDescent="0.2">
      <c r="A109" s="83" t="s">
        <v>1483</v>
      </c>
      <c r="B109" s="63">
        <v>0.49652173913043501</v>
      </c>
      <c r="C109" s="64" t="s">
        <v>137</v>
      </c>
      <c r="D109" s="8"/>
      <c r="E109" s="68" t="s">
        <v>293</v>
      </c>
      <c r="F109" s="69">
        <v>6</v>
      </c>
      <c r="G109" s="70">
        <v>372</v>
      </c>
      <c r="H109" s="71">
        <v>579</v>
      </c>
    </row>
    <row r="110" spans="1:8" x14ac:dyDescent="0.2">
      <c r="A110" s="83" t="s">
        <v>1484</v>
      </c>
      <c r="B110" s="63">
        <v>0.49652173913043501</v>
      </c>
      <c r="C110" s="64" t="s">
        <v>137</v>
      </c>
      <c r="D110" s="8"/>
      <c r="E110" s="68" t="s">
        <v>294</v>
      </c>
      <c r="F110" s="69">
        <v>6</v>
      </c>
      <c r="G110" s="70">
        <v>372</v>
      </c>
      <c r="H110" s="71">
        <v>579</v>
      </c>
    </row>
    <row r="111" spans="1:8" x14ac:dyDescent="0.2">
      <c r="A111" s="83" t="s">
        <v>1485</v>
      </c>
      <c r="B111" s="63">
        <v>0.49652173913043501</v>
      </c>
      <c r="C111" s="64" t="s">
        <v>137</v>
      </c>
      <c r="D111" s="8"/>
      <c r="E111" s="68" t="s">
        <v>295</v>
      </c>
      <c r="F111" s="69">
        <v>6</v>
      </c>
      <c r="G111" s="70">
        <v>372</v>
      </c>
      <c r="H111" s="71">
        <v>579</v>
      </c>
    </row>
    <row r="112" spans="1:8" x14ac:dyDescent="0.2">
      <c r="A112" s="83" t="s">
        <v>1486</v>
      </c>
      <c r="B112" s="63">
        <v>0.49652173913043501</v>
      </c>
      <c r="C112" s="64" t="s">
        <v>137</v>
      </c>
      <c r="D112" s="8"/>
      <c r="E112" s="68" t="s">
        <v>296</v>
      </c>
      <c r="F112" s="69">
        <v>6</v>
      </c>
      <c r="G112" s="70">
        <v>372</v>
      </c>
      <c r="H112" s="71">
        <v>579</v>
      </c>
    </row>
    <row r="113" spans="1:8" x14ac:dyDescent="0.2">
      <c r="A113" s="83" t="s">
        <v>1487</v>
      </c>
      <c r="B113" s="63">
        <v>0.49652173913043501</v>
      </c>
      <c r="C113" s="64" t="s">
        <v>137</v>
      </c>
      <c r="D113" s="8"/>
      <c r="E113" s="68" t="s">
        <v>297</v>
      </c>
      <c r="F113" s="69">
        <v>6</v>
      </c>
      <c r="G113" s="70">
        <v>372</v>
      </c>
      <c r="H113" s="71">
        <v>579</v>
      </c>
    </row>
    <row r="114" spans="1:8" x14ac:dyDescent="0.2">
      <c r="A114" s="83" t="s">
        <v>1488</v>
      </c>
      <c r="B114" s="63">
        <v>0.49652173913043501</v>
      </c>
      <c r="C114" s="64" t="s">
        <v>137</v>
      </c>
      <c r="D114" s="8"/>
      <c r="E114" s="68" t="s">
        <v>298</v>
      </c>
      <c r="F114" s="69">
        <v>6</v>
      </c>
      <c r="G114" s="70">
        <v>372</v>
      </c>
      <c r="H114" s="71">
        <v>579</v>
      </c>
    </row>
    <row r="115" spans="1:8" x14ac:dyDescent="0.2">
      <c r="A115" s="83" t="s">
        <v>1489</v>
      </c>
      <c r="B115" s="63">
        <v>0.49652173913043501</v>
      </c>
      <c r="C115" s="64" t="s">
        <v>137</v>
      </c>
      <c r="D115" s="8"/>
      <c r="E115" s="68" t="s">
        <v>299</v>
      </c>
      <c r="F115" s="69">
        <v>6</v>
      </c>
      <c r="G115" s="70">
        <v>372</v>
      </c>
      <c r="H115" s="71">
        <v>579</v>
      </c>
    </row>
    <row r="116" spans="1:8" x14ac:dyDescent="0.2">
      <c r="A116" s="83" t="s">
        <v>797</v>
      </c>
      <c r="B116" s="63">
        <v>0.29680000000000001</v>
      </c>
      <c r="C116" s="64" t="s">
        <v>138</v>
      </c>
      <c r="D116" s="8"/>
      <c r="E116" s="68" t="s">
        <v>300</v>
      </c>
      <c r="F116" s="69">
        <v>9</v>
      </c>
      <c r="G116" s="70">
        <v>564</v>
      </c>
      <c r="H116" s="71">
        <v>879</v>
      </c>
    </row>
    <row r="117" spans="1:8" x14ac:dyDescent="0.2">
      <c r="A117" s="83" t="s">
        <v>798</v>
      </c>
      <c r="B117" s="63">
        <v>0.29680000000000001</v>
      </c>
      <c r="C117" s="64" t="s">
        <v>138</v>
      </c>
      <c r="D117" s="8"/>
      <c r="E117" s="68" t="s">
        <v>301</v>
      </c>
      <c r="F117" s="69">
        <v>9</v>
      </c>
      <c r="G117" s="70">
        <v>564</v>
      </c>
      <c r="H117" s="71">
        <v>879</v>
      </c>
    </row>
    <row r="118" spans="1:8" x14ac:dyDescent="0.2">
      <c r="A118" s="83" t="s">
        <v>799</v>
      </c>
      <c r="B118" s="63">
        <v>0.29680000000000001</v>
      </c>
      <c r="C118" s="64" t="s">
        <v>138</v>
      </c>
      <c r="D118" s="8"/>
      <c r="E118" s="68" t="s">
        <v>302</v>
      </c>
      <c r="F118" s="69">
        <v>9</v>
      </c>
      <c r="G118" s="70">
        <v>564</v>
      </c>
      <c r="H118" s="71">
        <v>879</v>
      </c>
    </row>
    <row r="119" spans="1:8" x14ac:dyDescent="0.2">
      <c r="A119" s="83" t="s">
        <v>800</v>
      </c>
      <c r="B119" s="63">
        <v>0.29680000000000001</v>
      </c>
      <c r="C119" s="64" t="s">
        <v>138</v>
      </c>
      <c r="D119" s="8"/>
      <c r="E119" s="68" t="s">
        <v>303</v>
      </c>
      <c r="F119" s="69">
        <v>9</v>
      </c>
      <c r="G119" s="70">
        <v>564</v>
      </c>
      <c r="H119" s="71">
        <v>879</v>
      </c>
    </row>
    <row r="120" spans="1:8" x14ac:dyDescent="0.2">
      <c r="A120" s="83" t="s">
        <v>801</v>
      </c>
      <c r="B120" s="63">
        <v>0.29680000000000001</v>
      </c>
      <c r="C120" s="64" t="s">
        <v>138</v>
      </c>
      <c r="D120" s="8"/>
      <c r="E120" s="68" t="s">
        <v>304</v>
      </c>
      <c r="F120" s="69">
        <v>9</v>
      </c>
      <c r="G120" s="70">
        <v>564</v>
      </c>
      <c r="H120" s="71">
        <v>879</v>
      </c>
    </row>
    <row r="121" spans="1:8" x14ac:dyDescent="0.2">
      <c r="A121" s="83" t="s">
        <v>802</v>
      </c>
      <c r="B121" s="63">
        <v>0.29680000000000001</v>
      </c>
      <c r="C121" s="64" t="s">
        <v>138</v>
      </c>
      <c r="D121" s="8"/>
      <c r="E121" s="68" t="s">
        <v>305</v>
      </c>
      <c r="F121" s="69">
        <v>9</v>
      </c>
      <c r="G121" s="70">
        <v>564</v>
      </c>
      <c r="H121" s="71">
        <v>879</v>
      </c>
    </row>
    <row r="122" spans="1:8" x14ac:dyDescent="0.2">
      <c r="A122" s="83" t="s">
        <v>803</v>
      </c>
      <c r="B122" s="63">
        <v>0.29680000000000001</v>
      </c>
      <c r="C122" s="64" t="s">
        <v>138</v>
      </c>
      <c r="D122" s="8"/>
      <c r="E122" s="68" t="s">
        <v>306</v>
      </c>
      <c r="F122" s="69">
        <v>9</v>
      </c>
      <c r="G122" s="70">
        <v>564</v>
      </c>
      <c r="H122" s="71">
        <v>879</v>
      </c>
    </row>
    <row r="123" spans="1:8" x14ac:dyDescent="0.2">
      <c r="A123" s="83" t="s">
        <v>804</v>
      </c>
      <c r="B123" s="63">
        <v>0.29680000000000001</v>
      </c>
      <c r="C123" s="64" t="s">
        <v>138</v>
      </c>
      <c r="D123" s="8"/>
      <c r="E123" s="68" t="s">
        <v>307</v>
      </c>
      <c r="F123" s="69">
        <v>9</v>
      </c>
      <c r="G123" s="70">
        <v>564</v>
      </c>
      <c r="H123" s="71">
        <v>879</v>
      </c>
    </row>
    <row r="124" spans="1:8" x14ac:dyDescent="0.2">
      <c r="A124" s="83" t="s">
        <v>805</v>
      </c>
      <c r="B124" s="63">
        <v>0.29680000000000001</v>
      </c>
      <c r="C124" s="64" t="s">
        <v>138</v>
      </c>
      <c r="D124" s="8"/>
      <c r="E124" s="68" t="s">
        <v>308</v>
      </c>
      <c r="F124" s="69">
        <v>9</v>
      </c>
      <c r="G124" s="70">
        <v>564</v>
      </c>
      <c r="H124" s="71">
        <v>879</v>
      </c>
    </row>
    <row r="125" spans="1:8" x14ac:dyDescent="0.2">
      <c r="A125" s="83" t="s">
        <v>806</v>
      </c>
      <c r="B125" s="63">
        <v>0.29680000000000001</v>
      </c>
      <c r="C125" s="64" t="s">
        <v>138</v>
      </c>
      <c r="D125" s="8"/>
      <c r="E125" s="68" t="s">
        <v>309</v>
      </c>
      <c r="F125" s="69">
        <v>9</v>
      </c>
      <c r="G125" s="70">
        <v>564</v>
      </c>
      <c r="H125" s="71">
        <v>879</v>
      </c>
    </row>
    <row r="126" spans="1:8" x14ac:dyDescent="0.2">
      <c r="A126" s="83" t="s">
        <v>1490</v>
      </c>
      <c r="B126" s="63">
        <v>0.29680000000000001</v>
      </c>
      <c r="C126" s="64" t="s">
        <v>139</v>
      </c>
      <c r="D126" s="8"/>
      <c r="E126" s="68" t="s">
        <v>310</v>
      </c>
      <c r="F126" s="69">
        <v>9</v>
      </c>
      <c r="G126" s="70">
        <v>564</v>
      </c>
      <c r="H126" s="71">
        <v>879</v>
      </c>
    </row>
    <row r="127" spans="1:8" x14ac:dyDescent="0.2">
      <c r="A127" s="83" t="s">
        <v>1491</v>
      </c>
      <c r="B127" s="63">
        <v>0.29680000000000001</v>
      </c>
      <c r="C127" s="64" t="s">
        <v>139</v>
      </c>
      <c r="D127" s="8"/>
      <c r="E127" s="68" t="s">
        <v>311</v>
      </c>
      <c r="F127" s="69">
        <v>9</v>
      </c>
      <c r="G127" s="70">
        <v>564</v>
      </c>
      <c r="H127" s="71">
        <v>879</v>
      </c>
    </row>
    <row r="128" spans="1:8" x14ac:dyDescent="0.2">
      <c r="A128" s="83" t="s">
        <v>1492</v>
      </c>
      <c r="B128" s="63">
        <v>0.29680000000000001</v>
      </c>
      <c r="C128" s="64" t="s">
        <v>139</v>
      </c>
      <c r="D128" s="8"/>
      <c r="E128" s="68" t="s">
        <v>312</v>
      </c>
      <c r="F128" s="69">
        <v>9</v>
      </c>
      <c r="G128" s="70">
        <v>564</v>
      </c>
      <c r="H128" s="71">
        <v>879</v>
      </c>
    </row>
    <row r="129" spans="1:8" x14ac:dyDescent="0.2">
      <c r="A129" s="83" t="s">
        <v>1493</v>
      </c>
      <c r="B129" s="63">
        <v>0.29680000000000001</v>
      </c>
      <c r="C129" s="64" t="s">
        <v>139</v>
      </c>
      <c r="D129" s="8"/>
      <c r="E129" s="68" t="s">
        <v>313</v>
      </c>
      <c r="F129" s="69">
        <v>9</v>
      </c>
      <c r="G129" s="70">
        <v>564</v>
      </c>
      <c r="H129" s="71">
        <v>879</v>
      </c>
    </row>
    <row r="130" spans="1:8" x14ac:dyDescent="0.2">
      <c r="A130" s="83" t="s">
        <v>1494</v>
      </c>
      <c r="B130" s="63">
        <v>0.29680000000000001</v>
      </c>
      <c r="C130" s="64" t="s">
        <v>139</v>
      </c>
      <c r="D130" s="8"/>
      <c r="E130" s="68" t="s">
        <v>314</v>
      </c>
      <c r="F130" s="69">
        <v>9</v>
      </c>
      <c r="G130" s="70">
        <v>564</v>
      </c>
      <c r="H130" s="71">
        <v>879</v>
      </c>
    </row>
    <row r="131" spans="1:8" x14ac:dyDescent="0.2">
      <c r="A131" s="83" t="s">
        <v>1495</v>
      </c>
      <c r="B131" s="63">
        <v>0.29680000000000001</v>
      </c>
      <c r="C131" s="64" t="s">
        <v>139</v>
      </c>
      <c r="D131" s="8"/>
      <c r="E131" s="68" t="s">
        <v>315</v>
      </c>
      <c r="F131" s="69">
        <v>9</v>
      </c>
      <c r="G131" s="70">
        <v>564</v>
      </c>
      <c r="H131" s="71">
        <v>879</v>
      </c>
    </row>
    <row r="132" spans="1:8" x14ac:dyDescent="0.2">
      <c r="A132" s="83" t="s">
        <v>1496</v>
      </c>
      <c r="B132" s="63">
        <v>0.29680000000000001</v>
      </c>
      <c r="C132" s="64" t="s">
        <v>139</v>
      </c>
      <c r="D132" s="8"/>
      <c r="E132" s="68" t="s">
        <v>316</v>
      </c>
      <c r="F132" s="69">
        <v>9</v>
      </c>
      <c r="G132" s="70">
        <v>564</v>
      </c>
      <c r="H132" s="71">
        <v>879</v>
      </c>
    </row>
    <row r="133" spans="1:8" x14ac:dyDescent="0.2">
      <c r="A133" s="83" t="s">
        <v>1497</v>
      </c>
      <c r="B133" s="63">
        <v>0.29680000000000001</v>
      </c>
      <c r="C133" s="64" t="s">
        <v>139</v>
      </c>
      <c r="D133" s="8"/>
      <c r="E133" s="68" t="s">
        <v>317</v>
      </c>
      <c r="F133" s="69">
        <v>9</v>
      </c>
      <c r="G133" s="70">
        <v>564</v>
      </c>
      <c r="H133" s="71">
        <v>879</v>
      </c>
    </row>
    <row r="134" spans="1:8" x14ac:dyDescent="0.2">
      <c r="A134" s="83" t="s">
        <v>1498</v>
      </c>
      <c r="B134" s="63">
        <v>0.29680000000000001</v>
      </c>
      <c r="C134" s="64" t="s">
        <v>139</v>
      </c>
      <c r="D134" s="8"/>
      <c r="E134" s="68" t="s">
        <v>318</v>
      </c>
      <c r="F134" s="69">
        <v>9</v>
      </c>
      <c r="G134" s="70">
        <v>564</v>
      </c>
      <c r="H134" s="71">
        <v>879</v>
      </c>
    </row>
    <row r="135" spans="1:8" x14ac:dyDescent="0.2">
      <c r="A135" s="83" t="s">
        <v>1499</v>
      </c>
      <c r="B135" s="63">
        <v>0.29680000000000001</v>
      </c>
      <c r="C135" s="64" t="s">
        <v>139</v>
      </c>
      <c r="D135" s="8"/>
      <c r="E135" s="68" t="s">
        <v>319</v>
      </c>
      <c r="F135" s="69">
        <v>9</v>
      </c>
      <c r="G135" s="70">
        <v>564</v>
      </c>
      <c r="H135" s="71">
        <v>879</v>
      </c>
    </row>
    <row r="136" spans="1:8" x14ac:dyDescent="0.2">
      <c r="A136" s="83" t="s">
        <v>1500</v>
      </c>
      <c r="B136" s="63">
        <v>0.50618556701030903</v>
      </c>
      <c r="C136" s="64" t="s">
        <v>140</v>
      </c>
      <c r="D136" s="8"/>
      <c r="E136" s="68" t="s">
        <v>320</v>
      </c>
      <c r="F136" s="69">
        <v>5</v>
      </c>
      <c r="G136" s="70">
        <v>307</v>
      </c>
      <c r="H136" s="71">
        <v>479</v>
      </c>
    </row>
    <row r="137" spans="1:8" x14ac:dyDescent="0.2">
      <c r="A137" s="83" t="s">
        <v>1501</v>
      </c>
      <c r="B137" s="63">
        <v>0.50618556701030903</v>
      </c>
      <c r="C137" s="64" t="s">
        <v>140</v>
      </c>
      <c r="D137" s="8"/>
      <c r="E137" s="68" t="s">
        <v>321</v>
      </c>
      <c r="F137" s="69">
        <v>5</v>
      </c>
      <c r="G137" s="70">
        <v>307</v>
      </c>
      <c r="H137" s="71">
        <v>479</v>
      </c>
    </row>
    <row r="138" spans="1:8" x14ac:dyDescent="0.2">
      <c r="A138" s="83" t="s">
        <v>1502</v>
      </c>
      <c r="B138" s="63">
        <v>0.50618556701030903</v>
      </c>
      <c r="C138" s="64" t="s">
        <v>140</v>
      </c>
      <c r="D138" s="8"/>
      <c r="E138" s="68" t="s">
        <v>322</v>
      </c>
      <c r="F138" s="69">
        <v>5</v>
      </c>
      <c r="G138" s="70">
        <v>307</v>
      </c>
      <c r="H138" s="71">
        <v>479</v>
      </c>
    </row>
    <row r="139" spans="1:8" x14ac:dyDescent="0.2">
      <c r="A139" s="83" t="s">
        <v>1503</v>
      </c>
      <c r="B139" s="63">
        <v>0.45304347826086999</v>
      </c>
      <c r="C139" s="64" t="s">
        <v>140</v>
      </c>
      <c r="D139" s="8"/>
      <c r="E139" s="68" t="s">
        <v>323</v>
      </c>
      <c r="F139" s="69">
        <v>6</v>
      </c>
      <c r="G139" s="70">
        <v>403</v>
      </c>
      <c r="H139" s="71">
        <v>629</v>
      </c>
    </row>
    <row r="140" spans="1:8" x14ac:dyDescent="0.2">
      <c r="A140" s="83" t="s">
        <v>1504</v>
      </c>
      <c r="B140" s="63">
        <v>0.45304347826086999</v>
      </c>
      <c r="C140" s="64" t="s">
        <v>140</v>
      </c>
      <c r="D140" s="8"/>
      <c r="E140" s="68" t="s">
        <v>324</v>
      </c>
      <c r="F140" s="69">
        <v>6</v>
      </c>
      <c r="G140" s="70">
        <v>403</v>
      </c>
      <c r="H140" s="71">
        <v>629</v>
      </c>
    </row>
    <row r="141" spans="1:8" x14ac:dyDescent="0.2">
      <c r="A141" s="83" t="s">
        <v>1505</v>
      </c>
      <c r="B141" s="63">
        <v>0.45304347826086999</v>
      </c>
      <c r="C141" s="64" t="s">
        <v>140</v>
      </c>
      <c r="D141" s="8"/>
      <c r="E141" s="68" t="s">
        <v>325</v>
      </c>
      <c r="F141" s="69">
        <v>6</v>
      </c>
      <c r="G141" s="70">
        <v>403</v>
      </c>
      <c r="H141" s="71">
        <v>629</v>
      </c>
    </row>
    <row r="142" spans="1:8" x14ac:dyDescent="0.2">
      <c r="A142" s="83" t="s">
        <v>1506</v>
      </c>
      <c r="B142" s="63">
        <v>0.45304347826086999</v>
      </c>
      <c r="C142" s="64" t="s">
        <v>140</v>
      </c>
      <c r="D142" s="8"/>
      <c r="E142" s="68" t="s">
        <v>326</v>
      </c>
      <c r="F142" s="69">
        <v>6</v>
      </c>
      <c r="G142" s="70">
        <v>403</v>
      </c>
      <c r="H142" s="71">
        <v>629</v>
      </c>
    </row>
    <row r="143" spans="1:8" x14ac:dyDescent="0.2">
      <c r="A143" s="83" t="s">
        <v>1507</v>
      </c>
      <c r="B143" s="63">
        <v>0.45304347826086999</v>
      </c>
      <c r="C143" s="64" t="s">
        <v>140</v>
      </c>
      <c r="D143" s="8"/>
      <c r="E143" s="68" t="s">
        <v>327</v>
      </c>
      <c r="F143" s="69">
        <v>6</v>
      </c>
      <c r="G143" s="70">
        <v>403</v>
      </c>
      <c r="H143" s="71">
        <v>629</v>
      </c>
    </row>
    <row r="144" spans="1:8" x14ac:dyDescent="0.2">
      <c r="A144" s="83" t="s">
        <v>1508</v>
      </c>
      <c r="B144" s="63">
        <v>0.45304347826086999</v>
      </c>
      <c r="C144" s="64" t="s">
        <v>140</v>
      </c>
      <c r="D144" s="8"/>
      <c r="E144" s="68" t="s">
        <v>328</v>
      </c>
      <c r="F144" s="69">
        <v>6</v>
      </c>
      <c r="G144" s="70">
        <v>403</v>
      </c>
      <c r="H144" s="71">
        <v>629</v>
      </c>
    </row>
    <row r="145" spans="1:8" x14ac:dyDescent="0.2">
      <c r="A145" s="83" t="s">
        <v>1509</v>
      </c>
      <c r="B145" s="63">
        <v>0.45304347826086999</v>
      </c>
      <c r="C145" s="64" t="s">
        <v>140</v>
      </c>
      <c r="D145" s="8"/>
      <c r="E145" s="68" t="s">
        <v>329</v>
      </c>
      <c r="F145" s="69">
        <v>6</v>
      </c>
      <c r="G145" s="70">
        <v>403</v>
      </c>
      <c r="H145" s="71">
        <v>629</v>
      </c>
    </row>
    <row r="146" spans="1:8" x14ac:dyDescent="0.2">
      <c r="A146" s="83" t="s">
        <v>1510</v>
      </c>
      <c r="B146" s="63">
        <v>0.45304347826086999</v>
      </c>
      <c r="C146" s="64" t="s">
        <v>140</v>
      </c>
      <c r="D146" s="8"/>
      <c r="E146" s="68" t="s">
        <v>330</v>
      </c>
      <c r="F146" s="69">
        <v>6</v>
      </c>
      <c r="G146" s="70">
        <v>403</v>
      </c>
      <c r="H146" s="71">
        <v>629</v>
      </c>
    </row>
    <row r="147" spans="1:8" x14ac:dyDescent="0.2">
      <c r="A147" s="83" t="s">
        <v>1511</v>
      </c>
      <c r="B147" s="63">
        <v>0.45304347826086999</v>
      </c>
      <c r="C147" s="64" t="s">
        <v>140</v>
      </c>
      <c r="D147" s="8"/>
      <c r="E147" s="68" t="s">
        <v>331</v>
      </c>
      <c r="F147" s="69">
        <v>6</v>
      </c>
      <c r="G147" s="70">
        <v>403</v>
      </c>
      <c r="H147" s="71">
        <v>629</v>
      </c>
    </row>
    <row r="148" spans="1:8" x14ac:dyDescent="0.2">
      <c r="A148" s="83" t="s">
        <v>1512</v>
      </c>
      <c r="B148" s="63">
        <v>0.45304347826086999</v>
      </c>
      <c r="C148" s="64" t="s">
        <v>140</v>
      </c>
      <c r="D148" s="8"/>
      <c r="E148" s="68" t="s">
        <v>332</v>
      </c>
      <c r="F148" s="69">
        <v>6</v>
      </c>
      <c r="G148" s="70">
        <v>403</v>
      </c>
      <c r="H148" s="71">
        <v>629</v>
      </c>
    </row>
    <row r="149" spans="1:8" x14ac:dyDescent="0.2">
      <c r="A149" s="83" t="s">
        <v>1513</v>
      </c>
      <c r="B149" s="63">
        <v>0.44857142857142901</v>
      </c>
      <c r="C149" s="64" t="s">
        <v>134</v>
      </c>
      <c r="D149" s="8"/>
      <c r="E149" s="68" t="s">
        <v>333</v>
      </c>
      <c r="F149" s="69">
        <v>6</v>
      </c>
      <c r="G149" s="70">
        <v>372</v>
      </c>
      <c r="H149" s="71">
        <v>579</v>
      </c>
    </row>
    <row r="150" spans="1:8" x14ac:dyDescent="0.2">
      <c r="A150" s="83" t="s">
        <v>1514</v>
      </c>
      <c r="B150" s="63">
        <v>0.44857142857142901</v>
      </c>
      <c r="C150" s="64" t="s">
        <v>134</v>
      </c>
      <c r="D150" s="8"/>
      <c r="E150" s="68" t="s">
        <v>334</v>
      </c>
      <c r="F150" s="69">
        <v>6</v>
      </c>
      <c r="G150" s="70">
        <v>372</v>
      </c>
      <c r="H150" s="71">
        <v>579</v>
      </c>
    </row>
    <row r="151" spans="1:8" x14ac:dyDescent="0.2">
      <c r="A151" s="83" t="s">
        <v>1515</v>
      </c>
      <c r="B151" s="63">
        <v>0.44857142857142901</v>
      </c>
      <c r="C151" s="64" t="s">
        <v>134</v>
      </c>
      <c r="D151" s="8"/>
      <c r="E151" s="68" t="s">
        <v>335</v>
      </c>
      <c r="F151" s="69">
        <v>6</v>
      </c>
      <c r="G151" s="70">
        <v>372</v>
      </c>
      <c r="H151" s="71">
        <v>579</v>
      </c>
    </row>
    <row r="152" spans="1:8" x14ac:dyDescent="0.2">
      <c r="A152" s="83" t="s">
        <v>1516</v>
      </c>
      <c r="B152" s="63">
        <v>0.44857142857142901</v>
      </c>
      <c r="C152" s="64" t="s">
        <v>134</v>
      </c>
      <c r="D152" s="8"/>
      <c r="E152" s="68" t="s">
        <v>336</v>
      </c>
      <c r="F152" s="69">
        <v>6</v>
      </c>
      <c r="G152" s="70">
        <v>372</v>
      </c>
      <c r="H152" s="71">
        <v>579</v>
      </c>
    </row>
    <row r="153" spans="1:8" x14ac:dyDescent="0.2">
      <c r="A153" s="83" t="s">
        <v>1517</v>
      </c>
      <c r="B153" s="63">
        <v>0.44857142857142901</v>
      </c>
      <c r="C153" s="64" t="s">
        <v>134</v>
      </c>
      <c r="D153" s="8"/>
      <c r="E153" s="68" t="s">
        <v>337</v>
      </c>
      <c r="F153" s="69">
        <v>6</v>
      </c>
      <c r="G153" s="70">
        <v>372</v>
      </c>
      <c r="H153" s="71">
        <v>579</v>
      </c>
    </row>
    <row r="154" spans="1:8" x14ac:dyDescent="0.2">
      <c r="A154" s="83" t="s">
        <v>1518</v>
      </c>
      <c r="B154" s="63">
        <v>0.44857142857142901</v>
      </c>
      <c r="C154" s="64" t="s">
        <v>134</v>
      </c>
      <c r="D154" s="8"/>
      <c r="E154" s="68" t="s">
        <v>338</v>
      </c>
      <c r="F154" s="69">
        <v>6</v>
      </c>
      <c r="G154" s="70">
        <v>372</v>
      </c>
      <c r="H154" s="71">
        <v>579</v>
      </c>
    </row>
    <row r="155" spans="1:8" x14ac:dyDescent="0.2">
      <c r="A155" s="83" t="s">
        <v>1519</v>
      </c>
      <c r="B155" s="63">
        <v>0.44857142857142901</v>
      </c>
      <c r="C155" s="64" t="s">
        <v>134</v>
      </c>
      <c r="D155" s="8"/>
      <c r="E155" s="68" t="s">
        <v>339</v>
      </c>
      <c r="F155" s="69">
        <v>6</v>
      </c>
      <c r="G155" s="70">
        <v>372</v>
      </c>
      <c r="H155" s="71">
        <v>579</v>
      </c>
    </row>
    <row r="156" spans="1:8" x14ac:dyDescent="0.2">
      <c r="A156" s="83" t="s">
        <v>1520</v>
      </c>
      <c r="B156" s="63">
        <v>0.44857142857142901</v>
      </c>
      <c r="C156" s="64" t="s">
        <v>134</v>
      </c>
      <c r="D156" s="8"/>
      <c r="E156" s="68" t="s">
        <v>340</v>
      </c>
      <c r="F156" s="69">
        <v>6</v>
      </c>
      <c r="G156" s="70">
        <v>372</v>
      </c>
      <c r="H156" s="71">
        <v>579</v>
      </c>
    </row>
    <row r="157" spans="1:8" x14ac:dyDescent="0.2">
      <c r="A157" s="83" t="s">
        <v>1521</v>
      </c>
      <c r="B157" s="63">
        <v>0.44857142857142901</v>
      </c>
      <c r="C157" s="64" t="s">
        <v>134</v>
      </c>
      <c r="D157" s="8"/>
      <c r="E157" s="68" t="s">
        <v>341</v>
      </c>
      <c r="F157" s="69">
        <v>6</v>
      </c>
      <c r="G157" s="70">
        <v>372</v>
      </c>
      <c r="H157" s="71">
        <v>579</v>
      </c>
    </row>
    <row r="158" spans="1:8" x14ac:dyDescent="0.2">
      <c r="A158" s="83" t="s">
        <v>1522</v>
      </c>
      <c r="B158" s="63">
        <v>0.44857142857142901</v>
      </c>
      <c r="C158" s="64" t="s">
        <v>134</v>
      </c>
      <c r="D158" s="8"/>
      <c r="E158" s="68" t="s">
        <v>342</v>
      </c>
      <c r="F158" s="69">
        <v>6</v>
      </c>
      <c r="G158" s="70">
        <v>372</v>
      </c>
      <c r="H158" s="71">
        <v>579</v>
      </c>
    </row>
    <row r="159" spans="1:8" x14ac:dyDescent="0.2">
      <c r="A159" s="83" t="s">
        <v>1523</v>
      </c>
      <c r="B159" s="63">
        <v>0.44857142857142901</v>
      </c>
      <c r="C159" s="64" t="s">
        <v>134</v>
      </c>
      <c r="D159" s="8"/>
      <c r="E159" s="68" t="s">
        <v>343</v>
      </c>
      <c r="F159" s="69">
        <v>6</v>
      </c>
      <c r="G159" s="70">
        <v>372</v>
      </c>
      <c r="H159" s="71">
        <v>579</v>
      </c>
    </row>
    <row r="160" spans="1:8" x14ac:dyDescent="0.2">
      <c r="A160" s="83" t="s">
        <v>1524</v>
      </c>
      <c r="B160" s="63">
        <v>0.44857142857142901</v>
      </c>
      <c r="C160" s="64" t="s">
        <v>134</v>
      </c>
      <c r="D160" s="8"/>
      <c r="E160" s="68" t="s">
        <v>344</v>
      </c>
      <c r="F160" s="69">
        <v>6</v>
      </c>
      <c r="G160" s="70">
        <v>372</v>
      </c>
      <c r="H160" s="71">
        <v>579</v>
      </c>
    </row>
    <row r="161" spans="1:8" x14ac:dyDescent="0.2">
      <c r="A161" s="83" t="s">
        <v>1525</v>
      </c>
      <c r="B161" s="63">
        <v>0.44857142857142901</v>
      </c>
      <c r="C161" s="64" t="s">
        <v>134</v>
      </c>
      <c r="D161" s="8"/>
      <c r="E161" s="68" t="s">
        <v>345</v>
      </c>
      <c r="F161" s="69">
        <v>6</v>
      </c>
      <c r="G161" s="70">
        <v>372</v>
      </c>
      <c r="H161" s="71">
        <v>579</v>
      </c>
    </row>
    <row r="162" spans="1:8" x14ac:dyDescent="0.2">
      <c r="A162" s="83" t="s">
        <v>1526</v>
      </c>
      <c r="B162" s="63">
        <v>0.44857142857142901</v>
      </c>
      <c r="C162" s="64" t="s">
        <v>134</v>
      </c>
      <c r="D162" s="8"/>
      <c r="E162" s="68" t="s">
        <v>346</v>
      </c>
      <c r="F162" s="69">
        <v>6</v>
      </c>
      <c r="G162" s="70">
        <v>372</v>
      </c>
      <c r="H162" s="71">
        <v>579</v>
      </c>
    </row>
    <row r="163" spans="1:8" x14ac:dyDescent="0.2">
      <c r="A163" s="83" t="s">
        <v>1527</v>
      </c>
      <c r="B163" s="63">
        <v>0.44857142857142901</v>
      </c>
      <c r="C163" s="64" t="s">
        <v>134</v>
      </c>
      <c r="D163" s="8"/>
      <c r="E163" s="68" t="s">
        <v>347</v>
      </c>
      <c r="F163" s="69">
        <v>6</v>
      </c>
      <c r="G163" s="70">
        <v>372</v>
      </c>
      <c r="H163" s="71">
        <v>579</v>
      </c>
    </row>
    <row r="164" spans="1:8" ht="15" thickBot="1" x14ac:dyDescent="0.25">
      <c r="A164" s="83" t="s">
        <v>1528</v>
      </c>
      <c r="B164" s="63">
        <v>0.44823529411764701</v>
      </c>
      <c r="C164" s="64" t="s">
        <v>141</v>
      </c>
      <c r="D164" s="8"/>
      <c r="E164" s="68" t="s">
        <v>348</v>
      </c>
      <c r="F164" s="69">
        <v>5</v>
      </c>
      <c r="G164" s="70">
        <v>301</v>
      </c>
      <c r="H164" s="71">
        <v>469</v>
      </c>
    </row>
    <row r="165" spans="1:8" ht="15" thickBot="1" x14ac:dyDescent="0.25">
      <c r="A165" s="56" t="s">
        <v>41</v>
      </c>
      <c r="B165" s="57"/>
      <c r="C165" s="57"/>
      <c r="D165" s="58"/>
      <c r="E165" s="82" t="s">
        <v>349</v>
      </c>
      <c r="F165" s="60"/>
      <c r="G165" s="61"/>
      <c r="H165" s="61"/>
    </row>
    <row r="166" spans="1:8" x14ac:dyDescent="0.2">
      <c r="A166" s="83" t="s">
        <v>1529</v>
      </c>
      <c r="B166" s="63">
        <v>0.49322033898305101</v>
      </c>
      <c r="C166" s="64" t="s">
        <v>142</v>
      </c>
      <c r="D166" s="8"/>
      <c r="E166" s="68" t="s">
        <v>350</v>
      </c>
      <c r="F166" s="69">
        <v>3</v>
      </c>
      <c r="G166" s="70">
        <v>192</v>
      </c>
      <c r="H166" s="71">
        <v>299</v>
      </c>
    </row>
    <row r="167" spans="1:8" x14ac:dyDescent="0.2">
      <c r="A167" s="83" t="s">
        <v>1530</v>
      </c>
      <c r="B167" s="63">
        <v>0.27769230769230802</v>
      </c>
      <c r="C167" s="64" t="s">
        <v>143</v>
      </c>
      <c r="D167" s="8"/>
      <c r="E167" s="68" t="s">
        <v>351</v>
      </c>
      <c r="F167" s="69">
        <v>9</v>
      </c>
      <c r="G167" s="70">
        <v>603</v>
      </c>
      <c r="H167" s="71">
        <v>939</v>
      </c>
    </row>
    <row r="168" spans="1:8" x14ac:dyDescent="0.2">
      <c r="A168" s="83" t="s">
        <v>1531</v>
      </c>
      <c r="B168" s="63">
        <v>0.27769230769230802</v>
      </c>
      <c r="C168" s="64" t="s">
        <v>143</v>
      </c>
      <c r="D168" s="8"/>
      <c r="E168" s="68" t="s">
        <v>352</v>
      </c>
      <c r="F168" s="69">
        <v>9</v>
      </c>
      <c r="G168" s="70">
        <v>603</v>
      </c>
      <c r="H168" s="71">
        <v>939</v>
      </c>
    </row>
    <row r="169" spans="1:8" x14ac:dyDescent="0.2">
      <c r="A169" s="83" t="s">
        <v>1532</v>
      </c>
      <c r="B169" s="63">
        <v>0.27769230769230802</v>
      </c>
      <c r="C169" s="64" t="s">
        <v>143</v>
      </c>
      <c r="D169" s="8"/>
      <c r="E169" s="68" t="s">
        <v>353</v>
      </c>
      <c r="F169" s="69">
        <v>9</v>
      </c>
      <c r="G169" s="70">
        <v>603</v>
      </c>
      <c r="H169" s="71">
        <v>939</v>
      </c>
    </row>
    <row r="170" spans="1:8" x14ac:dyDescent="0.2">
      <c r="A170" s="83" t="s">
        <v>1533</v>
      </c>
      <c r="B170" s="63">
        <v>0.40200000000000002</v>
      </c>
      <c r="C170" s="64" t="s">
        <v>144</v>
      </c>
      <c r="D170" s="8"/>
      <c r="E170" s="68" t="s">
        <v>354</v>
      </c>
      <c r="F170" s="69">
        <v>3</v>
      </c>
      <c r="G170" s="70">
        <v>192</v>
      </c>
      <c r="H170" s="71">
        <v>299</v>
      </c>
    </row>
    <row r="171" spans="1:8" x14ac:dyDescent="0.2">
      <c r="A171" s="83" t="s">
        <v>1534</v>
      </c>
      <c r="B171" s="63">
        <v>0.40200000000000002</v>
      </c>
      <c r="C171" s="64" t="s">
        <v>144</v>
      </c>
      <c r="D171" s="8"/>
      <c r="E171" s="68" t="s">
        <v>355</v>
      </c>
      <c r="F171" s="69">
        <v>3</v>
      </c>
      <c r="G171" s="70">
        <v>192</v>
      </c>
      <c r="H171" s="71">
        <v>299</v>
      </c>
    </row>
    <row r="172" spans="1:8" x14ac:dyDescent="0.2">
      <c r="A172" s="83" t="s">
        <v>1535</v>
      </c>
      <c r="B172" s="63">
        <v>0.47714285714285698</v>
      </c>
      <c r="C172" s="64" t="s">
        <v>144</v>
      </c>
      <c r="D172" s="8"/>
      <c r="E172" s="68" t="s">
        <v>356</v>
      </c>
      <c r="F172" s="69">
        <v>5</v>
      </c>
      <c r="G172" s="70">
        <v>352</v>
      </c>
      <c r="H172" s="71">
        <v>549</v>
      </c>
    </row>
    <row r="173" spans="1:8" x14ac:dyDescent="0.2">
      <c r="A173" s="83" t="s">
        <v>1536</v>
      </c>
      <c r="B173" s="63">
        <v>0.38941176470588201</v>
      </c>
      <c r="C173" s="64" t="s">
        <v>145</v>
      </c>
      <c r="D173" s="8"/>
      <c r="E173" s="68" t="s">
        <v>357</v>
      </c>
      <c r="F173" s="69">
        <v>5</v>
      </c>
      <c r="G173" s="70">
        <v>333</v>
      </c>
      <c r="H173" s="71">
        <v>519</v>
      </c>
    </row>
    <row r="174" spans="1:8" x14ac:dyDescent="0.2">
      <c r="A174" s="83" t="s">
        <v>1537</v>
      </c>
      <c r="B174" s="63">
        <v>0.38941176470588201</v>
      </c>
      <c r="C174" s="64" t="s">
        <v>145</v>
      </c>
      <c r="D174" s="8"/>
      <c r="E174" s="68" t="s">
        <v>358</v>
      </c>
      <c r="F174" s="69">
        <v>5</v>
      </c>
      <c r="G174" s="70">
        <v>333</v>
      </c>
      <c r="H174" s="71">
        <v>519</v>
      </c>
    </row>
    <row r="175" spans="1:8" x14ac:dyDescent="0.2">
      <c r="A175" s="83" t="s">
        <v>1538</v>
      </c>
      <c r="B175" s="63">
        <v>0.39217391304347798</v>
      </c>
      <c r="C175" s="64" t="s">
        <v>145</v>
      </c>
      <c r="D175" s="8"/>
      <c r="E175" s="68" t="s">
        <v>359</v>
      </c>
      <c r="F175" s="69">
        <v>7</v>
      </c>
      <c r="G175" s="70">
        <v>449</v>
      </c>
      <c r="H175" s="71">
        <v>699</v>
      </c>
    </row>
    <row r="176" spans="1:8" x14ac:dyDescent="0.2">
      <c r="A176" s="83" t="s">
        <v>1539</v>
      </c>
      <c r="B176" s="63">
        <v>0.39217391304347798</v>
      </c>
      <c r="C176" s="64" t="s">
        <v>145</v>
      </c>
      <c r="D176" s="8"/>
      <c r="E176" s="68" t="s">
        <v>360</v>
      </c>
      <c r="F176" s="69">
        <v>7</v>
      </c>
      <c r="G176" s="70">
        <v>449</v>
      </c>
      <c r="H176" s="71">
        <v>699</v>
      </c>
    </row>
    <row r="177" spans="1:8" x14ac:dyDescent="0.2">
      <c r="A177" s="83" t="s">
        <v>1540</v>
      </c>
      <c r="B177" s="63">
        <v>0.39217391304347798</v>
      </c>
      <c r="C177" s="64" t="s">
        <v>145</v>
      </c>
      <c r="D177" s="8"/>
      <c r="E177" s="68" t="s">
        <v>361</v>
      </c>
      <c r="F177" s="69">
        <v>7</v>
      </c>
      <c r="G177" s="70">
        <v>449</v>
      </c>
      <c r="H177" s="71">
        <v>699</v>
      </c>
    </row>
    <row r="178" spans="1:8" x14ac:dyDescent="0.2">
      <c r="A178" s="83" t="s">
        <v>1541</v>
      </c>
      <c r="B178" s="63">
        <v>0.39032258064516101</v>
      </c>
      <c r="C178" s="64" t="s">
        <v>145</v>
      </c>
      <c r="D178" s="8"/>
      <c r="E178" s="68" t="s">
        <v>362</v>
      </c>
      <c r="F178" s="69">
        <v>2</v>
      </c>
      <c r="G178" s="70">
        <v>61</v>
      </c>
      <c r="H178" s="71">
        <v>189</v>
      </c>
    </row>
    <row r="179" spans="1:8" x14ac:dyDescent="0.2">
      <c r="A179" s="83" t="s">
        <v>1542</v>
      </c>
      <c r="B179" s="63">
        <v>0.40200000000000002</v>
      </c>
      <c r="C179" s="64" t="s">
        <v>146</v>
      </c>
      <c r="D179" s="8"/>
      <c r="E179" s="68" t="s">
        <v>363</v>
      </c>
      <c r="F179" s="69">
        <v>3</v>
      </c>
      <c r="G179" s="70">
        <v>96</v>
      </c>
      <c r="H179" s="71">
        <v>299</v>
      </c>
    </row>
    <row r="180" spans="1:8" ht="15" thickBot="1" x14ac:dyDescent="0.25">
      <c r="A180" s="83" t="s">
        <v>1543</v>
      </c>
      <c r="B180" s="63">
        <v>0.47176470588235297</v>
      </c>
      <c r="C180" s="64" t="s">
        <v>141</v>
      </c>
      <c r="D180" s="8"/>
      <c r="E180" s="68" t="s">
        <v>364</v>
      </c>
      <c r="F180" s="69">
        <v>4</v>
      </c>
      <c r="G180" s="70">
        <v>288</v>
      </c>
      <c r="H180" s="71">
        <v>449</v>
      </c>
    </row>
    <row r="181" spans="1:8" ht="15" thickBot="1" x14ac:dyDescent="0.25">
      <c r="A181" s="56" t="s">
        <v>41</v>
      </c>
      <c r="B181" s="57"/>
      <c r="C181" s="57"/>
      <c r="D181" s="58"/>
      <c r="E181" s="82" t="s">
        <v>365</v>
      </c>
      <c r="F181" s="60"/>
      <c r="G181" s="61"/>
      <c r="H181" s="61"/>
    </row>
    <row r="182" spans="1:8" x14ac:dyDescent="0.2">
      <c r="A182" s="83" t="s">
        <v>1544</v>
      </c>
      <c r="B182" s="63">
        <v>0.49298245614035102</v>
      </c>
      <c r="C182" s="64" t="s">
        <v>142</v>
      </c>
      <c r="D182" s="8"/>
      <c r="E182" s="68" t="s">
        <v>366</v>
      </c>
      <c r="F182" s="69">
        <v>3</v>
      </c>
      <c r="G182" s="70">
        <v>186</v>
      </c>
      <c r="H182" s="71">
        <v>289</v>
      </c>
    </row>
    <row r="183" spans="1:8" x14ac:dyDescent="0.2">
      <c r="A183" s="83" t="s">
        <v>1545</v>
      </c>
      <c r="B183" s="63">
        <v>0.50128205128205106</v>
      </c>
      <c r="C183" s="64" t="s">
        <v>147</v>
      </c>
      <c r="D183" s="8"/>
      <c r="E183" s="68" t="s">
        <v>367</v>
      </c>
      <c r="F183" s="69">
        <v>4</v>
      </c>
      <c r="G183" s="70">
        <v>249</v>
      </c>
      <c r="H183" s="71">
        <v>389</v>
      </c>
    </row>
    <row r="184" spans="1:8" x14ac:dyDescent="0.2">
      <c r="A184" s="83" t="s">
        <v>1546</v>
      </c>
      <c r="B184" s="63">
        <v>0.353333333333333</v>
      </c>
      <c r="C184" s="64" t="s">
        <v>148</v>
      </c>
      <c r="D184" s="8"/>
      <c r="E184" s="68" t="s">
        <v>368</v>
      </c>
      <c r="F184" s="69">
        <v>7</v>
      </c>
      <c r="G184" s="70">
        <v>436</v>
      </c>
      <c r="H184" s="71">
        <v>679</v>
      </c>
    </row>
    <row r="185" spans="1:8" x14ac:dyDescent="0.2">
      <c r="A185" s="83" t="s">
        <v>1547</v>
      </c>
      <c r="B185" s="63">
        <v>0.55256410256410304</v>
      </c>
      <c r="C185" s="64" t="s">
        <v>146</v>
      </c>
      <c r="D185" s="8"/>
      <c r="E185" s="68" t="s">
        <v>369</v>
      </c>
      <c r="F185" s="69">
        <v>3</v>
      </c>
      <c r="G185" s="70">
        <v>224</v>
      </c>
      <c r="H185" s="71">
        <v>349</v>
      </c>
    </row>
    <row r="186" spans="1:8" x14ac:dyDescent="0.2">
      <c r="A186" s="83" t="s">
        <v>1548</v>
      </c>
      <c r="B186" s="63">
        <v>0.55256410256410304</v>
      </c>
      <c r="C186" s="64" t="s">
        <v>146</v>
      </c>
      <c r="D186" s="8"/>
      <c r="E186" s="68" t="s">
        <v>370</v>
      </c>
      <c r="F186" s="69">
        <v>3</v>
      </c>
      <c r="G186" s="70">
        <v>224</v>
      </c>
      <c r="H186" s="71">
        <v>349</v>
      </c>
    </row>
    <row r="187" spans="1:8" x14ac:dyDescent="0.2">
      <c r="A187" s="83" t="s">
        <v>1549</v>
      </c>
      <c r="B187" s="63">
        <v>0.40100000000000002</v>
      </c>
      <c r="C187" s="64" t="s">
        <v>146</v>
      </c>
      <c r="D187" s="8"/>
      <c r="E187" s="68" t="s">
        <v>371</v>
      </c>
      <c r="F187" s="69">
        <v>6</v>
      </c>
      <c r="G187" s="70">
        <v>384</v>
      </c>
      <c r="H187" s="71">
        <v>599</v>
      </c>
    </row>
    <row r="188" spans="1:8" x14ac:dyDescent="0.2">
      <c r="A188" s="83" t="s">
        <v>1550</v>
      </c>
      <c r="B188" s="63">
        <v>0.54659090909090902</v>
      </c>
      <c r="C188" s="64" t="s">
        <v>147</v>
      </c>
      <c r="D188" s="8"/>
      <c r="E188" s="68" t="s">
        <v>372</v>
      </c>
      <c r="F188" s="69">
        <v>4</v>
      </c>
      <c r="G188" s="70">
        <v>256</v>
      </c>
      <c r="H188" s="71">
        <v>399</v>
      </c>
    </row>
    <row r="189" spans="1:8" x14ac:dyDescent="0.2">
      <c r="A189" s="83" t="s">
        <v>1551</v>
      </c>
      <c r="B189" s="63">
        <v>0.54659090909090902</v>
      </c>
      <c r="C189" s="64" t="s">
        <v>147</v>
      </c>
      <c r="D189" s="8"/>
      <c r="E189" s="68" t="s">
        <v>373</v>
      </c>
      <c r="F189" s="69">
        <v>4</v>
      </c>
      <c r="G189" s="70">
        <v>256</v>
      </c>
      <c r="H189" s="71">
        <v>399</v>
      </c>
    </row>
    <row r="190" spans="1:8" x14ac:dyDescent="0.2">
      <c r="A190" s="83" t="s">
        <v>1552</v>
      </c>
      <c r="B190" s="63">
        <v>0.54659090909090902</v>
      </c>
      <c r="C190" s="64" t="s">
        <v>147</v>
      </c>
      <c r="D190" s="8"/>
      <c r="E190" s="68" t="s">
        <v>374</v>
      </c>
      <c r="F190" s="69">
        <v>4</v>
      </c>
      <c r="G190" s="70">
        <v>256</v>
      </c>
      <c r="H190" s="71">
        <v>399</v>
      </c>
    </row>
    <row r="191" spans="1:8" x14ac:dyDescent="0.2">
      <c r="A191" s="83" t="s">
        <v>1553</v>
      </c>
      <c r="B191" s="63">
        <v>0.353333333333333</v>
      </c>
      <c r="C191" s="64" t="s">
        <v>148</v>
      </c>
      <c r="D191" s="8"/>
      <c r="E191" s="68" t="s">
        <v>375</v>
      </c>
      <c r="F191" s="69">
        <v>7</v>
      </c>
      <c r="G191" s="70">
        <v>436</v>
      </c>
      <c r="H191" s="71">
        <v>679</v>
      </c>
    </row>
    <row r="192" spans="1:8" ht="15" thickBot="1" x14ac:dyDescent="0.25">
      <c r="A192" s="83" t="s">
        <v>1554</v>
      </c>
      <c r="B192" s="63">
        <v>0.49298245614035102</v>
      </c>
      <c r="C192" s="64" t="s">
        <v>142</v>
      </c>
      <c r="D192" s="8"/>
      <c r="E192" s="68" t="s">
        <v>376</v>
      </c>
      <c r="F192" s="69">
        <v>3</v>
      </c>
      <c r="G192" s="70">
        <v>186</v>
      </c>
      <c r="H192" s="71">
        <v>289</v>
      </c>
    </row>
    <row r="193" spans="1:8" ht="15" thickBot="1" x14ac:dyDescent="0.25">
      <c r="A193" s="56" t="s">
        <v>41</v>
      </c>
      <c r="B193" s="57"/>
      <c r="C193" s="57"/>
      <c r="D193" s="58"/>
      <c r="E193" s="82" t="s">
        <v>377</v>
      </c>
      <c r="F193" s="60"/>
      <c r="G193" s="61"/>
      <c r="H193" s="61"/>
    </row>
    <row r="194" spans="1:8" x14ac:dyDescent="0.2">
      <c r="A194" s="83" t="s">
        <v>1555</v>
      </c>
      <c r="B194" s="63">
        <v>0.49724137931034501</v>
      </c>
      <c r="C194" s="64" t="s">
        <v>149</v>
      </c>
      <c r="D194" s="8"/>
      <c r="E194" s="68" t="s">
        <v>378</v>
      </c>
      <c r="F194" s="69">
        <v>7</v>
      </c>
      <c r="G194" s="70">
        <v>468</v>
      </c>
      <c r="H194" s="71">
        <v>729</v>
      </c>
    </row>
    <row r="195" spans="1:8" x14ac:dyDescent="0.2">
      <c r="A195" s="83" t="s">
        <v>1556</v>
      </c>
      <c r="B195" s="63">
        <v>0.46494845360824699</v>
      </c>
      <c r="C195" s="64" t="s">
        <v>150</v>
      </c>
      <c r="D195" s="8"/>
      <c r="E195" s="68" t="s">
        <v>379</v>
      </c>
      <c r="F195" s="69">
        <v>5</v>
      </c>
      <c r="G195" s="70">
        <v>333</v>
      </c>
      <c r="H195" s="71">
        <v>519</v>
      </c>
    </row>
    <row r="196" spans="1:8" x14ac:dyDescent="0.2">
      <c r="A196" s="83" t="s">
        <v>1557</v>
      </c>
      <c r="B196" s="63">
        <v>0.46494845360824699</v>
      </c>
      <c r="C196" s="64" t="s">
        <v>150</v>
      </c>
      <c r="D196" s="8"/>
      <c r="E196" s="68" t="s">
        <v>380</v>
      </c>
      <c r="F196" s="69">
        <v>5</v>
      </c>
      <c r="G196" s="70">
        <v>333</v>
      </c>
      <c r="H196" s="71">
        <v>519</v>
      </c>
    </row>
    <row r="197" spans="1:8" x14ac:dyDescent="0.2">
      <c r="A197" s="83" t="s">
        <v>1558</v>
      </c>
      <c r="B197" s="63">
        <v>0.46494845360824699</v>
      </c>
      <c r="C197" s="64" t="s">
        <v>150</v>
      </c>
      <c r="D197" s="8"/>
      <c r="E197" s="68" t="s">
        <v>381</v>
      </c>
      <c r="F197" s="69">
        <v>5</v>
      </c>
      <c r="G197" s="70">
        <v>333</v>
      </c>
      <c r="H197" s="71">
        <v>519</v>
      </c>
    </row>
    <row r="198" spans="1:8" x14ac:dyDescent="0.2">
      <c r="A198" s="83" t="s">
        <v>1559</v>
      </c>
      <c r="B198" s="63">
        <v>0.46494845360824699</v>
      </c>
      <c r="C198" s="64" t="s">
        <v>150</v>
      </c>
      <c r="D198" s="8"/>
      <c r="E198" s="68" t="s">
        <v>382</v>
      </c>
      <c r="F198" s="69">
        <v>5</v>
      </c>
      <c r="G198" s="70">
        <v>333</v>
      </c>
      <c r="H198" s="71">
        <v>519</v>
      </c>
    </row>
    <row r="199" spans="1:8" x14ac:dyDescent="0.2">
      <c r="A199" s="83" t="s">
        <v>1560</v>
      </c>
      <c r="B199" s="63">
        <v>0.46494845360824699</v>
      </c>
      <c r="C199" s="64" t="s">
        <v>150</v>
      </c>
      <c r="D199" s="8"/>
      <c r="E199" s="68" t="s">
        <v>383</v>
      </c>
      <c r="F199" s="69">
        <v>5</v>
      </c>
      <c r="G199" s="70">
        <v>333</v>
      </c>
      <c r="H199" s="71">
        <v>519</v>
      </c>
    </row>
    <row r="200" spans="1:8" x14ac:dyDescent="0.2">
      <c r="A200" s="83" t="s">
        <v>1561</v>
      </c>
      <c r="B200" s="63">
        <v>0.46494845360824699</v>
      </c>
      <c r="C200" s="64" t="s">
        <v>150</v>
      </c>
      <c r="D200" s="8"/>
      <c r="E200" s="68" t="s">
        <v>384</v>
      </c>
      <c r="F200" s="69">
        <v>5</v>
      </c>
      <c r="G200" s="70">
        <v>333</v>
      </c>
      <c r="H200" s="71">
        <v>519</v>
      </c>
    </row>
    <row r="201" spans="1:8" x14ac:dyDescent="0.2">
      <c r="A201" s="83" t="s">
        <v>1562</v>
      </c>
      <c r="B201" s="63">
        <v>0.46494845360824699</v>
      </c>
      <c r="C201" s="64" t="s">
        <v>150</v>
      </c>
      <c r="D201" s="8"/>
      <c r="E201" s="68" t="s">
        <v>385</v>
      </c>
      <c r="F201" s="69">
        <v>5</v>
      </c>
      <c r="G201" s="70">
        <v>333</v>
      </c>
      <c r="H201" s="71">
        <v>519</v>
      </c>
    </row>
    <row r="202" spans="1:8" x14ac:dyDescent="0.2">
      <c r="A202" s="83" t="s">
        <v>1563</v>
      </c>
      <c r="B202" s="63">
        <v>0.497575757575758</v>
      </c>
      <c r="C202" s="64" t="s">
        <v>149</v>
      </c>
      <c r="D202" s="8"/>
      <c r="E202" s="68" t="s">
        <v>386</v>
      </c>
      <c r="F202" s="69">
        <v>8</v>
      </c>
      <c r="G202" s="70">
        <v>532</v>
      </c>
      <c r="H202" s="71">
        <v>829</v>
      </c>
    </row>
    <row r="203" spans="1:8" x14ac:dyDescent="0.2">
      <c r="A203" s="83" t="s">
        <v>1564</v>
      </c>
      <c r="B203" s="63">
        <v>0.497575757575758</v>
      </c>
      <c r="C203" s="64" t="s">
        <v>149</v>
      </c>
      <c r="D203" s="8"/>
      <c r="E203" s="68" t="s">
        <v>387</v>
      </c>
      <c r="F203" s="69">
        <v>8</v>
      </c>
      <c r="G203" s="70">
        <v>532</v>
      </c>
      <c r="H203" s="71">
        <v>829</v>
      </c>
    </row>
    <row r="204" spans="1:8" x14ac:dyDescent="0.2">
      <c r="A204" s="83" t="s">
        <v>1565</v>
      </c>
      <c r="B204" s="63">
        <v>0.51649484536082502</v>
      </c>
      <c r="C204" s="64" t="s">
        <v>151</v>
      </c>
      <c r="D204" s="8"/>
      <c r="E204" s="68" t="s">
        <v>388</v>
      </c>
      <c r="F204" s="69">
        <v>5</v>
      </c>
      <c r="G204" s="70">
        <v>301</v>
      </c>
      <c r="H204" s="71">
        <v>469</v>
      </c>
    </row>
    <row r="205" spans="1:8" x14ac:dyDescent="0.2">
      <c r="A205" s="83" t="s">
        <v>1566</v>
      </c>
      <c r="B205" s="63">
        <v>0.46494845360824699</v>
      </c>
      <c r="C205" s="64" t="s">
        <v>150</v>
      </c>
      <c r="D205" s="8"/>
      <c r="E205" s="68" t="s">
        <v>389</v>
      </c>
      <c r="F205" s="69">
        <v>5</v>
      </c>
      <c r="G205" s="70">
        <v>333</v>
      </c>
      <c r="H205" s="71">
        <v>519</v>
      </c>
    </row>
    <row r="206" spans="1:8" x14ac:dyDescent="0.2">
      <c r="A206" s="83" t="s">
        <v>1567</v>
      </c>
      <c r="B206" s="63">
        <v>0.46494845360824699</v>
      </c>
      <c r="C206" s="64" t="s">
        <v>150</v>
      </c>
      <c r="D206" s="8"/>
      <c r="E206" s="68" t="s">
        <v>390</v>
      </c>
      <c r="F206" s="69">
        <v>5</v>
      </c>
      <c r="G206" s="70">
        <v>333</v>
      </c>
      <c r="H206" s="71">
        <v>519</v>
      </c>
    </row>
    <row r="207" spans="1:8" x14ac:dyDescent="0.2">
      <c r="A207" s="83" t="s">
        <v>1568</v>
      </c>
      <c r="B207" s="63">
        <v>0.501428571428571</v>
      </c>
      <c r="C207" s="64" t="s">
        <v>149</v>
      </c>
      <c r="D207" s="8"/>
      <c r="E207" s="68" t="s">
        <v>391</v>
      </c>
      <c r="F207" s="69">
        <v>3</v>
      </c>
      <c r="G207" s="70">
        <v>224</v>
      </c>
      <c r="H207" s="71">
        <v>349</v>
      </c>
    </row>
    <row r="208" spans="1:8" x14ac:dyDescent="0.2">
      <c r="A208" s="83" t="s">
        <v>1569</v>
      </c>
      <c r="B208" s="63">
        <v>0.501428571428571</v>
      </c>
      <c r="C208" s="64" t="s">
        <v>149</v>
      </c>
      <c r="D208" s="8"/>
      <c r="E208" s="68" t="s">
        <v>392</v>
      </c>
      <c r="F208" s="69">
        <v>3</v>
      </c>
      <c r="G208" s="70">
        <v>224</v>
      </c>
      <c r="H208" s="71">
        <v>349</v>
      </c>
    </row>
    <row r="209" spans="1:8" x14ac:dyDescent="0.2">
      <c r="A209" s="83" t="s">
        <v>1570</v>
      </c>
      <c r="B209" s="63">
        <v>0.50618556701030903</v>
      </c>
      <c r="C209" s="64" t="s">
        <v>149</v>
      </c>
      <c r="D209" s="8"/>
      <c r="E209" s="68" t="s">
        <v>393</v>
      </c>
      <c r="F209" s="69">
        <v>5</v>
      </c>
      <c r="G209" s="70">
        <v>307</v>
      </c>
      <c r="H209" s="71">
        <v>479</v>
      </c>
    </row>
    <row r="210" spans="1:8" x14ac:dyDescent="0.2">
      <c r="A210" s="83" t="s">
        <v>1571</v>
      </c>
      <c r="B210" s="63">
        <v>0.50618556701030903</v>
      </c>
      <c r="C210" s="64" t="s">
        <v>149</v>
      </c>
      <c r="D210" s="8"/>
      <c r="E210" s="68" t="s">
        <v>394</v>
      </c>
      <c r="F210" s="69">
        <v>5</v>
      </c>
      <c r="G210" s="70">
        <v>307</v>
      </c>
      <c r="H210" s="71">
        <v>479</v>
      </c>
    </row>
    <row r="211" spans="1:8" x14ac:dyDescent="0.2">
      <c r="A211" s="83" t="s">
        <v>1572</v>
      </c>
      <c r="B211" s="63">
        <v>0.40079999999999999</v>
      </c>
      <c r="C211" s="64" t="s">
        <v>150</v>
      </c>
      <c r="D211" s="8"/>
      <c r="E211" s="68" t="s">
        <v>395</v>
      </c>
      <c r="F211" s="69">
        <v>7</v>
      </c>
      <c r="G211" s="70">
        <v>480</v>
      </c>
      <c r="H211" s="71">
        <v>749</v>
      </c>
    </row>
    <row r="212" spans="1:8" x14ac:dyDescent="0.2">
      <c r="A212" s="83" t="s">
        <v>1573</v>
      </c>
      <c r="B212" s="63">
        <v>0.40079999999999999</v>
      </c>
      <c r="C212" s="64" t="s">
        <v>150</v>
      </c>
      <c r="D212" s="8"/>
      <c r="E212" s="68" t="s">
        <v>396</v>
      </c>
      <c r="F212" s="69">
        <v>7</v>
      </c>
      <c r="G212" s="70">
        <v>480</v>
      </c>
      <c r="H212" s="71">
        <v>749</v>
      </c>
    </row>
    <row r="213" spans="1:8" ht="15" thickBot="1" x14ac:dyDescent="0.25">
      <c r="A213" s="83" t="s">
        <v>1574</v>
      </c>
      <c r="B213" s="63">
        <v>0.40079999999999999</v>
      </c>
      <c r="C213" s="64" t="s">
        <v>150</v>
      </c>
      <c r="D213" s="8"/>
      <c r="E213" s="68" t="s">
        <v>397</v>
      </c>
      <c r="F213" s="69">
        <v>7</v>
      </c>
      <c r="G213" s="70">
        <v>480</v>
      </c>
      <c r="H213" s="71">
        <v>749</v>
      </c>
    </row>
    <row r="214" spans="1:8" ht="15" thickBot="1" x14ac:dyDescent="0.25">
      <c r="A214" s="56" t="s">
        <v>41</v>
      </c>
      <c r="B214" s="57"/>
      <c r="C214" s="57"/>
      <c r="D214" s="58"/>
      <c r="E214" s="82" t="s">
        <v>398</v>
      </c>
      <c r="F214" s="60"/>
      <c r="G214" s="61"/>
      <c r="H214" s="61"/>
    </row>
    <row r="215" spans="1:8" x14ac:dyDescent="0.2">
      <c r="A215" s="83" t="s">
        <v>1575</v>
      </c>
      <c r="B215" s="63">
        <v>0.39581395348837201</v>
      </c>
      <c r="C215" s="64" t="s">
        <v>152</v>
      </c>
      <c r="D215" s="8"/>
      <c r="E215" s="68" t="s">
        <v>399</v>
      </c>
      <c r="F215" s="69">
        <v>13</v>
      </c>
      <c r="G215" s="70">
        <v>833</v>
      </c>
      <c r="H215" s="71">
        <v>1299</v>
      </c>
    </row>
    <row r="216" spans="1:8" x14ac:dyDescent="0.2">
      <c r="A216" s="83" t="s">
        <v>1576</v>
      </c>
      <c r="B216" s="63">
        <v>0.39581395348837201</v>
      </c>
      <c r="C216" s="64" t="s">
        <v>152</v>
      </c>
      <c r="D216" s="8"/>
      <c r="E216" s="68" t="s">
        <v>400</v>
      </c>
      <c r="F216" s="69">
        <v>13</v>
      </c>
      <c r="G216" s="70">
        <v>833</v>
      </c>
      <c r="H216" s="71">
        <v>1299</v>
      </c>
    </row>
    <row r="217" spans="1:8" x14ac:dyDescent="0.2">
      <c r="A217" s="83" t="s">
        <v>1577</v>
      </c>
      <c r="B217" s="63">
        <v>0.39581395348837201</v>
      </c>
      <c r="C217" s="64" t="s">
        <v>152</v>
      </c>
      <c r="D217" s="8"/>
      <c r="E217" s="68" t="s">
        <v>19</v>
      </c>
      <c r="F217" s="69">
        <v>13</v>
      </c>
      <c r="G217" s="70">
        <v>833</v>
      </c>
      <c r="H217" s="71">
        <v>1299</v>
      </c>
    </row>
    <row r="218" spans="1:8" x14ac:dyDescent="0.2">
      <c r="A218" s="83" t="s">
        <v>1578</v>
      </c>
      <c r="B218" s="63">
        <v>0.39581395348837201</v>
      </c>
      <c r="C218" s="64" t="s">
        <v>152</v>
      </c>
      <c r="D218" s="8"/>
      <c r="E218" s="68" t="s">
        <v>401</v>
      </c>
      <c r="F218" s="69">
        <v>13</v>
      </c>
      <c r="G218" s="70">
        <v>833</v>
      </c>
      <c r="H218" s="71">
        <v>1299</v>
      </c>
    </row>
    <row r="219" spans="1:8" x14ac:dyDescent="0.2">
      <c r="A219" s="83" t="s">
        <v>1579</v>
      </c>
      <c r="B219" s="63">
        <v>0.39581395348837201</v>
      </c>
      <c r="C219" s="64" t="s">
        <v>152</v>
      </c>
      <c r="D219" s="8"/>
      <c r="E219" s="68" t="s">
        <v>402</v>
      </c>
      <c r="F219" s="69">
        <v>13</v>
      </c>
      <c r="G219" s="70">
        <v>833</v>
      </c>
      <c r="H219" s="71">
        <v>1299</v>
      </c>
    </row>
    <row r="220" spans="1:8" x14ac:dyDescent="0.2">
      <c r="A220" s="83" t="s">
        <v>1580</v>
      </c>
      <c r="B220" s="63">
        <v>0.54903225806451605</v>
      </c>
      <c r="C220" s="64" t="s">
        <v>153</v>
      </c>
      <c r="D220" s="8"/>
      <c r="E220" s="68" t="s">
        <v>403</v>
      </c>
      <c r="F220" s="69">
        <v>7</v>
      </c>
      <c r="G220" s="70">
        <v>449</v>
      </c>
      <c r="H220" s="71">
        <v>699</v>
      </c>
    </row>
    <row r="221" spans="1:8" x14ac:dyDescent="0.2">
      <c r="A221" s="83" t="s">
        <v>1581</v>
      </c>
      <c r="B221" s="63">
        <v>0.54903225806451605</v>
      </c>
      <c r="C221" s="64" t="s">
        <v>153</v>
      </c>
      <c r="D221" s="8"/>
      <c r="E221" s="68" t="s">
        <v>404</v>
      </c>
      <c r="F221" s="69">
        <v>7</v>
      </c>
      <c r="G221" s="70">
        <v>449</v>
      </c>
      <c r="H221" s="71">
        <v>699</v>
      </c>
    </row>
    <row r="222" spans="1:8" x14ac:dyDescent="0.2">
      <c r="A222" s="83" t="s">
        <v>1582</v>
      </c>
      <c r="B222" s="63">
        <v>0.54903225806451605</v>
      </c>
      <c r="C222" s="64" t="s">
        <v>153</v>
      </c>
      <c r="D222" s="8"/>
      <c r="E222" s="68" t="s">
        <v>405</v>
      </c>
      <c r="F222" s="69">
        <v>7</v>
      </c>
      <c r="G222" s="70">
        <v>449</v>
      </c>
      <c r="H222" s="71">
        <v>699</v>
      </c>
    </row>
    <row r="223" spans="1:8" x14ac:dyDescent="0.2">
      <c r="A223" s="83" t="s">
        <v>1583</v>
      </c>
      <c r="B223" s="63">
        <v>0.54903225806451605</v>
      </c>
      <c r="C223" s="64" t="s">
        <v>153</v>
      </c>
      <c r="D223" s="8"/>
      <c r="E223" s="68" t="s">
        <v>406</v>
      </c>
      <c r="F223" s="69">
        <v>7</v>
      </c>
      <c r="G223" s="70">
        <v>449</v>
      </c>
      <c r="H223" s="71">
        <v>699</v>
      </c>
    </row>
    <row r="224" spans="1:8" x14ac:dyDescent="0.2">
      <c r="A224" s="83" t="s">
        <v>1584</v>
      </c>
      <c r="B224" s="63">
        <v>0.52066666666666706</v>
      </c>
      <c r="C224" s="64" t="s">
        <v>144</v>
      </c>
      <c r="D224" s="8"/>
      <c r="E224" s="68" t="s">
        <v>407</v>
      </c>
      <c r="F224" s="69">
        <v>7</v>
      </c>
      <c r="G224" s="70">
        <v>461</v>
      </c>
      <c r="H224" s="71">
        <v>719</v>
      </c>
    </row>
    <row r="225" spans="1:8" x14ac:dyDescent="0.2">
      <c r="A225" s="83" t="s">
        <v>1585</v>
      </c>
      <c r="B225" s="63">
        <v>0.49466666666666698</v>
      </c>
      <c r="C225" s="64" t="s">
        <v>149</v>
      </c>
      <c r="D225" s="8"/>
      <c r="E225" s="68" t="s">
        <v>408</v>
      </c>
      <c r="F225" s="69">
        <v>4</v>
      </c>
      <c r="G225" s="70">
        <v>244</v>
      </c>
      <c r="H225" s="71">
        <v>379</v>
      </c>
    </row>
    <row r="226" spans="1:8" x14ac:dyDescent="0.2">
      <c r="A226" s="83" t="s">
        <v>1586</v>
      </c>
      <c r="B226" s="63">
        <v>0.49322033898305101</v>
      </c>
      <c r="C226" s="64" t="s">
        <v>154</v>
      </c>
      <c r="D226" s="8"/>
      <c r="E226" s="68" t="s">
        <v>409</v>
      </c>
      <c r="F226" s="69">
        <v>3</v>
      </c>
      <c r="G226" s="70">
        <v>192</v>
      </c>
      <c r="H226" s="71">
        <v>299</v>
      </c>
    </row>
    <row r="227" spans="1:8" x14ac:dyDescent="0.2">
      <c r="A227" s="83" t="s">
        <v>1587</v>
      </c>
      <c r="B227" s="63">
        <v>0.49322033898305101</v>
      </c>
      <c r="C227" s="64" t="s">
        <v>154</v>
      </c>
      <c r="D227" s="8"/>
      <c r="E227" s="68" t="s">
        <v>410</v>
      </c>
      <c r="F227" s="69">
        <v>3</v>
      </c>
      <c r="G227" s="70">
        <v>192</v>
      </c>
      <c r="H227" s="71">
        <v>299</v>
      </c>
    </row>
    <row r="228" spans="1:8" x14ac:dyDescent="0.2">
      <c r="A228" s="83" t="s">
        <v>1588</v>
      </c>
      <c r="B228" s="63">
        <v>0.49322033898305101</v>
      </c>
      <c r="C228" s="64" t="s">
        <v>154</v>
      </c>
      <c r="D228" s="8"/>
      <c r="E228" s="68" t="s">
        <v>411</v>
      </c>
      <c r="F228" s="69">
        <v>3</v>
      </c>
      <c r="G228" s="70">
        <v>192</v>
      </c>
      <c r="H228" s="71">
        <v>299</v>
      </c>
    </row>
    <row r="229" spans="1:8" x14ac:dyDescent="0.2">
      <c r="A229" s="83" t="s">
        <v>1589</v>
      </c>
      <c r="B229" s="63">
        <v>0.49322033898305101</v>
      </c>
      <c r="C229" s="64" t="s">
        <v>154</v>
      </c>
      <c r="D229" s="8"/>
      <c r="E229" s="68" t="s">
        <v>412</v>
      </c>
      <c r="F229" s="69">
        <v>3</v>
      </c>
      <c r="G229" s="70">
        <v>192</v>
      </c>
      <c r="H229" s="71">
        <v>299</v>
      </c>
    </row>
    <row r="230" spans="1:8" x14ac:dyDescent="0.2">
      <c r="A230" s="83" t="s">
        <v>1590</v>
      </c>
      <c r="B230" s="63">
        <v>0.49322033898305101</v>
      </c>
      <c r="C230" s="64" t="s">
        <v>154</v>
      </c>
      <c r="D230" s="8"/>
      <c r="E230" s="68" t="s">
        <v>413</v>
      </c>
      <c r="F230" s="69">
        <v>3</v>
      </c>
      <c r="G230" s="70">
        <v>192</v>
      </c>
      <c r="H230" s="71">
        <v>299</v>
      </c>
    </row>
    <row r="231" spans="1:8" x14ac:dyDescent="0.2">
      <c r="A231" s="83" t="s">
        <v>1591</v>
      </c>
      <c r="B231" s="63">
        <v>0.318636363636364</v>
      </c>
      <c r="C231" s="64" t="s">
        <v>155</v>
      </c>
      <c r="D231" s="8"/>
      <c r="E231" s="68" t="s">
        <v>414</v>
      </c>
      <c r="F231" s="69">
        <v>15</v>
      </c>
      <c r="G231" s="70">
        <v>962</v>
      </c>
      <c r="H231" s="71">
        <v>1499</v>
      </c>
    </row>
    <row r="232" spans="1:8" x14ac:dyDescent="0.2">
      <c r="A232" s="83" t="s">
        <v>1592</v>
      </c>
      <c r="B232" s="63">
        <v>0.450625</v>
      </c>
      <c r="C232" s="64" t="s">
        <v>156</v>
      </c>
      <c r="D232" s="8"/>
      <c r="E232" s="68" t="s">
        <v>415</v>
      </c>
      <c r="F232" s="69">
        <v>9</v>
      </c>
      <c r="G232" s="70">
        <v>564</v>
      </c>
      <c r="H232" s="71">
        <v>879</v>
      </c>
    </row>
    <row r="233" spans="1:8" x14ac:dyDescent="0.2">
      <c r="A233" s="83" t="s">
        <v>1593</v>
      </c>
      <c r="B233" s="63">
        <v>0.450625</v>
      </c>
      <c r="C233" s="64" t="s">
        <v>156</v>
      </c>
      <c r="D233" s="8"/>
      <c r="E233" s="68" t="s">
        <v>416</v>
      </c>
      <c r="F233" s="69">
        <v>9</v>
      </c>
      <c r="G233" s="70">
        <v>564</v>
      </c>
      <c r="H233" s="71">
        <v>879</v>
      </c>
    </row>
    <row r="234" spans="1:8" x14ac:dyDescent="0.2">
      <c r="A234" s="83" t="s">
        <v>1594</v>
      </c>
      <c r="B234" s="63">
        <v>0.50151515151515103</v>
      </c>
      <c r="C234" s="64" t="s">
        <v>154</v>
      </c>
      <c r="D234" s="8"/>
      <c r="E234" s="68" t="s">
        <v>417</v>
      </c>
      <c r="F234" s="69">
        <v>3</v>
      </c>
      <c r="G234" s="70">
        <v>211</v>
      </c>
      <c r="H234" s="71">
        <v>329</v>
      </c>
    </row>
    <row r="235" spans="1:8" x14ac:dyDescent="0.2">
      <c r="A235" s="83" t="s">
        <v>1595</v>
      </c>
      <c r="B235" s="63">
        <v>0.50151515151515103</v>
      </c>
      <c r="C235" s="64" t="s">
        <v>154</v>
      </c>
      <c r="D235" s="8"/>
      <c r="E235" s="68" t="s">
        <v>418</v>
      </c>
      <c r="F235" s="69">
        <v>3</v>
      </c>
      <c r="G235" s="70">
        <v>211</v>
      </c>
      <c r="H235" s="71">
        <v>329</v>
      </c>
    </row>
    <row r="236" spans="1:8" x14ac:dyDescent="0.2">
      <c r="A236" s="83" t="s">
        <v>1596</v>
      </c>
      <c r="B236" s="63">
        <v>0.50151515151515103</v>
      </c>
      <c r="C236" s="64" t="s">
        <v>154</v>
      </c>
      <c r="D236" s="8"/>
      <c r="E236" s="68" t="s">
        <v>419</v>
      </c>
      <c r="F236" s="69">
        <v>3</v>
      </c>
      <c r="G236" s="70">
        <v>211</v>
      </c>
      <c r="H236" s="71">
        <v>329</v>
      </c>
    </row>
    <row r="237" spans="1:8" x14ac:dyDescent="0.2">
      <c r="A237" s="83" t="s">
        <v>1597</v>
      </c>
      <c r="B237" s="63">
        <v>0.54428571428571404</v>
      </c>
      <c r="C237" s="64" t="s">
        <v>153</v>
      </c>
      <c r="D237" s="8"/>
      <c r="E237" s="68" t="s">
        <v>420</v>
      </c>
      <c r="F237" s="69">
        <v>3</v>
      </c>
      <c r="G237" s="70">
        <v>205</v>
      </c>
      <c r="H237" s="71">
        <v>319</v>
      </c>
    </row>
    <row r="238" spans="1:8" x14ac:dyDescent="0.2">
      <c r="A238" s="83" t="s">
        <v>1598</v>
      </c>
      <c r="B238" s="63">
        <v>0.54428571428571404</v>
      </c>
      <c r="C238" s="64" t="s">
        <v>153</v>
      </c>
      <c r="D238" s="8"/>
      <c r="E238" s="68" t="s">
        <v>421</v>
      </c>
      <c r="F238" s="69">
        <v>3</v>
      </c>
      <c r="G238" s="70">
        <v>205</v>
      </c>
      <c r="H238" s="71">
        <v>319</v>
      </c>
    </row>
    <row r="239" spans="1:8" x14ac:dyDescent="0.2">
      <c r="A239" s="83" t="s">
        <v>1599</v>
      </c>
      <c r="B239" s="63">
        <v>0.54428571428571404</v>
      </c>
      <c r="C239" s="64" t="s">
        <v>153</v>
      </c>
      <c r="D239" s="8"/>
      <c r="E239" s="68" t="s">
        <v>422</v>
      </c>
      <c r="F239" s="69">
        <v>3</v>
      </c>
      <c r="G239" s="70">
        <v>205</v>
      </c>
      <c r="H239" s="71">
        <v>319</v>
      </c>
    </row>
    <row r="240" spans="1:8" x14ac:dyDescent="0.2">
      <c r="A240" s="83" t="s">
        <v>1600</v>
      </c>
      <c r="B240" s="63">
        <v>0.35189189189189202</v>
      </c>
      <c r="C240" s="64" t="s">
        <v>156</v>
      </c>
      <c r="D240" s="8"/>
      <c r="E240" s="68" t="s">
        <v>423</v>
      </c>
      <c r="F240" s="69">
        <v>12</v>
      </c>
      <c r="G240" s="70">
        <v>769</v>
      </c>
      <c r="H240" s="71">
        <v>1199</v>
      </c>
    </row>
    <row r="241" spans="1:8" x14ac:dyDescent="0.2">
      <c r="A241" s="83" t="s">
        <v>1601</v>
      </c>
      <c r="B241" s="63">
        <v>0.54733333333333301</v>
      </c>
      <c r="C241" s="64" t="s">
        <v>157</v>
      </c>
      <c r="D241" s="8"/>
      <c r="E241" s="68" t="s">
        <v>424</v>
      </c>
      <c r="F241" s="69">
        <v>7</v>
      </c>
      <c r="G241" s="70">
        <v>436</v>
      </c>
      <c r="H241" s="71">
        <v>679</v>
      </c>
    </row>
    <row r="242" spans="1:8" x14ac:dyDescent="0.2">
      <c r="A242" s="83" t="s">
        <v>1602</v>
      </c>
      <c r="B242" s="63">
        <v>0.54733333333333301</v>
      </c>
      <c r="C242" s="64" t="s">
        <v>157</v>
      </c>
      <c r="D242" s="8"/>
      <c r="E242" s="68" t="s">
        <v>425</v>
      </c>
      <c r="F242" s="69">
        <v>7</v>
      </c>
      <c r="G242" s="70">
        <v>436</v>
      </c>
      <c r="H242" s="71">
        <v>679</v>
      </c>
    </row>
    <row r="243" spans="1:8" x14ac:dyDescent="0.2">
      <c r="A243" s="83" t="s">
        <v>1603</v>
      </c>
      <c r="B243" s="63">
        <v>0.54733333333333301</v>
      </c>
      <c r="C243" s="64" t="s">
        <v>157</v>
      </c>
      <c r="D243" s="8"/>
      <c r="E243" s="68" t="s">
        <v>426</v>
      </c>
      <c r="F243" s="69">
        <v>7</v>
      </c>
      <c r="G243" s="70">
        <v>436</v>
      </c>
      <c r="H243" s="71">
        <v>679</v>
      </c>
    </row>
    <row r="244" spans="1:8" x14ac:dyDescent="0.2">
      <c r="A244" s="83" t="s">
        <v>1604</v>
      </c>
      <c r="B244" s="63">
        <v>0.54733333333333301</v>
      </c>
      <c r="C244" s="64" t="s">
        <v>157</v>
      </c>
      <c r="D244" s="8"/>
      <c r="E244" s="68" t="s">
        <v>427</v>
      </c>
      <c r="F244" s="69">
        <v>7</v>
      </c>
      <c r="G244" s="70">
        <v>436</v>
      </c>
      <c r="H244" s="71">
        <v>679</v>
      </c>
    </row>
    <row r="245" spans="1:8" x14ac:dyDescent="0.2">
      <c r="A245" s="83" t="s">
        <v>1605</v>
      </c>
      <c r="B245" s="63">
        <v>0.54733333333333301</v>
      </c>
      <c r="C245" s="64" t="s">
        <v>157</v>
      </c>
      <c r="D245" s="8"/>
      <c r="E245" s="68" t="s">
        <v>428</v>
      </c>
      <c r="F245" s="69">
        <v>7</v>
      </c>
      <c r="G245" s="70">
        <v>436</v>
      </c>
      <c r="H245" s="71">
        <v>679</v>
      </c>
    </row>
    <row r="246" spans="1:8" x14ac:dyDescent="0.2">
      <c r="A246" s="83" t="s">
        <v>1606</v>
      </c>
      <c r="B246" s="63">
        <v>0.54733333333333301</v>
      </c>
      <c r="C246" s="64" t="s">
        <v>157</v>
      </c>
      <c r="D246" s="8"/>
      <c r="E246" s="68" t="s">
        <v>429</v>
      </c>
      <c r="F246" s="69">
        <v>7</v>
      </c>
      <c r="G246" s="70">
        <v>436</v>
      </c>
      <c r="H246" s="71">
        <v>679</v>
      </c>
    </row>
    <row r="247" spans="1:8" x14ac:dyDescent="0.2">
      <c r="A247" s="83" t="s">
        <v>1607</v>
      </c>
      <c r="B247" s="63">
        <v>0.54733333333333301</v>
      </c>
      <c r="C247" s="64" t="s">
        <v>157</v>
      </c>
      <c r="D247" s="8"/>
      <c r="E247" s="68" t="s">
        <v>430</v>
      </c>
      <c r="F247" s="69">
        <v>7</v>
      </c>
      <c r="G247" s="70">
        <v>436</v>
      </c>
      <c r="H247" s="71">
        <v>679</v>
      </c>
    </row>
    <row r="248" spans="1:8" x14ac:dyDescent="0.2">
      <c r="A248" s="83" t="s">
        <v>1608</v>
      </c>
      <c r="B248" s="63">
        <v>0.54733333333333301</v>
      </c>
      <c r="C248" s="64" t="s">
        <v>157</v>
      </c>
      <c r="D248" s="8"/>
      <c r="E248" s="68" t="s">
        <v>431</v>
      </c>
      <c r="F248" s="69">
        <v>7</v>
      </c>
      <c r="G248" s="70">
        <v>436</v>
      </c>
      <c r="H248" s="71">
        <v>679</v>
      </c>
    </row>
    <row r="249" spans="1:8" x14ac:dyDescent="0.2">
      <c r="A249" s="83" t="s">
        <v>1609</v>
      </c>
      <c r="B249" s="63">
        <v>0.54733333333333301</v>
      </c>
      <c r="C249" s="64" t="s">
        <v>157</v>
      </c>
      <c r="D249" s="8"/>
      <c r="E249" s="68" t="s">
        <v>432</v>
      </c>
      <c r="F249" s="69">
        <v>7</v>
      </c>
      <c r="G249" s="70">
        <v>436</v>
      </c>
      <c r="H249" s="71">
        <v>679</v>
      </c>
    </row>
    <row r="250" spans="1:8" x14ac:dyDescent="0.2">
      <c r="A250" s="83" t="s">
        <v>1610</v>
      </c>
      <c r="B250" s="63">
        <v>0.54733333333333301</v>
      </c>
      <c r="C250" s="64" t="s">
        <v>157</v>
      </c>
      <c r="D250" s="8"/>
      <c r="E250" s="68" t="s">
        <v>433</v>
      </c>
      <c r="F250" s="69">
        <v>7</v>
      </c>
      <c r="G250" s="70">
        <v>436</v>
      </c>
      <c r="H250" s="71">
        <v>679</v>
      </c>
    </row>
    <row r="251" spans="1:8" ht="14.25" customHeight="1" x14ac:dyDescent="0.2">
      <c r="A251" s="83" t="s">
        <v>1611</v>
      </c>
      <c r="B251" s="63">
        <v>0.289333333333333</v>
      </c>
      <c r="C251" s="64" t="s">
        <v>158</v>
      </c>
      <c r="D251" s="8"/>
      <c r="E251" s="68" t="s">
        <v>434</v>
      </c>
      <c r="F251" s="69">
        <v>16</v>
      </c>
      <c r="G251" s="70">
        <v>1026</v>
      </c>
      <c r="H251" s="71">
        <v>1599</v>
      </c>
    </row>
    <row r="252" spans="1:8" x14ac:dyDescent="0.2">
      <c r="A252" s="83" t="s">
        <v>1612</v>
      </c>
      <c r="B252" s="63">
        <v>0.289333333333333</v>
      </c>
      <c r="C252" s="64" t="s">
        <v>158</v>
      </c>
      <c r="D252" s="8"/>
      <c r="E252" s="68" t="s">
        <v>435</v>
      </c>
      <c r="F252" s="69">
        <v>16</v>
      </c>
      <c r="G252" s="70">
        <v>1026</v>
      </c>
      <c r="H252" s="71">
        <v>1599</v>
      </c>
    </row>
    <row r="253" spans="1:8" x14ac:dyDescent="0.2">
      <c r="A253" s="83" t="s">
        <v>1613</v>
      </c>
      <c r="B253" s="63">
        <v>0.289333333333333</v>
      </c>
      <c r="C253" s="64" t="s">
        <v>158</v>
      </c>
      <c r="D253" s="8"/>
      <c r="E253" s="68" t="s">
        <v>436</v>
      </c>
      <c r="F253" s="69">
        <v>16</v>
      </c>
      <c r="G253" s="70">
        <v>1026</v>
      </c>
      <c r="H253" s="71">
        <v>1599</v>
      </c>
    </row>
    <row r="254" spans="1:8" x14ac:dyDescent="0.2">
      <c r="A254" s="83" t="s">
        <v>1614</v>
      </c>
      <c r="B254" s="63">
        <v>0.289333333333333</v>
      </c>
      <c r="C254" s="64" t="s">
        <v>158</v>
      </c>
      <c r="D254" s="8"/>
      <c r="E254" s="68" t="s">
        <v>437</v>
      </c>
      <c r="F254" s="69">
        <v>16</v>
      </c>
      <c r="G254" s="70">
        <v>1026</v>
      </c>
      <c r="H254" s="71">
        <v>1599</v>
      </c>
    </row>
    <row r="255" spans="1:8" x14ac:dyDescent="0.2">
      <c r="A255" s="83" t="s">
        <v>1615</v>
      </c>
      <c r="B255" s="63">
        <v>0.37822222222222202</v>
      </c>
      <c r="C255" s="64" t="s">
        <v>158</v>
      </c>
      <c r="D255" s="8"/>
      <c r="E255" s="68" t="s">
        <v>438</v>
      </c>
      <c r="F255" s="69">
        <v>14</v>
      </c>
      <c r="G255" s="70">
        <v>898</v>
      </c>
      <c r="H255" s="71">
        <v>1399</v>
      </c>
    </row>
    <row r="256" spans="1:8" x14ac:dyDescent="0.2">
      <c r="A256" s="83" t="s">
        <v>1616</v>
      </c>
      <c r="B256" s="63">
        <v>0.37822222222222202</v>
      </c>
      <c r="C256" s="64" t="s">
        <v>158</v>
      </c>
      <c r="D256" s="8"/>
      <c r="E256" s="68" t="s">
        <v>439</v>
      </c>
      <c r="F256" s="69">
        <v>14</v>
      </c>
      <c r="G256" s="70">
        <v>898</v>
      </c>
      <c r="H256" s="71">
        <v>1399</v>
      </c>
    </row>
    <row r="257" spans="1:8" x14ac:dyDescent="0.2">
      <c r="A257" s="83" t="s">
        <v>1617</v>
      </c>
      <c r="B257" s="63">
        <v>0.37822222222222202</v>
      </c>
      <c r="C257" s="64" t="s">
        <v>158</v>
      </c>
      <c r="D257" s="8"/>
      <c r="E257" s="68" t="s">
        <v>440</v>
      </c>
      <c r="F257" s="69">
        <v>14</v>
      </c>
      <c r="G257" s="70">
        <v>898</v>
      </c>
      <c r="H257" s="71">
        <v>1399</v>
      </c>
    </row>
    <row r="258" spans="1:8" x14ac:dyDescent="0.2">
      <c r="A258" s="83" t="s">
        <v>1618</v>
      </c>
      <c r="B258" s="63">
        <v>0.37822222222222202</v>
      </c>
      <c r="C258" s="64" t="s">
        <v>158</v>
      </c>
      <c r="D258" s="8"/>
      <c r="E258" s="68" t="s">
        <v>441</v>
      </c>
      <c r="F258" s="69">
        <v>14</v>
      </c>
      <c r="G258" s="70">
        <v>898</v>
      </c>
      <c r="H258" s="71">
        <v>1399</v>
      </c>
    </row>
    <row r="259" spans="1:8" x14ac:dyDescent="0.2">
      <c r="A259" s="83" t="s">
        <v>1619</v>
      </c>
      <c r="B259" s="63">
        <v>0.37822222222222202</v>
      </c>
      <c r="C259" s="64" t="s">
        <v>158</v>
      </c>
      <c r="D259" s="8"/>
      <c r="E259" s="68" t="s">
        <v>442</v>
      </c>
      <c r="F259" s="69">
        <v>14</v>
      </c>
      <c r="G259" s="70">
        <v>898</v>
      </c>
      <c r="H259" s="71">
        <v>1399</v>
      </c>
    </row>
    <row r="260" spans="1:8" x14ac:dyDescent="0.2">
      <c r="A260" s="83" t="s">
        <v>1620</v>
      </c>
      <c r="B260" s="63">
        <v>0.37822222222222202</v>
      </c>
      <c r="C260" s="64" t="s">
        <v>158</v>
      </c>
      <c r="D260" s="8"/>
      <c r="E260" s="68" t="s">
        <v>443</v>
      </c>
      <c r="F260" s="69">
        <v>14</v>
      </c>
      <c r="G260" s="70">
        <v>898</v>
      </c>
      <c r="H260" s="71">
        <v>1399</v>
      </c>
    </row>
    <row r="261" spans="1:8" x14ac:dyDescent="0.2">
      <c r="A261" s="83" t="s">
        <v>1621</v>
      </c>
      <c r="B261" s="63">
        <v>0.37822222222222202</v>
      </c>
      <c r="C261" s="64" t="s">
        <v>158</v>
      </c>
      <c r="D261" s="8"/>
      <c r="E261" s="68" t="s">
        <v>444</v>
      </c>
      <c r="F261" s="69">
        <v>14</v>
      </c>
      <c r="G261" s="70">
        <v>898</v>
      </c>
      <c r="H261" s="71">
        <v>1399</v>
      </c>
    </row>
    <row r="262" spans="1:8" x14ac:dyDescent="0.2">
      <c r="A262" s="83" t="s">
        <v>1622</v>
      </c>
      <c r="B262" s="63">
        <v>0.52066666666666706</v>
      </c>
      <c r="C262" s="64" t="s">
        <v>144</v>
      </c>
      <c r="D262" s="8"/>
      <c r="E262" s="68" t="s">
        <v>445</v>
      </c>
      <c r="F262" s="69">
        <v>7</v>
      </c>
      <c r="G262" s="70">
        <v>461</v>
      </c>
      <c r="H262" s="71">
        <v>719</v>
      </c>
    </row>
    <row r="263" spans="1:8" ht="15" thickBot="1" x14ac:dyDescent="0.25">
      <c r="A263" s="83" t="s">
        <v>1623</v>
      </c>
      <c r="B263" s="63">
        <v>0.52066666666666706</v>
      </c>
      <c r="C263" s="64" t="s">
        <v>144</v>
      </c>
      <c r="D263" s="8"/>
      <c r="E263" s="68" t="s">
        <v>446</v>
      </c>
      <c r="F263" s="69">
        <v>7</v>
      </c>
      <c r="G263" s="70">
        <v>461</v>
      </c>
      <c r="H263" s="71">
        <v>719</v>
      </c>
    </row>
    <row r="264" spans="1:8" ht="15" thickBot="1" x14ac:dyDescent="0.25">
      <c r="A264" s="56" t="s">
        <v>41</v>
      </c>
      <c r="B264" s="57"/>
      <c r="C264" s="57"/>
      <c r="D264" s="58"/>
      <c r="E264" s="82" t="s">
        <v>447</v>
      </c>
      <c r="F264" s="60"/>
      <c r="G264" s="61"/>
      <c r="H264" s="61"/>
    </row>
    <row r="265" spans="1:8" x14ac:dyDescent="0.2">
      <c r="A265" s="83" t="s">
        <v>1624</v>
      </c>
      <c r="B265" s="63">
        <v>0.44418604651162802</v>
      </c>
      <c r="C265" s="64" t="s">
        <v>159</v>
      </c>
      <c r="D265" s="8"/>
      <c r="E265" s="68" t="s">
        <v>448</v>
      </c>
      <c r="F265" s="69">
        <v>2</v>
      </c>
      <c r="G265" s="70">
        <v>153</v>
      </c>
      <c r="H265" s="71">
        <v>239</v>
      </c>
    </row>
    <row r="266" spans="1:8" x14ac:dyDescent="0.2">
      <c r="A266" s="83" t="s">
        <v>1625</v>
      </c>
      <c r="B266" s="63">
        <v>0.44418604651162802</v>
      </c>
      <c r="C266" s="64" t="s">
        <v>159</v>
      </c>
      <c r="D266" s="8"/>
      <c r="E266" s="68" t="s">
        <v>449</v>
      </c>
      <c r="F266" s="69">
        <v>2</v>
      </c>
      <c r="G266" s="70">
        <v>153</v>
      </c>
      <c r="H266" s="71">
        <v>239</v>
      </c>
    </row>
    <row r="267" spans="1:8" x14ac:dyDescent="0.2">
      <c r="A267" s="83" t="s">
        <v>1626</v>
      </c>
      <c r="B267" s="63">
        <v>0.44418604651162802</v>
      </c>
      <c r="C267" s="64" t="s">
        <v>159</v>
      </c>
      <c r="D267" s="8"/>
      <c r="E267" s="68" t="s">
        <v>450</v>
      </c>
      <c r="F267" s="69">
        <v>2</v>
      </c>
      <c r="G267" s="70">
        <v>153</v>
      </c>
      <c r="H267" s="71">
        <v>239</v>
      </c>
    </row>
    <row r="268" spans="1:8" x14ac:dyDescent="0.2">
      <c r="A268" s="83" t="s">
        <v>1627</v>
      </c>
      <c r="B268" s="63">
        <v>0.44418604651162802</v>
      </c>
      <c r="C268" s="64" t="s">
        <v>159</v>
      </c>
      <c r="D268" s="8"/>
      <c r="E268" s="68" t="s">
        <v>451</v>
      </c>
      <c r="F268" s="69">
        <v>2</v>
      </c>
      <c r="G268" s="70">
        <v>153</v>
      </c>
      <c r="H268" s="71">
        <v>239</v>
      </c>
    </row>
    <row r="269" spans="1:8" x14ac:dyDescent="0.2">
      <c r="A269" s="83" t="s">
        <v>1628</v>
      </c>
      <c r="B269" s="63">
        <v>0.44418604651162802</v>
      </c>
      <c r="C269" s="64" t="s">
        <v>159</v>
      </c>
      <c r="D269" s="8"/>
      <c r="E269" s="68" t="s">
        <v>452</v>
      </c>
      <c r="F269" s="69">
        <v>2</v>
      </c>
      <c r="G269" s="70">
        <v>153</v>
      </c>
      <c r="H269" s="71">
        <v>239</v>
      </c>
    </row>
    <row r="270" spans="1:8" x14ac:dyDescent="0.2">
      <c r="A270" s="83" t="s">
        <v>1629</v>
      </c>
      <c r="B270" s="63">
        <v>0.44418604651162802</v>
      </c>
      <c r="C270" s="64" t="s">
        <v>159</v>
      </c>
      <c r="D270" s="8"/>
      <c r="E270" s="68" t="s">
        <v>453</v>
      </c>
      <c r="F270" s="69">
        <v>2</v>
      </c>
      <c r="G270" s="70">
        <v>153</v>
      </c>
      <c r="H270" s="71">
        <v>239</v>
      </c>
    </row>
    <row r="271" spans="1:8" x14ac:dyDescent="0.2">
      <c r="A271" s="83" t="s">
        <v>1630</v>
      </c>
      <c r="B271" s="63">
        <v>0.44418604651162802</v>
      </c>
      <c r="C271" s="64" t="s">
        <v>159</v>
      </c>
      <c r="D271" s="8"/>
      <c r="E271" s="68" t="s">
        <v>454</v>
      </c>
      <c r="F271" s="69">
        <v>2</v>
      </c>
      <c r="G271" s="70">
        <v>153</v>
      </c>
      <c r="H271" s="71">
        <v>239</v>
      </c>
    </row>
    <row r="272" spans="1:8" x14ac:dyDescent="0.2">
      <c r="A272" s="83" t="s">
        <v>1631</v>
      </c>
      <c r="B272" s="63">
        <v>0.44418604651162802</v>
      </c>
      <c r="C272" s="64" t="s">
        <v>159</v>
      </c>
      <c r="D272" s="8"/>
      <c r="E272" s="68" t="s">
        <v>455</v>
      </c>
      <c r="F272" s="69">
        <v>2</v>
      </c>
      <c r="G272" s="70">
        <v>153</v>
      </c>
      <c r="H272" s="71">
        <v>239</v>
      </c>
    </row>
    <row r="273" spans="1:8" x14ac:dyDescent="0.2">
      <c r="A273" s="83" t="s">
        <v>1632</v>
      </c>
      <c r="B273" s="63">
        <v>0.44418604651162802</v>
      </c>
      <c r="C273" s="64" t="s">
        <v>159</v>
      </c>
      <c r="D273" s="8"/>
      <c r="E273" s="68" t="s">
        <v>456</v>
      </c>
      <c r="F273" s="69">
        <v>2</v>
      </c>
      <c r="G273" s="70">
        <v>153</v>
      </c>
      <c r="H273" s="71">
        <v>239</v>
      </c>
    </row>
    <row r="274" spans="1:8" x14ac:dyDescent="0.2">
      <c r="A274" s="83" t="s">
        <v>1633</v>
      </c>
      <c r="B274" s="63">
        <v>0.44418604651162802</v>
      </c>
      <c r="C274" s="64" t="s">
        <v>159</v>
      </c>
      <c r="D274" s="8"/>
      <c r="E274" s="68" t="s">
        <v>457</v>
      </c>
      <c r="F274" s="69">
        <v>2</v>
      </c>
      <c r="G274" s="70">
        <v>153</v>
      </c>
      <c r="H274" s="71">
        <v>239</v>
      </c>
    </row>
    <row r="275" spans="1:8" x14ac:dyDescent="0.2">
      <c r="A275" s="83" t="s">
        <v>1634</v>
      </c>
      <c r="B275" s="63">
        <v>0.44418604651162802</v>
      </c>
      <c r="C275" s="64" t="s">
        <v>159</v>
      </c>
      <c r="D275" s="8"/>
      <c r="E275" s="68" t="s">
        <v>458</v>
      </c>
      <c r="F275" s="69">
        <v>2</v>
      </c>
      <c r="G275" s="70">
        <v>153</v>
      </c>
      <c r="H275" s="71">
        <v>239</v>
      </c>
    </row>
    <row r="276" spans="1:8" x14ac:dyDescent="0.2">
      <c r="A276" s="83" t="s">
        <v>1635</v>
      </c>
      <c r="B276" s="63">
        <v>0.44418604651162802</v>
      </c>
      <c r="C276" s="64" t="s">
        <v>159</v>
      </c>
      <c r="D276" s="8"/>
      <c r="E276" s="68" t="s">
        <v>459</v>
      </c>
      <c r="F276" s="69">
        <v>2</v>
      </c>
      <c r="G276" s="70">
        <v>153</v>
      </c>
      <c r="H276" s="71">
        <v>239</v>
      </c>
    </row>
    <row r="277" spans="1:8" x14ac:dyDescent="0.2">
      <c r="A277" s="83" t="s">
        <v>1636</v>
      </c>
      <c r="B277" s="63">
        <v>0.44418604651162802</v>
      </c>
      <c r="C277" s="64" t="s">
        <v>159</v>
      </c>
      <c r="D277" s="8"/>
      <c r="E277" s="68" t="s">
        <v>460</v>
      </c>
      <c r="F277" s="69">
        <v>2</v>
      </c>
      <c r="G277" s="70">
        <v>153</v>
      </c>
      <c r="H277" s="71">
        <v>239</v>
      </c>
    </row>
    <row r="278" spans="1:8" x14ac:dyDescent="0.2">
      <c r="A278" s="83" t="s">
        <v>1637</v>
      </c>
      <c r="B278" s="63">
        <v>0.44418604651162802</v>
      </c>
      <c r="C278" s="64" t="s">
        <v>159</v>
      </c>
      <c r="D278" s="8"/>
      <c r="E278" s="68" t="s">
        <v>461</v>
      </c>
      <c r="F278" s="69">
        <v>2</v>
      </c>
      <c r="G278" s="70">
        <v>153</v>
      </c>
      <c r="H278" s="71">
        <v>239</v>
      </c>
    </row>
    <row r="279" spans="1:8" x14ac:dyDescent="0.2">
      <c r="A279" s="83" t="s">
        <v>1638</v>
      </c>
      <c r="B279" s="63">
        <v>0.49069767441860501</v>
      </c>
      <c r="C279" s="64" t="s">
        <v>149</v>
      </c>
      <c r="D279" s="8"/>
      <c r="E279" s="68" t="s">
        <v>462</v>
      </c>
      <c r="F279" s="69">
        <v>2</v>
      </c>
      <c r="G279" s="70">
        <v>141</v>
      </c>
      <c r="H279" s="71">
        <v>219</v>
      </c>
    </row>
    <row r="280" spans="1:8" x14ac:dyDescent="0.2">
      <c r="A280" s="83" t="s">
        <v>1639</v>
      </c>
      <c r="B280" s="63">
        <v>0.40181818181818202</v>
      </c>
      <c r="C280" s="64" t="s">
        <v>160</v>
      </c>
      <c r="D280" s="8"/>
      <c r="E280" s="68" t="s">
        <v>463</v>
      </c>
      <c r="F280" s="69">
        <v>3</v>
      </c>
      <c r="G280" s="70">
        <v>211</v>
      </c>
      <c r="H280" s="71">
        <v>329</v>
      </c>
    </row>
    <row r="281" spans="1:8" x14ac:dyDescent="0.2">
      <c r="A281" s="83" t="s">
        <v>1640</v>
      </c>
      <c r="B281" s="63">
        <v>0.40181818181818202</v>
      </c>
      <c r="C281" s="64" t="s">
        <v>160</v>
      </c>
      <c r="D281" s="8"/>
      <c r="E281" s="68" t="s">
        <v>464</v>
      </c>
      <c r="F281" s="69">
        <v>3</v>
      </c>
      <c r="G281" s="70">
        <v>211</v>
      </c>
      <c r="H281" s="71">
        <v>329</v>
      </c>
    </row>
    <row r="282" spans="1:8" x14ac:dyDescent="0.2">
      <c r="A282" s="83" t="s">
        <v>1641</v>
      </c>
      <c r="B282" s="63">
        <v>0.40181818181818202</v>
      </c>
      <c r="C282" s="64" t="s">
        <v>160</v>
      </c>
      <c r="D282" s="8"/>
      <c r="E282" s="68" t="s">
        <v>465</v>
      </c>
      <c r="F282" s="69">
        <v>3</v>
      </c>
      <c r="G282" s="70">
        <v>211</v>
      </c>
      <c r="H282" s="71">
        <v>329</v>
      </c>
    </row>
    <row r="283" spans="1:8" x14ac:dyDescent="0.2">
      <c r="A283" s="83" t="s">
        <v>1642</v>
      </c>
      <c r="B283" s="63">
        <v>0.40181818181818202</v>
      </c>
      <c r="C283" s="64" t="s">
        <v>160</v>
      </c>
      <c r="D283" s="8"/>
      <c r="E283" s="68" t="s">
        <v>466</v>
      </c>
      <c r="F283" s="69">
        <v>3</v>
      </c>
      <c r="G283" s="70">
        <v>211</v>
      </c>
      <c r="H283" s="71">
        <v>329</v>
      </c>
    </row>
    <row r="284" spans="1:8" x14ac:dyDescent="0.2">
      <c r="A284" s="83" t="s">
        <v>1643</v>
      </c>
      <c r="B284" s="63">
        <v>0.40181818181818202</v>
      </c>
      <c r="C284" s="64" t="s">
        <v>160</v>
      </c>
      <c r="D284" s="8"/>
      <c r="E284" s="68" t="s">
        <v>467</v>
      </c>
      <c r="F284" s="69">
        <v>3</v>
      </c>
      <c r="G284" s="70">
        <v>211</v>
      </c>
      <c r="H284" s="71">
        <v>329</v>
      </c>
    </row>
    <row r="285" spans="1:8" x14ac:dyDescent="0.2">
      <c r="A285" s="83" t="s">
        <v>1644</v>
      </c>
      <c r="B285" s="63">
        <v>0.40181818181818202</v>
      </c>
      <c r="C285" s="64" t="s">
        <v>160</v>
      </c>
      <c r="D285" s="8"/>
      <c r="E285" s="68" t="s">
        <v>468</v>
      </c>
      <c r="F285" s="69">
        <v>3</v>
      </c>
      <c r="G285" s="70">
        <v>211</v>
      </c>
      <c r="H285" s="71">
        <v>329</v>
      </c>
    </row>
    <row r="286" spans="1:8" x14ac:dyDescent="0.2">
      <c r="A286" s="83" t="s">
        <v>1645</v>
      </c>
      <c r="B286" s="63">
        <v>0.40181818181818202</v>
      </c>
      <c r="C286" s="64" t="s">
        <v>160</v>
      </c>
      <c r="D286" s="8"/>
      <c r="E286" s="68" t="s">
        <v>469</v>
      </c>
      <c r="F286" s="69">
        <v>3</v>
      </c>
      <c r="G286" s="70">
        <v>211</v>
      </c>
      <c r="H286" s="71">
        <v>329</v>
      </c>
    </row>
    <row r="287" spans="1:8" x14ac:dyDescent="0.2">
      <c r="A287" s="83" t="s">
        <v>1646</v>
      </c>
      <c r="B287" s="63">
        <v>0.40181818181818202</v>
      </c>
      <c r="C287" s="64" t="s">
        <v>160</v>
      </c>
      <c r="D287" s="8"/>
      <c r="E287" s="68" t="s">
        <v>470</v>
      </c>
      <c r="F287" s="69">
        <v>3</v>
      </c>
      <c r="G287" s="70">
        <v>211</v>
      </c>
      <c r="H287" s="71">
        <v>329</v>
      </c>
    </row>
    <row r="288" spans="1:8" x14ac:dyDescent="0.2">
      <c r="A288" s="83" t="s">
        <v>1647</v>
      </c>
      <c r="B288" s="63">
        <v>0.40181818181818202</v>
      </c>
      <c r="C288" s="64" t="s">
        <v>160</v>
      </c>
      <c r="D288" s="8"/>
      <c r="E288" s="68" t="s">
        <v>471</v>
      </c>
      <c r="F288" s="69">
        <v>3</v>
      </c>
      <c r="G288" s="70">
        <v>211</v>
      </c>
      <c r="H288" s="71">
        <v>329</v>
      </c>
    </row>
    <row r="289" spans="1:8" x14ac:dyDescent="0.2">
      <c r="A289" s="83" t="s">
        <v>1648</v>
      </c>
      <c r="B289" s="63">
        <v>0.49272727272727301</v>
      </c>
      <c r="C289" s="64" t="s">
        <v>149</v>
      </c>
      <c r="D289" s="8"/>
      <c r="E289" s="68" t="s">
        <v>472</v>
      </c>
      <c r="F289" s="69">
        <v>3</v>
      </c>
      <c r="G289" s="70">
        <v>179</v>
      </c>
      <c r="H289" s="71">
        <v>279</v>
      </c>
    </row>
    <row r="290" spans="1:8" x14ac:dyDescent="0.2">
      <c r="A290" s="83" t="s">
        <v>1649</v>
      </c>
      <c r="B290" s="63">
        <v>0.49272727272727301</v>
      </c>
      <c r="C290" s="64" t="s">
        <v>149</v>
      </c>
      <c r="D290" s="8"/>
      <c r="E290" s="68" t="s">
        <v>473</v>
      </c>
      <c r="F290" s="69">
        <v>3</v>
      </c>
      <c r="G290" s="70">
        <v>179</v>
      </c>
      <c r="H290" s="71">
        <v>279</v>
      </c>
    </row>
    <row r="291" spans="1:8" ht="15" thickBot="1" x14ac:dyDescent="0.25">
      <c r="A291" s="83" t="s">
        <v>1650</v>
      </c>
      <c r="B291" s="63">
        <v>0.45636363636363603</v>
      </c>
      <c r="C291" s="64" t="s">
        <v>161</v>
      </c>
      <c r="D291" s="8"/>
      <c r="E291" s="68" t="s">
        <v>474</v>
      </c>
      <c r="F291" s="69">
        <v>3</v>
      </c>
      <c r="G291" s="70">
        <v>192</v>
      </c>
      <c r="H291" s="71">
        <v>299</v>
      </c>
    </row>
    <row r="292" spans="1:8" ht="15" thickBot="1" x14ac:dyDescent="0.25">
      <c r="A292" s="56" t="s">
        <v>41</v>
      </c>
      <c r="B292" s="57"/>
      <c r="C292" s="57"/>
      <c r="D292" s="58"/>
      <c r="E292" s="82" t="s">
        <v>475</v>
      </c>
      <c r="F292" s="60"/>
      <c r="G292" s="61"/>
      <c r="H292" s="61"/>
    </row>
    <row r="293" spans="1:8" ht="15" thickBot="1" x14ac:dyDescent="0.25">
      <c r="A293" s="56" t="s">
        <v>41</v>
      </c>
      <c r="B293" s="57"/>
      <c r="C293" s="57"/>
      <c r="D293" s="58"/>
      <c r="E293" s="82" t="s">
        <v>476</v>
      </c>
      <c r="F293" s="60"/>
      <c r="G293" s="61"/>
      <c r="H293" s="61"/>
    </row>
    <row r="294" spans="1:8" x14ac:dyDescent="0.2">
      <c r="A294" s="83" t="s">
        <v>1651</v>
      </c>
      <c r="B294" s="63">
        <v>0.50052631578947404</v>
      </c>
      <c r="C294" s="64" t="s">
        <v>162</v>
      </c>
      <c r="D294" s="8"/>
      <c r="E294" s="68" t="s">
        <v>477</v>
      </c>
      <c r="F294" s="69">
        <v>9</v>
      </c>
      <c r="G294" s="70">
        <v>609</v>
      </c>
      <c r="H294" s="71">
        <v>949</v>
      </c>
    </row>
    <row r="295" spans="1:8" x14ac:dyDescent="0.2">
      <c r="A295" s="83" t="s">
        <v>1652</v>
      </c>
      <c r="B295" s="63">
        <v>0.439268292682927</v>
      </c>
      <c r="C295" s="64" t="s">
        <v>163</v>
      </c>
      <c r="D295" s="8"/>
      <c r="E295" s="68" t="s">
        <v>478</v>
      </c>
      <c r="F295" s="69">
        <v>23</v>
      </c>
      <c r="G295" s="70">
        <v>1475</v>
      </c>
      <c r="H295" s="71">
        <v>2299</v>
      </c>
    </row>
    <row r="296" spans="1:8" x14ac:dyDescent="0.2">
      <c r="A296" s="83" t="s">
        <v>1653</v>
      </c>
      <c r="B296" s="63">
        <v>0.45225806451612899</v>
      </c>
      <c r="C296" s="64" t="s">
        <v>164</v>
      </c>
      <c r="D296" s="8"/>
      <c r="E296" s="68" t="s">
        <v>479</v>
      </c>
      <c r="F296" s="69">
        <v>8</v>
      </c>
      <c r="G296" s="70">
        <v>545</v>
      </c>
      <c r="H296" s="71">
        <v>849</v>
      </c>
    </row>
    <row r="297" spans="1:8" x14ac:dyDescent="0.2">
      <c r="A297" s="83" t="s">
        <v>1654</v>
      </c>
      <c r="B297" s="63">
        <v>0.45225806451612899</v>
      </c>
      <c r="C297" s="64" t="s">
        <v>164</v>
      </c>
      <c r="D297" s="8"/>
      <c r="E297" s="68" t="s">
        <v>480</v>
      </c>
      <c r="F297" s="69">
        <v>8</v>
      </c>
      <c r="G297" s="70">
        <v>545</v>
      </c>
      <c r="H297" s="71">
        <v>849</v>
      </c>
    </row>
    <row r="298" spans="1:8" x14ac:dyDescent="0.2">
      <c r="A298" s="83" t="s">
        <v>1655</v>
      </c>
      <c r="B298" s="63">
        <v>0.45652173913043498</v>
      </c>
      <c r="C298" s="64" t="s">
        <v>165</v>
      </c>
      <c r="D298" s="8"/>
      <c r="E298" s="68" t="s">
        <v>481</v>
      </c>
      <c r="F298" s="69">
        <v>25</v>
      </c>
      <c r="G298" s="70">
        <v>1604</v>
      </c>
      <c r="H298" s="71">
        <v>2500</v>
      </c>
    </row>
    <row r="299" spans="1:8" x14ac:dyDescent="0.2">
      <c r="A299" s="83" t="s">
        <v>1656</v>
      </c>
      <c r="B299" s="63">
        <v>0.44896551724137901</v>
      </c>
      <c r="C299" s="64" t="s">
        <v>166</v>
      </c>
      <c r="D299" s="8"/>
      <c r="E299" s="68" t="s">
        <v>482</v>
      </c>
      <c r="F299" s="69">
        <v>8</v>
      </c>
      <c r="G299" s="70">
        <v>513</v>
      </c>
      <c r="H299" s="71">
        <v>799</v>
      </c>
    </row>
    <row r="300" spans="1:8" x14ac:dyDescent="0.2">
      <c r="A300" s="83" t="s">
        <v>1657</v>
      </c>
      <c r="B300" s="63">
        <v>0.39130434782608697</v>
      </c>
      <c r="C300" s="64" t="s">
        <v>167</v>
      </c>
      <c r="D300" s="8"/>
      <c r="E300" s="68" t="s">
        <v>483</v>
      </c>
      <c r="F300" s="69">
        <v>28</v>
      </c>
      <c r="G300" s="70">
        <v>1797</v>
      </c>
      <c r="H300" s="71">
        <v>2800</v>
      </c>
    </row>
    <row r="301" spans="1:8" x14ac:dyDescent="0.2">
      <c r="A301" s="83" t="s">
        <v>1658</v>
      </c>
      <c r="B301" s="63">
        <v>0.32692307692307698</v>
      </c>
      <c r="C301" s="64" t="s">
        <v>168</v>
      </c>
      <c r="D301" s="8"/>
      <c r="E301" s="68" t="s">
        <v>484</v>
      </c>
      <c r="F301" s="69">
        <v>35</v>
      </c>
      <c r="G301" s="70">
        <v>2245</v>
      </c>
      <c r="H301" s="71">
        <v>3500</v>
      </c>
    </row>
    <row r="302" spans="1:8" x14ac:dyDescent="0.2">
      <c r="A302" s="83" t="s">
        <v>1659</v>
      </c>
      <c r="B302" s="63">
        <v>0.35099999999999998</v>
      </c>
      <c r="C302" s="64" t="s">
        <v>169</v>
      </c>
      <c r="D302" s="8"/>
      <c r="E302" s="68" t="s">
        <v>485</v>
      </c>
      <c r="F302" s="69">
        <v>6</v>
      </c>
      <c r="G302" s="70">
        <v>417</v>
      </c>
      <c r="H302" s="71">
        <v>649</v>
      </c>
    </row>
    <row r="303" spans="1:8" x14ac:dyDescent="0.2">
      <c r="A303" s="83" t="s">
        <v>1660</v>
      </c>
      <c r="B303" s="63">
        <v>0.35099999999999998</v>
      </c>
      <c r="C303" s="64" t="s">
        <v>169</v>
      </c>
      <c r="D303" s="8"/>
      <c r="E303" s="68" t="s">
        <v>486</v>
      </c>
      <c r="F303" s="69">
        <v>6</v>
      </c>
      <c r="G303" s="70">
        <v>417</v>
      </c>
      <c r="H303" s="71">
        <v>649</v>
      </c>
    </row>
    <row r="304" spans="1:8" x14ac:dyDescent="0.2">
      <c r="A304" s="83" t="s">
        <v>1661</v>
      </c>
      <c r="B304" s="63">
        <v>0.54314285714285704</v>
      </c>
      <c r="C304" s="64" t="s">
        <v>49</v>
      </c>
      <c r="D304" s="8"/>
      <c r="E304" s="68" t="s">
        <v>487</v>
      </c>
      <c r="F304" s="69">
        <v>16</v>
      </c>
      <c r="G304" s="70">
        <v>1026</v>
      </c>
      <c r="H304" s="71">
        <v>1599</v>
      </c>
    </row>
    <row r="305" spans="1:8" x14ac:dyDescent="0.2">
      <c r="A305" s="83" t="s">
        <v>1662</v>
      </c>
      <c r="B305" s="63">
        <v>0.54314285714285704</v>
      </c>
      <c r="C305" s="64" t="s">
        <v>170</v>
      </c>
      <c r="D305" s="8"/>
      <c r="E305" s="68" t="s">
        <v>488</v>
      </c>
      <c r="F305" s="69">
        <v>16</v>
      </c>
      <c r="G305" s="70">
        <v>1026</v>
      </c>
      <c r="H305" s="71">
        <v>1599</v>
      </c>
    </row>
    <row r="306" spans="1:8" x14ac:dyDescent="0.2">
      <c r="A306" s="83" t="s">
        <v>1663</v>
      </c>
      <c r="B306" s="63">
        <v>0.39130434782608697</v>
      </c>
      <c r="C306" s="64" t="s">
        <v>171</v>
      </c>
      <c r="D306" s="8"/>
      <c r="E306" s="68" t="s">
        <v>489</v>
      </c>
      <c r="F306" s="69">
        <v>28</v>
      </c>
      <c r="G306" s="70">
        <v>1797</v>
      </c>
      <c r="H306" s="71">
        <v>2800</v>
      </c>
    </row>
    <row r="307" spans="1:8" x14ac:dyDescent="0.2">
      <c r="A307" s="83" t="s">
        <v>1664</v>
      </c>
      <c r="B307" s="63">
        <v>0.446987951807229</v>
      </c>
      <c r="C307" s="64" t="s">
        <v>171</v>
      </c>
      <c r="D307" s="8"/>
      <c r="E307" s="68" t="s">
        <v>490</v>
      </c>
      <c r="F307" s="69">
        <v>5</v>
      </c>
      <c r="G307" s="70">
        <v>295</v>
      </c>
      <c r="H307" s="71">
        <v>459</v>
      </c>
    </row>
    <row r="308" spans="1:8" x14ac:dyDescent="0.2">
      <c r="A308" s="83" t="s">
        <v>1665</v>
      </c>
      <c r="B308" s="63">
        <v>0.45652173913043498</v>
      </c>
      <c r="C308" s="64" t="s">
        <v>172</v>
      </c>
      <c r="D308" s="8"/>
      <c r="E308" s="68" t="s">
        <v>491</v>
      </c>
      <c r="F308" s="69">
        <v>25</v>
      </c>
      <c r="G308" s="70">
        <v>1604</v>
      </c>
      <c r="H308" s="71">
        <v>2500</v>
      </c>
    </row>
    <row r="309" spans="1:8" x14ac:dyDescent="0.2">
      <c r="A309" s="83" t="s">
        <v>1666</v>
      </c>
      <c r="B309" s="63">
        <v>0.48599999999999999</v>
      </c>
      <c r="C309" s="64" t="s">
        <v>173</v>
      </c>
      <c r="D309" s="8"/>
      <c r="E309" s="68" t="s">
        <v>21</v>
      </c>
      <c r="F309" s="69">
        <v>18</v>
      </c>
      <c r="G309" s="70">
        <v>1154</v>
      </c>
      <c r="H309" s="71">
        <v>1799</v>
      </c>
    </row>
    <row r="310" spans="1:8" x14ac:dyDescent="0.2">
      <c r="A310" s="83" t="s">
        <v>1667</v>
      </c>
      <c r="B310" s="63">
        <v>0.50041666666666695</v>
      </c>
      <c r="C310" s="64" t="s">
        <v>151</v>
      </c>
      <c r="D310" s="8"/>
      <c r="E310" s="68" t="s">
        <v>492</v>
      </c>
      <c r="F310" s="69">
        <v>12</v>
      </c>
      <c r="G310" s="70">
        <v>769</v>
      </c>
      <c r="H310" s="71">
        <v>1199</v>
      </c>
    </row>
    <row r="311" spans="1:8" x14ac:dyDescent="0.2">
      <c r="A311" s="83" t="s">
        <v>1668</v>
      </c>
      <c r="B311" s="63">
        <v>0.35099999999999998</v>
      </c>
      <c r="C311" s="64" t="s">
        <v>169</v>
      </c>
      <c r="D311" s="8"/>
      <c r="E311" s="68" t="s">
        <v>493</v>
      </c>
      <c r="F311" s="69">
        <v>6</v>
      </c>
      <c r="G311" s="70">
        <v>417</v>
      </c>
      <c r="H311" s="71">
        <v>649</v>
      </c>
    </row>
    <row r="312" spans="1:8" x14ac:dyDescent="0.2">
      <c r="A312" s="83" t="s">
        <v>1669</v>
      </c>
      <c r="B312" s="63">
        <v>0.439268292682927</v>
      </c>
      <c r="C312" s="64" t="s">
        <v>163</v>
      </c>
      <c r="D312" s="8"/>
      <c r="E312" s="68" t="s">
        <v>494</v>
      </c>
      <c r="F312" s="69">
        <v>23</v>
      </c>
      <c r="G312" s="70">
        <v>1475</v>
      </c>
      <c r="H312" s="71">
        <v>2299</v>
      </c>
    </row>
    <row r="313" spans="1:8" x14ac:dyDescent="0.2">
      <c r="A313" s="83" t="s">
        <v>1670</v>
      </c>
      <c r="B313" s="63">
        <v>0.446987951807229</v>
      </c>
      <c r="C313" s="64" t="s">
        <v>174</v>
      </c>
      <c r="D313" s="8"/>
      <c r="E313" s="68" t="s">
        <v>495</v>
      </c>
      <c r="F313" s="69">
        <v>5</v>
      </c>
      <c r="G313" s="70">
        <v>295</v>
      </c>
      <c r="H313" s="71">
        <v>459</v>
      </c>
    </row>
    <row r="314" spans="1:8" x14ac:dyDescent="0.2">
      <c r="A314" s="83" t="s">
        <v>1671</v>
      </c>
      <c r="B314" s="63">
        <v>0.35099999999999998</v>
      </c>
      <c r="C314" s="64" t="s">
        <v>175</v>
      </c>
      <c r="D314" s="8"/>
      <c r="E314" s="68" t="s">
        <v>496</v>
      </c>
      <c r="F314" s="69">
        <v>6</v>
      </c>
      <c r="G314" s="70">
        <v>417</v>
      </c>
      <c r="H314" s="71">
        <v>649</v>
      </c>
    </row>
    <row r="315" spans="1:8" x14ac:dyDescent="0.2">
      <c r="A315" s="83" t="s">
        <v>1672</v>
      </c>
      <c r="B315" s="63">
        <v>0.47421052631579003</v>
      </c>
      <c r="C315" s="64" t="s">
        <v>176</v>
      </c>
      <c r="D315" s="8"/>
      <c r="E315" s="68" t="s">
        <v>497</v>
      </c>
      <c r="F315" s="69">
        <v>10</v>
      </c>
      <c r="G315" s="70">
        <v>641</v>
      </c>
      <c r="H315" s="71">
        <v>999</v>
      </c>
    </row>
    <row r="316" spans="1:8" x14ac:dyDescent="0.2">
      <c r="A316" s="83" t="s">
        <v>1673</v>
      </c>
      <c r="B316" s="63">
        <v>0.35099999999999998</v>
      </c>
      <c r="C316" s="64" t="s">
        <v>175</v>
      </c>
      <c r="D316" s="8"/>
      <c r="E316" s="68" t="s">
        <v>498</v>
      </c>
      <c r="F316" s="69">
        <v>6</v>
      </c>
      <c r="G316" s="70">
        <v>417</v>
      </c>
      <c r="H316" s="71">
        <v>649</v>
      </c>
    </row>
    <row r="317" spans="1:8" x14ac:dyDescent="0.2">
      <c r="A317" s="83" t="s">
        <v>1674</v>
      </c>
      <c r="B317" s="63">
        <v>0.35099999999999998</v>
      </c>
      <c r="C317" s="64" t="s">
        <v>175</v>
      </c>
      <c r="D317" s="8"/>
      <c r="E317" s="68" t="s">
        <v>499</v>
      </c>
      <c r="F317" s="69">
        <v>6</v>
      </c>
      <c r="G317" s="70">
        <v>417</v>
      </c>
      <c r="H317" s="71">
        <v>649</v>
      </c>
    </row>
    <row r="318" spans="1:8" x14ac:dyDescent="0.2">
      <c r="A318" s="83" t="s">
        <v>1675</v>
      </c>
      <c r="B318" s="63">
        <v>0.60033333333333305</v>
      </c>
      <c r="C318" s="64" t="s">
        <v>177</v>
      </c>
      <c r="D318" s="8"/>
      <c r="E318" s="68" t="s">
        <v>500</v>
      </c>
      <c r="F318" s="69">
        <v>12</v>
      </c>
      <c r="G318" s="70">
        <v>769</v>
      </c>
      <c r="H318" s="71">
        <v>1199</v>
      </c>
    </row>
    <row r="319" spans="1:8" x14ac:dyDescent="0.2">
      <c r="A319" s="83" t="s">
        <v>1676</v>
      </c>
      <c r="B319" s="63">
        <v>0.42885714285714299</v>
      </c>
      <c r="C319" s="64" t="s">
        <v>178</v>
      </c>
      <c r="D319" s="8"/>
      <c r="E319" s="68" t="s">
        <v>501</v>
      </c>
      <c r="F319" s="69">
        <v>20</v>
      </c>
      <c r="G319" s="70">
        <v>1283</v>
      </c>
      <c r="H319" s="71">
        <v>1999</v>
      </c>
    </row>
    <row r="320" spans="1:8" x14ac:dyDescent="0.2">
      <c r="A320" s="83" t="s">
        <v>807</v>
      </c>
      <c r="B320" s="63">
        <v>0.50041666666666695</v>
      </c>
      <c r="C320" s="64" t="s">
        <v>179</v>
      </c>
      <c r="D320" s="8"/>
      <c r="E320" s="68" t="s">
        <v>502</v>
      </c>
      <c r="F320" s="69">
        <v>12</v>
      </c>
      <c r="G320" s="70">
        <v>769</v>
      </c>
      <c r="H320" s="71">
        <v>1199</v>
      </c>
    </row>
    <row r="321" spans="1:8" x14ac:dyDescent="0.2">
      <c r="A321" s="83" t="s">
        <v>810</v>
      </c>
      <c r="B321" s="63">
        <v>0.36363636363636398</v>
      </c>
      <c r="C321" s="64" t="s">
        <v>180</v>
      </c>
      <c r="D321" s="8"/>
      <c r="E321" s="68" t="s">
        <v>503</v>
      </c>
      <c r="F321" s="69">
        <v>35</v>
      </c>
      <c r="G321" s="70">
        <v>2245</v>
      </c>
      <c r="H321" s="71">
        <v>3500</v>
      </c>
    </row>
    <row r="322" spans="1:8" x14ac:dyDescent="0.2">
      <c r="A322" s="83" t="s">
        <v>1677</v>
      </c>
      <c r="B322" s="63">
        <v>0.50041666666666695</v>
      </c>
      <c r="C322" s="64" t="s">
        <v>178</v>
      </c>
      <c r="D322" s="8"/>
      <c r="E322" s="68" t="s">
        <v>504</v>
      </c>
      <c r="F322" s="69">
        <v>12</v>
      </c>
      <c r="G322" s="70">
        <v>769</v>
      </c>
      <c r="H322" s="71">
        <v>1199</v>
      </c>
    </row>
    <row r="323" spans="1:8" x14ac:dyDescent="0.2">
      <c r="A323" s="83" t="s">
        <v>1678</v>
      </c>
      <c r="B323" s="63">
        <v>0.41708333333333297</v>
      </c>
      <c r="C323" s="64" t="s">
        <v>178</v>
      </c>
      <c r="D323" s="8"/>
      <c r="E323" s="68" t="s">
        <v>505</v>
      </c>
      <c r="F323" s="69">
        <v>14</v>
      </c>
      <c r="G323" s="70">
        <v>898</v>
      </c>
      <c r="H323" s="71">
        <v>1399</v>
      </c>
    </row>
    <row r="324" spans="1:8" x14ac:dyDescent="0.2">
      <c r="A324" s="83" t="s">
        <v>1679</v>
      </c>
      <c r="B324" s="63">
        <v>0.32692307692307698</v>
      </c>
      <c r="C324" s="64" t="s">
        <v>174</v>
      </c>
      <c r="D324" s="8"/>
      <c r="E324" s="68" t="s">
        <v>506</v>
      </c>
      <c r="F324" s="69">
        <v>35</v>
      </c>
      <c r="G324" s="70">
        <v>2245</v>
      </c>
      <c r="H324" s="71">
        <v>3500</v>
      </c>
    </row>
    <row r="325" spans="1:8" ht="15" thickBot="1" x14ac:dyDescent="0.25">
      <c r="A325" s="83" t="s">
        <v>1680</v>
      </c>
      <c r="B325" s="63">
        <v>0.40028571428571402</v>
      </c>
      <c r="C325" s="64" t="s">
        <v>173</v>
      </c>
      <c r="D325" s="8"/>
      <c r="E325" s="68" t="s">
        <v>507</v>
      </c>
      <c r="F325" s="69">
        <v>21</v>
      </c>
      <c r="G325" s="70">
        <v>1346</v>
      </c>
      <c r="H325" s="71">
        <v>2099</v>
      </c>
    </row>
    <row r="326" spans="1:8" ht="15" thickBot="1" x14ac:dyDescent="0.25">
      <c r="A326" s="56" t="s">
        <v>41</v>
      </c>
      <c r="B326" s="57"/>
      <c r="C326" s="57"/>
      <c r="D326" s="58"/>
      <c r="E326" s="82" t="s">
        <v>508</v>
      </c>
      <c r="F326" s="60"/>
      <c r="G326" s="61"/>
      <c r="H326" s="61"/>
    </row>
    <row r="327" spans="1:8" x14ac:dyDescent="0.2">
      <c r="A327" s="83" t="s">
        <v>1681</v>
      </c>
      <c r="B327" s="63">
        <v>0.50052631578947404</v>
      </c>
      <c r="C327" s="64" t="s">
        <v>181</v>
      </c>
      <c r="D327" s="8"/>
      <c r="E327" s="68" t="s">
        <v>509</v>
      </c>
      <c r="F327" s="69">
        <v>9</v>
      </c>
      <c r="G327" s="70">
        <v>609</v>
      </c>
      <c r="H327" s="71">
        <v>949</v>
      </c>
    </row>
    <row r="328" spans="1:8" x14ac:dyDescent="0.2">
      <c r="A328" s="83" t="s">
        <v>1682</v>
      </c>
      <c r="B328" s="63">
        <v>0.50041666666666695</v>
      </c>
      <c r="C328" s="64" t="s">
        <v>182</v>
      </c>
      <c r="D328" s="8"/>
      <c r="E328" s="68" t="s">
        <v>510</v>
      </c>
      <c r="F328" s="69">
        <v>12</v>
      </c>
      <c r="G328" s="70">
        <v>769</v>
      </c>
      <c r="H328" s="71">
        <v>1199</v>
      </c>
    </row>
    <row r="329" spans="1:8" x14ac:dyDescent="0.2">
      <c r="A329" s="83" t="s">
        <v>777</v>
      </c>
      <c r="B329" s="63">
        <v>0.39130434782608697</v>
      </c>
      <c r="C329" s="64" t="s">
        <v>183</v>
      </c>
      <c r="D329" s="8"/>
      <c r="E329" s="68" t="s">
        <v>511</v>
      </c>
      <c r="F329" s="69">
        <v>28</v>
      </c>
      <c r="G329" s="70">
        <v>1797</v>
      </c>
      <c r="H329" s="71">
        <v>2800</v>
      </c>
    </row>
    <row r="330" spans="1:8" x14ac:dyDescent="0.2">
      <c r="A330" s="83" t="s">
        <v>1683</v>
      </c>
      <c r="B330" s="63">
        <v>0.39130434782608697</v>
      </c>
      <c r="C330" s="64" t="s">
        <v>183</v>
      </c>
      <c r="D330" s="8"/>
      <c r="E330" s="68" t="s">
        <v>512</v>
      </c>
      <c r="F330" s="69">
        <v>28</v>
      </c>
      <c r="G330" s="70">
        <v>1797</v>
      </c>
      <c r="H330" s="71">
        <v>2800</v>
      </c>
    </row>
    <row r="331" spans="1:8" x14ac:dyDescent="0.2">
      <c r="A331" s="83" t="s">
        <v>1684</v>
      </c>
      <c r="B331" s="63">
        <v>0.36538461538461497</v>
      </c>
      <c r="C331" s="64" t="s">
        <v>184</v>
      </c>
      <c r="D331" s="8"/>
      <c r="E331" s="68" t="s">
        <v>513</v>
      </c>
      <c r="F331" s="69">
        <v>33</v>
      </c>
      <c r="G331" s="70">
        <v>2117</v>
      </c>
      <c r="H331" s="71">
        <v>3300</v>
      </c>
    </row>
    <row r="332" spans="1:8" x14ac:dyDescent="0.2">
      <c r="A332" s="83" t="s">
        <v>1685</v>
      </c>
      <c r="B332" s="63">
        <v>0.50041666666666695</v>
      </c>
      <c r="C332" s="64" t="s">
        <v>185</v>
      </c>
      <c r="D332" s="8"/>
      <c r="E332" s="68" t="s">
        <v>514</v>
      </c>
      <c r="F332" s="69">
        <v>12</v>
      </c>
      <c r="G332" s="70">
        <v>769</v>
      </c>
      <c r="H332" s="71">
        <v>1199</v>
      </c>
    </row>
    <row r="333" spans="1:8" x14ac:dyDescent="0.2">
      <c r="A333" s="83" t="s">
        <v>1686</v>
      </c>
      <c r="B333" s="63">
        <v>0.40028571428571402</v>
      </c>
      <c r="C333" s="64" t="s">
        <v>185</v>
      </c>
      <c r="D333" s="8"/>
      <c r="E333" s="68" t="s">
        <v>515</v>
      </c>
      <c r="F333" s="69">
        <v>21</v>
      </c>
      <c r="G333" s="70">
        <v>1346</v>
      </c>
      <c r="H333" s="71">
        <v>2099</v>
      </c>
    </row>
    <row r="334" spans="1:8" x14ac:dyDescent="0.2">
      <c r="A334" s="83" t="s">
        <v>1687</v>
      </c>
      <c r="B334" s="63">
        <v>0.421578947368421</v>
      </c>
      <c r="C334" s="64" t="s">
        <v>185</v>
      </c>
      <c r="D334" s="8"/>
      <c r="E334" s="68" t="s">
        <v>516</v>
      </c>
      <c r="F334" s="69">
        <v>11</v>
      </c>
      <c r="G334" s="70">
        <v>705</v>
      </c>
      <c r="H334" s="71">
        <v>1099</v>
      </c>
    </row>
    <row r="335" spans="1:8" x14ac:dyDescent="0.2">
      <c r="A335" s="83" t="s">
        <v>1688</v>
      </c>
      <c r="B335" s="63">
        <v>0.54314285714285704</v>
      </c>
      <c r="C335" s="64" t="s">
        <v>186</v>
      </c>
      <c r="D335" s="8"/>
      <c r="E335" s="68" t="s">
        <v>517</v>
      </c>
      <c r="F335" s="69">
        <v>16</v>
      </c>
      <c r="G335" s="70">
        <v>1026</v>
      </c>
      <c r="H335" s="71">
        <v>1599</v>
      </c>
    </row>
    <row r="336" spans="1:8" x14ac:dyDescent="0.2">
      <c r="A336" s="83" t="s">
        <v>1689</v>
      </c>
      <c r="B336" s="63">
        <v>0.54314285714285704</v>
      </c>
      <c r="C336" s="64" t="s">
        <v>187</v>
      </c>
      <c r="D336" s="8"/>
      <c r="E336" s="68" t="s">
        <v>518</v>
      </c>
      <c r="F336" s="69">
        <v>16</v>
      </c>
      <c r="G336" s="70">
        <v>1026</v>
      </c>
      <c r="H336" s="71">
        <v>1599</v>
      </c>
    </row>
    <row r="337" spans="1:8" x14ac:dyDescent="0.2">
      <c r="A337" s="83" t="s">
        <v>1690</v>
      </c>
      <c r="B337" s="63">
        <v>0.47421052631579003</v>
      </c>
      <c r="C337" s="64" t="s">
        <v>188</v>
      </c>
      <c r="D337" s="8"/>
      <c r="E337" s="68" t="s">
        <v>519</v>
      </c>
      <c r="F337" s="69">
        <v>10</v>
      </c>
      <c r="G337" s="70">
        <v>641</v>
      </c>
      <c r="H337" s="71">
        <v>999</v>
      </c>
    </row>
    <row r="338" spans="1:8" x14ac:dyDescent="0.2">
      <c r="A338" s="83" t="s">
        <v>1691</v>
      </c>
      <c r="B338" s="63">
        <v>0.47421052631579003</v>
      </c>
      <c r="C338" s="64" t="s">
        <v>189</v>
      </c>
      <c r="D338" s="8"/>
      <c r="E338" s="68" t="s">
        <v>520</v>
      </c>
      <c r="F338" s="69">
        <v>10</v>
      </c>
      <c r="G338" s="70">
        <v>641</v>
      </c>
      <c r="H338" s="71">
        <v>999</v>
      </c>
    </row>
    <row r="339" spans="1:8" x14ac:dyDescent="0.2">
      <c r="A339" s="83" t="s">
        <v>1692</v>
      </c>
      <c r="B339" s="63">
        <v>0.50052631578947404</v>
      </c>
      <c r="C339" s="64" t="s">
        <v>190</v>
      </c>
      <c r="D339" s="8"/>
      <c r="E339" s="68" t="s">
        <v>521</v>
      </c>
      <c r="F339" s="69">
        <v>9</v>
      </c>
      <c r="G339" s="70">
        <v>609</v>
      </c>
      <c r="H339" s="71">
        <v>949</v>
      </c>
    </row>
    <row r="340" spans="1:8" x14ac:dyDescent="0.2">
      <c r="A340" s="83" t="s">
        <v>1693</v>
      </c>
      <c r="B340" s="63">
        <v>0.40033333333333299</v>
      </c>
      <c r="C340" s="64" t="s">
        <v>185</v>
      </c>
      <c r="D340" s="8"/>
      <c r="E340" s="68" t="s">
        <v>522</v>
      </c>
      <c r="F340" s="69">
        <v>18</v>
      </c>
      <c r="G340" s="70">
        <v>1154</v>
      </c>
      <c r="H340" s="71">
        <v>1799</v>
      </c>
    </row>
    <row r="341" spans="1:8" ht="15" thickBot="1" x14ac:dyDescent="0.25">
      <c r="A341" s="83" t="s">
        <v>1694</v>
      </c>
      <c r="B341" s="63">
        <v>0.50041666666666695</v>
      </c>
      <c r="C341" s="64" t="s">
        <v>191</v>
      </c>
      <c r="D341" s="8"/>
      <c r="E341" s="68" t="s">
        <v>523</v>
      </c>
      <c r="F341" s="69">
        <v>12</v>
      </c>
      <c r="G341" s="70">
        <v>769</v>
      </c>
      <c r="H341" s="71">
        <v>1199</v>
      </c>
    </row>
    <row r="342" spans="1:8" ht="15" thickBot="1" x14ac:dyDescent="0.25">
      <c r="A342" s="56" t="s">
        <v>41</v>
      </c>
      <c r="B342" s="57"/>
      <c r="C342" s="57"/>
      <c r="D342" s="58"/>
      <c r="E342" s="82" t="s">
        <v>524</v>
      </c>
      <c r="F342" s="60"/>
      <c r="G342" s="61"/>
      <c r="H342" s="61"/>
    </row>
    <row r="343" spans="1:8" x14ac:dyDescent="0.2">
      <c r="A343" s="83" t="s">
        <v>1695</v>
      </c>
      <c r="B343" s="63">
        <v>0.44428571428571401</v>
      </c>
      <c r="C343" s="64" t="s">
        <v>188</v>
      </c>
      <c r="D343" s="8"/>
      <c r="E343" s="68" t="s">
        <v>525</v>
      </c>
      <c r="F343" s="69">
        <v>4</v>
      </c>
      <c r="G343" s="70">
        <v>249</v>
      </c>
      <c r="H343" s="71">
        <v>389</v>
      </c>
    </row>
    <row r="344" spans="1:8" x14ac:dyDescent="0.2">
      <c r="A344" s="83" t="s">
        <v>1696</v>
      </c>
      <c r="B344" s="63">
        <v>0.400666666666667</v>
      </c>
      <c r="C344" s="64" t="s">
        <v>192</v>
      </c>
      <c r="D344" s="8"/>
      <c r="E344" s="68" t="s">
        <v>526</v>
      </c>
      <c r="F344" s="69">
        <v>9</v>
      </c>
      <c r="G344" s="70">
        <v>577</v>
      </c>
      <c r="H344" s="71">
        <v>899</v>
      </c>
    </row>
    <row r="345" spans="1:8" x14ac:dyDescent="0.2">
      <c r="A345" s="83" t="s">
        <v>1697</v>
      </c>
      <c r="B345" s="63">
        <v>0.385128205128205</v>
      </c>
      <c r="C345" s="64" t="s">
        <v>192</v>
      </c>
      <c r="D345" s="8"/>
      <c r="E345" s="68" t="s">
        <v>527</v>
      </c>
      <c r="F345" s="69">
        <v>12</v>
      </c>
      <c r="G345" s="70">
        <v>769</v>
      </c>
      <c r="H345" s="71">
        <v>1199</v>
      </c>
    </row>
    <row r="346" spans="1:8" x14ac:dyDescent="0.2">
      <c r="A346" s="83" t="s">
        <v>1698</v>
      </c>
      <c r="B346" s="63">
        <v>0.385128205128205</v>
      </c>
      <c r="C346" s="64" t="s">
        <v>192</v>
      </c>
      <c r="D346" s="8"/>
      <c r="E346" s="68" t="s">
        <v>528</v>
      </c>
      <c r="F346" s="69">
        <v>12</v>
      </c>
      <c r="G346" s="70">
        <v>769</v>
      </c>
      <c r="H346" s="71">
        <v>1199</v>
      </c>
    </row>
    <row r="347" spans="1:8" x14ac:dyDescent="0.2">
      <c r="A347" s="83" t="s">
        <v>1699</v>
      </c>
      <c r="B347" s="63">
        <v>0.45243902439024403</v>
      </c>
      <c r="C347" s="64" t="s">
        <v>193</v>
      </c>
      <c r="D347" s="8"/>
      <c r="E347" s="68" t="s">
        <v>529</v>
      </c>
      <c r="F347" s="69">
        <v>4</v>
      </c>
      <c r="G347" s="70">
        <v>288</v>
      </c>
      <c r="H347" s="71">
        <v>449</v>
      </c>
    </row>
    <row r="348" spans="1:8" x14ac:dyDescent="0.2">
      <c r="A348" s="83" t="s">
        <v>1700</v>
      </c>
      <c r="B348" s="63">
        <v>0.45243902439024403</v>
      </c>
      <c r="C348" s="64" t="s">
        <v>193</v>
      </c>
      <c r="D348" s="8"/>
      <c r="E348" s="68" t="s">
        <v>530</v>
      </c>
      <c r="F348" s="69">
        <v>4</v>
      </c>
      <c r="G348" s="70">
        <v>288</v>
      </c>
      <c r="H348" s="71">
        <v>449</v>
      </c>
    </row>
    <row r="349" spans="1:8" x14ac:dyDescent="0.2">
      <c r="A349" s="83" t="s">
        <v>1701</v>
      </c>
      <c r="B349" s="63">
        <v>0.39217391304347798</v>
      </c>
      <c r="C349" s="64" t="s">
        <v>194</v>
      </c>
      <c r="D349" s="8"/>
      <c r="E349" s="68" t="s">
        <v>531</v>
      </c>
      <c r="F349" s="69">
        <v>7</v>
      </c>
      <c r="G349" s="70">
        <v>449</v>
      </c>
      <c r="H349" s="71">
        <v>699</v>
      </c>
    </row>
    <row r="350" spans="1:8" x14ac:dyDescent="0.2">
      <c r="A350" s="83" t="s">
        <v>1702</v>
      </c>
      <c r="B350" s="63">
        <v>0.35270270270270299</v>
      </c>
      <c r="C350" s="64" t="s">
        <v>194</v>
      </c>
      <c r="D350" s="8"/>
      <c r="E350" s="68" t="s">
        <v>532</v>
      </c>
      <c r="F350" s="69">
        <v>5</v>
      </c>
      <c r="G350" s="70">
        <v>307</v>
      </c>
      <c r="H350" s="71">
        <v>479</v>
      </c>
    </row>
    <row r="351" spans="1:8" x14ac:dyDescent="0.2">
      <c r="A351" s="83" t="s">
        <v>1703</v>
      </c>
      <c r="B351" s="63">
        <v>0.417241379310345</v>
      </c>
      <c r="C351" s="64" t="s">
        <v>195</v>
      </c>
      <c r="D351" s="8"/>
      <c r="E351" s="68" t="s">
        <v>533</v>
      </c>
      <c r="F351" s="69">
        <v>2</v>
      </c>
      <c r="G351" s="70">
        <v>109</v>
      </c>
      <c r="H351" s="71">
        <v>169</v>
      </c>
    </row>
    <row r="352" spans="1:8" x14ac:dyDescent="0.2">
      <c r="A352" s="83" t="s">
        <v>1704</v>
      </c>
      <c r="B352" s="63">
        <v>0.40100000000000002</v>
      </c>
      <c r="C352" s="64" t="s">
        <v>196</v>
      </c>
      <c r="D352" s="8"/>
      <c r="E352" s="68" t="s">
        <v>534</v>
      </c>
      <c r="F352" s="69">
        <v>6</v>
      </c>
      <c r="G352" s="70">
        <v>384</v>
      </c>
      <c r="H352" s="71">
        <v>599</v>
      </c>
    </row>
    <row r="353" spans="1:8" x14ac:dyDescent="0.2">
      <c r="A353" s="83" t="s">
        <v>1705</v>
      </c>
      <c r="B353" s="63">
        <v>0.40100000000000002</v>
      </c>
      <c r="C353" s="64" t="s">
        <v>196</v>
      </c>
      <c r="D353" s="8"/>
      <c r="E353" s="68" t="s">
        <v>535</v>
      </c>
      <c r="F353" s="69">
        <v>6</v>
      </c>
      <c r="G353" s="70">
        <v>384</v>
      </c>
      <c r="H353" s="71">
        <v>599</v>
      </c>
    </row>
    <row r="354" spans="1:8" x14ac:dyDescent="0.2">
      <c r="A354" s="83" t="s">
        <v>1706</v>
      </c>
      <c r="B354" s="63">
        <v>0.40068965517241401</v>
      </c>
      <c r="C354" s="64" t="s">
        <v>196</v>
      </c>
      <c r="D354" s="8"/>
      <c r="E354" s="68" t="s">
        <v>536</v>
      </c>
      <c r="F354" s="69">
        <v>9</v>
      </c>
      <c r="G354" s="70">
        <v>557</v>
      </c>
      <c r="H354" s="71">
        <v>869</v>
      </c>
    </row>
    <row r="355" spans="1:8" x14ac:dyDescent="0.2">
      <c r="A355" s="83" t="s">
        <v>1707</v>
      </c>
      <c r="B355" s="63">
        <v>0.40100000000000002</v>
      </c>
      <c r="C355" s="64" t="s">
        <v>197</v>
      </c>
      <c r="D355" s="8"/>
      <c r="E355" s="68" t="s">
        <v>537</v>
      </c>
      <c r="F355" s="69">
        <v>6</v>
      </c>
      <c r="G355" s="70">
        <v>384</v>
      </c>
      <c r="H355" s="71">
        <v>599</v>
      </c>
    </row>
    <row r="356" spans="1:8" x14ac:dyDescent="0.2">
      <c r="A356" s="83" t="s">
        <v>1708</v>
      </c>
      <c r="B356" s="63">
        <v>0.40079999999999999</v>
      </c>
      <c r="C356" s="64" t="s">
        <v>198</v>
      </c>
      <c r="D356" s="8"/>
      <c r="E356" s="68" t="s">
        <v>538</v>
      </c>
      <c r="F356" s="69">
        <v>7</v>
      </c>
      <c r="G356" s="70">
        <v>480</v>
      </c>
      <c r="H356" s="71">
        <v>749</v>
      </c>
    </row>
    <row r="357" spans="1:8" x14ac:dyDescent="0.2">
      <c r="A357" s="83" t="s">
        <v>1709</v>
      </c>
      <c r="B357" s="63">
        <v>0.40079999999999999</v>
      </c>
      <c r="C357" s="64" t="s">
        <v>198</v>
      </c>
      <c r="D357" s="8"/>
      <c r="E357" s="68" t="s">
        <v>539</v>
      </c>
      <c r="F357" s="69">
        <v>7</v>
      </c>
      <c r="G357" s="70">
        <v>480</v>
      </c>
      <c r="H357" s="71">
        <v>749</v>
      </c>
    </row>
    <row r="358" spans="1:8" x14ac:dyDescent="0.2">
      <c r="A358" s="83" t="s">
        <v>1710</v>
      </c>
      <c r="B358" s="63">
        <v>0.45679999999999998</v>
      </c>
      <c r="C358" s="64" t="s">
        <v>199</v>
      </c>
      <c r="D358" s="8"/>
      <c r="E358" s="68" t="s">
        <v>540</v>
      </c>
      <c r="F358" s="69">
        <v>7</v>
      </c>
      <c r="G358" s="70">
        <v>436</v>
      </c>
      <c r="H358" s="71">
        <v>679</v>
      </c>
    </row>
    <row r="359" spans="1:8" x14ac:dyDescent="0.2">
      <c r="A359" s="83" t="s">
        <v>1711</v>
      </c>
      <c r="B359" s="63">
        <v>0.43846153846153901</v>
      </c>
      <c r="C359" s="64" t="s">
        <v>200</v>
      </c>
      <c r="D359" s="8"/>
      <c r="E359" s="68" t="s">
        <v>541</v>
      </c>
      <c r="F359" s="69">
        <v>2</v>
      </c>
      <c r="G359" s="70">
        <v>141</v>
      </c>
      <c r="H359" s="71">
        <v>219</v>
      </c>
    </row>
    <row r="360" spans="1:8" x14ac:dyDescent="0.2">
      <c r="A360" s="83" t="s">
        <v>1712</v>
      </c>
      <c r="B360" s="63">
        <v>0.50124999999999997</v>
      </c>
      <c r="C360" s="64" t="s">
        <v>190</v>
      </c>
      <c r="D360" s="8"/>
      <c r="E360" s="68" t="s">
        <v>542</v>
      </c>
      <c r="F360" s="69">
        <v>4</v>
      </c>
      <c r="G360" s="70">
        <v>256</v>
      </c>
      <c r="H360" s="71">
        <v>399</v>
      </c>
    </row>
    <row r="361" spans="1:8" x14ac:dyDescent="0.2">
      <c r="A361" s="83" t="s">
        <v>1713</v>
      </c>
      <c r="B361" s="63">
        <v>0.45124999999999998</v>
      </c>
      <c r="C361" s="64" t="s">
        <v>201</v>
      </c>
      <c r="D361" s="8"/>
      <c r="E361" s="68" t="s">
        <v>543</v>
      </c>
      <c r="F361" s="69">
        <v>4</v>
      </c>
      <c r="G361" s="70">
        <v>141</v>
      </c>
      <c r="H361" s="71">
        <v>439</v>
      </c>
    </row>
    <row r="362" spans="1:8" x14ac:dyDescent="0.2">
      <c r="A362" s="83" t="s">
        <v>1714</v>
      </c>
      <c r="B362" s="63">
        <v>0.45124999999999998</v>
      </c>
      <c r="C362" s="64" t="s">
        <v>201</v>
      </c>
      <c r="D362" s="8"/>
      <c r="E362" s="68" t="s">
        <v>544</v>
      </c>
      <c r="F362" s="69">
        <v>4</v>
      </c>
      <c r="G362" s="70">
        <v>141</v>
      </c>
      <c r="H362" s="71">
        <v>439</v>
      </c>
    </row>
    <row r="363" spans="1:8" x14ac:dyDescent="0.2">
      <c r="A363" s="83" t="s">
        <v>1715</v>
      </c>
      <c r="B363" s="63">
        <v>0.45124999999999998</v>
      </c>
      <c r="C363" s="64" t="s">
        <v>200</v>
      </c>
      <c r="D363" s="8"/>
      <c r="E363" s="68" t="s">
        <v>545</v>
      </c>
      <c r="F363" s="69">
        <v>4</v>
      </c>
      <c r="G363" s="70">
        <v>141</v>
      </c>
      <c r="H363" s="71">
        <v>439</v>
      </c>
    </row>
    <row r="364" spans="1:8" x14ac:dyDescent="0.2">
      <c r="A364" s="83" t="s">
        <v>1716</v>
      </c>
      <c r="B364" s="63"/>
      <c r="C364" s="64" t="s">
        <v>202</v>
      </c>
      <c r="D364" s="8"/>
      <c r="E364" s="68" t="s">
        <v>546</v>
      </c>
      <c r="F364" s="69">
        <v>6</v>
      </c>
      <c r="G364" s="70">
        <v>192</v>
      </c>
      <c r="H364" s="71">
        <v>599</v>
      </c>
    </row>
    <row r="365" spans="1:8" x14ac:dyDescent="0.2">
      <c r="A365" s="83" t="s">
        <v>1717</v>
      </c>
      <c r="B365" s="63">
        <v>0.44193548387096798</v>
      </c>
      <c r="C365" s="64" t="s">
        <v>203</v>
      </c>
      <c r="D365" s="8"/>
      <c r="E365" s="68" t="s">
        <v>547</v>
      </c>
      <c r="F365" s="69">
        <v>5</v>
      </c>
      <c r="G365" s="70">
        <v>167</v>
      </c>
      <c r="H365" s="71">
        <v>519</v>
      </c>
    </row>
    <row r="366" spans="1:8" ht="15" thickBot="1" x14ac:dyDescent="0.25">
      <c r="A366" s="83" t="s">
        <v>1718</v>
      </c>
      <c r="B366" s="63">
        <v>0.40181818181818202</v>
      </c>
      <c r="C366" s="64" t="s">
        <v>204</v>
      </c>
      <c r="D366" s="8"/>
      <c r="E366" s="68" t="s">
        <v>547</v>
      </c>
      <c r="F366" s="69">
        <v>3</v>
      </c>
      <c r="G366" s="70">
        <v>105</v>
      </c>
      <c r="H366" s="71">
        <v>329</v>
      </c>
    </row>
    <row r="367" spans="1:8" ht="15" thickBot="1" x14ac:dyDescent="0.25">
      <c r="A367" s="56" t="s">
        <v>41</v>
      </c>
      <c r="B367" s="57"/>
      <c r="C367" s="57"/>
      <c r="D367" s="58"/>
      <c r="E367" s="82" t="s">
        <v>548</v>
      </c>
      <c r="F367" s="60"/>
      <c r="G367" s="61"/>
      <c r="H367" s="61"/>
    </row>
    <row r="368" spans="1:8" x14ac:dyDescent="0.2">
      <c r="A368" s="83" t="s">
        <v>1719</v>
      </c>
      <c r="B368" s="63">
        <v>0.60789473684210504</v>
      </c>
      <c r="C368" s="64" t="s">
        <v>179</v>
      </c>
      <c r="D368" s="8"/>
      <c r="E368" s="68" t="s">
        <v>549</v>
      </c>
      <c r="F368" s="69">
        <v>1</v>
      </c>
      <c r="G368" s="70">
        <v>95</v>
      </c>
      <c r="H368" s="71">
        <v>149</v>
      </c>
    </row>
    <row r="369" spans="1:8" x14ac:dyDescent="0.2">
      <c r="A369" s="83" t="s">
        <v>1720</v>
      </c>
      <c r="B369" s="63">
        <v>0.39565217391304303</v>
      </c>
      <c r="C369" s="64" t="s">
        <v>205</v>
      </c>
      <c r="D369" s="8"/>
      <c r="E369" s="68" t="s">
        <v>550</v>
      </c>
      <c r="F369" s="69">
        <v>1</v>
      </c>
      <c r="G369" s="70">
        <v>90</v>
      </c>
      <c r="H369" s="71">
        <v>139</v>
      </c>
    </row>
    <row r="370" spans="1:8" x14ac:dyDescent="0.2">
      <c r="A370" s="83" t="s">
        <v>1721</v>
      </c>
      <c r="B370" s="63">
        <v>0.391666666666667</v>
      </c>
      <c r="C370" s="64" t="s">
        <v>52</v>
      </c>
      <c r="D370" s="8"/>
      <c r="E370" s="68" t="s">
        <v>551</v>
      </c>
      <c r="F370" s="69">
        <v>2</v>
      </c>
      <c r="G370" s="70">
        <v>141</v>
      </c>
      <c r="H370" s="71">
        <v>219</v>
      </c>
    </row>
    <row r="371" spans="1:8" x14ac:dyDescent="0.2">
      <c r="A371" s="83" t="s">
        <v>1722</v>
      </c>
      <c r="B371" s="63">
        <v>0.45515151515151497</v>
      </c>
      <c r="C371" s="64" t="s">
        <v>52</v>
      </c>
      <c r="D371" s="8"/>
      <c r="E371" s="68" t="s">
        <v>552</v>
      </c>
      <c r="F371" s="69">
        <v>9</v>
      </c>
      <c r="G371" s="70">
        <v>577</v>
      </c>
      <c r="H371" s="71">
        <v>899</v>
      </c>
    </row>
    <row r="372" spans="1:8" x14ac:dyDescent="0.2">
      <c r="A372" s="83" t="s">
        <v>1723</v>
      </c>
      <c r="B372" s="63">
        <v>0.463076923076923</v>
      </c>
      <c r="C372" s="64" t="s">
        <v>206</v>
      </c>
      <c r="D372" s="8"/>
      <c r="E372" s="68" t="s">
        <v>553</v>
      </c>
      <c r="F372" s="69">
        <v>3</v>
      </c>
      <c r="G372" s="70">
        <v>224</v>
      </c>
      <c r="H372" s="71">
        <v>349</v>
      </c>
    </row>
    <row r="373" spans="1:8" x14ac:dyDescent="0.2">
      <c r="A373" s="83" t="s">
        <v>1724</v>
      </c>
      <c r="B373" s="63">
        <v>0.463076923076923</v>
      </c>
      <c r="C373" s="64" t="s">
        <v>206</v>
      </c>
      <c r="D373" s="8"/>
      <c r="E373" s="68" t="s">
        <v>554</v>
      </c>
      <c r="F373" s="69">
        <v>3</v>
      </c>
      <c r="G373" s="70">
        <v>224</v>
      </c>
      <c r="H373" s="71">
        <v>349</v>
      </c>
    </row>
    <row r="374" spans="1:8" x14ac:dyDescent="0.2">
      <c r="A374" s="83" t="s">
        <v>1725</v>
      </c>
      <c r="B374" s="63">
        <v>0.33703703703703702</v>
      </c>
      <c r="C374" s="64" t="s">
        <v>207</v>
      </c>
      <c r="D374" s="8"/>
      <c r="E374" s="68" t="s">
        <v>555</v>
      </c>
      <c r="F374" s="69">
        <v>2</v>
      </c>
      <c r="G374" s="70">
        <v>115</v>
      </c>
      <c r="H374" s="71">
        <v>179</v>
      </c>
    </row>
    <row r="375" spans="1:8" x14ac:dyDescent="0.2">
      <c r="A375" s="83" t="s">
        <v>1726</v>
      </c>
      <c r="B375" s="63">
        <v>0.35777777777777803</v>
      </c>
      <c r="C375" s="64" t="s">
        <v>208</v>
      </c>
      <c r="D375" s="8"/>
      <c r="E375" s="68" t="s">
        <v>556</v>
      </c>
      <c r="F375" s="69">
        <v>3</v>
      </c>
      <c r="G375" s="70">
        <v>186</v>
      </c>
      <c r="H375" s="71">
        <v>289</v>
      </c>
    </row>
    <row r="376" spans="1:8" x14ac:dyDescent="0.2">
      <c r="A376" s="83" t="s">
        <v>1727</v>
      </c>
      <c r="B376" s="63">
        <v>0.40500000000000003</v>
      </c>
      <c r="C376" s="64" t="s">
        <v>205</v>
      </c>
      <c r="D376" s="8"/>
      <c r="E376" s="68" t="s">
        <v>557</v>
      </c>
      <c r="F376" s="69">
        <v>1</v>
      </c>
      <c r="G376" s="70">
        <v>76</v>
      </c>
      <c r="H376" s="71">
        <v>119</v>
      </c>
    </row>
    <row r="377" spans="1:8" x14ac:dyDescent="0.2">
      <c r="A377" s="83" t="s">
        <v>1728</v>
      </c>
      <c r="B377" s="63">
        <v>0.44500000000000001</v>
      </c>
      <c r="C377" s="64" t="s">
        <v>208</v>
      </c>
      <c r="D377" s="8"/>
      <c r="E377" s="68" t="s">
        <v>558</v>
      </c>
      <c r="F377" s="69">
        <v>10</v>
      </c>
      <c r="G377" s="70">
        <v>641</v>
      </c>
      <c r="H377" s="71">
        <v>999</v>
      </c>
    </row>
    <row r="378" spans="1:8" x14ac:dyDescent="0.2">
      <c r="A378" s="83" t="s">
        <v>1729</v>
      </c>
      <c r="B378" s="63">
        <v>0.30199999999999999</v>
      </c>
      <c r="C378" s="64" t="s">
        <v>53</v>
      </c>
      <c r="D378" s="8"/>
      <c r="E378" s="68" t="s">
        <v>559</v>
      </c>
      <c r="F378" s="69">
        <v>3</v>
      </c>
      <c r="G378" s="70">
        <v>224</v>
      </c>
      <c r="H378" s="71">
        <v>349</v>
      </c>
    </row>
    <row r="379" spans="1:8" x14ac:dyDescent="0.2">
      <c r="A379" s="83" t="s">
        <v>1730</v>
      </c>
      <c r="B379" s="63">
        <v>0.35340909090909101</v>
      </c>
      <c r="C379" s="64" t="s">
        <v>53</v>
      </c>
      <c r="D379" s="8"/>
      <c r="E379" s="68" t="s">
        <v>560</v>
      </c>
      <c r="F379" s="69">
        <v>6</v>
      </c>
      <c r="G379" s="70">
        <v>365</v>
      </c>
      <c r="H379" s="71">
        <v>569</v>
      </c>
    </row>
    <row r="380" spans="1:8" x14ac:dyDescent="0.2">
      <c r="A380" s="83" t="s">
        <v>1731</v>
      </c>
      <c r="B380" s="63">
        <v>0.40500000000000003</v>
      </c>
      <c r="C380" s="64" t="s">
        <v>205</v>
      </c>
      <c r="D380" s="8"/>
      <c r="E380" s="68" t="s">
        <v>561</v>
      </c>
      <c r="F380" s="69">
        <v>1</v>
      </c>
      <c r="G380" s="70">
        <v>76</v>
      </c>
      <c r="H380" s="71">
        <v>119</v>
      </c>
    </row>
    <row r="381" spans="1:8" x14ac:dyDescent="0.2">
      <c r="A381" s="83" t="s">
        <v>1732</v>
      </c>
      <c r="B381" s="63">
        <v>0.40500000000000003</v>
      </c>
      <c r="C381" s="64" t="s">
        <v>205</v>
      </c>
      <c r="D381" s="8"/>
      <c r="E381" s="68" t="s">
        <v>562</v>
      </c>
      <c r="F381" s="69">
        <v>1</v>
      </c>
      <c r="G381" s="70">
        <v>76</v>
      </c>
      <c r="H381" s="71">
        <v>119</v>
      </c>
    </row>
    <row r="382" spans="1:8" x14ac:dyDescent="0.2">
      <c r="A382" s="83" t="s">
        <v>1733</v>
      </c>
      <c r="B382" s="63">
        <v>0.30083333333333301</v>
      </c>
      <c r="C382" s="64" t="s">
        <v>194</v>
      </c>
      <c r="D382" s="8"/>
      <c r="E382" s="68" t="s">
        <v>563</v>
      </c>
      <c r="F382" s="69">
        <v>8</v>
      </c>
      <c r="G382" s="70">
        <v>538</v>
      </c>
      <c r="H382" s="71">
        <v>839</v>
      </c>
    </row>
    <row r="383" spans="1:8" x14ac:dyDescent="0.2">
      <c r="A383" s="83" t="s">
        <v>1734</v>
      </c>
      <c r="B383" s="63">
        <v>0.39454545454545498</v>
      </c>
      <c r="C383" s="64" t="s">
        <v>209</v>
      </c>
      <c r="D383" s="8"/>
      <c r="E383" s="68" t="s">
        <v>564</v>
      </c>
      <c r="F383" s="69">
        <v>10</v>
      </c>
      <c r="G383" s="70">
        <v>641</v>
      </c>
      <c r="H383" s="71">
        <v>999</v>
      </c>
    </row>
    <row r="384" spans="1:8" x14ac:dyDescent="0.2">
      <c r="A384" s="83" t="s">
        <v>1735</v>
      </c>
      <c r="B384" s="63">
        <v>0.39454545454545498</v>
      </c>
      <c r="C384" s="64" t="s">
        <v>209</v>
      </c>
      <c r="D384" s="8"/>
      <c r="E384" s="68" t="s">
        <v>565</v>
      </c>
      <c r="F384" s="69">
        <v>10</v>
      </c>
      <c r="G384" s="70">
        <v>641</v>
      </c>
      <c r="H384" s="71">
        <v>999</v>
      </c>
    </row>
    <row r="385" spans="1:8" x14ac:dyDescent="0.2">
      <c r="A385" s="83" t="s">
        <v>1736</v>
      </c>
      <c r="B385" s="63"/>
      <c r="C385" s="64" t="s">
        <v>209</v>
      </c>
      <c r="D385" s="8"/>
      <c r="E385" s="68" t="s">
        <v>566</v>
      </c>
      <c r="F385" s="69">
        <v>16</v>
      </c>
      <c r="G385" s="70">
        <v>1059</v>
      </c>
      <c r="H385" s="71">
        <v>1650</v>
      </c>
    </row>
    <row r="386" spans="1:8" x14ac:dyDescent="0.2">
      <c r="A386" s="83" t="s">
        <v>1737</v>
      </c>
      <c r="B386" s="63">
        <v>0.417241379310345</v>
      </c>
      <c r="C386" s="64" t="s">
        <v>205</v>
      </c>
      <c r="D386" s="8"/>
      <c r="E386" s="68" t="s">
        <v>567</v>
      </c>
      <c r="F386" s="69">
        <v>2</v>
      </c>
      <c r="G386" s="70">
        <v>109</v>
      </c>
      <c r="H386" s="71">
        <v>169</v>
      </c>
    </row>
    <row r="387" spans="1:8" x14ac:dyDescent="0.2">
      <c r="A387" s="83" t="s">
        <v>1738</v>
      </c>
      <c r="B387" s="63">
        <v>0.48260869565217401</v>
      </c>
      <c r="C387" s="64" t="s">
        <v>210</v>
      </c>
      <c r="D387" s="8"/>
      <c r="E387" s="68" t="s">
        <v>568</v>
      </c>
      <c r="F387" s="69">
        <v>1</v>
      </c>
      <c r="G387" s="70">
        <v>76</v>
      </c>
      <c r="H387" s="71">
        <v>119</v>
      </c>
    </row>
    <row r="388" spans="1:8" x14ac:dyDescent="0.2">
      <c r="A388" s="83" t="s">
        <v>1739</v>
      </c>
      <c r="B388" s="63">
        <v>0.34428571428571397</v>
      </c>
      <c r="C388" s="64" t="s">
        <v>208</v>
      </c>
      <c r="D388" s="8"/>
      <c r="E388" s="68" t="s">
        <v>569</v>
      </c>
      <c r="F388" s="69">
        <v>5</v>
      </c>
      <c r="G388" s="70">
        <v>295</v>
      </c>
      <c r="H388" s="71">
        <v>459</v>
      </c>
    </row>
    <row r="389" spans="1:8" x14ac:dyDescent="0.2">
      <c r="A389" s="83" t="s">
        <v>1740</v>
      </c>
      <c r="B389" s="63">
        <v>0.52749999999999997</v>
      </c>
      <c r="C389" s="64" t="s">
        <v>189</v>
      </c>
      <c r="D389" s="8"/>
      <c r="E389" s="68" t="s">
        <v>570</v>
      </c>
      <c r="F389" s="69">
        <v>2</v>
      </c>
      <c r="G389" s="70">
        <v>121</v>
      </c>
      <c r="H389" s="71">
        <v>189</v>
      </c>
    </row>
    <row r="390" spans="1:8" x14ac:dyDescent="0.2">
      <c r="A390" s="83" t="s">
        <v>1741</v>
      </c>
      <c r="B390" s="63">
        <v>0.52749999999999997</v>
      </c>
      <c r="C390" s="64" t="s">
        <v>166</v>
      </c>
      <c r="D390" s="8"/>
      <c r="E390" s="68" t="s">
        <v>571</v>
      </c>
      <c r="F390" s="69">
        <v>2</v>
      </c>
      <c r="G390" s="70">
        <v>121</v>
      </c>
      <c r="H390" s="71">
        <v>189</v>
      </c>
    </row>
    <row r="391" spans="1:8" x14ac:dyDescent="0.2">
      <c r="A391" s="83" t="s">
        <v>1742</v>
      </c>
      <c r="B391" s="63">
        <v>0.39565217391304303</v>
      </c>
      <c r="C391" s="64" t="s">
        <v>205</v>
      </c>
      <c r="D391" s="8"/>
      <c r="E391" s="68" t="s">
        <v>572</v>
      </c>
      <c r="F391" s="69">
        <v>1</v>
      </c>
      <c r="G391" s="70">
        <v>90</v>
      </c>
      <c r="H391" s="71">
        <v>139</v>
      </c>
    </row>
    <row r="392" spans="1:8" x14ac:dyDescent="0.2">
      <c r="A392" s="83" t="s">
        <v>1743</v>
      </c>
      <c r="B392" s="63"/>
      <c r="C392" s="64" t="s">
        <v>209</v>
      </c>
      <c r="D392" s="8"/>
      <c r="E392" s="68" t="s">
        <v>573</v>
      </c>
      <c r="F392" s="69">
        <v>9</v>
      </c>
      <c r="G392" s="70">
        <v>565</v>
      </c>
      <c r="H392" s="71">
        <v>880</v>
      </c>
    </row>
    <row r="393" spans="1:8" x14ac:dyDescent="0.2">
      <c r="A393" s="83" t="s">
        <v>1744</v>
      </c>
      <c r="B393" s="63">
        <v>0.52749999999999997</v>
      </c>
      <c r="C393" s="64" t="s">
        <v>191</v>
      </c>
      <c r="D393" s="8"/>
      <c r="E393" s="68" t="s">
        <v>574</v>
      </c>
      <c r="F393" s="69">
        <v>2</v>
      </c>
      <c r="G393" s="70">
        <v>121</v>
      </c>
      <c r="H393" s="71">
        <v>189</v>
      </c>
    </row>
    <row r="394" spans="1:8" x14ac:dyDescent="0.2">
      <c r="A394" s="83" t="s">
        <v>1745</v>
      </c>
      <c r="B394" s="63">
        <v>0.40111111111111097</v>
      </c>
      <c r="C394" s="64" t="s">
        <v>208</v>
      </c>
      <c r="D394" s="8"/>
      <c r="E394" s="68" t="s">
        <v>575</v>
      </c>
      <c r="F394" s="69">
        <v>5</v>
      </c>
      <c r="G394" s="70">
        <v>346</v>
      </c>
      <c r="H394" s="71">
        <v>539</v>
      </c>
    </row>
    <row r="395" spans="1:8" x14ac:dyDescent="0.2">
      <c r="A395" s="83" t="s">
        <v>1746</v>
      </c>
      <c r="B395" s="63">
        <v>0.35777777777777803</v>
      </c>
      <c r="C395" s="64" t="s">
        <v>206</v>
      </c>
      <c r="D395" s="8"/>
      <c r="E395" s="68" t="s">
        <v>576</v>
      </c>
      <c r="F395" s="69">
        <v>3</v>
      </c>
      <c r="G395" s="70">
        <v>186</v>
      </c>
      <c r="H395" s="71">
        <v>289</v>
      </c>
    </row>
    <row r="396" spans="1:8" x14ac:dyDescent="0.2">
      <c r="A396" s="83" t="s">
        <v>1747</v>
      </c>
      <c r="B396" s="63">
        <v>0.40810810810810799</v>
      </c>
      <c r="C396" s="64" t="s">
        <v>211</v>
      </c>
      <c r="D396" s="8"/>
      <c r="E396" s="68" t="s">
        <v>577</v>
      </c>
      <c r="F396" s="69">
        <v>2</v>
      </c>
      <c r="G396" s="70">
        <v>141</v>
      </c>
      <c r="H396" s="71">
        <v>219</v>
      </c>
    </row>
    <row r="397" spans="1:8" x14ac:dyDescent="0.2">
      <c r="A397" s="83" t="s">
        <v>1748</v>
      </c>
      <c r="B397" s="63">
        <v>0.40810810810810799</v>
      </c>
      <c r="C397" s="64" t="s">
        <v>211</v>
      </c>
      <c r="D397" s="8"/>
      <c r="E397" s="68" t="s">
        <v>578</v>
      </c>
      <c r="F397" s="69">
        <v>2</v>
      </c>
      <c r="G397" s="70">
        <v>141</v>
      </c>
      <c r="H397" s="71">
        <v>219</v>
      </c>
    </row>
    <row r="398" spans="1:8" x14ac:dyDescent="0.2">
      <c r="A398" s="83" t="s">
        <v>1749</v>
      </c>
      <c r="B398" s="63">
        <v>0.40810810810810799</v>
      </c>
      <c r="C398" s="64" t="s">
        <v>211</v>
      </c>
      <c r="D398" s="8"/>
      <c r="E398" s="68" t="s">
        <v>579</v>
      </c>
      <c r="F398" s="69">
        <v>2</v>
      </c>
      <c r="G398" s="70">
        <v>141</v>
      </c>
      <c r="H398" s="71">
        <v>219</v>
      </c>
    </row>
    <row r="399" spans="1:8" x14ac:dyDescent="0.2">
      <c r="A399" s="83" t="s">
        <v>1750</v>
      </c>
      <c r="B399" s="63">
        <v>0.45075125208681099</v>
      </c>
      <c r="C399" s="64" t="s">
        <v>210</v>
      </c>
      <c r="D399" s="8"/>
      <c r="E399" s="68" t="s">
        <v>580</v>
      </c>
      <c r="F399" s="69">
        <v>3</v>
      </c>
      <c r="G399" s="70">
        <v>105</v>
      </c>
      <c r="H399" s="71">
        <v>329</v>
      </c>
    </row>
    <row r="400" spans="1:8" x14ac:dyDescent="0.2">
      <c r="A400" s="83" t="s">
        <v>1751</v>
      </c>
      <c r="B400" s="63">
        <v>0.52749999999999997</v>
      </c>
      <c r="C400" s="64" t="s">
        <v>176</v>
      </c>
      <c r="D400" s="8"/>
      <c r="E400" s="68" t="s">
        <v>581</v>
      </c>
      <c r="F400" s="69">
        <v>2</v>
      </c>
      <c r="G400" s="70">
        <v>121</v>
      </c>
      <c r="H400" s="71">
        <v>189</v>
      </c>
    </row>
    <row r="401" spans="1:8" x14ac:dyDescent="0.2">
      <c r="A401" s="83" t="s">
        <v>1752</v>
      </c>
      <c r="B401" s="63">
        <v>0.48260869565217401</v>
      </c>
      <c r="C401" s="64" t="s">
        <v>210</v>
      </c>
      <c r="D401" s="8"/>
      <c r="E401" s="68" t="s">
        <v>582</v>
      </c>
      <c r="F401" s="69">
        <v>1</v>
      </c>
      <c r="G401" s="70">
        <v>76</v>
      </c>
      <c r="H401" s="71">
        <v>119</v>
      </c>
    </row>
    <row r="402" spans="1:8" x14ac:dyDescent="0.2">
      <c r="A402" s="83" t="s">
        <v>1753</v>
      </c>
      <c r="B402" s="63">
        <v>0.48709677419354802</v>
      </c>
      <c r="C402" s="64" t="s">
        <v>190</v>
      </c>
      <c r="D402" s="8"/>
      <c r="E402" s="68" t="s">
        <v>583</v>
      </c>
      <c r="F402" s="69">
        <v>2</v>
      </c>
      <c r="G402" s="70">
        <v>51</v>
      </c>
      <c r="H402" s="71">
        <v>159</v>
      </c>
    </row>
    <row r="403" spans="1:8" x14ac:dyDescent="0.2">
      <c r="A403" s="83" t="s">
        <v>1754</v>
      </c>
      <c r="B403" s="63">
        <v>0.45083333333333298</v>
      </c>
      <c r="C403" s="64" t="s">
        <v>209</v>
      </c>
      <c r="D403" s="8"/>
      <c r="E403" s="68" t="s">
        <v>584</v>
      </c>
      <c r="F403" s="69">
        <v>7</v>
      </c>
      <c r="G403" s="70">
        <v>211</v>
      </c>
      <c r="H403" s="71">
        <v>659</v>
      </c>
    </row>
    <row r="404" spans="1:8" x14ac:dyDescent="0.2">
      <c r="A404" s="83" t="s">
        <v>1755</v>
      </c>
      <c r="B404" s="63">
        <v>0.31190476190476202</v>
      </c>
      <c r="C404" s="64" t="s">
        <v>195</v>
      </c>
      <c r="D404" s="8"/>
      <c r="E404" s="68" t="s">
        <v>585</v>
      </c>
      <c r="F404" s="69">
        <v>3</v>
      </c>
      <c r="G404" s="70">
        <v>186</v>
      </c>
      <c r="H404" s="71">
        <v>289</v>
      </c>
    </row>
    <row r="405" spans="1:8" x14ac:dyDescent="0.2">
      <c r="A405" s="83" t="s">
        <v>1756</v>
      </c>
      <c r="B405" s="63">
        <v>0.34827586206896599</v>
      </c>
      <c r="C405" s="64" t="s">
        <v>212</v>
      </c>
      <c r="D405" s="8"/>
      <c r="E405" s="68" t="s">
        <v>586</v>
      </c>
      <c r="F405" s="69">
        <v>2</v>
      </c>
      <c r="G405" s="70">
        <v>121</v>
      </c>
      <c r="H405" s="71">
        <v>189</v>
      </c>
    </row>
    <row r="406" spans="1:8" x14ac:dyDescent="0.2">
      <c r="A406" s="83" t="s">
        <v>1757</v>
      </c>
      <c r="B406" s="63">
        <v>0.391666666666667</v>
      </c>
      <c r="C406" s="64" t="s">
        <v>205</v>
      </c>
      <c r="D406" s="8"/>
      <c r="E406" s="68" t="s">
        <v>587</v>
      </c>
      <c r="F406" s="69">
        <v>2</v>
      </c>
      <c r="G406" s="70">
        <v>141</v>
      </c>
      <c r="H406" s="71">
        <v>219</v>
      </c>
    </row>
    <row r="407" spans="1:8" x14ac:dyDescent="0.2">
      <c r="A407" s="83" t="s">
        <v>1758</v>
      </c>
      <c r="B407" s="63">
        <v>0.55526315789473701</v>
      </c>
      <c r="C407" s="64" t="s">
        <v>213</v>
      </c>
      <c r="D407" s="8"/>
      <c r="E407" s="68" t="s">
        <v>588</v>
      </c>
      <c r="F407" s="69">
        <v>2</v>
      </c>
      <c r="G407" s="70">
        <v>109</v>
      </c>
      <c r="H407" s="71">
        <v>169</v>
      </c>
    </row>
    <row r="408" spans="1:8" ht="15" thickBot="1" x14ac:dyDescent="0.25">
      <c r="A408" s="83" t="s">
        <v>1759</v>
      </c>
      <c r="B408" s="63">
        <v>0.55526315789473701</v>
      </c>
      <c r="C408" s="64" t="s">
        <v>214</v>
      </c>
      <c r="D408" s="8"/>
      <c r="E408" s="68" t="s">
        <v>589</v>
      </c>
      <c r="F408" s="69">
        <v>2</v>
      </c>
      <c r="G408" s="70">
        <v>109</v>
      </c>
      <c r="H408" s="71">
        <v>169</v>
      </c>
    </row>
    <row r="409" spans="1:8" ht="15" thickBot="1" x14ac:dyDescent="0.25">
      <c r="A409" s="56" t="s">
        <v>41</v>
      </c>
      <c r="B409" s="57"/>
      <c r="C409" s="57"/>
      <c r="D409" s="58"/>
      <c r="E409" s="82" t="s">
        <v>590</v>
      </c>
      <c r="F409" s="60"/>
      <c r="G409" s="61"/>
      <c r="H409" s="61"/>
    </row>
    <row r="410" spans="1:8" x14ac:dyDescent="0.2">
      <c r="A410" s="83" t="s">
        <v>1760</v>
      </c>
      <c r="B410" s="63">
        <v>0.495789473684211</v>
      </c>
      <c r="C410" s="64" t="s">
        <v>187</v>
      </c>
      <c r="D410" s="8"/>
      <c r="E410" s="68" t="s">
        <v>591</v>
      </c>
      <c r="F410" s="69">
        <v>5</v>
      </c>
      <c r="G410" s="70">
        <v>307</v>
      </c>
      <c r="H410" s="71">
        <v>479</v>
      </c>
    </row>
    <row r="411" spans="1:8" x14ac:dyDescent="0.2">
      <c r="A411" s="83" t="s">
        <v>1761</v>
      </c>
      <c r="B411" s="63">
        <v>0.40079999999999999</v>
      </c>
      <c r="C411" s="64" t="s">
        <v>215</v>
      </c>
      <c r="D411" s="8"/>
      <c r="E411" s="68" t="s">
        <v>592</v>
      </c>
      <c r="F411" s="69">
        <v>7</v>
      </c>
      <c r="G411" s="70">
        <v>480</v>
      </c>
      <c r="H411" s="71">
        <v>749</v>
      </c>
    </row>
    <row r="412" spans="1:8" x14ac:dyDescent="0.2">
      <c r="A412" s="83" t="s">
        <v>1762</v>
      </c>
      <c r="B412" s="63">
        <v>0.54200000000000004</v>
      </c>
      <c r="C412" s="64" t="s">
        <v>216</v>
      </c>
      <c r="D412" s="8"/>
      <c r="E412" s="68" t="s">
        <v>593</v>
      </c>
      <c r="F412" s="69">
        <v>2</v>
      </c>
      <c r="G412" s="70">
        <v>147</v>
      </c>
      <c r="H412" s="71">
        <v>229</v>
      </c>
    </row>
    <row r="413" spans="1:8" x14ac:dyDescent="0.2">
      <c r="A413" s="83" t="s">
        <v>1763</v>
      </c>
      <c r="B413" s="63"/>
      <c r="C413" s="64" t="s">
        <v>216</v>
      </c>
      <c r="D413" s="8"/>
      <c r="E413" s="68" t="s">
        <v>594</v>
      </c>
      <c r="F413" s="69">
        <v>6</v>
      </c>
      <c r="G413" s="70">
        <v>404</v>
      </c>
      <c r="H413" s="71">
        <v>630</v>
      </c>
    </row>
    <row r="414" spans="1:8" x14ac:dyDescent="0.2">
      <c r="A414" s="83" t="s">
        <v>1764</v>
      </c>
      <c r="B414" s="63">
        <v>0.49365079365079401</v>
      </c>
      <c r="C414" s="64" t="s">
        <v>182</v>
      </c>
      <c r="D414" s="8"/>
      <c r="E414" s="68" t="s">
        <v>595</v>
      </c>
      <c r="F414" s="69">
        <v>3</v>
      </c>
      <c r="G414" s="70">
        <v>205</v>
      </c>
      <c r="H414" s="71">
        <v>319</v>
      </c>
    </row>
    <row r="415" spans="1:8" x14ac:dyDescent="0.2">
      <c r="A415" s="83" t="s">
        <v>1765</v>
      </c>
      <c r="B415" s="63">
        <v>0.54200000000000004</v>
      </c>
      <c r="C415" s="64" t="s">
        <v>216</v>
      </c>
      <c r="D415" s="8"/>
      <c r="E415" s="68" t="s">
        <v>596</v>
      </c>
      <c r="F415" s="69">
        <v>2</v>
      </c>
      <c r="G415" s="70">
        <v>147</v>
      </c>
      <c r="H415" s="71">
        <v>229</v>
      </c>
    </row>
    <row r="416" spans="1:8" x14ac:dyDescent="0.2">
      <c r="A416" s="83" t="s">
        <v>1766</v>
      </c>
      <c r="B416" s="63">
        <v>0.54200000000000004</v>
      </c>
      <c r="C416" s="64" t="s">
        <v>216</v>
      </c>
      <c r="D416" s="8"/>
      <c r="E416" s="68" t="s">
        <v>597</v>
      </c>
      <c r="F416" s="69">
        <v>2</v>
      </c>
      <c r="G416" s="70">
        <v>147</v>
      </c>
      <c r="H416" s="71">
        <v>229</v>
      </c>
    </row>
    <row r="417" spans="1:8" x14ac:dyDescent="0.2">
      <c r="A417" s="83" t="s">
        <v>1767</v>
      </c>
      <c r="B417" s="63">
        <v>0.447692307692308</v>
      </c>
      <c r="C417" s="64" t="s">
        <v>216</v>
      </c>
      <c r="D417" s="8"/>
      <c r="E417" s="68" t="s">
        <v>598</v>
      </c>
      <c r="F417" s="69">
        <v>4</v>
      </c>
      <c r="G417" s="70">
        <v>230</v>
      </c>
      <c r="H417" s="71">
        <v>359</v>
      </c>
    </row>
    <row r="418" spans="1:8" x14ac:dyDescent="0.2">
      <c r="A418" s="83" t="s">
        <v>1768</v>
      </c>
      <c r="B418" s="63">
        <v>0.54200000000000004</v>
      </c>
      <c r="C418" s="64" t="s">
        <v>216</v>
      </c>
      <c r="D418" s="8"/>
      <c r="E418" s="68" t="s">
        <v>599</v>
      </c>
      <c r="F418" s="69">
        <v>2</v>
      </c>
      <c r="G418" s="70">
        <v>147</v>
      </c>
      <c r="H418" s="71">
        <v>229</v>
      </c>
    </row>
    <row r="419" spans="1:8" x14ac:dyDescent="0.2">
      <c r="A419" s="83" t="s">
        <v>1769</v>
      </c>
      <c r="B419" s="63">
        <v>0.442</v>
      </c>
      <c r="C419" s="64" t="s">
        <v>217</v>
      </c>
      <c r="D419" s="8"/>
      <c r="E419" s="68" t="s">
        <v>600</v>
      </c>
      <c r="F419" s="69">
        <v>3</v>
      </c>
      <c r="G419" s="70">
        <v>179</v>
      </c>
      <c r="H419" s="71">
        <v>279</v>
      </c>
    </row>
    <row r="420" spans="1:8" x14ac:dyDescent="0.2">
      <c r="A420" s="83" t="s">
        <v>1770</v>
      </c>
      <c r="B420" s="63">
        <v>0.442</v>
      </c>
      <c r="C420" s="64" t="s">
        <v>218</v>
      </c>
      <c r="D420" s="8"/>
      <c r="E420" s="68" t="s">
        <v>601</v>
      </c>
      <c r="F420" s="69">
        <v>3</v>
      </c>
      <c r="G420" s="70">
        <v>179</v>
      </c>
      <c r="H420" s="71">
        <v>279</v>
      </c>
    </row>
    <row r="421" spans="1:8" ht="15" thickBot="1" x14ac:dyDescent="0.25">
      <c r="A421" s="83" t="s">
        <v>1771</v>
      </c>
      <c r="B421" s="63">
        <v>0.55714285714285705</v>
      </c>
      <c r="C421" s="64" t="s">
        <v>49</v>
      </c>
      <c r="D421" s="8"/>
      <c r="E421" s="68" t="s">
        <v>602</v>
      </c>
      <c r="F421" s="69">
        <v>3</v>
      </c>
      <c r="G421" s="70">
        <v>179</v>
      </c>
      <c r="H421" s="71">
        <v>279</v>
      </c>
    </row>
    <row r="422" spans="1:8" ht="15" thickBot="1" x14ac:dyDescent="0.25">
      <c r="A422" s="56" t="s">
        <v>41</v>
      </c>
      <c r="B422" s="57"/>
      <c r="C422" s="57"/>
      <c r="D422" s="58"/>
      <c r="E422" s="82" t="s">
        <v>603</v>
      </c>
      <c r="F422" s="60"/>
      <c r="G422" s="61"/>
      <c r="H422" s="61"/>
    </row>
    <row r="423" spans="1:8" x14ac:dyDescent="0.2">
      <c r="A423" s="83" t="s">
        <v>1772</v>
      </c>
      <c r="B423" s="63">
        <v>0.40483870967741897</v>
      </c>
      <c r="C423" s="64" t="s">
        <v>52</v>
      </c>
      <c r="D423" s="8"/>
      <c r="E423" s="68" t="s">
        <v>604</v>
      </c>
      <c r="F423" s="69">
        <v>4</v>
      </c>
      <c r="G423" s="70">
        <v>237</v>
      </c>
      <c r="H423" s="71">
        <v>369</v>
      </c>
    </row>
    <row r="424" spans="1:8" x14ac:dyDescent="0.2">
      <c r="A424" s="83" t="s">
        <v>1773</v>
      </c>
      <c r="B424" s="63">
        <v>0.29680000000000001</v>
      </c>
      <c r="C424" s="64" t="s">
        <v>219</v>
      </c>
      <c r="D424" s="8"/>
      <c r="E424" s="68" t="s">
        <v>605</v>
      </c>
      <c r="F424" s="69">
        <v>9</v>
      </c>
      <c r="G424" s="70">
        <v>564</v>
      </c>
      <c r="H424" s="71">
        <v>879</v>
      </c>
    </row>
    <row r="425" spans="1:8" x14ac:dyDescent="0.2">
      <c r="A425" s="83" t="s">
        <v>1774</v>
      </c>
      <c r="B425" s="63">
        <v>0.39892473118279598</v>
      </c>
      <c r="C425" s="64" t="s">
        <v>219</v>
      </c>
      <c r="D425" s="8"/>
      <c r="E425" s="68" t="s">
        <v>606</v>
      </c>
      <c r="F425" s="69">
        <v>6</v>
      </c>
      <c r="G425" s="70">
        <v>179</v>
      </c>
      <c r="H425" s="71">
        <v>559</v>
      </c>
    </row>
    <row r="426" spans="1:8" x14ac:dyDescent="0.2">
      <c r="A426" s="83" t="s">
        <v>1775</v>
      </c>
      <c r="B426" s="63">
        <v>0.45636363636363603</v>
      </c>
      <c r="C426" s="64" t="s">
        <v>161</v>
      </c>
      <c r="D426" s="8"/>
      <c r="E426" s="68" t="s">
        <v>607</v>
      </c>
      <c r="F426" s="69">
        <v>3</v>
      </c>
      <c r="G426" s="70">
        <v>192</v>
      </c>
      <c r="H426" s="71">
        <v>299</v>
      </c>
    </row>
    <row r="427" spans="1:8" x14ac:dyDescent="0.2">
      <c r="A427" s="83" t="s">
        <v>1776</v>
      </c>
      <c r="B427" s="63">
        <v>0.35125000000000001</v>
      </c>
      <c r="C427" s="64" t="s">
        <v>160</v>
      </c>
      <c r="D427" s="8"/>
      <c r="E427" s="68" t="s">
        <v>608</v>
      </c>
      <c r="F427" s="69">
        <v>5</v>
      </c>
      <c r="G427" s="70">
        <v>167</v>
      </c>
      <c r="H427" s="71">
        <v>519</v>
      </c>
    </row>
    <row r="428" spans="1:8" x14ac:dyDescent="0.2">
      <c r="A428" s="83" t="s">
        <v>1777</v>
      </c>
      <c r="B428" s="63">
        <v>0.45483870967741902</v>
      </c>
      <c r="C428" s="64" t="s">
        <v>160</v>
      </c>
      <c r="D428" s="8"/>
      <c r="E428" s="68" t="s">
        <v>609</v>
      </c>
      <c r="F428" s="69">
        <v>2</v>
      </c>
      <c r="G428" s="70">
        <v>54</v>
      </c>
      <c r="H428" s="71">
        <v>169</v>
      </c>
    </row>
    <row r="429" spans="1:8" x14ac:dyDescent="0.2">
      <c r="A429" s="83" t="s">
        <v>1778</v>
      </c>
      <c r="B429" s="63">
        <v>0.39892473118279598</v>
      </c>
      <c r="C429" s="64" t="s">
        <v>159</v>
      </c>
      <c r="D429" s="8"/>
      <c r="E429" s="68" t="s">
        <v>610</v>
      </c>
      <c r="F429" s="69">
        <v>6</v>
      </c>
      <c r="G429" s="70">
        <v>179</v>
      </c>
      <c r="H429" s="71">
        <v>559</v>
      </c>
    </row>
    <row r="430" spans="1:8" x14ac:dyDescent="0.2">
      <c r="A430" s="83" t="s">
        <v>1779</v>
      </c>
      <c r="B430" s="63">
        <v>0.34314285714285703</v>
      </c>
      <c r="C430" s="64" t="s">
        <v>160</v>
      </c>
      <c r="D430" s="8"/>
      <c r="E430" s="68" t="s">
        <v>611</v>
      </c>
      <c r="F430" s="69">
        <v>23</v>
      </c>
      <c r="G430" s="70">
        <v>738</v>
      </c>
      <c r="H430" s="71">
        <v>2299</v>
      </c>
    </row>
    <row r="431" spans="1:8" x14ac:dyDescent="0.2">
      <c r="A431" s="83" t="s">
        <v>1780</v>
      </c>
      <c r="B431" s="63">
        <v>0.35411764705882398</v>
      </c>
      <c r="C431" s="64" t="s">
        <v>160</v>
      </c>
      <c r="D431" s="8"/>
      <c r="E431" s="68" t="s">
        <v>612</v>
      </c>
      <c r="F431" s="69">
        <v>5</v>
      </c>
      <c r="G431" s="70">
        <v>352</v>
      </c>
      <c r="H431" s="71">
        <v>549</v>
      </c>
    </row>
    <row r="432" spans="1:8" x14ac:dyDescent="0.2">
      <c r="A432" s="83" t="s">
        <v>1781</v>
      </c>
      <c r="B432" s="63">
        <v>0.52909090909090895</v>
      </c>
      <c r="C432" s="64" t="s">
        <v>177</v>
      </c>
      <c r="D432" s="8"/>
      <c r="E432" s="68" t="s">
        <v>613</v>
      </c>
      <c r="F432" s="69">
        <v>3</v>
      </c>
      <c r="G432" s="70">
        <v>167</v>
      </c>
      <c r="H432" s="71">
        <v>259</v>
      </c>
    </row>
    <row r="433" spans="1:8" x14ac:dyDescent="0.2">
      <c r="A433" s="83" t="s">
        <v>1782</v>
      </c>
      <c r="B433" s="63">
        <v>0.51463414634146298</v>
      </c>
      <c r="C433" s="64" t="s">
        <v>220</v>
      </c>
      <c r="D433" s="8"/>
      <c r="E433" s="68" t="s">
        <v>614</v>
      </c>
      <c r="F433" s="69">
        <v>2</v>
      </c>
      <c r="G433" s="70">
        <v>128</v>
      </c>
      <c r="H433" s="71">
        <v>199</v>
      </c>
    </row>
    <row r="434" spans="1:8" x14ac:dyDescent="0.2">
      <c r="A434" s="83" t="s">
        <v>1783</v>
      </c>
      <c r="B434" s="63">
        <v>0.31222222222222201</v>
      </c>
      <c r="C434" s="64" t="s">
        <v>221</v>
      </c>
      <c r="D434" s="8"/>
      <c r="E434" s="68" t="s">
        <v>615</v>
      </c>
      <c r="F434" s="69">
        <v>6</v>
      </c>
      <c r="G434" s="70">
        <v>397</v>
      </c>
      <c r="H434" s="71">
        <v>619</v>
      </c>
    </row>
    <row r="435" spans="1:8" x14ac:dyDescent="0.2">
      <c r="A435" s="83" t="s">
        <v>1784</v>
      </c>
      <c r="B435" s="63">
        <v>0.38571428571428601</v>
      </c>
      <c r="C435" s="64" t="s">
        <v>221</v>
      </c>
      <c r="D435" s="8"/>
      <c r="E435" s="68" t="s">
        <v>616</v>
      </c>
      <c r="F435" s="69">
        <v>1</v>
      </c>
      <c r="G435" s="70">
        <v>83</v>
      </c>
      <c r="H435" s="71">
        <v>129</v>
      </c>
    </row>
    <row r="436" spans="1:8" x14ac:dyDescent="0.2">
      <c r="A436" s="83" t="s">
        <v>1785</v>
      </c>
      <c r="B436" s="63">
        <v>0.51463414634146298</v>
      </c>
      <c r="C436" s="64" t="s">
        <v>220</v>
      </c>
      <c r="D436" s="8"/>
      <c r="E436" s="68" t="s">
        <v>617</v>
      </c>
      <c r="F436" s="69">
        <v>2</v>
      </c>
      <c r="G436" s="70">
        <v>128</v>
      </c>
      <c r="H436" s="71">
        <v>199</v>
      </c>
    </row>
    <row r="437" spans="1:8" x14ac:dyDescent="0.2">
      <c r="A437" s="83" t="s">
        <v>1786</v>
      </c>
      <c r="B437" s="63">
        <v>0.40133333333333299</v>
      </c>
      <c r="C437" s="64" t="s">
        <v>212</v>
      </c>
      <c r="D437" s="8"/>
      <c r="E437" s="68" t="s">
        <v>618</v>
      </c>
      <c r="F437" s="69">
        <v>4</v>
      </c>
      <c r="G437" s="70">
        <v>288</v>
      </c>
      <c r="H437" s="71">
        <v>449</v>
      </c>
    </row>
    <row r="438" spans="1:8" ht="15" thickBot="1" x14ac:dyDescent="0.25">
      <c r="A438" s="83" t="s">
        <v>1787</v>
      </c>
      <c r="B438" s="63">
        <v>0.40111111111111097</v>
      </c>
      <c r="C438" s="64" t="s">
        <v>222</v>
      </c>
      <c r="D438" s="8"/>
      <c r="E438" s="68" t="s">
        <v>619</v>
      </c>
      <c r="F438" s="69">
        <v>5</v>
      </c>
      <c r="G438" s="70">
        <v>346</v>
      </c>
      <c r="H438" s="71">
        <v>539</v>
      </c>
    </row>
    <row r="439" spans="1:8" ht="15" thickBot="1" x14ac:dyDescent="0.25">
      <c r="A439" s="56" t="s">
        <v>41</v>
      </c>
      <c r="B439" s="57"/>
      <c r="C439" s="57"/>
      <c r="D439" s="58"/>
      <c r="E439" s="82" t="s">
        <v>620</v>
      </c>
      <c r="F439" s="60"/>
      <c r="G439" s="61"/>
      <c r="H439" s="61"/>
    </row>
    <row r="440" spans="1:8" x14ac:dyDescent="0.2">
      <c r="A440" s="83" t="s">
        <v>1788</v>
      </c>
      <c r="B440" s="63">
        <v>0.40111111111111097</v>
      </c>
      <c r="C440" s="64" t="s">
        <v>215</v>
      </c>
      <c r="D440" s="8"/>
      <c r="E440" s="68" t="s">
        <v>621</v>
      </c>
      <c r="F440" s="69">
        <v>5</v>
      </c>
      <c r="G440" s="70">
        <v>346</v>
      </c>
      <c r="H440" s="71">
        <v>539</v>
      </c>
    </row>
    <row r="441" spans="1:8" x14ac:dyDescent="0.2">
      <c r="A441" s="83" t="s">
        <v>1789</v>
      </c>
      <c r="B441" s="63">
        <v>0.39268292682926798</v>
      </c>
      <c r="C441" s="64" t="s">
        <v>223</v>
      </c>
      <c r="D441" s="8"/>
      <c r="E441" s="68" t="s">
        <v>622</v>
      </c>
      <c r="F441" s="69">
        <v>2</v>
      </c>
      <c r="G441" s="70">
        <v>80</v>
      </c>
      <c r="H441" s="71">
        <v>249</v>
      </c>
    </row>
    <row r="442" spans="1:8" x14ac:dyDescent="0.2">
      <c r="A442" s="83" t="s">
        <v>1790</v>
      </c>
      <c r="B442" s="63">
        <v>0.40200000000000002</v>
      </c>
      <c r="C442" s="64" t="s">
        <v>223</v>
      </c>
      <c r="D442" s="8"/>
      <c r="E442" s="68" t="s">
        <v>623</v>
      </c>
      <c r="F442" s="69">
        <v>3</v>
      </c>
      <c r="G442" s="70">
        <v>96</v>
      </c>
      <c r="H442" s="71">
        <v>299</v>
      </c>
    </row>
    <row r="443" spans="1:8" x14ac:dyDescent="0.2">
      <c r="A443" s="83" t="s">
        <v>1791</v>
      </c>
      <c r="B443" s="63">
        <v>0.40200000000000002</v>
      </c>
      <c r="C443" s="64" t="s">
        <v>223</v>
      </c>
      <c r="D443" s="8"/>
      <c r="E443" s="68" t="s">
        <v>624</v>
      </c>
      <c r="F443" s="69">
        <v>3</v>
      </c>
      <c r="G443" s="70">
        <v>96</v>
      </c>
      <c r="H443" s="71">
        <v>299</v>
      </c>
    </row>
    <row r="444" spans="1:8" x14ac:dyDescent="0.2">
      <c r="A444" s="83" t="s">
        <v>1792</v>
      </c>
      <c r="B444" s="63">
        <v>0.40181818181818202</v>
      </c>
      <c r="C444" s="64" t="s">
        <v>195</v>
      </c>
      <c r="D444" s="8"/>
      <c r="E444" s="68" t="s">
        <v>625</v>
      </c>
      <c r="F444" s="69">
        <v>3</v>
      </c>
      <c r="G444" s="70">
        <v>211</v>
      </c>
      <c r="H444" s="71">
        <v>329</v>
      </c>
    </row>
    <row r="445" spans="1:8" x14ac:dyDescent="0.2">
      <c r="A445" s="83" t="s">
        <v>1793</v>
      </c>
      <c r="B445" s="63">
        <v>0.40181818181818202</v>
      </c>
      <c r="C445" s="64" t="s">
        <v>224</v>
      </c>
      <c r="D445" s="8"/>
      <c r="E445" s="68" t="s">
        <v>626</v>
      </c>
      <c r="F445" s="69">
        <v>3</v>
      </c>
      <c r="G445" s="70">
        <v>211</v>
      </c>
      <c r="H445" s="71">
        <v>329</v>
      </c>
    </row>
    <row r="446" spans="1:8" x14ac:dyDescent="0.2">
      <c r="A446" s="83" t="s">
        <v>1794</v>
      </c>
      <c r="B446" s="63">
        <v>0.45568181818181802</v>
      </c>
      <c r="C446" s="64" t="s">
        <v>224</v>
      </c>
      <c r="D446" s="8"/>
      <c r="E446" s="68" t="s">
        <v>627</v>
      </c>
      <c r="F446" s="69">
        <v>5</v>
      </c>
      <c r="G446" s="70">
        <v>307</v>
      </c>
      <c r="H446" s="71">
        <v>479</v>
      </c>
    </row>
    <row r="447" spans="1:8" x14ac:dyDescent="0.2">
      <c r="A447" s="83" t="s">
        <v>1795</v>
      </c>
      <c r="B447" s="63">
        <v>0.49272727272727301</v>
      </c>
      <c r="C447" s="64" t="s">
        <v>225</v>
      </c>
      <c r="D447" s="8"/>
      <c r="E447" s="68" t="s">
        <v>628</v>
      </c>
      <c r="F447" s="69">
        <v>3</v>
      </c>
      <c r="G447" s="70">
        <v>179</v>
      </c>
      <c r="H447" s="71">
        <v>279</v>
      </c>
    </row>
    <row r="448" spans="1:8" x14ac:dyDescent="0.2">
      <c r="A448" s="83" t="s">
        <v>1796</v>
      </c>
      <c r="B448" s="63">
        <v>0.49272727272727301</v>
      </c>
      <c r="C448" s="64" t="s">
        <v>224</v>
      </c>
      <c r="D448" s="8"/>
      <c r="E448" s="68" t="s">
        <v>629</v>
      </c>
      <c r="F448" s="69">
        <v>3</v>
      </c>
      <c r="G448" s="70">
        <v>90</v>
      </c>
      <c r="H448" s="71">
        <v>279</v>
      </c>
    </row>
    <row r="449" spans="1:8" ht="15" thickBot="1" x14ac:dyDescent="0.25">
      <c r="A449" s="83" t="s">
        <v>1797</v>
      </c>
      <c r="B449" s="63">
        <v>0.51463414634146298</v>
      </c>
      <c r="C449" s="64" t="s">
        <v>225</v>
      </c>
      <c r="D449" s="8"/>
      <c r="E449" s="68" t="s">
        <v>630</v>
      </c>
      <c r="F449" s="69">
        <v>2</v>
      </c>
      <c r="G449" s="70">
        <v>64</v>
      </c>
      <c r="H449" s="71">
        <v>199</v>
      </c>
    </row>
    <row r="450" spans="1:8" ht="15" thickBot="1" x14ac:dyDescent="0.25">
      <c r="A450" s="56" t="s">
        <v>41</v>
      </c>
      <c r="B450" s="57"/>
      <c r="C450" s="57"/>
      <c r="D450" s="58"/>
      <c r="E450" s="82" t="s">
        <v>631</v>
      </c>
      <c r="F450" s="60"/>
      <c r="G450" s="61"/>
      <c r="H450" s="61"/>
    </row>
    <row r="451" spans="1:8" ht="15" thickBot="1" x14ac:dyDescent="0.25">
      <c r="A451" s="56" t="s">
        <v>41</v>
      </c>
      <c r="B451" s="57"/>
      <c r="C451" s="57"/>
      <c r="D451" s="58"/>
      <c r="E451" s="82" t="s">
        <v>476</v>
      </c>
      <c r="F451" s="60"/>
      <c r="G451" s="61"/>
      <c r="H451" s="61"/>
    </row>
    <row r="452" spans="1:8" x14ac:dyDescent="0.2">
      <c r="A452" s="83" t="s">
        <v>35</v>
      </c>
      <c r="B452" s="63">
        <v>0.38500000000000001</v>
      </c>
      <c r="C452" s="64" t="s">
        <v>226</v>
      </c>
      <c r="D452" s="8"/>
      <c r="E452" s="68" t="s">
        <v>17</v>
      </c>
      <c r="F452" s="69">
        <v>16</v>
      </c>
      <c r="G452" s="70">
        <v>1026</v>
      </c>
      <c r="H452" s="71">
        <v>1599</v>
      </c>
    </row>
    <row r="453" spans="1:8" x14ac:dyDescent="0.2">
      <c r="A453" s="83" t="s">
        <v>1798</v>
      </c>
      <c r="B453" s="63">
        <v>0.40810810810810799</v>
      </c>
      <c r="C453" s="64" t="s">
        <v>227</v>
      </c>
      <c r="D453" s="8"/>
      <c r="E453" s="68" t="s">
        <v>632</v>
      </c>
      <c r="F453" s="69">
        <v>2</v>
      </c>
      <c r="G453" s="70">
        <v>70</v>
      </c>
      <c r="H453" s="71">
        <v>219</v>
      </c>
    </row>
    <row r="454" spans="1:8" x14ac:dyDescent="0.2">
      <c r="A454" s="83" t="s">
        <v>1799</v>
      </c>
      <c r="B454" s="63">
        <v>0.40111111111111097</v>
      </c>
      <c r="C454" s="64" t="s">
        <v>144</v>
      </c>
      <c r="D454" s="8"/>
      <c r="E454" s="68" t="s">
        <v>633</v>
      </c>
      <c r="F454" s="69">
        <v>5</v>
      </c>
      <c r="G454" s="70">
        <v>346</v>
      </c>
      <c r="H454" s="71">
        <v>539</v>
      </c>
    </row>
    <row r="455" spans="1:8" x14ac:dyDescent="0.2">
      <c r="A455" s="83" t="s">
        <v>1800</v>
      </c>
      <c r="B455" s="63"/>
      <c r="C455" s="64" t="s">
        <v>228</v>
      </c>
      <c r="D455" s="8"/>
      <c r="E455" s="68" t="s">
        <v>634</v>
      </c>
      <c r="F455" s="69">
        <v>31</v>
      </c>
      <c r="G455" s="70">
        <v>1989</v>
      </c>
      <c r="H455" s="71">
        <v>3100</v>
      </c>
    </row>
    <row r="456" spans="1:8" x14ac:dyDescent="0.2">
      <c r="A456" s="83" t="s">
        <v>1801</v>
      </c>
      <c r="B456" s="63"/>
      <c r="C456" s="64" t="s">
        <v>228</v>
      </c>
      <c r="D456" s="8"/>
      <c r="E456" s="68" t="s">
        <v>635</v>
      </c>
      <c r="F456" s="69">
        <v>31</v>
      </c>
      <c r="G456" s="70">
        <v>1989</v>
      </c>
      <c r="H456" s="71">
        <v>3100</v>
      </c>
    </row>
    <row r="457" spans="1:8" x14ac:dyDescent="0.2">
      <c r="A457" s="83" t="s">
        <v>1802</v>
      </c>
      <c r="B457" s="63">
        <v>0.2404</v>
      </c>
      <c r="C457" s="64" t="s">
        <v>228</v>
      </c>
      <c r="D457" s="8"/>
      <c r="E457" s="68" t="s">
        <v>636</v>
      </c>
      <c r="F457" s="69">
        <v>19</v>
      </c>
      <c r="G457" s="70">
        <v>1218</v>
      </c>
      <c r="H457" s="71">
        <v>1899</v>
      </c>
    </row>
    <row r="458" spans="1:8" x14ac:dyDescent="0.2">
      <c r="A458" s="83" t="s">
        <v>1803</v>
      </c>
      <c r="B458" s="63">
        <v>0.25024999999999997</v>
      </c>
      <c r="C458" s="64" t="s">
        <v>228</v>
      </c>
      <c r="D458" s="8"/>
      <c r="E458" s="68" t="s">
        <v>637</v>
      </c>
      <c r="F458" s="69">
        <v>30</v>
      </c>
      <c r="G458" s="70">
        <v>1924</v>
      </c>
      <c r="H458" s="71">
        <v>2999</v>
      </c>
    </row>
    <row r="459" spans="1:8" x14ac:dyDescent="0.2">
      <c r="A459" s="83" t="s">
        <v>1804</v>
      </c>
      <c r="B459" s="63"/>
      <c r="C459" s="64" t="s">
        <v>228</v>
      </c>
      <c r="D459" s="8"/>
      <c r="E459" s="68" t="s">
        <v>638</v>
      </c>
      <c r="F459" s="69">
        <v>16</v>
      </c>
      <c r="G459" s="70">
        <v>1027</v>
      </c>
      <c r="H459" s="71">
        <v>1600</v>
      </c>
    </row>
    <row r="460" spans="1:8" x14ac:dyDescent="0.2">
      <c r="A460" s="83" t="s">
        <v>1805</v>
      </c>
      <c r="B460" s="63">
        <v>0.44133333333333302</v>
      </c>
      <c r="C460" s="64" t="s">
        <v>229</v>
      </c>
      <c r="D460" s="8"/>
      <c r="E460" s="68" t="s">
        <v>639</v>
      </c>
      <c r="F460" s="69">
        <v>4</v>
      </c>
      <c r="G460" s="70">
        <v>269</v>
      </c>
      <c r="H460" s="71">
        <v>419</v>
      </c>
    </row>
    <row r="461" spans="1:8" x14ac:dyDescent="0.2">
      <c r="A461" s="83" t="s">
        <v>1806</v>
      </c>
      <c r="B461" s="63">
        <v>0.442</v>
      </c>
      <c r="C461" s="64" t="s">
        <v>203</v>
      </c>
      <c r="D461" s="8"/>
      <c r="E461" s="68" t="s">
        <v>640</v>
      </c>
      <c r="F461" s="69">
        <v>3</v>
      </c>
      <c r="G461" s="70">
        <v>90</v>
      </c>
      <c r="H461" s="71">
        <v>279</v>
      </c>
    </row>
    <row r="462" spans="1:8" x14ac:dyDescent="0.2">
      <c r="A462" s="83" t="s">
        <v>1807</v>
      </c>
      <c r="B462" s="63"/>
      <c r="C462" s="64" t="s">
        <v>228</v>
      </c>
      <c r="D462" s="8"/>
      <c r="E462" s="68" t="s">
        <v>641</v>
      </c>
      <c r="F462" s="69">
        <v>16</v>
      </c>
      <c r="G462" s="70">
        <v>1027</v>
      </c>
      <c r="H462" s="71">
        <v>1600</v>
      </c>
    </row>
    <row r="463" spans="1:8" x14ac:dyDescent="0.2">
      <c r="A463" s="83" t="s">
        <v>1808</v>
      </c>
      <c r="B463" s="63"/>
      <c r="C463" s="64" t="s">
        <v>228</v>
      </c>
      <c r="D463" s="8"/>
      <c r="E463" s="68" t="s">
        <v>642</v>
      </c>
      <c r="F463" s="69">
        <v>27</v>
      </c>
      <c r="G463" s="70">
        <v>1732</v>
      </c>
      <c r="H463" s="71">
        <v>2700</v>
      </c>
    </row>
    <row r="464" spans="1:8" x14ac:dyDescent="0.2">
      <c r="A464" s="83" t="s">
        <v>1809</v>
      </c>
      <c r="B464" s="63"/>
      <c r="C464" s="64" t="s">
        <v>228</v>
      </c>
      <c r="D464" s="8"/>
      <c r="E464" s="68" t="s">
        <v>643</v>
      </c>
      <c r="F464" s="69">
        <v>23</v>
      </c>
      <c r="G464" s="70">
        <v>1475</v>
      </c>
      <c r="H464" s="71">
        <v>2300</v>
      </c>
    </row>
    <row r="465" spans="1:8" x14ac:dyDescent="0.2">
      <c r="A465" s="83" t="s">
        <v>1810</v>
      </c>
      <c r="B465" s="63">
        <v>0.243513513513514</v>
      </c>
      <c r="C465" s="64" t="s">
        <v>228</v>
      </c>
      <c r="D465" s="8"/>
      <c r="E465" s="68" t="s">
        <v>644</v>
      </c>
      <c r="F465" s="69">
        <v>28</v>
      </c>
      <c r="G465" s="70">
        <v>1796</v>
      </c>
      <c r="H465" s="71">
        <v>2799</v>
      </c>
    </row>
    <row r="466" spans="1:8" x14ac:dyDescent="0.2">
      <c r="A466" s="83" t="s">
        <v>1811</v>
      </c>
      <c r="B466" s="63">
        <v>0.45124999999999998</v>
      </c>
      <c r="C466" s="64" t="s">
        <v>203</v>
      </c>
      <c r="D466" s="8"/>
      <c r="E466" s="68" t="s">
        <v>645</v>
      </c>
      <c r="F466" s="69">
        <v>4</v>
      </c>
      <c r="G466" s="70">
        <v>141</v>
      </c>
      <c r="H466" s="71">
        <v>439</v>
      </c>
    </row>
    <row r="467" spans="1:8" x14ac:dyDescent="0.2">
      <c r="A467" s="83" t="s">
        <v>1812</v>
      </c>
      <c r="B467" s="63"/>
      <c r="C467" s="64" t="s">
        <v>228</v>
      </c>
      <c r="D467" s="8"/>
      <c r="E467" s="68" t="s">
        <v>646</v>
      </c>
      <c r="F467" s="69">
        <v>27</v>
      </c>
      <c r="G467" s="70">
        <v>1732</v>
      </c>
      <c r="H467" s="71">
        <v>2700</v>
      </c>
    </row>
    <row r="468" spans="1:8" x14ac:dyDescent="0.2">
      <c r="A468" s="83" t="s">
        <v>1813</v>
      </c>
      <c r="B468" s="63">
        <v>0.35025000000000001</v>
      </c>
      <c r="C468" s="64" t="s">
        <v>103</v>
      </c>
      <c r="D468" s="8"/>
      <c r="E468" s="68" t="s">
        <v>647</v>
      </c>
      <c r="F468" s="69">
        <v>26</v>
      </c>
      <c r="G468" s="70">
        <v>1668</v>
      </c>
      <c r="H468" s="71">
        <v>2599</v>
      </c>
    </row>
    <row r="469" spans="1:8" x14ac:dyDescent="0.2">
      <c r="A469" s="83" t="s">
        <v>1814</v>
      </c>
      <c r="B469" s="63"/>
      <c r="C469" s="64" t="s">
        <v>230</v>
      </c>
      <c r="D469" s="8"/>
      <c r="E469" s="68" t="s">
        <v>648</v>
      </c>
      <c r="F469" s="69">
        <v>16</v>
      </c>
      <c r="G469" s="70">
        <v>1027</v>
      </c>
      <c r="H469" s="71">
        <v>1600</v>
      </c>
    </row>
    <row r="470" spans="1:8" x14ac:dyDescent="0.2">
      <c r="A470" s="83" t="s">
        <v>1815</v>
      </c>
      <c r="B470" s="63">
        <v>0.2404</v>
      </c>
      <c r="C470" s="64" t="s">
        <v>103</v>
      </c>
      <c r="D470" s="8"/>
      <c r="E470" s="68" t="s">
        <v>649</v>
      </c>
      <c r="F470" s="69">
        <v>19</v>
      </c>
      <c r="G470" s="70">
        <v>1218</v>
      </c>
      <c r="H470" s="71">
        <v>1899</v>
      </c>
    </row>
    <row r="471" spans="1:8" x14ac:dyDescent="0.2">
      <c r="A471" s="83" t="s">
        <v>1816</v>
      </c>
      <c r="B471" s="63">
        <v>0.2404</v>
      </c>
      <c r="C471" s="64" t="s">
        <v>231</v>
      </c>
      <c r="D471" s="8"/>
      <c r="E471" s="68" t="s">
        <v>650</v>
      </c>
      <c r="F471" s="69">
        <v>19</v>
      </c>
      <c r="G471" s="70">
        <v>1218</v>
      </c>
      <c r="H471" s="71">
        <v>1899</v>
      </c>
    </row>
    <row r="472" spans="1:8" x14ac:dyDescent="0.2">
      <c r="A472" s="83" t="s">
        <v>1817</v>
      </c>
      <c r="B472" s="63"/>
      <c r="C472" s="64" t="s">
        <v>232</v>
      </c>
      <c r="D472" s="8"/>
      <c r="E472" s="68" t="s">
        <v>651</v>
      </c>
      <c r="F472" s="69">
        <v>40</v>
      </c>
      <c r="G472" s="70">
        <v>2567</v>
      </c>
      <c r="H472" s="71">
        <v>4000</v>
      </c>
    </row>
    <row r="473" spans="1:8" x14ac:dyDescent="0.2">
      <c r="A473" s="83" t="s">
        <v>1818</v>
      </c>
      <c r="B473" s="63"/>
      <c r="C473" s="64" t="s">
        <v>232</v>
      </c>
      <c r="D473" s="8"/>
      <c r="E473" s="68" t="s">
        <v>652</v>
      </c>
      <c r="F473" s="69">
        <v>40</v>
      </c>
      <c r="G473" s="70">
        <v>2567</v>
      </c>
      <c r="H473" s="71">
        <v>4000</v>
      </c>
    </row>
    <row r="474" spans="1:8" x14ac:dyDescent="0.2">
      <c r="A474" s="83" t="s">
        <v>1819</v>
      </c>
      <c r="B474" s="63"/>
      <c r="C474" s="64" t="s">
        <v>232</v>
      </c>
      <c r="D474" s="8"/>
      <c r="E474" s="68" t="s">
        <v>653</v>
      </c>
      <c r="F474" s="69">
        <v>40</v>
      </c>
      <c r="G474" s="70">
        <v>2567</v>
      </c>
      <c r="H474" s="71">
        <v>4000</v>
      </c>
    </row>
    <row r="475" spans="1:8" x14ac:dyDescent="0.2">
      <c r="A475" s="83" t="s">
        <v>1820</v>
      </c>
      <c r="B475" s="63"/>
      <c r="C475" s="64" t="s">
        <v>232</v>
      </c>
      <c r="D475" s="8"/>
      <c r="E475" s="68" t="s">
        <v>654</v>
      </c>
      <c r="F475" s="69">
        <v>40</v>
      </c>
      <c r="G475" s="70">
        <v>2567</v>
      </c>
      <c r="H475" s="71">
        <v>4000</v>
      </c>
    </row>
    <row r="476" spans="1:8" x14ac:dyDescent="0.2">
      <c r="A476" s="83" t="s">
        <v>1821</v>
      </c>
      <c r="B476" s="63"/>
      <c r="C476" s="64" t="s">
        <v>233</v>
      </c>
      <c r="D476" s="8"/>
      <c r="E476" s="68" t="s">
        <v>655</v>
      </c>
      <c r="F476" s="69">
        <v>31</v>
      </c>
      <c r="G476" s="70">
        <v>1989</v>
      </c>
      <c r="H476" s="71">
        <v>3100</v>
      </c>
    </row>
    <row r="477" spans="1:8" x14ac:dyDescent="0.2">
      <c r="A477" s="83" t="s">
        <v>1822</v>
      </c>
      <c r="B477" s="63"/>
      <c r="C477" s="64" t="s">
        <v>233</v>
      </c>
      <c r="D477" s="8"/>
      <c r="E477" s="68" t="s">
        <v>656</v>
      </c>
      <c r="F477" s="69">
        <v>31</v>
      </c>
      <c r="G477" s="70">
        <v>1989</v>
      </c>
      <c r="H477" s="71">
        <v>3100</v>
      </c>
    </row>
    <row r="478" spans="1:8" x14ac:dyDescent="0.2">
      <c r="A478" s="83" t="s">
        <v>1823</v>
      </c>
      <c r="B478" s="63"/>
      <c r="C478" s="64" t="s">
        <v>233</v>
      </c>
      <c r="D478" s="8"/>
      <c r="E478" s="68" t="s">
        <v>657</v>
      </c>
      <c r="F478" s="69">
        <v>31</v>
      </c>
      <c r="G478" s="70">
        <v>1989</v>
      </c>
      <c r="H478" s="71">
        <v>3100</v>
      </c>
    </row>
    <row r="479" spans="1:8" x14ac:dyDescent="0.2">
      <c r="A479" s="83" t="s">
        <v>1824</v>
      </c>
      <c r="B479" s="63"/>
      <c r="C479" s="64" t="s">
        <v>233</v>
      </c>
      <c r="D479" s="8"/>
      <c r="E479" s="68" t="s">
        <v>658</v>
      </c>
      <c r="F479" s="69">
        <v>31</v>
      </c>
      <c r="G479" s="70">
        <v>1989</v>
      </c>
      <c r="H479" s="71">
        <v>3100</v>
      </c>
    </row>
    <row r="480" spans="1:8" x14ac:dyDescent="0.2">
      <c r="A480" s="83" t="s">
        <v>1825</v>
      </c>
      <c r="B480" s="63"/>
      <c r="C480" s="64" t="s">
        <v>234</v>
      </c>
      <c r="D480" s="8"/>
      <c r="E480" s="68" t="s">
        <v>659</v>
      </c>
      <c r="F480" s="69">
        <v>31</v>
      </c>
      <c r="G480" s="70">
        <v>1989</v>
      </c>
      <c r="H480" s="71">
        <v>3100</v>
      </c>
    </row>
    <row r="481" spans="1:8" x14ac:dyDescent="0.2">
      <c r="A481" s="83" t="s">
        <v>1826</v>
      </c>
      <c r="B481" s="63"/>
      <c r="C481" s="64" t="s">
        <v>234</v>
      </c>
      <c r="D481" s="8"/>
      <c r="E481" s="68" t="s">
        <v>660</v>
      </c>
      <c r="F481" s="69">
        <v>31</v>
      </c>
      <c r="G481" s="70">
        <v>1989</v>
      </c>
      <c r="H481" s="71">
        <v>3100</v>
      </c>
    </row>
    <row r="482" spans="1:8" x14ac:dyDescent="0.2">
      <c r="A482" s="83" t="s">
        <v>1827</v>
      </c>
      <c r="B482" s="63">
        <v>0.34826086956521701</v>
      </c>
      <c r="C482" s="64" t="s">
        <v>235</v>
      </c>
      <c r="D482" s="8"/>
      <c r="E482" s="68" t="s">
        <v>661</v>
      </c>
      <c r="F482" s="69">
        <v>15</v>
      </c>
      <c r="G482" s="70">
        <v>962</v>
      </c>
      <c r="H482" s="71">
        <v>1499</v>
      </c>
    </row>
    <row r="483" spans="1:8" x14ac:dyDescent="0.2">
      <c r="A483" s="83" t="s">
        <v>1828</v>
      </c>
      <c r="B483" s="63">
        <v>0.39268292682926798</v>
      </c>
      <c r="C483" s="64" t="s">
        <v>204</v>
      </c>
      <c r="D483" s="8"/>
      <c r="E483" s="68" t="s">
        <v>662</v>
      </c>
      <c r="F483" s="69">
        <v>2</v>
      </c>
      <c r="G483" s="70">
        <v>160</v>
      </c>
      <c r="H483" s="71">
        <v>249</v>
      </c>
    </row>
    <row r="484" spans="1:8" x14ac:dyDescent="0.2">
      <c r="A484" s="83" t="s">
        <v>1829</v>
      </c>
      <c r="B484" s="63">
        <v>0.40071428571428602</v>
      </c>
      <c r="C484" s="64" t="s">
        <v>103</v>
      </c>
      <c r="D484" s="8"/>
      <c r="E484" s="68" t="s">
        <v>663</v>
      </c>
      <c r="F484" s="69">
        <v>8</v>
      </c>
      <c r="G484" s="70">
        <v>538</v>
      </c>
      <c r="H484" s="71">
        <v>839</v>
      </c>
    </row>
    <row r="485" spans="1:8" x14ac:dyDescent="0.2">
      <c r="A485" s="83" t="s">
        <v>1830</v>
      </c>
      <c r="B485" s="63">
        <v>0.33384615384615401</v>
      </c>
      <c r="C485" s="64" t="s">
        <v>103</v>
      </c>
      <c r="D485" s="8"/>
      <c r="E485" s="68" t="s">
        <v>664</v>
      </c>
      <c r="F485" s="69">
        <v>13</v>
      </c>
      <c r="G485" s="70">
        <v>833</v>
      </c>
      <c r="H485" s="71">
        <v>1299</v>
      </c>
    </row>
    <row r="486" spans="1:8" x14ac:dyDescent="0.2">
      <c r="A486" s="83" t="s">
        <v>1831</v>
      </c>
      <c r="B486" s="63">
        <v>0.29703703703703699</v>
      </c>
      <c r="C486" s="64" t="s">
        <v>203</v>
      </c>
      <c r="D486" s="8"/>
      <c r="E486" s="68" t="s">
        <v>665</v>
      </c>
      <c r="F486" s="69">
        <v>9</v>
      </c>
      <c r="G486" s="70">
        <v>609</v>
      </c>
      <c r="H486" s="71">
        <v>949</v>
      </c>
    </row>
    <row r="487" spans="1:8" x14ac:dyDescent="0.2">
      <c r="A487" s="83" t="s">
        <v>1832</v>
      </c>
      <c r="B487" s="63">
        <v>0.35806451612903201</v>
      </c>
      <c r="C487" s="64" t="s">
        <v>154</v>
      </c>
      <c r="D487" s="8"/>
      <c r="E487" s="68" t="s">
        <v>22</v>
      </c>
      <c r="F487" s="69">
        <v>2</v>
      </c>
      <c r="G487" s="70">
        <v>64</v>
      </c>
      <c r="H487" s="71">
        <v>199</v>
      </c>
    </row>
    <row r="488" spans="1:8" x14ac:dyDescent="0.2">
      <c r="A488" s="83" t="s">
        <v>1833</v>
      </c>
      <c r="B488" s="63"/>
      <c r="C488" s="64" t="s">
        <v>227</v>
      </c>
      <c r="D488" s="8"/>
      <c r="E488" s="68" t="s">
        <v>666</v>
      </c>
      <c r="F488" s="69">
        <v>9</v>
      </c>
      <c r="G488" s="70">
        <v>546</v>
      </c>
      <c r="H488" s="71">
        <v>850</v>
      </c>
    </row>
    <row r="489" spans="1:8" x14ac:dyDescent="0.2">
      <c r="A489" s="83" t="s">
        <v>1834</v>
      </c>
      <c r="B489" s="63">
        <v>0.35411764705882398</v>
      </c>
      <c r="C489" s="64" t="s">
        <v>227</v>
      </c>
      <c r="D489" s="8"/>
      <c r="E489" s="68" t="s">
        <v>667</v>
      </c>
      <c r="F489" s="69">
        <v>5</v>
      </c>
      <c r="G489" s="70">
        <v>352</v>
      </c>
      <c r="H489" s="71">
        <v>549</v>
      </c>
    </row>
    <row r="490" spans="1:8" x14ac:dyDescent="0.2">
      <c r="A490" s="83" t="s">
        <v>1835</v>
      </c>
      <c r="B490" s="63">
        <v>0.432307692307692</v>
      </c>
      <c r="C490" s="64" t="s">
        <v>227</v>
      </c>
      <c r="D490" s="8"/>
      <c r="E490" s="68" t="s">
        <v>668</v>
      </c>
      <c r="F490" s="69">
        <v>4</v>
      </c>
      <c r="G490" s="70">
        <v>237</v>
      </c>
      <c r="H490" s="71">
        <v>369</v>
      </c>
    </row>
    <row r="491" spans="1:8" x14ac:dyDescent="0.2">
      <c r="A491" s="83" t="s">
        <v>1836</v>
      </c>
      <c r="B491" s="63"/>
      <c r="C491" s="64" t="s">
        <v>227</v>
      </c>
      <c r="D491" s="8"/>
      <c r="E491" s="68" t="s">
        <v>669</v>
      </c>
      <c r="F491" s="69">
        <v>6</v>
      </c>
      <c r="G491" s="70">
        <v>417</v>
      </c>
      <c r="H491" s="71">
        <v>650</v>
      </c>
    </row>
    <row r="492" spans="1:8" x14ac:dyDescent="0.2">
      <c r="A492" s="83" t="s">
        <v>1837</v>
      </c>
      <c r="B492" s="63">
        <v>0.35538461538461502</v>
      </c>
      <c r="C492" s="64" t="s">
        <v>227</v>
      </c>
      <c r="D492" s="8"/>
      <c r="E492" s="68" t="s">
        <v>670</v>
      </c>
      <c r="F492" s="69">
        <v>4</v>
      </c>
      <c r="G492" s="70">
        <v>269</v>
      </c>
      <c r="H492" s="71">
        <v>419</v>
      </c>
    </row>
    <row r="493" spans="1:8" x14ac:dyDescent="0.2">
      <c r="A493" s="83" t="s">
        <v>1838</v>
      </c>
      <c r="B493" s="63">
        <v>0.50166666666666704</v>
      </c>
      <c r="C493" s="64" t="s">
        <v>103</v>
      </c>
      <c r="D493" s="8"/>
      <c r="E493" s="68" t="s">
        <v>671</v>
      </c>
      <c r="F493" s="69">
        <v>3</v>
      </c>
      <c r="G493" s="70">
        <v>192</v>
      </c>
      <c r="H493" s="71">
        <v>299</v>
      </c>
    </row>
    <row r="494" spans="1:8" x14ac:dyDescent="0.2">
      <c r="A494" s="83" t="s">
        <v>1839</v>
      </c>
      <c r="B494" s="63"/>
      <c r="C494" s="64" t="s">
        <v>219</v>
      </c>
      <c r="D494" s="8"/>
      <c r="E494" s="68" t="s">
        <v>672</v>
      </c>
      <c r="F494" s="69">
        <v>50</v>
      </c>
      <c r="G494" s="70">
        <v>3208</v>
      </c>
      <c r="H494" s="71">
        <v>5000</v>
      </c>
    </row>
    <row r="495" spans="1:8" x14ac:dyDescent="0.2">
      <c r="A495" s="83" t="s">
        <v>1840</v>
      </c>
      <c r="B495" s="63">
        <v>0.2404</v>
      </c>
      <c r="C495" s="64" t="s">
        <v>231</v>
      </c>
      <c r="D495" s="8"/>
      <c r="E495" s="68" t="s">
        <v>673</v>
      </c>
      <c r="F495" s="69">
        <v>19</v>
      </c>
      <c r="G495" s="70">
        <v>1218</v>
      </c>
      <c r="H495" s="71">
        <v>1899</v>
      </c>
    </row>
    <row r="496" spans="1:8" x14ac:dyDescent="0.2">
      <c r="A496" s="83" t="s">
        <v>1841</v>
      </c>
      <c r="B496" s="63"/>
      <c r="C496" s="64" t="s">
        <v>219</v>
      </c>
      <c r="D496" s="8"/>
      <c r="E496" s="68" t="s">
        <v>674</v>
      </c>
      <c r="F496" s="69">
        <v>28</v>
      </c>
      <c r="G496" s="70">
        <v>1797</v>
      </c>
      <c r="H496" s="71">
        <v>2800</v>
      </c>
    </row>
    <row r="497" spans="1:8" x14ac:dyDescent="0.2">
      <c r="A497" s="83" t="s">
        <v>1842</v>
      </c>
      <c r="B497" s="63"/>
      <c r="C497" s="64" t="s">
        <v>214</v>
      </c>
      <c r="D497" s="8"/>
      <c r="E497" s="68" t="s">
        <v>675</v>
      </c>
      <c r="F497" s="69">
        <v>14</v>
      </c>
      <c r="G497" s="70">
        <v>931</v>
      </c>
      <c r="H497" s="71">
        <v>1450</v>
      </c>
    </row>
    <row r="498" spans="1:8" x14ac:dyDescent="0.2">
      <c r="A498" s="83" t="s">
        <v>1843</v>
      </c>
      <c r="B498" s="63"/>
      <c r="C498" s="64" t="s">
        <v>214</v>
      </c>
      <c r="D498" s="8"/>
      <c r="E498" s="68" t="s">
        <v>676</v>
      </c>
      <c r="F498" s="69">
        <v>14</v>
      </c>
      <c r="G498" s="70">
        <v>931</v>
      </c>
      <c r="H498" s="71">
        <v>1450</v>
      </c>
    </row>
    <row r="499" spans="1:8" x14ac:dyDescent="0.2">
      <c r="A499" s="83" t="s">
        <v>1844</v>
      </c>
      <c r="B499" s="63">
        <v>0.346923076923077</v>
      </c>
      <c r="C499" s="64" t="s">
        <v>214</v>
      </c>
      <c r="D499" s="8"/>
      <c r="E499" s="68" t="s">
        <v>677</v>
      </c>
      <c r="F499" s="69">
        <v>8</v>
      </c>
      <c r="G499" s="70">
        <v>545</v>
      </c>
      <c r="H499" s="71">
        <v>849</v>
      </c>
    </row>
    <row r="500" spans="1:8" x14ac:dyDescent="0.2">
      <c r="A500" s="83" t="s">
        <v>1845</v>
      </c>
      <c r="B500" s="63">
        <v>0.44823529411764701</v>
      </c>
      <c r="C500" s="64" t="s">
        <v>236</v>
      </c>
      <c r="D500" s="8"/>
      <c r="E500" s="68" t="s">
        <v>678</v>
      </c>
      <c r="F500" s="69">
        <v>5</v>
      </c>
      <c r="G500" s="70">
        <v>301</v>
      </c>
      <c r="H500" s="71">
        <v>469</v>
      </c>
    </row>
    <row r="501" spans="1:8" x14ac:dyDescent="0.2">
      <c r="A501" s="83" t="s">
        <v>1846</v>
      </c>
      <c r="B501" s="63">
        <v>0.44823529411764701</v>
      </c>
      <c r="C501" s="64" t="s">
        <v>236</v>
      </c>
      <c r="D501" s="8"/>
      <c r="E501" s="68" t="s">
        <v>679</v>
      </c>
      <c r="F501" s="69">
        <v>5</v>
      </c>
      <c r="G501" s="70">
        <v>301</v>
      </c>
      <c r="H501" s="71">
        <v>469</v>
      </c>
    </row>
    <row r="502" spans="1:8" x14ac:dyDescent="0.2">
      <c r="A502" s="83" t="s">
        <v>1847</v>
      </c>
      <c r="B502" s="63">
        <v>0.44823529411764701</v>
      </c>
      <c r="C502" s="64" t="s">
        <v>236</v>
      </c>
      <c r="D502" s="8"/>
      <c r="E502" s="68" t="s">
        <v>680</v>
      </c>
      <c r="F502" s="69">
        <v>5</v>
      </c>
      <c r="G502" s="70">
        <v>301</v>
      </c>
      <c r="H502" s="71">
        <v>469</v>
      </c>
    </row>
    <row r="503" spans="1:8" x14ac:dyDescent="0.2">
      <c r="A503" s="83" t="s">
        <v>1848</v>
      </c>
      <c r="B503" s="63">
        <v>0.40105263157894699</v>
      </c>
      <c r="C503" s="64" t="s">
        <v>103</v>
      </c>
      <c r="D503" s="8"/>
      <c r="E503" s="68" t="s">
        <v>681</v>
      </c>
      <c r="F503" s="69">
        <v>6</v>
      </c>
      <c r="G503" s="70">
        <v>365</v>
      </c>
      <c r="H503" s="71">
        <v>569</v>
      </c>
    </row>
    <row r="504" spans="1:8" x14ac:dyDescent="0.2">
      <c r="A504" s="83" t="s">
        <v>1849</v>
      </c>
      <c r="B504" s="63">
        <v>0.49619047619047602</v>
      </c>
      <c r="C504" s="64" t="s">
        <v>203</v>
      </c>
      <c r="D504" s="8"/>
      <c r="E504" s="68" t="s">
        <v>682</v>
      </c>
      <c r="F504" s="69">
        <v>5</v>
      </c>
      <c r="G504" s="70">
        <v>340</v>
      </c>
      <c r="H504" s="71">
        <v>529</v>
      </c>
    </row>
    <row r="505" spans="1:8" x14ac:dyDescent="0.2">
      <c r="A505" s="83" t="s">
        <v>1850</v>
      </c>
      <c r="B505" s="63">
        <v>0.30076923076923101</v>
      </c>
      <c r="C505" s="64" t="s">
        <v>237</v>
      </c>
      <c r="D505" s="8"/>
      <c r="E505" s="68" t="s">
        <v>683</v>
      </c>
      <c r="F505" s="69">
        <v>120</v>
      </c>
      <c r="G505" s="70">
        <v>6416</v>
      </c>
      <c r="H505" s="71">
        <v>9999</v>
      </c>
    </row>
    <row r="506" spans="1:8" x14ac:dyDescent="0.2">
      <c r="A506" s="83" t="s">
        <v>1851</v>
      </c>
      <c r="B506" s="63">
        <v>0.36199999999999999</v>
      </c>
      <c r="C506" s="64" t="s">
        <v>229</v>
      </c>
      <c r="D506" s="8"/>
      <c r="E506" s="68" t="s">
        <v>684</v>
      </c>
      <c r="F506" s="69">
        <v>3</v>
      </c>
      <c r="G506" s="70">
        <v>205</v>
      </c>
      <c r="H506" s="71">
        <v>319</v>
      </c>
    </row>
    <row r="507" spans="1:8" x14ac:dyDescent="0.2">
      <c r="A507" s="83" t="s">
        <v>1852</v>
      </c>
      <c r="B507" s="63">
        <v>0.36199999999999999</v>
      </c>
      <c r="C507" s="64" t="s">
        <v>229</v>
      </c>
      <c r="D507" s="8"/>
      <c r="E507" s="68" t="s">
        <v>685</v>
      </c>
      <c r="F507" s="69">
        <v>3</v>
      </c>
      <c r="G507" s="70">
        <v>205</v>
      </c>
      <c r="H507" s="71">
        <v>319</v>
      </c>
    </row>
    <row r="508" spans="1:8" x14ac:dyDescent="0.2">
      <c r="A508" s="83" t="s">
        <v>1853</v>
      </c>
      <c r="B508" s="63">
        <v>0.39268292682926798</v>
      </c>
      <c r="C508" s="64" t="s">
        <v>204</v>
      </c>
      <c r="D508" s="8"/>
      <c r="E508" s="68" t="s">
        <v>686</v>
      </c>
      <c r="F508" s="69">
        <v>2</v>
      </c>
      <c r="G508" s="70">
        <v>160</v>
      </c>
      <c r="H508" s="71">
        <v>249</v>
      </c>
    </row>
    <row r="509" spans="1:8" x14ac:dyDescent="0.2">
      <c r="A509" s="83" t="s">
        <v>1854</v>
      </c>
      <c r="B509" s="63">
        <v>0.45368421052631602</v>
      </c>
      <c r="C509" s="64" t="s">
        <v>238</v>
      </c>
      <c r="D509" s="8"/>
      <c r="E509" s="68" t="s">
        <v>687</v>
      </c>
      <c r="F509" s="69">
        <v>5</v>
      </c>
      <c r="G509" s="70">
        <v>333</v>
      </c>
      <c r="H509" s="71">
        <v>519</v>
      </c>
    </row>
    <row r="510" spans="1:8" x14ac:dyDescent="0.2">
      <c r="A510" s="83" t="s">
        <v>1855</v>
      </c>
      <c r="B510" s="63"/>
      <c r="C510" s="64" t="s">
        <v>238</v>
      </c>
      <c r="D510" s="8"/>
      <c r="E510" s="68" t="s">
        <v>688</v>
      </c>
      <c r="F510" s="69">
        <v>9</v>
      </c>
      <c r="G510" s="70">
        <v>609</v>
      </c>
      <c r="H510" s="71">
        <v>950</v>
      </c>
    </row>
    <row r="511" spans="1:8" x14ac:dyDescent="0.2">
      <c r="A511" s="83" t="s">
        <v>1856</v>
      </c>
      <c r="B511" s="63">
        <v>0.37562499999999999</v>
      </c>
      <c r="C511" s="64" t="s">
        <v>238</v>
      </c>
      <c r="D511" s="8"/>
      <c r="E511" s="68" t="s">
        <v>689</v>
      </c>
      <c r="F511" s="69">
        <v>10</v>
      </c>
      <c r="G511" s="70">
        <v>641</v>
      </c>
      <c r="H511" s="71">
        <v>999</v>
      </c>
    </row>
    <row r="512" spans="1:8" x14ac:dyDescent="0.2">
      <c r="A512" s="83" t="s">
        <v>1857</v>
      </c>
      <c r="B512" s="63">
        <v>0.37562499999999999</v>
      </c>
      <c r="C512" s="64" t="s">
        <v>238</v>
      </c>
      <c r="D512" s="8"/>
      <c r="E512" s="68" t="s">
        <v>690</v>
      </c>
      <c r="F512" s="69">
        <v>10</v>
      </c>
      <c r="G512" s="70">
        <v>641</v>
      </c>
      <c r="H512" s="71">
        <v>999</v>
      </c>
    </row>
    <row r="513" spans="1:8" x14ac:dyDescent="0.2">
      <c r="A513" s="83" t="s">
        <v>1858</v>
      </c>
      <c r="B513" s="63">
        <v>0.47894736842105301</v>
      </c>
      <c r="C513" s="64" t="s">
        <v>239</v>
      </c>
      <c r="D513" s="8"/>
      <c r="E513" s="68" t="s">
        <v>691</v>
      </c>
      <c r="F513" s="69">
        <v>1</v>
      </c>
      <c r="G513" s="70">
        <v>64</v>
      </c>
      <c r="H513" s="71">
        <v>99</v>
      </c>
    </row>
    <row r="514" spans="1:8" x14ac:dyDescent="0.2">
      <c r="A514" s="83" t="s">
        <v>1859</v>
      </c>
      <c r="B514" s="63">
        <v>0.47894736842105301</v>
      </c>
      <c r="C514" s="64" t="s">
        <v>239</v>
      </c>
      <c r="D514" s="8"/>
      <c r="E514" s="68" t="s">
        <v>692</v>
      </c>
      <c r="F514" s="69">
        <v>1</v>
      </c>
      <c r="G514" s="70">
        <v>64</v>
      </c>
      <c r="H514" s="71">
        <v>99</v>
      </c>
    </row>
    <row r="515" spans="1:8" x14ac:dyDescent="0.2">
      <c r="A515" s="83" t="s">
        <v>1860</v>
      </c>
      <c r="B515" s="63">
        <v>0.52428571428571402</v>
      </c>
      <c r="C515" s="64" t="s">
        <v>203</v>
      </c>
      <c r="D515" s="8"/>
      <c r="E515" s="68" t="s">
        <v>693</v>
      </c>
      <c r="F515" s="69">
        <v>10</v>
      </c>
      <c r="G515" s="70">
        <v>321</v>
      </c>
      <c r="H515" s="71">
        <v>999</v>
      </c>
    </row>
    <row r="516" spans="1:8" x14ac:dyDescent="0.2">
      <c r="A516" s="83" t="s">
        <v>1861</v>
      </c>
      <c r="B516" s="63">
        <v>0.4002</v>
      </c>
      <c r="C516" s="64" t="s">
        <v>230</v>
      </c>
      <c r="D516" s="8"/>
      <c r="E516" s="68" t="s">
        <v>694</v>
      </c>
      <c r="F516" s="69">
        <v>30</v>
      </c>
      <c r="G516" s="70">
        <v>962</v>
      </c>
      <c r="H516" s="71">
        <v>2999</v>
      </c>
    </row>
    <row r="517" spans="1:8" x14ac:dyDescent="0.2">
      <c r="A517" s="83" t="s">
        <v>1862</v>
      </c>
      <c r="B517" s="63">
        <v>0.47894736842105301</v>
      </c>
      <c r="C517" s="64" t="s">
        <v>239</v>
      </c>
      <c r="D517" s="8"/>
      <c r="E517" s="68" t="s">
        <v>695</v>
      </c>
      <c r="F517" s="69">
        <v>1</v>
      </c>
      <c r="G517" s="70">
        <v>64</v>
      </c>
      <c r="H517" s="71">
        <v>99</v>
      </c>
    </row>
    <row r="518" spans="1:8" x14ac:dyDescent="0.2">
      <c r="A518" s="83" t="s">
        <v>1863</v>
      </c>
      <c r="B518" s="63">
        <v>0.45166666666666699</v>
      </c>
      <c r="C518" s="64" t="s">
        <v>240</v>
      </c>
      <c r="D518" s="8"/>
      <c r="E518" s="68" t="s">
        <v>696</v>
      </c>
      <c r="F518" s="69">
        <v>3</v>
      </c>
      <c r="G518" s="70">
        <v>211</v>
      </c>
      <c r="H518" s="71">
        <v>329</v>
      </c>
    </row>
    <row r="519" spans="1:8" x14ac:dyDescent="0.2">
      <c r="A519" s="83" t="s">
        <v>1864</v>
      </c>
      <c r="B519" s="63">
        <v>0.50166666666666704</v>
      </c>
      <c r="C519" s="64" t="s">
        <v>240</v>
      </c>
      <c r="D519" s="8"/>
      <c r="E519" s="68" t="s">
        <v>697</v>
      </c>
      <c r="F519" s="69">
        <v>3</v>
      </c>
      <c r="G519" s="70">
        <v>192</v>
      </c>
      <c r="H519" s="71">
        <v>299</v>
      </c>
    </row>
    <row r="520" spans="1:8" x14ac:dyDescent="0.2">
      <c r="A520" s="83" t="s">
        <v>1865</v>
      </c>
      <c r="B520" s="63">
        <v>0.45166666666666699</v>
      </c>
      <c r="C520" s="64" t="s">
        <v>241</v>
      </c>
      <c r="D520" s="8"/>
      <c r="E520" s="68" t="s">
        <v>698</v>
      </c>
      <c r="F520" s="69">
        <v>3</v>
      </c>
      <c r="G520" s="70">
        <v>211</v>
      </c>
      <c r="H520" s="71">
        <v>329</v>
      </c>
    </row>
    <row r="521" spans="1:8" x14ac:dyDescent="0.2">
      <c r="A521" s="83" t="s">
        <v>1866</v>
      </c>
      <c r="B521" s="63">
        <v>0.45166666666666699</v>
      </c>
      <c r="C521" s="64" t="s">
        <v>241</v>
      </c>
      <c r="D521" s="8"/>
      <c r="E521" s="68" t="s">
        <v>699</v>
      </c>
      <c r="F521" s="69">
        <v>3</v>
      </c>
      <c r="G521" s="70">
        <v>211</v>
      </c>
      <c r="H521" s="71">
        <v>329</v>
      </c>
    </row>
    <row r="522" spans="1:8" x14ac:dyDescent="0.2">
      <c r="A522" s="83" t="s">
        <v>1867</v>
      </c>
      <c r="B522" s="63">
        <v>0.401666666666667</v>
      </c>
      <c r="C522" s="64" t="s">
        <v>241</v>
      </c>
      <c r="D522" s="8"/>
      <c r="E522" s="68" t="s">
        <v>700</v>
      </c>
      <c r="F522" s="69">
        <v>4</v>
      </c>
      <c r="G522" s="70">
        <v>230</v>
      </c>
      <c r="H522" s="71">
        <v>359</v>
      </c>
    </row>
    <row r="523" spans="1:8" x14ac:dyDescent="0.2">
      <c r="A523" s="83" t="s">
        <v>1868</v>
      </c>
      <c r="B523" s="63">
        <v>0.45166666666666699</v>
      </c>
      <c r="C523" s="64" t="s">
        <v>240</v>
      </c>
      <c r="D523" s="8"/>
      <c r="E523" s="68" t="s">
        <v>701</v>
      </c>
      <c r="F523" s="69">
        <v>3</v>
      </c>
      <c r="G523" s="70">
        <v>211</v>
      </c>
      <c r="H523" s="71">
        <v>329</v>
      </c>
    </row>
    <row r="524" spans="1:8" x14ac:dyDescent="0.2">
      <c r="A524" s="83" t="s">
        <v>812</v>
      </c>
      <c r="B524" s="63"/>
      <c r="C524" s="64" t="s">
        <v>213</v>
      </c>
      <c r="D524" s="8"/>
      <c r="E524" s="68" t="s">
        <v>702</v>
      </c>
      <c r="F524" s="69">
        <v>20</v>
      </c>
      <c r="G524" s="70">
        <v>1283</v>
      </c>
      <c r="H524" s="71">
        <v>2000</v>
      </c>
    </row>
    <row r="525" spans="1:8" x14ac:dyDescent="0.2">
      <c r="A525" s="83" t="s">
        <v>813</v>
      </c>
      <c r="B525" s="63"/>
      <c r="C525" s="64" t="s">
        <v>213</v>
      </c>
      <c r="D525" s="8"/>
      <c r="E525" s="68" t="s">
        <v>703</v>
      </c>
      <c r="F525" s="69">
        <v>20</v>
      </c>
      <c r="G525" s="70">
        <v>1283</v>
      </c>
      <c r="H525" s="71">
        <v>2000</v>
      </c>
    </row>
    <row r="526" spans="1:8" x14ac:dyDescent="0.2">
      <c r="A526" s="83" t="s">
        <v>814</v>
      </c>
      <c r="B526" s="63">
        <v>0.45100000000000001</v>
      </c>
      <c r="C526" s="64" t="s">
        <v>213</v>
      </c>
      <c r="D526" s="8"/>
      <c r="E526" s="68" t="s">
        <v>704</v>
      </c>
      <c r="F526" s="69">
        <v>5</v>
      </c>
      <c r="G526" s="70">
        <v>352</v>
      </c>
      <c r="H526" s="71">
        <v>549</v>
      </c>
    </row>
    <row r="527" spans="1:8" x14ac:dyDescent="0.2">
      <c r="A527" s="83" t="s">
        <v>1869</v>
      </c>
      <c r="B527" s="63">
        <v>0.28607142857142898</v>
      </c>
      <c r="C527" s="64" t="s">
        <v>242</v>
      </c>
      <c r="D527" s="8"/>
      <c r="E527" s="68" t="s">
        <v>705</v>
      </c>
      <c r="F527" s="69">
        <v>20</v>
      </c>
      <c r="G527" s="70">
        <v>1283</v>
      </c>
      <c r="H527" s="71">
        <v>1999</v>
      </c>
    </row>
    <row r="528" spans="1:8" x14ac:dyDescent="0.2">
      <c r="A528" s="83" t="s">
        <v>1870</v>
      </c>
      <c r="B528" s="63">
        <v>0.30020000000000002</v>
      </c>
      <c r="C528" s="64" t="s">
        <v>243</v>
      </c>
      <c r="D528" s="8"/>
      <c r="E528" s="68" t="s">
        <v>706</v>
      </c>
      <c r="F528" s="69">
        <v>35</v>
      </c>
      <c r="G528" s="70">
        <v>2245</v>
      </c>
      <c r="H528" s="71">
        <v>3499</v>
      </c>
    </row>
    <row r="529" spans="1:8" x14ac:dyDescent="0.2">
      <c r="A529" s="83" t="s">
        <v>1871</v>
      </c>
      <c r="B529" s="63">
        <v>0.28607142857142898</v>
      </c>
      <c r="C529" s="64" t="s">
        <v>103</v>
      </c>
      <c r="D529" s="8"/>
      <c r="E529" s="68" t="s">
        <v>707</v>
      </c>
      <c r="F529" s="69">
        <v>20</v>
      </c>
      <c r="G529" s="70">
        <v>1283</v>
      </c>
      <c r="H529" s="71">
        <v>1999</v>
      </c>
    </row>
    <row r="530" spans="1:8" x14ac:dyDescent="0.2">
      <c r="A530" s="83" t="s">
        <v>1872</v>
      </c>
      <c r="B530" s="63">
        <v>0.40125</v>
      </c>
      <c r="C530" s="64" t="s">
        <v>227</v>
      </c>
      <c r="D530" s="8"/>
      <c r="E530" s="68" t="s">
        <v>708</v>
      </c>
      <c r="F530" s="69">
        <v>5</v>
      </c>
      <c r="G530" s="70">
        <v>154</v>
      </c>
      <c r="H530" s="71">
        <v>479</v>
      </c>
    </row>
    <row r="531" spans="1:8" x14ac:dyDescent="0.2">
      <c r="A531" s="83" t="s">
        <v>1873</v>
      </c>
      <c r="B531" s="63">
        <v>0.35499999999999998</v>
      </c>
      <c r="C531" s="64" t="s">
        <v>236</v>
      </c>
      <c r="D531" s="8"/>
      <c r="E531" s="68" t="s">
        <v>709</v>
      </c>
      <c r="F531" s="69">
        <v>1</v>
      </c>
      <c r="G531" s="70">
        <v>41</v>
      </c>
      <c r="H531" s="71">
        <v>129</v>
      </c>
    </row>
    <row r="532" spans="1:8" ht="15" thickBot="1" x14ac:dyDescent="0.25">
      <c r="A532" s="83" t="s">
        <v>1874</v>
      </c>
      <c r="B532" s="63">
        <v>0.35340909090909101</v>
      </c>
      <c r="C532" s="64" t="s">
        <v>236</v>
      </c>
      <c r="D532" s="8"/>
      <c r="E532" s="68" t="s">
        <v>710</v>
      </c>
      <c r="F532" s="69">
        <v>6</v>
      </c>
      <c r="G532" s="70">
        <v>182</v>
      </c>
      <c r="H532" s="71">
        <v>569</v>
      </c>
    </row>
    <row r="533" spans="1:8" ht="15" thickBot="1" x14ac:dyDescent="0.25">
      <c r="A533" s="56" t="s">
        <v>41</v>
      </c>
      <c r="B533" s="57"/>
      <c r="C533" s="57"/>
      <c r="D533" s="58"/>
      <c r="E533" s="82" t="s">
        <v>508</v>
      </c>
      <c r="F533" s="60"/>
      <c r="G533" s="61"/>
      <c r="H533" s="61"/>
    </row>
    <row r="534" spans="1:8" x14ac:dyDescent="0.2">
      <c r="A534" s="83" t="s">
        <v>1875</v>
      </c>
      <c r="B534" s="63">
        <v>0.26733333333333298</v>
      </c>
      <c r="C534" s="64" t="s">
        <v>244</v>
      </c>
      <c r="D534" s="8"/>
      <c r="E534" s="68" t="s">
        <v>711</v>
      </c>
      <c r="F534" s="69">
        <v>11</v>
      </c>
      <c r="G534" s="70">
        <v>705</v>
      </c>
      <c r="H534" s="71">
        <v>1099</v>
      </c>
    </row>
    <row r="535" spans="1:8" x14ac:dyDescent="0.2">
      <c r="A535" s="83" t="s">
        <v>1876</v>
      </c>
      <c r="B535" s="63">
        <v>0.26130434782608702</v>
      </c>
      <c r="C535" s="64" t="s">
        <v>244</v>
      </c>
      <c r="D535" s="8"/>
      <c r="E535" s="68" t="s">
        <v>712</v>
      </c>
      <c r="F535" s="69">
        <v>17</v>
      </c>
      <c r="G535" s="70">
        <v>1090</v>
      </c>
      <c r="H535" s="71">
        <v>1699</v>
      </c>
    </row>
    <row r="536" spans="1:8" x14ac:dyDescent="0.2">
      <c r="A536" s="83" t="s">
        <v>1877</v>
      </c>
      <c r="B536" s="63"/>
      <c r="C536" s="64" t="s">
        <v>244</v>
      </c>
      <c r="D536" s="8"/>
      <c r="E536" s="68" t="s">
        <v>713</v>
      </c>
      <c r="F536" s="69">
        <v>37</v>
      </c>
      <c r="G536" s="70">
        <v>2374</v>
      </c>
      <c r="H536" s="71">
        <v>3700</v>
      </c>
    </row>
    <row r="537" spans="1:8" x14ac:dyDescent="0.2">
      <c r="A537" s="83" t="s">
        <v>1878</v>
      </c>
      <c r="B537" s="63"/>
      <c r="C537" s="64" t="s">
        <v>244</v>
      </c>
      <c r="D537" s="8"/>
      <c r="E537" s="68" t="s">
        <v>714</v>
      </c>
      <c r="F537" s="69">
        <v>27</v>
      </c>
      <c r="G537" s="70">
        <v>1732</v>
      </c>
      <c r="H537" s="71">
        <v>2700</v>
      </c>
    </row>
    <row r="538" spans="1:8" x14ac:dyDescent="0.2">
      <c r="A538" s="83" t="s">
        <v>1879</v>
      </c>
      <c r="B538" s="63">
        <v>0.50124999999999997</v>
      </c>
      <c r="C538" s="64" t="s">
        <v>218</v>
      </c>
      <c r="D538" s="8"/>
      <c r="E538" s="68" t="s">
        <v>715</v>
      </c>
      <c r="F538" s="69">
        <v>4</v>
      </c>
      <c r="G538" s="70">
        <v>256</v>
      </c>
      <c r="H538" s="71">
        <v>399</v>
      </c>
    </row>
    <row r="539" spans="1:8" x14ac:dyDescent="0.2">
      <c r="A539" s="83" t="s">
        <v>1880</v>
      </c>
      <c r="B539" s="63">
        <v>0.45124999999999998</v>
      </c>
      <c r="C539" s="64" t="s">
        <v>217</v>
      </c>
      <c r="D539" s="8"/>
      <c r="E539" s="68" t="s">
        <v>716</v>
      </c>
      <c r="F539" s="69">
        <v>4</v>
      </c>
      <c r="G539" s="70">
        <v>282</v>
      </c>
      <c r="H539" s="71">
        <v>439</v>
      </c>
    </row>
    <row r="540" spans="1:8" ht="15" thickBot="1" x14ac:dyDescent="0.25">
      <c r="A540" s="83" t="s">
        <v>1881</v>
      </c>
      <c r="B540" s="63">
        <v>0.50166666666666704</v>
      </c>
      <c r="C540" s="64" t="s">
        <v>217</v>
      </c>
      <c r="D540" s="8"/>
      <c r="E540" s="68" t="s">
        <v>717</v>
      </c>
      <c r="F540" s="69">
        <v>3</v>
      </c>
      <c r="G540" s="70">
        <v>192</v>
      </c>
      <c r="H540" s="71">
        <v>299</v>
      </c>
    </row>
    <row r="541" spans="1:8" ht="15" thickBot="1" x14ac:dyDescent="0.25">
      <c r="A541" s="56" t="s">
        <v>41</v>
      </c>
      <c r="B541" s="57"/>
      <c r="C541" s="57"/>
      <c r="D541" s="58"/>
      <c r="E541" s="82" t="s">
        <v>718</v>
      </c>
      <c r="F541" s="60"/>
      <c r="G541" s="61"/>
      <c r="H541" s="61"/>
    </row>
    <row r="542" spans="1:8" x14ac:dyDescent="0.2">
      <c r="A542" s="83" t="s">
        <v>1882</v>
      </c>
      <c r="B542" s="63"/>
      <c r="C542" s="64" t="s">
        <v>245</v>
      </c>
      <c r="D542" s="8"/>
      <c r="E542" s="68" t="s">
        <v>719</v>
      </c>
      <c r="F542" s="69">
        <v>5</v>
      </c>
      <c r="G542" s="70">
        <v>352</v>
      </c>
      <c r="H542" s="71">
        <v>549</v>
      </c>
    </row>
    <row r="543" spans="1:8" x14ac:dyDescent="0.2">
      <c r="A543" s="83" t="s">
        <v>1883</v>
      </c>
      <c r="B543" s="63"/>
      <c r="C543" s="64" t="s">
        <v>245</v>
      </c>
      <c r="D543" s="8"/>
      <c r="E543" s="68" t="s">
        <v>720</v>
      </c>
      <c r="F543" s="69">
        <v>8</v>
      </c>
      <c r="G543" s="70">
        <v>513</v>
      </c>
      <c r="H543" s="71">
        <v>799</v>
      </c>
    </row>
    <row r="544" spans="1:8" x14ac:dyDescent="0.2">
      <c r="A544" s="83" t="s">
        <v>1884</v>
      </c>
      <c r="B544" s="63"/>
      <c r="C544" s="64" t="s">
        <v>245</v>
      </c>
      <c r="D544" s="8"/>
      <c r="E544" s="68" t="s">
        <v>721</v>
      </c>
      <c r="F544" s="69">
        <v>5</v>
      </c>
      <c r="G544" s="70">
        <v>352</v>
      </c>
      <c r="H544" s="71">
        <v>549</v>
      </c>
    </row>
    <row r="545" spans="1:8" x14ac:dyDescent="0.2">
      <c r="A545" s="83" t="s">
        <v>1885</v>
      </c>
      <c r="B545" s="63">
        <v>0.34200000000000003</v>
      </c>
      <c r="C545" s="64" t="s">
        <v>245</v>
      </c>
      <c r="D545" s="8"/>
      <c r="E545" s="68" t="s">
        <v>722</v>
      </c>
      <c r="F545" s="69">
        <v>3</v>
      </c>
      <c r="G545" s="70">
        <v>211</v>
      </c>
      <c r="H545" s="71">
        <v>329</v>
      </c>
    </row>
    <row r="546" spans="1:8" x14ac:dyDescent="0.2">
      <c r="A546" s="83" t="s">
        <v>1886</v>
      </c>
      <c r="B546" s="63">
        <v>0.34200000000000003</v>
      </c>
      <c r="C546" s="64" t="s">
        <v>245</v>
      </c>
      <c r="D546" s="8"/>
      <c r="E546" s="68" t="s">
        <v>723</v>
      </c>
      <c r="F546" s="69">
        <v>3</v>
      </c>
      <c r="G546" s="70">
        <v>211</v>
      </c>
      <c r="H546" s="71">
        <v>329</v>
      </c>
    </row>
    <row r="547" spans="1:8" x14ac:dyDescent="0.2">
      <c r="A547" s="83" t="s">
        <v>1887</v>
      </c>
      <c r="B547" s="63">
        <v>0.39565217391304303</v>
      </c>
      <c r="C547" s="64" t="s">
        <v>245</v>
      </c>
      <c r="D547" s="8"/>
      <c r="E547" s="68" t="s">
        <v>724</v>
      </c>
      <c r="F547" s="69">
        <v>1</v>
      </c>
      <c r="G547" s="70">
        <v>90</v>
      </c>
      <c r="H547" s="71">
        <v>139</v>
      </c>
    </row>
    <row r="548" spans="1:8" x14ac:dyDescent="0.2">
      <c r="A548" s="83" t="s">
        <v>1888</v>
      </c>
      <c r="B548" s="63">
        <v>0.50312500000000004</v>
      </c>
      <c r="C548" s="64" t="s">
        <v>246</v>
      </c>
      <c r="D548" s="8"/>
      <c r="E548" s="68" t="s">
        <v>725</v>
      </c>
      <c r="F548" s="69">
        <v>2</v>
      </c>
      <c r="G548" s="70">
        <v>51</v>
      </c>
      <c r="H548" s="71">
        <v>159</v>
      </c>
    </row>
    <row r="549" spans="1:8" x14ac:dyDescent="0.2">
      <c r="A549" s="83" t="s">
        <v>1889</v>
      </c>
      <c r="B549" s="63">
        <v>0.24047619047619001</v>
      </c>
      <c r="C549" s="64" t="s">
        <v>246</v>
      </c>
      <c r="D549" s="8"/>
      <c r="E549" s="68" t="s">
        <v>726</v>
      </c>
      <c r="F549" s="69">
        <v>3</v>
      </c>
      <c r="G549" s="70">
        <v>205</v>
      </c>
      <c r="H549" s="71">
        <v>319</v>
      </c>
    </row>
    <row r="550" spans="1:8" ht="15" thickBot="1" x14ac:dyDescent="0.25">
      <c r="A550" s="83" t="s">
        <v>1890</v>
      </c>
      <c r="B550" s="63">
        <v>0.48260869565217401</v>
      </c>
      <c r="C550" s="64" t="s">
        <v>210</v>
      </c>
      <c r="D550" s="8"/>
      <c r="E550" s="68" t="s">
        <v>727</v>
      </c>
      <c r="F550" s="69">
        <v>1</v>
      </c>
      <c r="G550" s="70">
        <v>76</v>
      </c>
      <c r="H550" s="71">
        <v>119</v>
      </c>
    </row>
    <row r="551" spans="1:8" ht="15" thickBot="1" x14ac:dyDescent="0.25">
      <c r="A551" s="56" t="s">
        <v>41</v>
      </c>
      <c r="B551" s="57"/>
      <c r="C551" s="57"/>
      <c r="D551" s="58"/>
      <c r="E551" s="82" t="s">
        <v>728</v>
      </c>
      <c r="F551" s="60"/>
      <c r="G551" s="61"/>
      <c r="H551" s="61"/>
    </row>
    <row r="552" spans="1:8" x14ac:dyDescent="0.2">
      <c r="A552" s="83" t="s">
        <v>1891</v>
      </c>
      <c r="B552" s="63">
        <v>0.35166666666666702</v>
      </c>
      <c r="C552" s="64" t="s">
        <v>246</v>
      </c>
      <c r="D552" s="8"/>
      <c r="E552" s="68" t="s">
        <v>729</v>
      </c>
      <c r="F552" s="69">
        <v>4</v>
      </c>
      <c r="G552" s="70">
        <v>249</v>
      </c>
      <c r="H552" s="71">
        <v>389</v>
      </c>
    </row>
    <row r="553" spans="1:8" x14ac:dyDescent="0.2">
      <c r="A553" s="83" t="s">
        <v>1892</v>
      </c>
      <c r="B553" s="63">
        <v>0.50312500000000004</v>
      </c>
      <c r="C553" s="64" t="s">
        <v>246</v>
      </c>
      <c r="D553" s="8"/>
      <c r="E553" s="68" t="s">
        <v>730</v>
      </c>
      <c r="F553" s="69">
        <v>2</v>
      </c>
      <c r="G553" s="70">
        <v>51</v>
      </c>
      <c r="H553" s="71">
        <v>159</v>
      </c>
    </row>
    <row r="554" spans="1:8" ht="15" thickBot="1" x14ac:dyDescent="0.25">
      <c r="A554" s="83" t="s">
        <v>1893</v>
      </c>
      <c r="B554" s="63">
        <v>0.35166666666666702</v>
      </c>
      <c r="C554" s="64" t="s">
        <v>246</v>
      </c>
      <c r="D554" s="8"/>
      <c r="E554" s="68" t="s">
        <v>731</v>
      </c>
      <c r="F554" s="69">
        <v>4</v>
      </c>
      <c r="G554" s="70">
        <v>249</v>
      </c>
      <c r="H554" s="71">
        <v>389</v>
      </c>
    </row>
    <row r="555" spans="1:8" ht="15" thickBot="1" x14ac:dyDescent="0.25">
      <c r="A555" s="56" t="s">
        <v>41</v>
      </c>
      <c r="B555" s="57"/>
      <c r="C555" s="57"/>
      <c r="D555" s="58"/>
      <c r="E555" s="82" t="s">
        <v>732</v>
      </c>
      <c r="F555" s="60"/>
      <c r="G555" s="61"/>
      <c r="H555" s="61"/>
    </row>
    <row r="556" spans="1:8" x14ac:dyDescent="0.2">
      <c r="A556" s="83" t="s">
        <v>1894</v>
      </c>
      <c r="B556" s="63">
        <v>0.30401960784313697</v>
      </c>
      <c r="C556" s="64" t="s">
        <v>244</v>
      </c>
      <c r="D556" s="8"/>
      <c r="E556" s="68" t="s">
        <v>733</v>
      </c>
      <c r="F556" s="69">
        <v>85</v>
      </c>
      <c r="G556" s="70">
        <v>4555</v>
      </c>
      <c r="H556" s="71">
        <v>7099</v>
      </c>
    </row>
    <row r="557" spans="1:8" x14ac:dyDescent="0.2">
      <c r="A557" s="83" t="s">
        <v>1895</v>
      </c>
      <c r="B557" s="63">
        <v>0.30076923076923101</v>
      </c>
      <c r="C557" s="64" t="s">
        <v>228</v>
      </c>
      <c r="D557" s="8"/>
      <c r="E557" s="68" t="s">
        <v>734</v>
      </c>
      <c r="F557" s="69">
        <v>120</v>
      </c>
      <c r="G557" s="70">
        <v>6416</v>
      </c>
      <c r="H557" s="71">
        <v>9999</v>
      </c>
    </row>
    <row r="558" spans="1:8" x14ac:dyDescent="0.2">
      <c r="A558" s="83" t="s">
        <v>1896</v>
      </c>
      <c r="B558" s="63"/>
      <c r="C558" s="64" t="s">
        <v>167</v>
      </c>
      <c r="D558" s="8"/>
      <c r="E558" s="68" t="s">
        <v>735</v>
      </c>
      <c r="F558" s="69">
        <v>33</v>
      </c>
      <c r="G558" s="70">
        <v>2116</v>
      </c>
      <c r="H558" s="71">
        <v>3299</v>
      </c>
    </row>
    <row r="559" spans="1:8" x14ac:dyDescent="0.2">
      <c r="A559" s="83" t="s">
        <v>1897</v>
      </c>
      <c r="B559" s="63">
        <v>0.30007692307692302</v>
      </c>
      <c r="C559" s="64" t="s">
        <v>228</v>
      </c>
      <c r="D559" s="8"/>
      <c r="E559" s="68" t="s">
        <v>736</v>
      </c>
      <c r="F559" s="69">
        <v>109</v>
      </c>
      <c r="G559" s="70">
        <v>5838</v>
      </c>
      <c r="H559" s="71">
        <v>9099</v>
      </c>
    </row>
    <row r="560" spans="1:8" x14ac:dyDescent="0.2">
      <c r="A560" s="83" t="s">
        <v>1898</v>
      </c>
      <c r="B560" s="63">
        <v>0.30076923076923101</v>
      </c>
      <c r="C560" s="64" t="s">
        <v>247</v>
      </c>
      <c r="D560" s="8"/>
      <c r="E560" s="68" t="s">
        <v>737</v>
      </c>
      <c r="F560" s="69">
        <v>120</v>
      </c>
      <c r="G560" s="70">
        <v>6416</v>
      </c>
      <c r="H560" s="71">
        <v>9999</v>
      </c>
    </row>
    <row r="561" spans="1:8" x14ac:dyDescent="0.2">
      <c r="A561" s="83" t="s">
        <v>1899</v>
      </c>
      <c r="B561" s="63">
        <v>0.30076923076923101</v>
      </c>
      <c r="C561" s="64" t="s">
        <v>248</v>
      </c>
      <c r="D561" s="8"/>
      <c r="E561" s="68" t="s">
        <v>738</v>
      </c>
      <c r="F561" s="69">
        <v>120</v>
      </c>
      <c r="G561" s="70">
        <v>6416</v>
      </c>
      <c r="H561" s="71">
        <v>9999</v>
      </c>
    </row>
    <row r="562" spans="1:8" x14ac:dyDescent="0.2">
      <c r="A562" s="83" t="s">
        <v>1900</v>
      </c>
      <c r="B562" s="63">
        <v>0.30076923076923101</v>
      </c>
      <c r="C562" s="64" t="s">
        <v>249</v>
      </c>
      <c r="D562" s="8"/>
      <c r="E562" s="68" t="s">
        <v>739</v>
      </c>
      <c r="F562" s="69">
        <v>120</v>
      </c>
      <c r="G562" s="70">
        <v>6416</v>
      </c>
      <c r="H562" s="71">
        <v>9999</v>
      </c>
    </row>
    <row r="563" spans="1:8" x14ac:dyDescent="0.2">
      <c r="A563" s="83" t="s">
        <v>1901</v>
      </c>
      <c r="B563" s="63">
        <v>0.316142270861833</v>
      </c>
      <c r="C563" s="64" t="s">
        <v>247</v>
      </c>
      <c r="D563" s="8"/>
      <c r="E563" s="68" t="s">
        <v>740</v>
      </c>
      <c r="F563" s="69">
        <v>50</v>
      </c>
      <c r="G563" s="70">
        <v>3208</v>
      </c>
      <c r="H563" s="71">
        <v>4999</v>
      </c>
    </row>
    <row r="564" spans="1:8" x14ac:dyDescent="0.2">
      <c r="A564" s="83" t="s">
        <v>1902</v>
      </c>
      <c r="B564" s="63">
        <v>0.316142270861833</v>
      </c>
      <c r="C564" s="64" t="s">
        <v>237</v>
      </c>
      <c r="D564" s="8"/>
      <c r="E564" s="68" t="s">
        <v>741</v>
      </c>
      <c r="F564" s="69">
        <v>50</v>
      </c>
      <c r="G564" s="70">
        <v>3208</v>
      </c>
      <c r="H564" s="71">
        <v>4999</v>
      </c>
    </row>
    <row r="565" spans="1:8" x14ac:dyDescent="0.2">
      <c r="A565" s="83" t="s">
        <v>1903</v>
      </c>
      <c r="B565" s="63">
        <v>0.316142270861833</v>
      </c>
      <c r="C565" s="64" t="s">
        <v>248</v>
      </c>
      <c r="D565" s="8"/>
      <c r="E565" s="68" t="s">
        <v>742</v>
      </c>
      <c r="F565" s="69">
        <v>50</v>
      </c>
      <c r="G565" s="70">
        <v>3208</v>
      </c>
      <c r="H565" s="71">
        <v>4999</v>
      </c>
    </row>
    <row r="566" spans="1:8" x14ac:dyDescent="0.2">
      <c r="A566" s="83" t="s">
        <v>1904</v>
      </c>
      <c r="B566" s="63">
        <v>0.316142270861833</v>
      </c>
      <c r="C566" s="64" t="s">
        <v>249</v>
      </c>
      <c r="D566" s="8"/>
      <c r="E566" s="68" t="s">
        <v>743</v>
      </c>
      <c r="F566" s="69">
        <v>50</v>
      </c>
      <c r="G566" s="70">
        <v>3208</v>
      </c>
      <c r="H566" s="71">
        <v>4999</v>
      </c>
    </row>
    <row r="567" spans="1:8" x14ac:dyDescent="0.2">
      <c r="A567" s="83" t="s">
        <v>1905</v>
      </c>
      <c r="B567" s="63"/>
      <c r="C567" s="64" t="s">
        <v>178</v>
      </c>
      <c r="D567" s="8"/>
      <c r="E567" s="68" t="s">
        <v>744</v>
      </c>
      <c r="F567" s="69">
        <v>22</v>
      </c>
      <c r="G567" s="70">
        <v>1411</v>
      </c>
      <c r="H567" s="71">
        <v>2199</v>
      </c>
    </row>
    <row r="568" spans="1:8" x14ac:dyDescent="0.2">
      <c r="A568" s="83" t="s">
        <v>1906</v>
      </c>
      <c r="B568" s="63">
        <v>0.50528052805280499</v>
      </c>
      <c r="C568" s="64" t="s">
        <v>182</v>
      </c>
      <c r="D568" s="8"/>
      <c r="E568" s="68" t="s">
        <v>745</v>
      </c>
      <c r="F568" s="69">
        <v>15</v>
      </c>
      <c r="G568" s="70">
        <v>962</v>
      </c>
      <c r="H568" s="71">
        <v>1499</v>
      </c>
    </row>
    <row r="569" spans="1:8" x14ac:dyDescent="0.2">
      <c r="A569" s="83" t="s">
        <v>1907</v>
      </c>
      <c r="B569" s="63">
        <v>0.50055555555555598</v>
      </c>
      <c r="C569" s="64" t="s">
        <v>240</v>
      </c>
      <c r="D569" s="8"/>
      <c r="E569" s="68" t="s">
        <v>746</v>
      </c>
      <c r="F569" s="69">
        <v>9</v>
      </c>
      <c r="G569" s="70">
        <v>576</v>
      </c>
      <c r="H569" s="71">
        <v>899</v>
      </c>
    </row>
    <row r="570" spans="1:8" x14ac:dyDescent="0.2">
      <c r="A570" s="83" t="s">
        <v>1908</v>
      </c>
      <c r="B570" s="63">
        <v>0.44523809523809499</v>
      </c>
      <c r="C570" s="64" t="s">
        <v>195</v>
      </c>
      <c r="D570" s="8"/>
      <c r="E570" s="68" t="s">
        <v>747</v>
      </c>
      <c r="F570" s="69">
        <v>7</v>
      </c>
      <c r="G570" s="70">
        <v>449</v>
      </c>
      <c r="H570" s="71">
        <v>699</v>
      </c>
    </row>
    <row r="571" spans="1:8" x14ac:dyDescent="0.2">
      <c r="A571" s="83" t="s">
        <v>1909</v>
      </c>
      <c r="B571" s="63">
        <v>0.50199335548172797</v>
      </c>
      <c r="C571" s="64" t="s">
        <v>190</v>
      </c>
      <c r="D571" s="8"/>
      <c r="E571" s="68" t="s">
        <v>748</v>
      </c>
      <c r="F571" s="69">
        <v>15</v>
      </c>
      <c r="G571" s="70">
        <v>913</v>
      </c>
      <c r="H571" s="71">
        <v>1499</v>
      </c>
    </row>
    <row r="572" spans="1:8" x14ac:dyDescent="0.2">
      <c r="A572" s="83" t="s">
        <v>1910</v>
      </c>
      <c r="B572" s="63">
        <v>0.53273381294963995</v>
      </c>
      <c r="C572" s="64" t="s">
        <v>179</v>
      </c>
      <c r="D572" s="8"/>
      <c r="E572" s="68" t="s">
        <v>749</v>
      </c>
      <c r="F572" s="69">
        <v>13</v>
      </c>
      <c r="G572" s="70">
        <v>834</v>
      </c>
      <c r="H572" s="71">
        <v>1299</v>
      </c>
    </row>
    <row r="573" spans="1:8" x14ac:dyDescent="0.2">
      <c r="A573" s="83" t="s">
        <v>1911</v>
      </c>
      <c r="B573" s="63">
        <v>0.52551928783382795</v>
      </c>
      <c r="C573" s="64" t="s">
        <v>151</v>
      </c>
      <c r="D573" s="8"/>
      <c r="E573" s="68" t="s">
        <v>750</v>
      </c>
      <c r="F573" s="69">
        <v>16</v>
      </c>
      <c r="G573" s="70">
        <v>1026</v>
      </c>
      <c r="H573" s="71">
        <v>1599</v>
      </c>
    </row>
    <row r="574" spans="1:8" x14ac:dyDescent="0.2">
      <c r="A574" s="83" t="s">
        <v>1912</v>
      </c>
      <c r="B574" s="63">
        <v>0.52831460674157305</v>
      </c>
      <c r="C574" s="64" t="s">
        <v>187</v>
      </c>
      <c r="D574" s="8"/>
      <c r="E574" s="68" t="s">
        <v>745</v>
      </c>
      <c r="F574" s="69">
        <v>21</v>
      </c>
      <c r="G574" s="70">
        <v>1347</v>
      </c>
      <c r="H574" s="71">
        <v>2099</v>
      </c>
    </row>
    <row r="575" spans="1:8" x14ac:dyDescent="0.2">
      <c r="A575" s="83" t="s">
        <v>1913</v>
      </c>
      <c r="B575" s="63">
        <v>0.52670454545454504</v>
      </c>
      <c r="C575" s="64" t="s">
        <v>49</v>
      </c>
      <c r="D575" s="8"/>
      <c r="E575" s="68" t="s">
        <v>751</v>
      </c>
      <c r="F575" s="69">
        <v>25</v>
      </c>
      <c r="G575" s="70">
        <v>1604</v>
      </c>
      <c r="H575" s="71">
        <v>2499</v>
      </c>
    </row>
    <row r="576" spans="1:8" x14ac:dyDescent="0.2">
      <c r="A576" s="83" t="s">
        <v>1914</v>
      </c>
      <c r="B576" s="63">
        <v>0.50038461538461498</v>
      </c>
      <c r="C576" s="64" t="s">
        <v>188</v>
      </c>
      <c r="D576" s="8"/>
      <c r="E576" s="68" t="s">
        <v>752</v>
      </c>
      <c r="F576" s="69">
        <v>12</v>
      </c>
      <c r="G576" s="70">
        <v>833</v>
      </c>
      <c r="H576" s="71">
        <v>1299</v>
      </c>
    </row>
    <row r="577" spans="1:8" x14ac:dyDescent="0.2">
      <c r="A577" s="83" t="s">
        <v>1915</v>
      </c>
      <c r="B577" s="63">
        <v>0.47869565217391302</v>
      </c>
      <c r="C577" s="64" t="s">
        <v>176</v>
      </c>
      <c r="D577" s="8"/>
      <c r="E577" s="68" t="s">
        <v>753</v>
      </c>
      <c r="F577" s="69">
        <v>12</v>
      </c>
      <c r="G577" s="70">
        <v>769</v>
      </c>
      <c r="H577" s="71">
        <v>1199</v>
      </c>
    </row>
    <row r="578" spans="1:8" x14ac:dyDescent="0.2">
      <c r="A578" s="83" t="s">
        <v>1916</v>
      </c>
      <c r="B578" s="63">
        <v>0.48702702702702699</v>
      </c>
      <c r="C578" s="64" t="s">
        <v>166</v>
      </c>
      <c r="D578" s="8"/>
      <c r="E578" s="68" t="s">
        <v>754</v>
      </c>
      <c r="F578" s="69">
        <v>9</v>
      </c>
      <c r="G578" s="70">
        <v>609</v>
      </c>
      <c r="H578" s="71">
        <v>949</v>
      </c>
    </row>
    <row r="579" spans="1:8" x14ac:dyDescent="0.2">
      <c r="A579" s="83" t="s">
        <v>1917</v>
      </c>
      <c r="B579" s="63">
        <v>0.500588235294118</v>
      </c>
      <c r="C579" s="64" t="s">
        <v>141</v>
      </c>
      <c r="D579" s="8"/>
      <c r="E579" s="68" t="s">
        <v>755</v>
      </c>
      <c r="F579" s="69">
        <v>8</v>
      </c>
      <c r="G579" s="70">
        <v>544</v>
      </c>
      <c r="H579" s="71">
        <v>849</v>
      </c>
    </row>
    <row r="580" spans="1:8" x14ac:dyDescent="0.2">
      <c r="A580" s="83" t="s">
        <v>1918</v>
      </c>
      <c r="B580" s="63">
        <v>0.53607142857142898</v>
      </c>
      <c r="C580" s="64" t="s">
        <v>191</v>
      </c>
      <c r="D580" s="8"/>
      <c r="E580" s="68" t="s">
        <v>753</v>
      </c>
      <c r="F580" s="69">
        <v>13</v>
      </c>
      <c r="G580" s="70">
        <v>834</v>
      </c>
      <c r="H580" s="71">
        <v>1299</v>
      </c>
    </row>
    <row r="581" spans="1:8" x14ac:dyDescent="0.2">
      <c r="A581" s="83" t="s">
        <v>1919</v>
      </c>
      <c r="B581" s="63">
        <v>0.47869565217391302</v>
      </c>
      <c r="C581" s="64" t="s">
        <v>189</v>
      </c>
      <c r="D581" s="8"/>
      <c r="E581" s="68" t="s">
        <v>753</v>
      </c>
      <c r="F581" s="69">
        <v>12</v>
      </c>
      <c r="G581" s="70">
        <v>769</v>
      </c>
      <c r="H581" s="71">
        <v>1199</v>
      </c>
    </row>
    <row r="582" spans="1:8" x14ac:dyDescent="0.2">
      <c r="A582" s="83" t="s">
        <v>1920</v>
      </c>
      <c r="B582" s="63">
        <v>0.643452380952381</v>
      </c>
      <c r="C582" s="64" t="s">
        <v>214</v>
      </c>
      <c r="D582" s="8"/>
      <c r="E582" s="68" t="s">
        <v>756</v>
      </c>
      <c r="F582" s="69">
        <v>6</v>
      </c>
      <c r="G582" s="70">
        <v>384</v>
      </c>
      <c r="H582" s="71">
        <v>599</v>
      </c>
    </row>
    <row r="583" spans="1:8" ht="15" thickBot="1" x14ac:dyDescent="0.25">
      <c r="A583" s="52" t="s">
        <v>1921</v>
      </c>
      <c r="B583" s="98">
        <v>0.56594202898550705</v>
      </c>
      <c r="C583" s="43" t="s">
        <v>213</v>
      </c>
      <c r="D583" s="8"/>
      <c r="E583" s="68" t="s">
        <v>757</v>
      </c>
      <c r="F583" s="10">
        <v>6</v>
      </c>
      <c r="G583" s="99">
        <v>384</v>
      </c>
      <c r="H583" s="99">
        <v>599</v>
      </c>
    </row>
    <row r="584" spans="1:8" ht="15" thickBot="1" x14ac:dyDescent="0.25">
      <c r="A584" s="56" t="s">
        <v>41</v>
      </c>
      <c r="B584" s="57"/>
      <c r="C584" s="57"/>
      <c r="D584" s="58"/>
      <c r="E584" s="82" t="s">
        <v>758</v>
      </c>
      <c r="F584" s="60"/>
      <c r="G584" s="61"/>
      <c r="H584" s="61"/>
    </row>
    <row r="585" spans="1:8" x14ac:dyDescent="0.2">
      <c r="A585" s="52" t="s">
        <v>1922</v>
      </c>
      <c r="B585" s="98">
        <v>0.50208333333333299</v>
      </c>
      <c r="C585" s="43" t="s">
        <v>149</v>
      </c>
      <c r="D585" s="8"/>
      <c r="E585" s="68" t="s">
        <v>759</v>
      </c>
      <c r="F585" s="10">
        <v>2</v>
      </c>
      <c r="G585" s="99">
        <v>77</v>
      </c>
      <c r="H585" s="99">
        <v>239</v>
      </c>
    </row>
    <row r="586" spans="1:8" x14ac:dyDescent="0.2">
      <c r="A586" s="83" t="s">
        <v>1923</v>
      </c>
      <c r="B586" s="63">
        <v>0.39791666666666697</v>
      </c>
      <c r="C586" s="64" t="s">
        <v>145</v>
      </c>
      <c r="D586" s="8"/>
      <c r="E586" s="68" t="s">
        <v>760</v>
      </c>
      <c r="F586" s="69">
        <v>3</v>
      </c>
      <c r="G586" s="70">
        <v>93</v>
      </c>
      <c r="H586" s="71">
        <v>289</v>
      </c>
    </row>
    <row r="587" spans="1:8" x14ac:dyDescent="0.2">
      <c r="A587" s="83" t="s">
        <v>1924</v>
      </c>
      <c r="B587" s="63">
        <v>0.501351351351351</v>
      </c>
      <c r="C587" s="64" t="s">
        <v>149</v>
      </c>
      <c r="D587" s="8"/>
      <c r="E587" s="68" t="s">
        <v>761</v>
      </c>
      <c r="F587" s="69">
        <v>4</v>
      </c>
      <c r="G587" s="70">
        <v>118</v>
      </c>
      <c r="H587" s="71">
        <v>369</v>
      </c>
    </row>
    <row r="588" spans="1:8" x14ac:dyDescent="0.2">
      <c r="A588" s="83" t="s">
        <v>1925</v>
      </c>
      <c r="B588" s="63">
        <v>0.40071428571428602</v>
      </c>
      <c r="C588" s="64" t="s">
        <v>152</v>
      </c>
      <c r="D588" s="8"/>
      <c r="E588" s="68" t="s">
        <v>762</v>
      </c>
      <c r="F588" s="69">
        <v>8</v>
      </c>
      <c r="G588" s="70">
        <v>269</v>
      </c>
      <c r="H588" s="71">
        <v>839</v>
      </c>
    </row>
    <row r="589" spans="1:8" ht="15" thickBot="1" x14ac:dyDescent="0.25">
      <c r="A589" s="83" t="s">
        <v>1926</v>
      </c>
      <c r="B589" s="63">
        <v>0.50124999999999997</v>
      </c>
      <c r="C589" s="64" t="s">
        <v>226</v>
      </c>
      <c r="D589" s="8"/>
      <c r="E589" s="68" t="s">
        <v>763</v>
      </c>
      <c r="F589" s="69">
        <v>4</v>
      </c>
      <c r="G589" s="70">
        <v>128</v>
      </c>
      <c r="H589" s="71">
        <v>399</v>
      </c>
    </row>
    <row r="590" spans="1:8" ht="15" thickBot="1" x14ac:dyDescent="0.25">
      <c r="A590" s="56" t="s">
        <v>41</v>
      </c>
      <c r="B590" s="57"/>
      <c r="C590" s="57"/>
      <c r="D590" s="58"/>
      <c r="E590" s="82" t="s">
        <v>764</v>
      </c>
      <c r="F590" s="60"/>
      <c r="G590" s="61"/>
      <c r="H590" s="61"/>
    </row>
    <row r="591" spans="1:8" x14ac:dyDescent="0.2">
      <c r="A591" s="83" t="s">
        <v>1927</v>
      </c>
      <c r="B591" s="63">
        <v>0.42323970757983798</v>
      </c>
      <c r="C591" s="64" t="s">
        <v>250</v>
      </c>
      <c r="D591" s="8"/>
      <c r="E591" s="68" t="s">
        <v>765</v>
      </c>
      <c r="F591" s="69">
        <v>15</v>
      </c>
      <c r="G591" s="70">
        <v>481</v>
      </c>
      <c r="H591" s="71">
        <v>1499</v>
      </c>
    </row>
    <row r="592" spans="1:8" x14ac:dyDescent="0.2">
      <c r="A592" s="83" t="s">
        <v>1928</v>
      </c>
      <c r="B592" s="63">
        <v>0.42869391254644201</v>
      </c>
      <c r="C592" s="64" t="s">
        <v>250</v>
      </c>
      <c r="D592" s="8"/>
      <c r="E592" s="68" t="s">
        <v>766</v>
      </c>
      <c r="F592" s="69">
        <v>20</v>
      </c>
      <c r="G592" s="70">
        <v>641</v>
      </c>
      <c r="H592" s="71">
        <v>1999</v>
      </c>
    </row>
    <row r="593" spans="1:8" x14ac:dyDescent="0.2">
      <c r="A593" s="83" t="s">
        <v>1929</v>
      </c>
      <c r="B593" s="63"/>
      <c r="C593" s="64" t="s">
        <v>251</v>
      </c>
      <c r="D593" s="8"/>
      <c r="E593" s="68" t="s">
        <v>767</v>
      </c>
      <c r="F593" s="69">
        <v>2</v>
      </c>
      <c r="G593" s="70">
        <v>54</v>
      </c>
      <c r="H593" s="71">
        <v>169</v>
      </c>
    </row>
    <row r="594" spans="1:8" x14ac:dyDescent="0.2">
      <c r="A594" s="83" t="s">
        <v>1930</v>
      </c>
      <c r="B594" s="63"/>
      <c r="C594" s="64" t="s">
        <v>251</v>
      </c>
      <c r="D594" s="8"/>
      <c r="E594" s="68" t="s">
        <v>768</v>
      </c>
      <c r="F594" s="69">
        <v>2</v>
      </c>
      <c r="G594" s="70">
        <v>54</v>
      </c>
      <c r="H594" s="71">
        <v>169</v>
      </c>
    </row>
    <row r="595" spans="1:8" x14ac:dyDescent="0.2">
      <c r="A595" s="83" t="s">
        <v>1931</v>
      </c>
      <c r="B595" s="63">
        <v>0.41323529411764698</v>
      </c>
      <c r="C595" s="64" t="s">
        <v>231</v>
      </c>
      <c r="D595" s="8"/>
      <c r="E595" s="68" t="s">
        <v>769</v>
      </c>
      <c r="F595" s="69">
        <v>4</v>
      </c>
      <c r="G595" s="70">
        <v>128</v>
      </c>
      <c r="H595" s="71">
        <v>399</v>
      </c>
    </row>
    <row r="596" spans="1:8" x14ac:dyDescent="0.2">
      <c r="A596" s="83" t="s">
        <v>1932</v>
      </c>
      <c r="B596" s="63"/>
      <c r="C596" s="64" t="s">
        <v>250</v>
      </c>
      <c r="D596" s="8"/>
      <c r="E596" s="68" t="s">
        <v>770</v>
      </c>
      <c r="F596" s="69">
        <v>30</v>
      </c>
      <c r="G596" s="70">
        <v>962</v>
      </c>
      <c r="H596" s="71">
        <v>2999</v>
      </c>
    </row>
    <row r="597" spans="1:8" x14ac:dyDescent="0.2">
      <c r="A597" s="83" t="s">
        <v>1442</v>
      </c>
      <c r="B597" s="63"/>
      <c r="C597" s="64" t="s">
        <v>96</v>
      </c>
      <c r="D597" s="8"/>
      <c r="E597" s="68" t="s">
        <v>130</v>
      </c>
      <c r="F597" s="69">
        <v>9</v>
      </c>
      <c r="G597" s="70">
        <v>288</v>
      </c>
      <c r="H597" s="71">
        <v>899</v>
      </c>
    </row>
    <row r="598" spans="1:8" x14ac:dyDescent="0.2">
      <c r="A598" s="83" t="s">
        <v>1933</v>
      </c>
      <c r="B598" s="63">
        <v>0.333666666666667</v>
      </c>
      <c r="C598" s="64" t="s">
        <v>139</v>
      </c>
      <c r="D598" s="8"/>
      <c r="E598" s="68" t="s">
        <v>83</v>
      </c>
      <c r="F598" s="69">
        <v>20</v>
      </c>
      <c r="G598" s="70">
        <v>641</v>
      </c>
      <c r="H598" s="71">
        <v>1999</v>
      </c>
    </row>
    <row r="599" spans="1:8" x14ac:dyDescent="0.2">
      <c r="A599" s="83" t="s">
        <v>1934</v>
      </c>
      <c r="B599" s="63"/>
      <c r="C599" s="64" t="s">
        <v>59</v>
      </c>
      <c r="D599" s="8"/>
      <c r="E599" s="68" t="s">
        <v>771</v>
      </c>
      <c r="F599" s="69">
        <v>13</v>
      </c>
      <c r="G599" s="70">
        <v>417</v>
      </c>
      <c r="H599" s="71">
        <v>1299</v>
      </c>
    </row>
    <row r="600" spans="1:8" ht="15" thickBot="1" x14ac:dyDescent="0.25">
      <c r="A600" s="83" t="s">
        <v>1935</v>
      </c>
      <c r="B600" s="63">
        <v>0.80080080080080096</v>
      </c>
      <c r="C600" s="64" t="s">
        <v>252</v>
      </c>
      <c r="D600" s="8"/>
      <c r="E600" s="68" t="s">
        <v>772</v>
      </c>
      <c r="F600" s="69">
        <v>2</v>
      </c>
      <c r="G600" s="70">
        <v>64</v>
      </c>
      <c r="H600" s="71">
        <v>199</v>
      </c>
    </row>
    <row r="601" spans="1:8" ht="15" thickBot="1" x14ac:dyDescent="0.25">
      <c r="A601" s="56" t="s">
        <v>41</v>
      </c>
      <c r="B601" s="57"/>
      <c r="C601" s="57"/>
      <c r="D601" s="58"/>
      <c r="E601" s="82" t="s">
        <v>773</v>
      </c>
      <c r="F601" s="60"/>
      <c r="G601" s="61"/>
      <c r="H601" s="61"/>
    </row>
    <row r="602" spans="1:8" x14ac:dyDescent="0.2">
      <c r="A602" s="52" t="s">
        <v>1936</v>
      </c>
      <c r="B602" s="98"/>
      <c r="C602" s="43" t="s">
        <v>253</v>
      </c>
      <c r="D602" s="8"/>
      <c r="E602" s="100" t="s">
        <v>774</v>
      </c>
      <c r="F602" s="10">
        <v>0</v>
      </c>
      <c r="G602" s="99">
        <v>0</v>
      </c>
      <c r="H602" s="99">
        <v>35</v>
      </c>
    </row>
    <row r="603" spans="1:8" ht="15" thickBot="1" x14ac:dyDescent="0.25">
      <c r="A603" s="83" t="s">
        <v>1937</v>
      </c>
      <c r="B603" s="63"/>
      <c r="C603" s="64" t="s">
        <v>168</v>
      </c>
      <c r="D603" s="8"/>
      <c r="E603" s="68" t="s">
        <v>775</v>
      </c>
      <c r="F603" s="69">
        <v>0</v>
      </c>
      <c r="G603" s="70">
        <v>0</v>
      </c>
      <c r="H603" s="71">
        <v>129</v>
      </c>
    </row>
    <row r="604" spans="1:8" ht="15.75" thickBot="1" x14ac:dyDescent="0.3">
      <c r="A604" s="101" t="s">
        <v>773</v>
      </c>
      <c r="B604" s="82" t="s">
        <v>776</v>
      </c>
      <c r="C604" s="82"/>
      <c r="D604" s="82"/>
      <c r="E604" s="102"/>
      <c r="F604" s="59"/>
      <c r="G604" s="103"/>
      <c r="H604" s="104"/>
    </row>
    <row r="605" spans="1:8" x14ac:dyDescent="0.2">
      <c r="A605" s="12" t="s">
        <v>38</v>
      </c>
      <c r="B605" s="12">
        <v>42490</v>
      </c>
      <c r="C605" s="8"/>
      <c r="D605" s="8"/>
      <c r="E605" s="100" t="s">
        <v>815</v>
      </c>
      <c r="F605" s="10">
        <v>0</v>
      </c>
      <c r="G605" s="99">
        <v>0</v>
      </c>
      <c r="H605" s="14">
        <v>35</v>
      </c>
    </row>
    <row r="606" spans="1:8" x14ac:dyDescent="0.2">
      <c r="A606" s="51" t="s">
        <v>39</v>
      </c>
      <c r="B606" s="51">
        <v>42495</v>
      </c>
      <c r="C606" s="8"/>
      <c r="D606" s="8"/>
      <c r="E606" s="100" t="s">
        <v>27</v>
      </c>
      <c r="F606" s="10">
        <v>0</v>
      </c>
      <c r="G606" s="99">
        <v>0</v>
      </c>
      <c r="H606" s="14">
        <v>35</v>
      </c>
    </row>
    <row r="607" spans="1:8" x14ac:dyDescent="0.2">
      <c r="A607" s="51" t="s">
        <v>40</v>
      </c>
      <c r="B607" s="51">
        <v>42751</v>
      </c>
      <c r="C607" s="8"/>
      <c r="D607" s="8"/>
      <c r="E607" s="100" t="s">
        <v>816</v>
      </c>
      <c r="F607" s="10">
        <v>0</v>
      </c>
      <c r="G607" s="99">
        <v>0</v>
      </c>
      <c r="H607" s="14">
        <v>35</v>
      </c>
    </row>
    <row r="608" spans="1:8" x14ac:dyDescent="0.2">
      <c r="A608" s="51" t="s">
        <v>1938</v>
      </c>
      <c r="B608" s="51">
        <v>42514</v>
      </c>
      <c r="C608" s="8"/>
      <c r="D608" s="8"/>
      <c r="E608" s="100" t="s">
        <v>817</v>
      </c>
      <c r="F608" s="10">
        <v>0</v>
      </c>
      <c r="G608" s="99">
        <v>0</v>
      </c>
      <c r="H608" s="14">
        <v>35</v>
      </c>
    </row>
    <row r="609" spans="1:8" x14ac:dyDescent="0.2">
      <c r="A609" s="51" t="s">
        <v>1939</v>
      </c>
      <c r="B609" s="51">
        <v>42507</v>
      </c>
      <c r="C609" s="8"/>
      <c r="D609" s="8"/>
      <c r="E609" s="100" t="s">
        <v>488</v>
      </c>
      <c r="F609" s="10">
        <v>0</v>
      </c>
      <c r="G609" s="99">
        <v>0</v>
      </c>
      <c r="H609" s="14">
        <v>35</v>
      </c>
    </row>
    <row r="610" spans="1:8" x14ac:dyDescent="0.2">
      <c r="A610" s="51" t="s">
        <v>1940</v>
      </c>
      <c r="B610" s="51">
        <v>42864</v>
      </c>
      <c r="C610" s="8"/>
      <c r="D610" s="8"/>
      <c r="E610" s="100" t="s">
        <v>818</v>
      </c>
      <c r="F610" s="10">
        <v>0</v>
      </c>
      <c r="G610" s="99">
        <v>0</v>
      </c>
      <c r="H610" s="14">
        <v>35</v>
      </c>
    </row>
    <row r="611" spans="1:8" x14ac:dyDescent="0.2">
      <c r="A611" s="51" t="s">
        <v>1941</v>
      </c>
      <c r="B611" s="51">
        <v>30399</v>
      </c>
      <c r="C611" s="8"/>
      <c r="D611" s="8"/>
      <c r="E611" s="100" t="s">
        <v>819</v>
      </c>
      <c r="F611" s="10">
        <v>0</v>
      </c>
      <c r="G611" s="99">
        <v>0</v>
      </c>
      <c r="H611" s="14">
        <v>35</v>
      </c>
    </row>
    <row r="612" spans="1:8" x14ac:dyDescent="0.2">
      <c r="A612" s="51" t="s">
        <v>1942</v>
      </c>
      <c r="B612" s="51">
        <v>30468</v>
      </c>
      <c r="C612" s="8"/>
      <c r="D612" s="8"/>
      <c r="E612" s="100" t="s">
        <v>820</v>
      </c>
      <c r="F612" s="10">
        <v>0</v>
      </c>
      <c r="G612" s="99">
        <v>0</v>
      </c>
      <c r="H612" s="14">
        <v>35</v>
      </c>
    </row>
    <row r="613" spans="1:8" x14ac:dyDescent="0.2">
      <c r="A613" s="51" t="s">
        <v>1943</v>
      </c>
      <c r="B613" s="51">
        <v>42519</v>
      </c>
      <c r="C613" s="8"/>
      <c r="D613" s="8"/>
      <c r="E613" s="100" t="s">
        <v>821</v>
      </c>
      <c r="F613" s="10">
        <v>0</v>
      </c>
      <c r="G613" s="99">
        <v>0</v>
      </c>
      <c r="H613" s="14">
        <v>35</v>
      </c>
    </row>
    <row r="614" spans="1:8" x14ac:dyDescent="0.2">
      <c r="A614" s="51" t="s">
        <v>1944</v>
      </c>
      <c r="B614" s="51">
        <v>30058</v>
      </c>
      <c r="C614" s="8"/>
      <c r="D614" s="8"/>
      <c r="E614" s="100" t="s">
        <v>822</v>
      </c>
      <c r="F614" s="10">
        <v>0</v>
      </c>
      <c r="G614" s="99">
        <v>0</v>
      </c>
      <c r="H614" s="14">
        <v>35</v>
      </c>
    </row>
    <row r="615" spans="1:8" x14ac:dyDescent="0.2">
      <c r="A615" s="51" t="s">
        <v>1945</v>
      </c>
      <c r="B615" s="51">
        <v>42518</v>
      </c>
      <c r="C615" s="8"/>
      <c r="D615" s="8"/>
      <c r="E615" s="100" t="s">
        <v>823</v>
      </c>
      <c r="F615" s="10">
        <v>0</v>
      </c>
      <c r="G615" s="99">
        <v>0</v>
      </c>
      <c r="H615" s="14">
        <v>35</v>
      </c>
    </row>
    <row r="616" spans="1:8" x14ac:dyDescent="0.2">
      <c r="A616" s="51" t="s">
        <v>1936</v>
      </c>
      <c r="B616" s="51">
        <v>42499</v>
      </c>
      <c r="C616" s="8"/>
      <c r="D616" s="8"/>
      <c r="E616" s="100" t="s">
        <v>824</v>
      </c>
      <c r="F616" s="10">
        <v>0</v>
      </c>
      <c r="G616" s="99">
        <v>0</v>
      </c>
      <c r="H616" s="14">
        <v>35</v>
      </c>
    </row>
    <row r="617" spans="1:8" x14ac:dyDescent="0.2">
      <c r="A617" s="51" t="s">
        <v>1946</v>
      </c>
      <c r="B617" s="51">
        <v>42815</v>
      </c>
      <c r="C617" s="8"/>
      <c r="D617" s="8"/>
      <c r="E617" s="100" t="s">
        <v>825</v>
      </c>
      <c r="F617" s="10">
        <v>0</v>
      </c>
      <c r="G617" s="99">
        <v>0</v>
      </c>
      <c r="H617" s="14">
        <v>35</v>
      </c>
    </row>
    <row r="618" spans="1:8" x14ac:dyDescent="0.2">
      <c r="A618" s="51" t="s">
        <v>1947</v>
      </c>
      <c r="B618" s="51">
        <v>42503</v>
      </c>
      <c r="C618" s="8"/>
      <c r="D618" s="8"/>
      <c r="E618" s="100" t="s">
        <v>826</v>
      </c>
      <c r="F618" s="10">
        <v>0</v>
      </c>
      <c r="G618" s="99">
        <v>0</v>
      </c>
      <c r="H618" s="14">
        <v>35</v>
      </c>
    </row>
    <row r="619" spans="1:8" x14ac:dyDescent="0.2">
      <c r="A619" s="51" t="s">
        <v>1948</v>
      </c>
      <c r="B619" s="51" t="s">
        <v>777</v>
      </c>
      <c r="C619" s="8"/>
      <c r="D619" s="8"/>
      <c r="E619" s="100" t="s">
        <v>511</v>
      </c>
      <c r="F619" s="10">
        <v>0</v>
      </c>
      <c r="G619" s="99">
        <v>0</v>
      </c>
      <c r="H619" s="14">
        <v>35</v>
      </c>
    </row>
    <row r="620" spans="1:8" x14ac:dyDescent="0.2">
      <c r="A620" s="51" t="s">
        <v>1949</v>
      </c>
      <c r="B620" s="51">
        <v>42502</v>
      </c>
      <c r="C620" s="8"/>
      <c r="D620" s="8"/>
      <c r="E620" s="100" t="s">
        <v>15</v>
      </c>
      <c r="F620" s="10">
        <v>0</v>
      </c>
      <c r="G620" s="99">
        <v>0</v>
      </c>
      <c r="H620" s="14">
        <v>35</v>
      </c>
    </row>
    <row r="621" spans="1:8" x14ac:dyDescent="0.2">
      <c r="A621" s="51" t="s">
        <v>1950</v>
      </c>
      <c r="B621" s="51">
        <v>32438</v>
      </c>
      <c r="C621" s="8"/>
      <c r="D621" s="8"/>
      <c r="E621" s="100" t="s">
        <v>827</v>
      </c>
      <c r="F621" s="10">
        <v>0</v>
      </c>
      <c r="G621" s="99">
        <v>0</v>
      </c>
      <c r="H621" s="14">
        <v>35</v>
      </c>
    </row>
    <row r="622" spans="1:8" x14ac:dyDescent="0.2">
      <c r="A622" s="51" t="s">
        <v>1951</v>
      </c>
      <c r="B622" s="51">
        <v>42828</v>
      </c>
      <c r="C622" s="8"/>
      <c r="D622" s="8"/>
      <c r="E622" s="100" t="s">
        <v>828</v>
      </c>
      <c r="F622" s="10">
        <v>0</v>
      </c>
      <c r="G622" s="99">
        <v>0</v>
      </c>
      <c r="H622" s="14">
        <v>35</v>
      </c>
    </row>
    <row r="623" spans="1:8" x14ac:dyDescent="0.2">
      <c r="A623" s="51" t="s">
        <v>1952</v>
      </c>
      <c r="B623" s="51">
        <v>42865</v>
      </c>
      <c r="C623" s="8"/>
      <c r="D623" s="8"/>
      <c r="E623" s="100" t="s">
        <v>829</v>
      </c>
      <c r="F623" s="10">
        <v>0</v>
      </c>
      <c r="G623" s="99">
        <v>0</v>
      </c>
      <c r="H623" s="14">
        <v>35</v>
      </c>
    </row>
    <row r="624" spans="1:8" x14ac:dyDescent="0.2">
      <c r="A624" s="51" t="s">
        <v>1953</v>
      </c>
      <c r="B624" s="51">
        <v>33650</v>
      </c>
      <c r="C624" s="8"/>
      <c r="D624" s="8"/>
      <c r="E624" s="100" t="s">
        <v>830</v>
      </c>
      <c r="F624" s="10">
        <v>0</v>
      </c>
      <c r="G624" s="99">
        <v>0</v>
      </c>
      <c r="H624" s="14">
        <v>35</v>
      </c>
    </row>
    <row r="625" spans="1:8" x14ac:dyDescent="0.2">
      <c r="A625" s="51" t="s">
        <v>1954</v>
      </c>
      <c r="B625" s="51">
        <v>33654</v>
      </c>
      <c r="C625" s="8"/>
      <c r="D625" s="8"/>
      <c r="E625" s="100" t="s">
        <v>831</v>
      </c>
      <c r="F625" s="10">
        <v>0</v>
      </c>
      <c r="G625" s="99">
        <v>0</v>
      </c>
      <c r="H625" s="14">
        <v>35</v>
      </c>
    </row>
    <row r="626" spans="1:8" x14ac:dyDescent="0.2">
      <c r="A626" s="51" t="s">
        <v>1955</v>
      </c>
      <c r="B626" s="51">
        <v>42520</v>
      </c>
      <c r="C626" s="8"/>
      <c r="D626" s="8"/>
      <c r="E626" s="100" t="s">
        <v>832</v>
      </c>
      <c r="F626" s="10">
        <v>0</v>
      </c>
      <c r="G626" s="99">
        <v>0</v>
      </c>
      <c r="H626" s="14">
        <v>35</v>
      </c>
    </row>
    <row r="627" spans="1:8" x14ac:dyDescent="0.2">
      <c r="A627" s="51" t="s">
        <v>1956</v>
      </c>
      <c r="B627" s="51">
        <v>42741</v>
      </c>
      <c r="C627" s="8"/>
      <c r="D627" s="8"/>
      <c r="E627" s="100" t="s">
        <v>491</v>
      </c>
      <c r="F627" s="10">
        <v>0</v>
      </c>
      <c r="G627" s="99">
        <v>0</v>
      </c>
      <c r="H627" s="14">
        <v>35</v>
      </c>
    </row>
    <row r="628" spans="1:8" x14ac:dyDescent="0.2">
      <c r="A628" s="51" t="s">
        <v>1957</v>
      </c>
      <c r="B628" s="51">
        <v>33201</v>
      </c>
      <c r="C628" s="8"/>
      <c r="D628" s="8"/>
      <c r="E628" s="100" t="s">
        <v>714</v>
      </c>
      <c r="F628" s="10">
        <v>0</v>
      </c>
      <c r="G628" s="99">
        <v>0</v>
      </c>
      <c r="H628" s="14">
        <v>35</v>
      </c>
    </row>
    <row r="629" spans="1:8" x14ac:dyDescent="0.2">
      <c r="A629" s="51" t="s">
        <v>1958</v>
      </c>
      <c r="B629" s="51">
        <v>33200</v>
      </c>
      <c r="C629" s="8"/>
      <c r="D629" s="8"/>
      <c r="E629" s="100" t="s">
        <v>713</v>
      </c>
      <c r="F629" s="10">
        <v>0</v>
      </c>
      <c r="G629" s="99">
        <v>0</v>
      </c>
      <c r="H629" s="14">
        <v>35</v>
      </c>
    </row>
    <row r="630" spans="1:8" x14ac:dyDescent="0.2">
      <c r="A630" s="51" t="s">
        <v>1959</v>
      </c>
      <c r="B630" s="51">
        <v>33984</v>
      </c>
      <c r="C630" s="8"/>
      <c r="D630" s="8"/>
      <c r="E630" s="100" t="s">
        <v>638</v>
      </c>
      <c r="F630" s="10">
        <v>0</v>
      </c>
      <c r="G630" s="99">
        <v>0</v>
      </c>
      <c r="H630" s="14">
        <v>35</v>
      </c>
    </row>
    <row r="631" spans="1:8" x14ac:dyDescent="0.2">
      <c r="A631" s="51" t="s">
        <v>1960</v>
      </c>
      <c r="B631" s="51">
        <v>32630</v>
      </c>
      <c r="C631" s="8"/>
      <c r="D631" s="8"/>
      <c r="E631" s="100" t="s">
        <v>637</v>
      </c>
      <c r="F631" s="10">
        <v>0</v>
      </c>
      <c r="G631" s="99">
        <v>0</v>
      </c>
      <c r="H631" s="14">
        <v>35</v>
      </c>
    </row>
    <row r="632" spans="1:8" x14ac:dyDescent="0.2">
      <c r="A632" s="51" t="s">
        <v>1961</v>
      </c>
      <c r="B632" s="51">
        <v>32629</v>
      </c>
      <c r="C632" s="8"/>
      <c r="D632" s="8"/>
      <c r="E632" s="100" t="s">
        <v>636</v>
      </c>
      <c r="F632" s="10">
        <v>0</v>
      </c>
      <c r="G632" s="99">
        <v>0</v>
      </c>
      <c r="H632" s="14">
        <v>35</v>
      </c>
    </row>
    <row r="633" spans="1:8" x14ac:dyDescent="0.2">
      <c r="A633" s="51" t="s">
        <v>1962</v>
      </c>
      <c r="B633" s="51">
        <v>33198</v>
      </c>
      <c r="C633" s="8"/>
      <c r="D633" s="8"/>
      <c r="E633" s="100" t="s">
        <v>711</v>
      </c>
      <c r="F633" s="10">
        <v>0</v>
      </c>
      <c r="G633" s="99">
        <v>0</v>
      </c>
      <c r="H633" s="14">
        <v>35</v>
      </c>
    </row>
    <row r="634" spans="1:8" x14ac:dyDescent="0.2">
      <c r="A634" s="51" t="s">
        <v>1963</v>
      </c>
      <c r="B634" s="51">
        <v>33199</v>
      </c>
      <c r="C634" s="8"/>
      <c r="D634" s="8"/>
      <c r="E634" s="100" t="s">
        <v>712</v>
      </c>
      <c r="F634" s="10">
        <v>0</v>
      </c>
      <c r="G634" s="99">
        <v>0</v>
      </c>
      <c r="H634" s="14">
        <v>35</v>
      </c>
    </row>
    <row r="635" spans="1:8" x14ac:dyDescent="0.2">
      <c r="A635" s="51" t="s">
        <v>1964</v>
      </c>
      <c r="B635" s="51">
        <v>32627</v>
      </c>
      <c r="C635" s="8"/>
      <c r="D635" s="8"/>
      <c r="E635" s="100" t="s">
        <v>634</v>
      </c>
      <c r="F635" s="10">
        <v>0</v>
      </c>
      <c r="G635" s="99">
        <v>0</v>
      </c>
      <c r="H635" s="14">
        <v>35</v>
      </c>
    </row>
    <row r="636" spans="1:8" x14ac:dyDescent="0.2">
      <c r="A636" s="51" t="s">
        <v>1965</v>
      </c>
      <c r="B636" s="51">
        <v>32628</v>
      </c>
      <c r="C636" s="8"/>
      <c r="D636" s="8"/>
      <c r="E636" s="100" t="s">
        <v>635</v>
      </c>
      <c r="F636" s="10">
        <v>0</v>
      </c>
      <c r="G636" s="99">
        <v>0</v>
      </c>
      <c r="H636" s="14">
        <v>35</v>
      </c>
    </row>
    <row r="637" spans="1:8" x14ac:dyDescent="0.2">
      <c r="A637" s="51" t="s">
        <v>1966</v>
      </c>
      <c r="B637" s="51">
        <v>42835</v>
      </c>
      <c r="C637" s="8"/>
      <c r="D637" s="8"/>
      <c r="E637" s="100" t="s">
        <v>833</v>
      </c>
      <c r="F637" s="10">
        <v>0</v>
      </c>
      <c r="G637" s="99">
        <v>0</v>
      </c>
      <c r="H637" s="14">
        <v>35</v>
      </c>
    </row>
    <row r="638" spans="1:8" x14ac:dyDescent="0.2">
      <c r="A638" s="51" t="s">
        <v>1967</v>
      </c>
      <c r="B638" s="51">
        <v>34522</v>
      </c>
      <c r="C638" s="8"/>
      <c r="D638" s="8"/>
      <c r="E638" s="100" t="s">
        <v>834</v>
      </c>
      <c r="F638" s="10">
        <v>0</v>
      </c>
      <c r="G638" s="99">
        <v>0</v>
      </c>
      <c r="H638" s="14">
        <v>35</v>
      </c>
    </row>
    <row r="639" spans="1:8" x14ac:dyDescent="0.2">
      <c r="A639" s="51" t="s">
        <v>1968</v>
      </c>
      <c r="B639" s="51">
        <v>35649</v>
      </c>
      <c r="C639" s="8"/>
      <c r="D639" s="8"/>
      <c r="E639" s="100" t="s">
        <v>835</v>
      </c>
      <c r="F639" s="10">
        <v>0</v>
      </c>
      <c r="G639" s="99">
        <v>0</v>
      </c>
      <c r="H639" s="14">
        <v>35</v>
      </c>
    </row>
    <row r="640" spans="1:8" x14ac:dyDescent="0.2">
      <c r="A640" s="51" t="s">
        <v>1969</v>
      </c>
      <c r="B640" s="51">
        <v>35651</v>
      </c>
      <c r="C640" s="8"/>
      <c r="D640" s="8"/>
      <c r="E640" s="100" t="s">
        <v>836</v>
      </c>
      <c r="F640" s="10">
        <v>0</v>
      </c>
      <c r="G640" s="99">
        <v>0</v>
      </c>
      <c r="H640" s="14">
        <v>35</v>
      </c>
    </row>
    <row r="641" spans="1:8" x14ac:dyDescent="0.2">
      <c r="A641" s="51" t="s">
        <v>1970</v>
      </c>
      <c r="B641" s="51">
        <v>36653</v>
      </c>
      <c r="C641" s="8"/>
      <c r="D641" s="8"/>
      <c r="E641" s="100" t="s">
        <v>837</v>
      </c>
      <c r="F641" s="10">
        <v>0</v>
      </c>
      <c r="G641" s="99">
        <v>0</v>
      </c>
      <c r="H641" s="14">
        <v>35</v>
      </c>
    </row>
    <row r="642" spans="1:8" x14ac:dyDescent="0.2">
      <c r="A642" s="51" t="s">
        <v>1971</v>
      </c>
      <c r="B642" s="51">
        <v>37766</v>
      </c>
      <c r="C642" s="8"/>
      <c r="D642" s="8"/>
      <c r="E642" s="100" t="s">
        <v>838</v>
      </c>
      <c r="F642" s="10">
        <v>0</v>
      </c>
      <c r="G642" s="99">
        <v>0</v>
      </c>
      <c r="H642" s="14">
        <v>35</v>
      </c>
    </row>
    <row r="643" spans="1:8" x14ac:dyDescent="0.2">
      <c r="A643" s="51" t="s">
        <v>1972</v>
      </c>
      <c r="B643" s="51">
        <v>42508</v>
      </c>
      <c r="C643" s="8"/>
      <c r="D643" s="8"/>
      <c r="E643" s="100" t="s">
        <v>839</v>
      </c>
      <c r="F643" s="10">
        <v>0</v>
      </c>
      <c r="G643" s="99">
        <v>0</v>
      </c>
      <c r="H643" s="14">
        <v>35</v>
      </c>
    </row>
    <row r="644" spans="1:8" x14ac:dyDescent="0.2">
      <c r="A644" s="51" t="s">
        <v>1973</v>
      </c>
      <c r="B644" s="51" t="s">
        <v>778</v>
      </c>
      <c r="C644" s="8"/>
      <c r="D644" s="8"/>
      <c r="E644" s="100" t="s">
        <v>840</v>
      </c>
      <c r="F644" s="10">
        <v>0</v>
      </c>
      <c r="G644" s="99">
        <v>0</v>
      </c>
      <c r="H644" s="14">
        <v>35</v>
      </c>
    </row>
    <row r="645" spans="1:8" x14ac:dyDescent="0.2">
      <c r="A645" s="51" t="s">
        <v>1974</v>
      </c>
      <c r="B645" s="51">
        <v>42837</v>
      </c>
      <c r="C645" s="8"/>
      <c r="D645" s="8"/>
      <c r="E645" s="100" t="s">
        <v>517</v>
      </c>
      <c r="F645" s="10">
        <v>0</v>
      </c>
      <c r="G645" s="99">
        <v>0</v>
      </c>
      <c r="H645" s="14">
        <v>35</v>
      </c>
    </row>
    <row r="646" spans="1:8" x14ac:dyDescent="0.2">
      <c r="A646" s="51" t="s">
        <v>1975</v>
      </c>
      <c r="B646" s="51">
        <v>35665</v>
      </c>
      <c r="C646" s="8"/>
      <c r="D646" s="8"/>
      <c r="E646" s="100" t="s">
        <v>24</v>
      </c>
      <c r="F646" s="10">
        <v>0</v>
      </c>
      <c r="G646" s="99">
        <v>0</v>
      </c>
      <c r="H646" s="14">
        <v>35</v>
      </c>
    </row>
    <row r="647" spans="1:8" x14ac:dyDescent="0.2">
      <c r="A647" s="51" t="s">
        <v>1976</v>
      </c>
      <c r="B647" s="51">
        <v>42816</v>
      </c>
      <c r="C647" s="8"/>
      <c r="D647" s="8"/>
      <c r="E647" s="100" t="s">
        <v>841</v>
      </c>
      <c r="F647" s="10">
        <v>0</v>
      </c>
      <c r="G647" s="99">
        <v>0</v>
      </c>
      <c r="H647" s="14">
        <v>35</v>
      </c>
    </row>
    <row r="648" spans="1:8" x14ac:dyDescent="0.2">
      <c r="A648" s="51" t="s">
        <v>1977</v>
      </c>
      <c r="B648" s="51">
        <v>42739</v>
      </c>
      <c r="C648" s="8"/>
      <c r="D648" s="8"/>
      <c r="E648" s="100" t="s">
        <v>516</v>
      </c>
      <c r="F648" s="10">
        <v>0</v>
      </c>
      <c r="G648" s="99">
        <v>0</v>
      </c>
      <c r="H648" s="14">
        <v>35</v>
      </c>
    </row>
    <row r="649" spans="1:8" x14ac:dyDescent="0.2">
      <c r="A649" s="51" t="s">
        <v>1978</v>
      </c>
      <c r="B649" s="51">
        <v>42726</v>
      </c>
      <c r="C649" s="8"/>
      <c r="D649" s="8"/>
      <c r="E649" s="100" t="s">
        <v>842</v>
      </c>
      <c r="F649" s="10">
        <v>0</v>
      </c>
      <c r="G649" s="99">
        <v>0</v>
      </c>
      <c r="H649" s="14">
        <v>35</v>
      </c>
    </row>
    <row r="650" spans="1:8" x14ac:dyDescent="0.2">
      <c r="A650" s="51" t="s">
        <v>1979</v>
      </c>
      <c r="B650" s="51">
        <v>37772</v>
      </c>
      <c r="C650" s="8"/>
      <c r="D650" s="8"/>
      <c r="E650" s="100" t="s">
        <v>843</v>
      </c>
      <c r="F650" s="10">
        <v>0</v>
      </c>
      <c r="G650" s="99">
        <v>0</v>
      </c>
      <c r="H650" s="14">
        <v>35</v>
      </c>
    </row>
    <row r="651" spans="1:8" x14ac:dyDescent="0.2">
      <c r="A651" s="51" t="s">
        <v>1980</v>
      </c>
      <c r="B651" s="51">
        <v>38527</v>
      </c>
      <c r="C651" s="8"/>
      <c r="D651" s="8"/>
      <c r="E651" s="100" t="s">
        <v>844</v>
      </c>
      <c r="F651" s="10">
        <v>0</v>
      </c>
      <c r="G651" s="99">
        <v>0</v>
      </c>
      <c r="H651" s="14">
        <v>35</v>
      </c>
    </row>
    <row r="652" spans="1:8" x14ac:dyDescent="0.2">
      <c r="A652" s="51" t="s">
        <v>1981</v>
      </c>
      <c r="B652" s="51">
        <v>40683</v>
      </c>
      <c r="C652" s="8"/>
      <c r="D652" s="8"/>
      <c r="E652" s="68" t="s">
        <v>845</v>
      </c>
      <c r="F652" s="10">
        <v>0</v>
      </c>
      <c r="G652" s="99">
        <v>0</v>
      </c>
      <c r="H652" s="14">
        <v>35</v>
      </c>
    </row>
    <row r="653" spans="1:8" x14ac:dyDescent="0.2">
      <c r="A653" s="51" t="s">
        <v>1982</v>
      </c>
      <c r="B653" s="51">
        <v>38550</v>
      </c>
      <c r="C653" s="8"/>
      <c r="D653" s="8"/>
      <c r="E653" s="100" t="s">
        <v>846</v>
      </c>
      <c r="F653" s="10">
        <v>0</v>
      </c>
      <c r="G653" s="99">
        <v>0</v>
      </c>
      <c r="H653" s="14">
        <v>35</v>
      </c>
    </row>
    <row r="654" spans="1:8" x14ac:dyDescent="0.2">
      <c r="A654" s="51" t="s">
        <v>1983</v>
      </c>
      <c r="B654" s="51">
        <v>43122</v>
      </c>
      <c r="C654" s="8"/>
      <c r="D654" s="8"/>
      <c r="E654" s="100" t="s">
        <v>847</v>
      </c>
      <c r="F654" s="10">
        <v>0</v>
      </c>
      <c r="G654" s="99">
        <v>0</v>
      </c>
      <c r="H654" s="14">
        <v>35</v>
      </c>
    </row>
    <row r="655" spans="1:8" x14ac:dyDescent="0.2">
      <c r="A655" s="51" t="s">
        <v>1984</v>
      </c>
      <c r="B655" s="51">
        <v>38571</v>
      </c>
      <c r="C655" s="8"/>
      <c r="D655" s="8"/>
      <c r="E655" s="100" t="s">
        <v>848</v>
      </c>
      <c r="F655" s="10">
        <v>0</v>
      </c>
      <c r="G655" s="99">
        <v>0</v>
      </c>
      <c r="H655" s="14">
        <v>35</v>
      </c>
    </row>
    <row r="656" spans="1:8" x14ac:dyDescent="0.2">
      <c r="A656" s="51" t="s">
        <v>1985</v>
      </c>
      <c r="B656" s="51">
        <v>38587</v>
      </c>
      <c r="C656" s="8"/>
      <c r="D656" s="8"/>
      <c r="E656" s="100" t="s">
        <v>849</v>
      </c>
      <c r="F656" s="10">
        <v>0</v>
      </c>
      <c r="G656" s="99">
        <v>0</v>
      </c>
      <c r="H656" s="14">
        <v>35</v>
      </c>
    </row>
    <row r="657" spans="1:8" x14ac:dyDescent="0.2">
      <c r="A657" s="51" t="s">
        <v>1986</v>
      </c>
      <c r="B657" s="51">
        <v>38540</v>
      </c>
      <c r="C657" s="8"/>
      <c r="D657" s="8"/>
      <c r="E657" s="100" t="s">
        <v>850</v>
      </c>
      <c r="F657" s="10">
        <v>0</v>
      </c>
      <c r="G657" s="99">
        <v>0</v>
      </c>
      <c r="H657" s="14">
        <v>35</v>
      </c>
    </row>
    <row r="658" spans="1:8" x14ac:dyDescent="0.2">
      <c r="A658" s="51" t="s">
        <v>1987</v>
      </c>
      <c r="B658" s="51" t="s">
        <v>779</v>
      </c>
      <c r="C658" s="8"/>
      <c r="D658" s="8"/>
      <c r="E658" s="100" t="s">
        <v>851</v>
      </c>
      <c r="F658" s="10">
        <v>0</v>
      </c>
      <c r="G658" s="99">
        <v>0</v>
      </c>
      <c r="H658" s="14">
        <v>35</v>
      </c>
    </row>
    <row r="659" spans="1:8" x14ac:dyDescent="0.2">
      <c r="A659" s="51" t="s">
        <v>1988</v>
      </c>
      <c r="B659" s="51">
        <v>35679</v>
      </c>
      <c r="C659" s="8"/>
      <c r="D659" s="8"/>
      <c r="E659" s="100" t="s">
        <v>852</v>
      </c>
      <c r="F659" s="10">
        <v>0</v>
      </c>
      <c r="G659" s="99">
        <v>0</v>
      </c>
      <c r="H659" s="14">
        <v>35</v>
      </c>
    </row>
    <row r="660" spans="1:8" x14ac:dyDescent="0.2">
      <c r="A660" s="51" t="s">
        <v>1989</v>
      </c>
      <c r="B660" s="51" t="s">
        <v>780</v>
      </c>
      <c r="C660" s="8"/>
      <c r="D660" s="8"/>
      <c r="E660" s="100" t="s">
        <v>853</v>
      </c>
      <c r="F660" s="10">
        <v>0</v>
      </c>
      <c r="G660" s="99">
        <v>0</v>
      </c>
      <c r="H660" s="14">
        <v>35</v>
      </c>
    </row>
    <row r="661" spans="1:8" x14ac:dyDescent="0.2">
      <c r="A661" s="51" t="s">
        <v>1990</v>
      </c>
      <c r="B661" s="51" t="s">
        <v>781</v>
      </c>
      <c r="C661" s="8"/>
      <c r="D661" s="8"/>
      <c r="E661" s="100" t="s">
        <v>646</v>
      </c>
      <c r="F661" s="10">
        <v>0</v>
      </c>
      <c r="G661" s="99">
        <v>0</v>
      </c>
      <c r="H661" s="14">
        <v>35</v>
      </c>
    </row>
    <row r="662" spans="1:8" x14ac:dyDescent="0.2">
      <c r="A662" s="51" t="s">
        <v>1991</v>
      </c>
      <c r="B662" s="51">
        <v>35681</v>
      </c>
      <c r="C662" s="8"/>
      <c r="D662" s="8"/>
      <c r="E662" s="100" t="s">
        <v>478</v>
      </c>
      <c r="F662" s="10">
        <v>0</v>
      </c>
      <c r="G662" s="99">
        <v>0</v>
      </c>
      <c r="H662" s="14">
        <v>35</v>
      </c>
    </row>
    <row r="663" spans="1:8" x14ac:dyDescent="0.2">
      <c r="A663" s="51" t="s">
        <v>1992</v>
      </c>
      <c r="B663" s="51" t="s">
        <v>782</v>
      </c>
      <c r="C663" s="8"/>
      <c r="D663" s="8"/>
      <c r="E663" s="100" t="s">
        <v>641</v>
      </c>
      <c r="F663" s="10">
        <v>0</v>
      </c>
      <c r="G663" s="99">
        <v>0</v>
      </c>
      <c r="H663" s="14">
        <v>35</v>
      </c>
    </row>
    <row r="664" spans="1:8" x14ac:dyDescent="0.2">
      <c r="A664" s="51" t="s">
        <v>1993</v>
      </c>
      <c r="B664" s="51" t="s">
        <v>783</v>
      </c>
      <c r="C664" s="8"/>
      <c r="D664" s="8"/>
      <c r="E664" s="100" t="s">
        <v>854</v>
      </c>
      <c r="F664" s="10">
        <v>0</v>
      </c>
      <c r="G664" s="99">
        <v>0</v>
      </c>
      <c r="H664" s="14">
        <v>35</v>
      </c>
    </row>
    <row r="665" spans="1:8" x14ac:dyDescent="0.2">
      <c r="A665" s="51" t="s">
        <v>1994</v>
      </c>
      <c r="B665" s="51" t="s">
        <v>784</v>
      </c>
      <c r="C665" s="8"/>
      <c r="D665" s="8"/>
      <c r="E665" s="100" t="s">
        <v>643</v>
      </c>
      <c r="F665" s="10">
        <v>0</v>
      </c>
      <c r="G665" s="99">
        <v>0</v>
      </c>
      <c r="H665" s="14">
        <v>35</v>
      </c>
    </row>
    <row r="666" spans="1:8" x14ac:dyDescent="0.2">
      <c r="A666" s="51" t="s">
        <v>1995</v>
      </c>
      <c r="B666" s="51">
        <v>42785</v>
      </c>
      <c r="C666" s="8"/>
      <c r="D666" s="8"/>
      <c r="E666" s="100" t="s">
        <v>26</v>
      </c>
      <c r="F666" s="10">
        <v>0</v>
      </c>
      <c r="G666" s="99">
        <v>0</v>
      </c>
      <c r="H666" s="14">
        <v>35</v>
      </c>
    </row>
    <row r="667" spans="1:8" x14ac:dyDescent="0.2">
      <c r="A667" s="51" t="s">
        <v>1996</v>
      </c>
      <c r="B667" s="51">
        <v>40790</v>
      </c>
      <c r="C667" s="8"/>
      <c r="D667" s="8"/>
      <c r="E667" s="100" t="s">
        <v>855</v>
      </c>
      <c r="F667" s="10">
        <v>0</v>
      </c>
      <c r="G667" s="99">
        <v>0</v>
      </c>
      <c r="H667" s="14">
        <v>35</v>
      </c>
    </row>
    <row r="668" spans="1:8" x14ac:dyDescent="0.2">
      <c r="A668" s="51" t="s">
        <v>1997</v>
      </c>
      <c r="B668" s="51">
        <v>38552</v>
      </c>
      <c r="C668" s="8"/>
      <c r="D668" s="8"/>
      <c r="E668" s="100" t="s">
        <v>856</v>
      </c>
      <c r="F668" s="10">
        <v>0</v>
      </c>
      <c r="G668" s="99">
        <v>0</v>
      </c>
      <c r="H668" s="14">
        <v>35</v>
      </c>
    </row>
    <row r="669" spans="1:8" x14ac:dyDescent="0.2">
      <c r="A669" s="51" t="s">
        <v>1998</v>
      </c>
      <c r="B669" s="51">
        <v>40788</v>
      </c>
      <c r="C669" s="8"/>
      <c r="D669" s="8"/>
      <c r="E669" s="100" t="s">
        <v>857</v>
      </c>
      <c r="F669" s="10">
        <v>0</v>
      </c>
      <c r="G669" s="99">
        <v>0</v>
      </c>
      <c r="H669" s="14">
        <v>35</v>
      </c>
    </row>
    <row r="670" spans="1:8" x14ac:dyDescent="0.2">
      <c r="A670" s="51" t="s">
        <v>1999</v>
      </c>
      <c r="B670" s="51">
        <v>41635</v>
      </c>
      <c r="C670" s="8"/>
      <c r="D670" s="8"/>
      <c r="E670" s="100" t="s">
        <v>858</v>
      </c>
      <c r="F670" s="10">
        <v>0</v>
      </c>
      <c r="G670" s="99">
        <v>0</v>
      </c>
      <c r="H670" s="14">
        <v>35</v>
      </c>
    </row>
    <row r="671" spans="1:8" x14ac:dyDescent="0.2">
      <c r="A671" s="51" t="s">
        <v>2000</v>
      </c>
      <c r="B671" s="51">
        <v>41636</v>
      </c>
      <c r="C671" s="8"/>
      <c r="D671" s="8"/>
      <c r="E671" s="100" t="s">
        <v>859</v>
      </c>
      <c r="F671" s="10">
        <v>0</v>
      </c>
      <c r="G671" s="99">
        <v>0</v>
      </c>
      <c r="H671" s="14">
        <v>35</v>
      </c>
    </row>
    <row r="672" spans="1:8" x14ac:dyDescent="0.2">
      <c r="A672" s="51" t="s">
        <v>2001</v>
      </c>
      <c r="B672" s="51">
        <v>41637</v>
      </c>
      <c r="C672" s="8"/>
      <c r="D672" s="8"/>
      <c r="E672" s="100" t="s">
        <v>860</v>
      </c>
      <c r="F672" s="10">
        <v>0</v>
      </c>
      <c r="G672" s="99">
        <v>0</v>
      </c>
      <c r="H672" s="14">
        <v>35</v>
      </c>
    </row>
    <row r="673" spans="1:8" x14ac:dyDescent="0.2">
      <c r="A673" s="51" t="s">
        <v>2002</v>
      </c>
      <c r="B673" s="51">
        <v>41638</v>
      </c>
      <c r="C673" s="8"/>
      <c r="D673" s="8"/>
      <c r="E673" s="100" t="s">
        <v>861</v>
      </c>
      <c r="F673" s="10">
        <v>0</v>
      </c>
      <c r="G673" s="99">
        <v>0</v>
      </c>
      <c r="H673" s="14">
        <v>35</v>
      </c>
    </row>
    <row r="674" spans="1:8" x14ac:dyDescent="0.2">
      <c r="A674" s="51" t="s">
        <v>2003</v>
      </c>
      <c r="B674" s="51">
        <v>41639</v>
      </c>
      <c r="C674" s="8"/>
      <c r="D674" s="8"/>
      <c r="E674" s="100" t="s">
        <v>862</v>
      </c>
      <c r="F674" s="10">
        <v>0</v>
      </c>
      <c r="G674" s="99">
        <v>0</v>
      </c>
      <c r="H674" s="14">
        <v>35</v>
      </c>
    </row>
    <row r="675" spans="1:8" x14ac:dyDescent="0.2">
      <c r="A675" s="51" t="s">
        <v>2004</v>
      </c>
      <c r="B675" s="51">
        <v>41640</v>
      </c>
      <c r="C675" s="8"/>
      <c r="D675" s="8"/>
      <c r="E675" s="100" t="s">
        <v>863</v>
      </c>
      <c r="F675" s="10">
        <v>0</v>
      </c>
      <c r="G675" s="99">
        <v>0</v>
      </c>
      <c r="H675" s="14">
        <v>35</v>
      </c>
    </row>
    <row r="676" spans="1:8" x14ac:dyDescent="0.2">
      <c r="A676" s="51" t="s">
        <v>2005</v>
      </c>
      <c r="B676" s="51">
        <v>41641</v>
      </c>
      <c r="C676" s="8"/>
      <c r="D676" s="8"/>
      <c r="E676" s="100" t="s">
        <v>864</v>
      </c>
      <c r="F676" s="10">
        <v>0</v>
      </c>
      <c r="G676" s="99">
        <v>0</v>
      </c>
      <c r="H676" s="14">
        <v>35</v>
      </c>
    </row>
    <row r="677" spans="1:8" x14ac:dyDescent="0.2">
      <c r="A677" s="51" t="s">
        <v>2006</v>
      </c>
      <c r="B677" s="51">
        <v>41642</v>
      </c>
      <c r="C677" s="8"/>
      <c r="D677" s="8"/>
      <c r="E677" s="100" t="s">
        <v>865</v>
      </c>
      <c r="F677" s="10">
        <v>0</v>
      </c>
      <c r="G677" s="99">
        <v>0</v>
      </c>
      <c r="H677" s="14">
        <v>35</v>
      </c>
    </row>
    <row r="678" spans="1:8" x14ac:dyDescent="0.2">
      <c r="A678" s="51" t="s">
        <v>2007</v>
      </c>
      <c r="B678" s="51">
        <v>41643</v>
      </c>
      <c r="C678" s="8"/>
      <c r="D678" s="8"/>
      <c r="E678" s="100" t="s">
        <v>866</v>
      </c>
      <c r="F678" s="10">
        <v>0</v>
      </c>
      <c r="G678" s="99">
        <v>0</v>
      </c>
      <c r="H678" s="14">
        <v>35</v>
      </c>
    </row>
    <row r="679" spans="1:8" x14ac:dyDescent="0.2">
      <c r="A679" s="51" t="s">
        <v>2008</v>
      </c>
      <c r="B679" s="51">
        <v>41644</v>
      </c>
      <c r="C679" s="8"/>
      <c r="D679" s="8"/>
      <c r="E679" s="100" t="s">
        <v>867</v>
      </c>
      <c r="F679" s="10">
        <v>0</v>
      </c>
      <c r="G679" s="99">
        <v>0</v>
      </c>
      <c r="H679" s="14">
        <v>35</v>
      </c>
    </row>
    <row r="680" spans="1:8" x14ac:dyDescent="0.2">
      <c r="A680" s="51" t="s">
        <v>2009</v>
      </c>
      <c r="B680" s="51">
        <v>40793</v>
      </c>
      <c r="C680" s="8"/>
      <c r="D680" s="8"/>
      <c r="E680" s="100" t="s">
        <v>868</v>
      </c>
      <c r="F680" s="10">
        <v>0</v>
      </c>
      <c r="G680" s="99">
        <v>0</v>
      </c>
      <c r="H680" s="14">
        <v>35</v>
      </c>
    </row>
    <row r="681" spans="1:8" x14ac:dyDescent="0.2">
      <c r="A681" s="51" t="s">
        <v>2010</v>
      </c>
      <c r="B681" s="51">
        <v>42968</v>
      </c>
      <c r="C681" s="8"/>
      <c r="D681" s="8"/>
      <c r="E681" s="100" t="s">
        <v>869</v>
      </c>
      <c r="F681" s="10">
        <v>0</v>
      </c>
      <c r="G681" s="99">
        <v>0</v>
      </c>
      <c r="H681" s="14">
        <v>35</v>
      </c>
    </row>
    <row r="682" spans="1:8" x14ac:dyDescent="0.2">
      <c r="A682" s="51" t="s">
        <v>2011</v>
      </c>
      <c r="B682" s="51">
        <v>40797</v>
      </c>
      <c r="C682" s="8"/>
      <c r="D682" s="8"/>
      <c r="E682" s="100" t="s">
        <v>522</v>
      </c>
      <c r="F682" s="10">
        <v>0</v>
      </c>
      <c r="G682" s="99">
        <v>0</v>
      </c>
      <c r="H682" s="14">
        <v>35</v>
      </c>
    </row>
    <row r="683" spans="1:8" x14ac:dyDescent="0.2">
      <c r="A683" s="51" t="s">
        <v>2012</v>
      </c>
      <c r="B683" s="51" t="s">
        <v>785</v>
      </c>
      <c r="C683" s="8"/>
      <c r="D683" s="8"/>
      <c r="E683" s="100" t="s">
        <v>870</v>
      </c>
      <c r="F683" s="10">
        <v>0</v>
      </c>
      <c r="G683" s="99">
        <v>0</v>
      </c>
      <c r="H683" s="14">
        <v>35</v>
      </c>
    </row>
    <row r="684" spans="1:8" x14ac:dyDescent="0.2">
      <c r="A684" s="51" t="s">
        <v>2013</v>
      </c>
      <c r="B684" s="51">
        <v>41043</v>
      </c>
      <c r="C684" s="8"/>
      <c r="D684" s="8"/>
      <c r="E684" s="100" t="s">
        <v>871</v>
      </c>
      <c r="F684" s="10">
        <v>0</v>
      </c>
      <c r="G684" s="99">
        <v>0</v>
      </c>
      <c r="H684" s="14">
        <v>35</v>
      </c>
    </row>
    <row r="685" spans="1:8" x14ac:dyDescent="0.2">
      <c r="A685" s="51" t="s">
        <v>2014</v>
      </c>
      <c r="B685" s="51" t="s">
        <v>786</v>
      </c>
      <c r="C685" s="8"/>
      <c r="D685" s="8"/>
      <c r="E685" s="100" t="s">
        <v>872</v>
      </c>
      <c r="F685" s="10">
        <v>0</v>
      </c>
      <c r="G685" s="99">
        <v>0</v>
      </c>
      <c r="H685" s="14">
        <v>35</v>
      </c>
    </row>
    <row r="686" spans="1:8" x14ac:dyDescent="0.2">
      <c r="A686" s="51" t="s">
        <v>2015</v>
      </c>
      <c r="B686" s="51">
        <v>41047</v>
      </c>
      <c r="C686" s="8"/>
      <c r="D686" s="8"/>
      <c r="E686" s="100" t="s">
        <v>873</v>
      </c>
      <c r="F686" s="10">
        <v>0</v>
      </c>
      <c r="G686" s="99">
        <v>0</v>
      </c>
      <c r="H686" s="14">
        <v>35</v>
      </c>
    </row>
    <row r="687" spans="1:8" x14ac:dyDescent="0.2">
      <c r="A687" s="51" t="s">
        <v>2016</v>
      </c>
      <c r="B687" s="51" t="s">
        <v>787</v>
      </c>
      <c r="C687" s="8"/>
      <c r="D687" s="8"/>
      <c r="E687" s="100" t="s">
        <v>874</v>
      </c>
      <c r="F687" s="10">
        <v>0</v>
      </c>
      <c r="G687" s="99">
        <v>0</v>
      </c>
      <c r="H687" s="14">
        <v>35</v>
      </c>
    </row>
    <row r="688" spans="1:8" x14ac:dyDescent="0.2">
      <c r="A688" s="51" t="s">
        <v>2017</v>
      </c>
      <c r="B688" s="51" t="s">
        <v>788</v>
      </c>
      <c r="C688" s="8"/>
      <c r="D688" s="8"/>
      <c r="E688" s="100" t="s">
        <v>650</v>
      </c>
      <c r="F688" s="10">
        <v>0</v>
      </c>
      <c r="G688" s="99">
        <v>0</v>
      </c>
      <c r="H688" s="14">
        <v>35</v>
      </c>
    </row>
    <row r="689" spans="1:8" x14ac:dyDescent="0.2">
      <c r="A689" s="51" t="s">
        <v>2018</v>
      </c>
      <c r="B689" s="51" t="s">
        <v>789</v>
      </c>
      <c r="C689" s="8"/>
      <c r="D689" s="8"/>
      <c r="E689" s="100" t="s">
        <v>875</v>
      </c>
      <c r="F689" s="10">
        <v>0</v>
      </c>
      <c r="G689" s="99">
        <v>0</v>
      </c>
      <c r="H689" s="14">
        <v>35</v>
      </c>
    </row>
    <row r="690" spans="1:8" x14ac:dyDescent="0.2">
      <c r="A690" s="51" t="s">
        <v>2019</v>
      </c>
      <c r="B690" s="51" t="s">
        <v>790</v>
      </c>
      <c r="C690" s="8"/>
      <c r="D690" s="8"/>
      <c r="E690" s="100" t="s">
        <v>652</v>
      </c>
      <c r="F690" s="10">
        <v>0</v>
      </c>
      <c r="G690" s="99">
        <v>0</v>
      </c>
      <c r="H690" s="14">
        <v>35</v>
      </c>
    </row>
    <row r="691" spans="1:8" x14ac:dyDescent="0.2">
      <c r="A691" s="51" t="s">
        <v>2020</v>
      </c>
      <c r="B691" s="51" t="s">
        <v>791</v>
      </c>
      <c r="C691" s="8"/>
      <c r="D691" s="8"/>
      <c r="E691" s="100" t="s">
        <v>876</v>
      </c>
      <c r="F691" s="10">
        <v>0</v>
      </c>
      <c r="G691" s="99">
        <v>0</v>
      </c>
      <c r="H691" s="14">
        <v>35</v>
      </c>
    </row>
    <row r="692" spans="1:8" ht="14.25" customHeight="1" x14ac:dyDescent="0.2">
      <c r="A692" s="51" t="s">
        <v>2021</v>
      </c>
      <c r="B692" s="51" t="s">
        <v>792</v>
      </c>
      <c r="C692" s="8"/>
      <c r="D692" s="8"/>
      <c r="E692" s="100" t="s">
        <v>654</v>
      </c>
      <c r="F692" s="10">
        <v>0</v>
      </c>
      <c r="G692" s="99">
        <v>0</v>
      </c>
      <c r="H692" s="14">
        <v>35</v>
      </c>
    </row>
    <row r="693" spans="1:8" ht="14.25" customHeight="1" x14ac:dyDescent="0.2">
      <c r="A693" s="51" t="s">
        <v>2022</v>
      </c>
      <c r="B693" s="51" t="s">
        <v>793</v>
      </c>
      <c r="C693" s="8"/>
      <c r="D693" s="8"/>
      <c r="E693" s="100" t="s">
        <v>653</v>
      </c>
      <c r="F693" s="10">
        <v>0</v>
      </c>
      <c r="G693" s="99">
        <v>0</v>
      </c>
      <c r="H693" s="14">
        <v>35</v>
      </c>
    </row>
    <row r="694" spans="1:8" x14ac:dyDescent="0.2">
      <c r="A694" s="51" t="s">
        <v>2023</v>
      </c>
      <c r="B694" s="51" t="s">
        <v>794</v>
      </c>
      <c r="C694" s="8"/>
      <c r="D694" s="8"/>
      <c r="E694" s="100" t="s">
        <v>877</v>
      </c>
      <c r="F694" s="10">
        <v>0</v>
      </c>
      <c r="G694" s="99">
        <v>0</v>
      </c>
      <c r="H694" s="14">
        <v>35</v>
      </c>
    </row>
    <row r="695" spans="1:8" x14ac:dyDescent="0.2">
      <c r="A695" s="51" t="s">
        <v>2024</v>
      </c>
      <c r="B695" s="51">
        <v>41032</v>
      </c>
      <c r="C695" s="10"/>
      <c r="D695" s="16"/>
      <c r="E695" s="100" t="s">
        <v>878</v>
      </c>
      <c r="F695" s="10">
        <v>0</v>
      </c>
      <c r="G695" s="99">
        <v>0</v>
      </c>
      <c r="H695" s="14">
        <v>35</v>
      </c>
    </row>
    <row r="696" spans="1:8" x14ac:dyDescent="0.2">
      <c r="A696" s="51" t="s">
        <v>2025</v>
      </c>
      <c r="B696" s="51" t="s">
        <v>795</v>
      </c>
      <c r="C696" s="10"/>
      <c r="D696" s="10"/>
      <c r="E696" s="100" t="s">
        <v>659</v>
      </c>
      <c r="F696" s="10">
        <v>0</v>
      </c>
      <c r="G696" s="99">
        <v>0</v>
      </c>
      <c r="H696" s="14">
        <v>35</v>
      </c>
    </row>
    <row r="697" spans="1:8" x14ac:dyDescent="0.2">
      <c r="A697" s="51" t="s">
        <v>2026</v>
      </c>
      <c r="B697" s="51" t="s">
        <v>796</v>
      </c>
      <c r="C697" s="10"/>
      <c r="D697" s="10"/>
      <c r="E697" s="100" t="s">
        <v>879</v>
      </c>
      <c r="F697" s="10">
        <v>0</v>
      </c>
      <c r="G697" s="99">
        <v>0</v>
      </c>
      <c r="H697" s="14">
        <v>35</v>
      </c>
    </row>
    <row r="698" spans="1:8" x14ac:dyDescent="0.2">
      <c r="A698" s="51" t="s">
        <v>2027</v>
      </c>
      <c r="B698" s="51">
        <v>38533</v>
      </c>
      <c r="C698" s="10"/>
      <c r="D698" s="10"/>
      <c r="E698" s="100" t="s">
        <v>483</v>
      </c>
      <c r="F698" s="10">
        <v>0</v>
      </c>
      <c r="G698" s="99">
        <v>0</v>
      </c>
      <c r="H698" s="14">
        <v>35</v>
      </c>
    </row>
    <row r="699" spans="1:8" x14ac:dyDescent="0.2">
      <c r="A699" s="51" t="s">
        <v>2028</v>
      </c>
      <c r="B699" s="51">
        <v>38538</v>
      </c>
      <c r="C699" s="10"/>
      <c r="D699" s="10"/>
      <c r="E699" s="100" t="s">
        <v>880</v>
      </c>
      <c r="F699" s="10">
        <v>0</v>
      </c>
      <c r="G699" s="99">
        <v>0</v>
      </c>
      <c r="H699" s="14">
        <v>35</v>
      </c>
    </row>
    <row r="700" spans="1:8" x14ac:dyDescent="0.2">
      <c r="A700" s="51" t="s">
        <v>2029</v>
      </c>
      <c r="B700" s="51">
        <v>38531</v>
      </c>
      <c r="C700" s="10"/>
      <c r="D700" s="10"/>
      <c r="E700" s="100" t="s">
        <v>881</v>
      </c>
      <c r="F700" s="10">
        <v>0</v>
      </c>
      <c r="G700" s="99">
        <v>0</v>
      </c>
      <c r="H700" s="14">
        <v>35</v>
      </c>
    </row>
    <row r="701" spans="1:8" x14ac:dyDescent="0.2">
      <c r="A701" s="51" t="s">
        <v>2030</v>
      </c>
      <c r="B701" s="51">
        <v>43118</v>
      </c>
      <c r="C701" s="10"/>
      <c r="D701" s="10"/>
      <c r="E701" s="100" t="s">
        <v>882</v>
      </c>
      <c r="F701" s="10">
        <v>0</v>
      </c>
      <c r="G701" s="99">
        <v>0</v>
      </c>
      <c r="H701" s="14">
        <v>35</v>
      </c>
    </row>
    <row r="702" spans="1:8" x14ac:dyDescent="0.2">
      <c r="A702" s="51" t="s">
        <v>2031</v>
      </c>
      <c r="B702" s="51">
        <v>44288</v>
      </c>
      <c r="C702" s="10"/>
      <c r="D702" s="10"/>
      <c r="E702" s="100" t="s">
        <v>883</v>
      </c>
      <c r="F702" s="10">
        <v>0</v>
      </c>
      <c r="G702" s="99">
        <v>0</v>
      </c>
      <c r="H702" s="14">
        <v>35</v>
      </c>
    </row>
    <row r="703" spans="1:8" x14ac:dyDescent="0.2">
      <c r="A703" s="51" t="s">
        <v>2032</v>
      </c>
      <c r="B703" s="51">
        <v>44300</v>
      </c>
      <c r="C703" s="10"/>
      <c r="D703" s="10"/>
      <c r="E703" s="100" t="s">
        <v>884</v>
      </c>
      <c r="F703" s="10">
        <v>0</v>
      </c>
      <c r="G703" s="99">
        <v>0</v>
      </c>
      <c r="H703" s="14">
        <v>35</v>
      </c>
    </row>
    <row r="704" spans="1:8" x14ac:dyDescent="0.2">
      <c r="A704" s="51" t="s">
        <v>2033</v>
      </c>
      <c r="B704" s="51">
        <v>40809</v>
      </c>
      <c r="C704" s="10"/>
      <c r="D704" s="10"/>
      <c r="E704" s="100" t="s">
        <v>885</v>
      </c>
      <c r="F704" s="10">
        <v>0</v>
      </c>
      <c r="G704" s="99">
        <v>0</v>
      </c>
      <c r="H704" s="14">
        <v>35</v>
      </c>
    </row>
    <row r="705" spans="1:8" x14ac:dyDescent="0.2">
      <c r="A705" s="51" t="s">
        <v>2034</v>
      </c>
      <c r="B705" s="51">
        <v>44315</v>
      </c>
      <c r="C705" s="10"/>
      <c r="D705" s="10"/>
      <c r="E705" s="11" t="s">
        <v>886</v>
      </c>
      <c r="F705" s="10">
        <v>0</v>
      </c>
      <c r="G705" s="99">
        <v>0</v>
      </c>
      <c r="H705" s="14">
        <v>35</v>
      </c>
    </row>
    <row r="706" spans="1:8" x14ac:dyDescent="0.2">
      <c r="A706" s="51" t="s">
        <v>2035</v>
      </c>
      <c r="B706" s="51">
        <v>44317</v>
      </c>
      <c r="C706" s="10"/>
      <c r="D706" s="10"/>
      <c r="E706" s="100" t="s">
        <v>887</v>
      </c>
      <c r="F706" s="10">
        <v>0</v>
      </c>
      <c r="G706" s="99">
        <v>0</v>
      </c>
      <c r="H706" s="14">
        <v>35</v>
      </c>
    </row>
    <row r="707" spans="1:8" x14ac:dyDescent="0.2">
      <c r="A707" s="51" t="s">
        <v>2036</v>
      </c>
      <c r="B707" s="51">
        <v>44319</v>
      </c>
      <c r="C707" s="10"/>
      <c r="D707" s="10"/>
      <c r="E707" s="100" t="s">
        <v>888</v>
      </c>
      <c r="F707" s="10">
        <v>0</v>
      </c>
      <c r="G707" s="99">
        <v>0</v>
      </c>
      <c r="H707" s="14">
        <v>35</v>
      </c>
    </row>
    <row r="708" spans="1:8" x14ac:dyDescent="0.2">
      <c r="A708" s="51" t="s">
        <v>2037</v>
      </c>
      <c r="B708" s="51">
        <v>43214</v>
      </c>
      <c r="C708" s="10"/>
      <c r="D708" s="10"/>
      <c r="E708" s="100" t="s">
        <v>889</v>
      </c>
      <c r="F708" s="10">
        <v>0</v>
      </c>
      <c r="G708" s="99">
        <v>0</v>
      </c>
      <c r="H708" s="14">
        <v>35</v>
      </c>
    </row>
    <row r="709" spans="1:8" x14ac:dyDescent="0.2">
      <c r="A709" s="51" t="s">
        <v>2038</v>
      </c>
      <c r="B709" s="51">
        <v>43215</v>
      </c>
      <c r="C709" s="10"/>
      <c r="D709" s="10"/>
      <c r="E709" s="100" t="s">
        <v>890</v>
      </c>
      <c r="F709" s="10">
        <v>0</v>
      </c>
      <c r="G709" s="99">
        <v>0</v>
      </c>
      <c r="H709" s="14">
        <v>35</v>
      </c>
    </row>
    <row r="710" spans="1:8" x14ac:dyDescent="0.2">
      <c r="A710" s="51" t="s">
        <v>2039</v>
      </c>
      <c r="B710" s="51">
        <v>43216</v>
      </c>
      <c r="C710" s="10"/>
      <c r="D710" s="10"/>
      <c r="E710" s="100" t="s">
        <v>891</v>
      </c>
      <c r="F710" s="10">
        <v>0</v>
      </c>
      <c r="G710" s="99">
        <v>0</v>
      </c>
      <c r="H710" s="14">
        <v>35</v>
      </c>
    </row>
    <row r="711" spans="1:8" x14ac:dyDescent="0.2">
      <c r="A711" s="51" t="s">
        <v>2040</v>
      </c>
      <c r="B711" s="51">
        <v>43217</v>
      </c>
      <c r="C711" s="10"/>
      <c r="D711" s="10"/>
      <c r="E711" s="100" t="s">
        <v>892</v>
      </c>
      <c r="F711" s="10">
        <v>0</v>
      </c>
      <c r="G711" s="99">
        <v>0</v>
      </c>
      <c r="H711" s="14">
        <v>35</v>
      </c>
    </row>
    <row r="712" spans="1:8" x14ac:dyDescent="0.2">
      <c r="A712" s="51" t="s">
        <v>2041</v>
      </c>
      <c r="B712" s="51">
        <v>42101</v>
      </c>
      <c r="C712" s="10"/>
      <c r="D712" s="10"/>
      <c r="E712" s="100" t="s">
        <v>893</v>
      </c>
      <c r="F712" s="10">
        <v>0</v>
      </c>
      <c r="G712" s="99">
        <v>0</v>
      </c>
      <c r="H712" s="14">
        <v>35</v>
      </c>
    </row>
    <row r="713" spans="1:8" x14ac:dyDescent="0.2">
      <c r="A713" s="51" t="s">
        <v>2042</v>
      </c>
      <c r="B713" s="51">
        <v>42102</v>
      </c>
      <c r="C713" s="10"/>
      <c r="D713" s="10"/>
      <c r="E713" s="100" t="s">
        <v>894</v>
      </c>
      <c r="F713" s="10">
        <v>0</v>
      </c>
      <c r="G713" s="99">
        <v>0</v>
      </c>
      <c r="H713" s="14">
        <v>35</v>
      </c>
    </row>
    <row r="714" spans="1:8" x14ac:dyDescent="0.2">
      <c r="A714" s="51" t="s">
        <v>2043</v>
      </c>
      <c r="B714" s="51">
        <v>42103</v>
      </c>
      <c r="C714" s="10"/>
      <c r="D714" s="10"/>
      <c r="E714" s="100" t="s">
        <v>895</v>
      </c>
      <c r="F714" s="10">
        <v>0</v>
      </c>
      <c r="G714" s="99">
        <v>0</v>
      </c>
      <c r="H714" s="14">
        <v>35</v>
      </c>
    </row>
    <row r="715" spans="1:8" x14ac:dyDescent="0.2">
      <c r="A715" s="51" t="s">
        <v>2044</v>
      </c>
      <c r="B715" s="51">
        <v>42104</v>
      </c>
      <c r="C715" s="10"/>
      <c r="D715" s="10"/>
      <c r="E715" s="100" t="s">
        <v>896</v>
      </c>
      <c r="F715" s="10">
        <v>0</v>
      </c>
      <c r="G715" s="99">
        <v>0</v>
      </c>
      <c r="H715" s="14">
        <v>35</v>
      </c>
    </row>
    <row r="716" spans="1:8" x14ac:dyDescent="0.2">
      <c r="A716" s="51" t="s">
        <v>2045</v>
      </c>
      <c r="B716" s="51">
        <v>42105</v>
      </c>
      <c r="C716" s="10"/>
      <c r="D716" s="10"/>
      <c r="E716" s="100" t="s">
        <v>897</v>
      </c>
      <c r="F716" s="10">
        <v>0</v>
      </c>
      <c r="G716" s="99">
        <v>0</v>
      </c>
      <c r="H716" s="14">
        <v>35</v>
      </c>
    </row>
    <row r="717" spans="1:8" x14ac:dyDescent="0.2">
      <c r="A717" s="51" t="s">
        <v>2046</v>
      </c>
      <c r="B717" s="51">
        <v>42106</v>
      </c>
      <c r="C717" s="10"/>
      <c r="D717" s="10"/>
      <c r="E717" s="100" t="s">
        <v>898</v>
      </c>
      <c r="F717" s="10">
        <v>0</v>
      </c>
      <c r="G717" s="99">
        <v>0</v>
      </c>
      <c r="H717" s="14">
        <v>35</v>
      </c>
    </row>
    <row r="718" spans="1:8" x14ac:dyDescent="0.2">
      <c r="A718" s="51" t="s">
        <v>2047</v>
      </c>
      <c r="B718" s="51">
        <v>42107</v>
      </c>
      <c r="C718" s="10"/>
      <c r="D718" s="10"/>
      <c r="E718" s="100" t="s">
        <v>899</v>
      </c>
      <c r="F718" s="10">
        <v>0</v>
      </c>
      <c r="G718" s="99">
        <v>0</v>
      </c>
      <c r="H718" s="14">
        <v>35</v>
      </c>
    </row>
    <row r="719" spans="1:8" x14ac:dyDescent="0.2">
      <c r="A719" s="105" t="s">
        <v>2048</v>
      </c>
      <c r="B719" s="51" t="s">
        <v>797</v>
      </c>
      <c r="C719" s="10"/>
      <c r="D719" s="10"/>
      <c r="E719" s="68" t="s">
        <v>900</v>
      </c>
      <c r="F719" s="10">
        <v>0</v>
      </c>
      <c r="G719" s="99">
        <v>0</v>
      </c>
      <c r="H719" s="14">
        <v>35</v>
      </c>
    </row>
    <row r="720" spans="1:8" x14ac:dyDescent="0.2">
      <c r="A720" s="105" t="s">
        <v>2049</v>
      </c>
      <c r="B720" s="51" t="s">
        <v>798</v>
      </c>
      <c r="C720" s="10"/>
      <c r="D720" s="10"/>
      <c r="E720" s="68" t="s">
        <v>901</v>
      </c>
      <c r="F720" s="10">
        <v>0</v>
      </c>
      <c r="G720" s="99">
        <v>0</v>
      </c>
      <c r="H720" s="14">
        <v>35</v>
      </c>
    </row>
    <row r="721" spans="1:8" x14ac:dyDescent="0.2">
      <c r="A721" s="105" t="s">
        <v>2050</v>
      </c>
      <c r="B721" s="51" t="s">
        <v>799</v>
      </c>
      <c r="C721" s="10"/>
      <c r="D721" s="10"/>
      <c r="E721" s="68" t="s">
        <v>902</v>
      </c>
      <c r="F721" s="10">
        <v>0</v>
      </c>
      <c r="G721" s="99">
        <v>0</v>
      </c>
      <c r="H721" s="14">
        <v>35</v>
      </c>
    </row>
    <row r="722" spans="1:8" x14ac:dyDescent="0.2">
      <c r="A722" s="105" t="s">
        <v>2051</v>
      </c>
      <c r="B722" s="51" t="s">
        <v>800</v>
      </c>
      <c r="C722" s="10"/>
      <c r="D722" s="10"/>
      <c r="E722" s="68" t="s">
        <v>903</v>
      </c>
      <c r="F722" s="10">
        <v>0</v>
      </c>
      <c r="G722" s="99">
        <v>0</v>
      </c>
      <c r="H722" s="14">
        <v>35</v>
      </c>
    </row>
    <row r="723" spans="1:8" x14ac:dyDescent="0.2">
      <c r="A723" s="105" t="s">
        <v>2052</v>
      </c>
      <c r="B723" s="51" t="s">
        <v>801</v>
      </c>
      <c r="C723" s="10"/>
      <c r="D723" s="10"/>
      <c r="E723" s="68" t="s">
        <v>904</v>
      </c>
      <c r="F723" s="10">
        <v>0</v>
      </c>
      <c r="G723" s="99">
        <v>0</v>
      </c>
      <c r="H723" s="14">
        <v>35</v>
      </c>
    </row>
    <row r="724" spans="1:8" x14ac:dyDescent="0.2">
      <c r="A724" s="105" t="s">
        <v>2053</v>
      </c>
      <c r="B724" s="51" t="s">
        <v>802</v>
      </c>
      <c r="C724" s="10"/>
      <c r="D724" s="10"/>
      <c r="E724" s="68" t="s">
        <v>905</v>
      </c>
      <c r="F724" s="10">
        <v>0</v>
      </c>
      <c r="G724" s="99">
        <v>0</v>
      </c>
      <c r="H724" s="14">
        <v>35</v>
      </c>
    </row>
    <row r="725" spans="1:8" x14ac:dyDescent="0.2">
      <c r="A725" s="105" t="s">
        <v>2054</v>
      </c>
      <c r="B725" s="51" t="s">
        <v>803</v>
      </c>
      <c r="C725" s="10"/>
      <c r="D725" s="10"/>
      <c r="E725" s="68" t="s">
        <v>906</v>
      </c>
      <c r="F725" s="10">
        <v>0</v>
      </c>
      <c r="G725" s="99">
        <v>0</v>
      </c>
      <c r="H725" s="14">
        <v>35</v>
      </c>
    </row>
    <row r="726" spans="1:8" x14ac:dyDescent="0.2">
      <c r="A726" s="105" t="s">
        <v>2055</v>
      </c>
      <c r="B726" s="51" t="s">
        <v>804</v>
      </c>
      <c r="C726" s="10"/>
      <c r="D726" s="10"/>
      <c r="E726" s="68" t="s">
        <v>907</v>
      </c>
      <c r="F726" s="10">
        <v>0</v>
      </c>
      <c r="G726" s="99">
        <v>0</v>
      </c>
      <c r="H726" s="14">
        <v>35</v>
      </c>
    </row>
    <row r="727" spans="1:8" x14ac:dyDescent="0.2">
      <c r="A727" s="106" t="s">
        <v>2056</v>
      </c>
      <c r="B727" s="12" t="s">
        <v>805</v>
      </c>
      <c r="C727" s="10"/>
      <c r="D727" s="10"/>
      <c r="E727" s="68" t="s">
        <v>908</v>
      </c>
      <c r="F727" s="10">
        <v>0</v>
      </c>
      <c r="G727" s="99">
        <v>0</v>
      </c>
      <c r="H727" s="14">
        <v>35</v>
      </c>
    </row>
    <row r="728" spans="1:8" x14ac:dyDescent="0.2">
      <c r="A728" s="106" t="s">
        <v>2057</v>
      </c>
      <c r="B728" s="12" t="s">
        <v>806</v>
      </c>
      <c r="C728" s="10"/>
      <c r="D728" s="10"/>
      <c r="E728" s="68" t="s">
        <v>909</v>
      </c>
      <c r="F728" s="10">
        <v>0</v>
      </c>
      <c r="G728" s="99">
        <v>0</v>
      </c>
      <c r="H728" s="14">
        <v>35</v>
      </c>
    </row>
    <row r="729" spans="1:8" x14ac:dyDescent="0.2">
      <c r="A729" s="12" t="s">
        <v>2058</v>
      </c>
      <c r="B729" s="12">
        <v>42112</v>
      </c>
      <c r="C729" s="10"/>
      <c r="D729" s="10"/>
      <c r="E729" s="100" t="s">
        <v>910</v>
      </c>
      <c r="F729" s="10">
        <v>0</v>
      </c>
      <c r="G729" s="99">
        <v>0</v>
      </c>
      <c r="H729" s="14">
        <v>35</v>
      </c>
    </row>
    <row r="730" spans="1:8" x14ac:dyDescent="0.2">
      <c r="A730" s="12" t="s">
        <v>2059</v>
      </c>
      <c r="B730" s="12">
        <v>42113</v>
      </c>
      <c r="C730" s="10"/>
      <c r="D730" s="10"/>
      <c r="E730" s="100" t="s">
        <v>911</v>
      </c>
      <c r="F730" s="10">
        <v>0</v>
      </c>
      <c r="G730" s="99">
        <v>0</v>
      </c>
      <c r="H730" s="14">
        <v>35</v>
      </c>
    </row>
    <row r="731" spans="1:8" x14ac:dyDescent="0.2">
      <c r="A731" s="12" t="s">
        <v>2060</v>
      </c>
      <c r="B731" s="12">
        <v>42238</v>
      </c>
      <c r="C731" s="10"/>
      <c r="D731" s="10"/>
      <c r="E731" s="100" t="s">
        <v>912</v>
      </c>
      <c r="F731" s="10">
        <v>0</v>
      </c>
      <c r="G731" s="99">
        <v>0</v>
      </c>
      <c r="H731" s="14">
        <v>50</v>
      </c>
    </row>
    <row r="732" spans="1:8" x14ac:dyDescent="0.2">
      <c r="A732" s="12" t="s">
        <v>2061</v>
      </c>
      <c r="B732" s="12">
        <v>42240</v>
      </c>
      <c r="C732" s="10"/>
      <c r="D732" s="10"/>
      <c r="E732" s="100" t="s">
        <v>913</v>
      </c>
      <c r="F732" s="10">
        <v>0</v>
      </c>
      <c r="G732" s="99">
        <v>0</v>
      </c>
      <c r="H732" s="14">
        <v>50</v>
      </c>
    </row>
    <row r="733" spans="1:8" x14ac:dyDescent="0.2">
      <c r="A733" s="12" t="s">
        <v>2062</v>
      </c>
      <c r="B733" s="12">
        <v>42241</v>
      </c>
      <c r="C733" s="10"/>
      <c r="D733" s="10"/>
      <c r="E733" s="100" t="s">
        <v>914</v>
      </c>
      <c r="F733" s="10">
        <v>0</v>
      </c>
      <c r="G733" s="99">
        <v>0</v>
      </c>
      <c r="H733" s="14">
        <v>50</v>
      </c>
    </row>
    <row r="734" spans="1:8" x14ac:dyDescent="0.2">
      <c r="A734" s="12" t="s">
        <v>2063</v>
      </c>
      <c r="B734" s="12">
        <v>43456</v>
      </c>
      <c r="C734" s="10"/>
      <c r="D734" s="10"/>
      <c r="E734" s="100" t="s">
        <v>915</v>
      </c>
      <c r="F734" s="10">
        <v>0</v>
      </c>
      <c r="G734" s="99">
        <v>0</v>
      </c>
      <c r="H734" s="14">
        <v>35</v>
      </c>
    </row>
    <row r="735" spans="1:8" x14ac:dyDescent="0.2">
      <c r="A735" s="12" t="s">
        <v>2064</v>
      </c>
      <c r="B735" s="12">
        <v>43457</v>
      </c>
      <c r="C735" s="10"/>
      <c r="D735" s="10"/>
      <c r="E735" s="100" t="s">
        <v>916</v>
      </c>
      <c r="F735" s="10">
        <v>0</v>
      </c>
      <c r="G735" s="99">
        <v>0</v>
      </c>
      <c r="H735" s="14">
        <v>35</v>
      </c>
    </row>
    <row r="736" spans="1:8" x14ac:dyDescent="0.2">
      <c r="A736" s="12" t="s">
        <v>2065</v>
      </c>
      <c r="B736" s="12">
        <v>43458</v>
      </c>
      <c r="C736" s="10"/>
      <c r="D736" s="10"/>
      <c r="E736" s="100" t="s">
        <v>917</v>
      </c>
      <c r="F736" s="10">
        <v>0</v>
      </c>
      <c r="G736" s="99">
        <v>0</v>
      </c>
      <c r="H736" s="14">
        <v>35</v>
      </c>
    </row>
    <row r="737" spans="1:8" x14ac:dyDescent="0.2">
      <c r="A737" s="12" t="s">
        <v>2066</v>
      </c>
      <c r="B737" s="12">
        <v>45357</v>
      </c>
      <c r="C737" s="10"/>
      <c r="D737" s="10"/>
      <c r="E737" s="100" t="s">
        <v>918</v>
      </c>
      <c r="F737" s="10">
        <v>0</v>
      </c>
      <c r="G737" s="99">
        <v>0</v>
      </c>
      <c r="H737" s="14">
        <v>35</v>
      </c>
    </row>
    <row r="738" spans="1:8" x14ac:dyDescent="0.2">
      <c r="A738" s="12" t="s">
        <v>2067</v>
      </c>
      <c r="B738" s="12">
        <v>42462</v>
      </c>
      <c r="C738" s="10"/>
      <c r="D738" s="10"/>
      <c r="E738" s="100" t="s">
        <v>515</v>
      </c>
      <c r="F738" s="10">
        <v>0</v>
      </c>
      <c r="G738" s="99">
        <v>0</v>
      </c>
      <c r="H738" s="14">
        <v>35</v>
      </c>
    </row>
    <row r="739" spans="1:8" x14ac:dyDescent="0.2">
      <c r="A739" s="12" t="s">
        <v>2068</v>
      </c>
      <c r="B739" s="12">
        <v>38497</v>
      </c>
      <c r="C739" s="10"/>
      <c r="D739" s="10"/>
      <c r="E739" s="100" t="s">
        <v>919</v>
      </c>
      <c r="F739" s="10">
        <v>0</v>
      </c>
      <c r="G739" s="99">
        <v>0</v>
      </c>
      <c r="H739" s="14">
        <v>35</v>
      </c>
    </row>
    <row r="740" spans="1:8" x14ac:dyDescent="0.2">
      <c r="A740" s="12" t="s">
        <v>2069</v>
      </c>
      <c r="B740" s="12">
        <v>38498</v>
      </c>
      <c r="C740" s="10"/>
      <c r="D740" s="10"/>
      <c r="E740" s="100" t="s">
        <v>920</v>
      </c>
      <c r="F740" s="10">
        <v>0</v>
      </c>
      <c r="G740" s="99">
        <v>0</v>
      </c>
      <c r="H740" s="14">
        <v>35</v>
      </c>
    </row>
    <row r="741" spans="1:8" x14ac:dyDescent="0.2">
      <c r="A741" s="12" t="s">
        <v>2070</v>
      </c>
      <c r="B741" s="12">
        <v>43243</v>
      </c>
      <c r="C741" s="10"/>
      <c r="D741" s="10"/>
      <c r="E741" s="100" t="s">
        <v>921</v>
      </c>
      <c r="F741" s="10">
        <v>0</v>
      </c>
      <c r="G741" s="99">
        <v>0</v>
      </c>
      <c r="H741" s="14">
        <v>35</v>
      </c>
    </row>
    <row r="742" spans="1:8" x14ac:dyDescent="0.2">
      <c r="A742" s="12" t="s">
        <v>2071</v>
      </c>
      <c r="B742" s="12">
        <v>43244</v>
      </c>
      <c r="C742" s="10"/>
      <c r="D742" s="10"/>
      <c r="E742" s="100" t="s">
        <v>922</v>
      </c>
      <c r="F742" s="10">
        <v>0</v>
      </c>
      <c r="G742" s="99">
        <v>0</v>
      </c>
      <c r="H742" s="14">
        <v>35</v>
      </c>
    </row>
    <row r="743" spans="1:8" x14ac:dyDescent="0.2">
      <c r="A743" s="12" t="s">
        <v>2072</v>
      </c>
      <c r="B743" s="12">
        <v>43245</v>
      </c>
      <c r="C743" s="10"/>
      <c r="D743" s="10"/>
      <c r="E743" s="100" t="s">
        <v>923</v>
      </c>
      <c r="F743" s="10">
        <v>0</v>
      </c>
      <c r="G743" s="99">
        <v>0</v>
      </c>
      <c r="H743" s="14">
        <v>35</v>
      </c>
    </row>
    <row r="744" spans="1:8" x14ac:dyDescent="0.2">
      <c r="A744" s="12" t="s">
        <v>2073</v>
      </c>
      <c r="B744" s="12">
        <v>43246</v>
      </c>
      <c r="C744" s="10"/>
      <c r="D744" s="10"/>
      <c r="E744" s="100" t="s">
        <v>924</v>
      </c>
      <c r="F744" s="10">
        <v>0</v>
      </c>
      <c r="G744" s="99">
        <v>0</v>
      </c>
      <c r="H744" s="14">
        <v>35</v>
      </c>
    </row>
    <row r="745" spans="1:8" x14ac:dyDescent="0.2">
      <c r="A745" s="12" t="s">
        <v>2074</v>
      </c>
      <c r="B745" s="12">
        <v>43247</v>
      </c>
      <c r="C745" s="10"/>
      <c r="D745" s="10"/>
      <c r="E745" s="100" t="s">
        <v>925</v>
      </c>
      <c r="F745" s="10">
        <v>0</v>
      </c>
      <c r="G745" s="99">
        <v>0</v>
      </c>
      <c r="H745" s="14">
        <v>35</v>
      </c>
    </row>
    <row r="746" spans="1:8" x14ac:dyDescent="0.2">
      <c r="A746" s="12" t="s">
        <v>2075</v>
      </c>
      <c r="B746" s="12">
        <v>43248</v>
      </c>
      <c r="C746" s="10"/>
      <c r="D746" s="10"/>
      <c r="E746" s="100" t="s">
        <v>443</v>
      </c>
      <c r="F746" s="10">
        <v>0</v>
      </c>
      <c r="G746" s="99">
        <v>0</v>
      </c>
      <c r="H746" s="14">
        <v>35</v>
      </c>
    </row>
    <row r="747" spans="1:8" x14ac:dyDescent="0.2">
      <c r="A747" s="12" t="s">
        <v>2076</v>
      </c>
      <c r="B747" s="12">
        <v>43249</v>
      </c>
      <c r="C747" s="10"/>
      <c r="D747" s="10"/>
      <c r="E747" s="100" t="s">
        <v>444</v>
      </c>
      <c r="F747" s="10">
        <v>0</v>
      </c>
      <c r="G747" s="99">
        <v>0</v>
      </c>
      <c r="H747" s="14">
        <v>35</v>
      </c>
    </row>
    <row r="748" spans="1:8" x14ac:dyDescent="0.2">
      <c r="A748" s="12" t="s">
        <v>2077</v>
      </c>
      <c r="B748" s="12">
        <v>41364</v>
      </c>
      <c r="C748" s="10"/>
      <c r="D748" s="10"/>
      <c r="E748" s="100" t="s">
        <v>926</v>
      </c>
      <c r="F748" s="10">
        <v>0</v>
      </c>
      <c r="G748" s="99">
        <v>0</v>
      </c>
      <c r="H748" s="14">
        <v>35</v>
      </c>
    </row>
    <row r="749" spans="1:8" x14ac:dyDescent="0.2">
      <c r="A749" s="12" t="s">
        <v>2078</v>
      </c>
      <c r="B749" s="12">
        <v>41365</v>
      </c>
      <c r="C749" s="10"/>
      <c r="D749" s="10"/>
      <c r="E749" s="100" t="s">
        <v>927</v>
      </c>
      <c r="F749" s="10">
        <v>0</v>
      </c>
      <c r="G749" s="99">
        <v>0</v>
      </c>
      <c r="H749" s="14">
        <v>35</v>
      </c>
    </row>
    <row r="750" spans="1:8" x14ac:dyDescent="0.2">
      <c r="A750" s="12" t="s">
        <v>2079</v>
      </c>
      <c r="B750" s="12">
        <v>40670</v>
      </c>
      <c r="C750" s="10"/>
      <c r="D750" s="10"/>
      <c r="E750" s="100" t="s">
        <v>928</v>
      </c>
      <c r="F750" s="10">
        <v>0</v>
      </c>
      <c r="G750" s="99">
        <v>0</v>
      </c>
      <c r="H750" s="14">
        <v>35</v>
      </c>
    </row>
    <row r="751" spans="1:8" x14ac:dyDescent="0.2">
      <c r="A751" s="12" t="s">
        <v>2080</v>
      </c>
      <c r="B751" s="12">
        <v>44308</v>
      </c>
      <c r="C751" s="10"/>
      <c r="D751" s="10"/>
      <c r="E751" s="100" t="s">
        <v>520</v>
      </c>
      <c r="F751" s="10">
        <v>0</v>
      </c>
      <c r="G751" s="99">
        <v>0</v>
      </c>
      <c r="H751" s="14">
        <v>35</v>
      </c>
    </row>
    <row r="752" spans="1:8" x14ac:dyDescent="0.2">
      <c r="A752" s="12" t="s">
        <v>2081</v>
      </c>
      <c r="B752" s="12">
        <v>44382</v>
      </c>
      <c r="C752" s="10"/>
      <c r="D752" s="10"/>
      <c r="E752" s="100" t="s">
        <v>929</v>
      </c>
      <c r="F752" s="10">
        <v>0</v>
      </c>
      <c r="G752" s="99">
        <v>0</v>
      </c>
      <c r="H752" s="14">
        <v>35</v>
      </c>
    </row>
    <row r="753" spans="1:8" x14ac:dyDescent="0.2">
      <c r="A753" s="12" t="s">
        <v>2082</v>
      </c>
      <c r="B753" s="12">
        <v>44307</v>
      </c>
      <c r="C753" s="10"/>
      <c r="D753" s="10"/>
      <c r="E753" s="100" t="s">
        <v>930</v>
      </c>
      <c r="F753" s="10">
        <v>0</v>
      </c>
      <c r="G753" s="99">
        <v>0</v>
      </c>
      <c r="H753" s="14">
        <v>35</v>
      </c>
    </row>
    <row r="754" spans="1:8" x14ac:dyDescent="0.2">
      <c r="A754" s="12" t="s">
        <v>2083</v>
      </c>
      <c r="B754" s="12">
        <v>17540</v>
      </c>
      <c r="C754" s="10"/>
      <c r="D754" s="10"/>
      <c r="E754" s="100" t="s">
        <v>931</v>
      </c>
      <c r="F754" s="10">
        <v>0</v>
      </c>
      <c r="G754" s="99">
        <v>0</v>
      </c>
      <c r="H754" s="14">
        <v>35</v>
      </c>
    </row>
    <row r="755" spans="1:8" x14ac:dyDescent="0.2">
      <c r="A755" s="12" t="s">
        <v>2084</v>
      </c>
      <c r="B755" s="12" t="s">
        <v>807</v>
      </c>
      <c r="C755" s="10"/>
      <c r="D755" s="10"/>
      <c r="E755" s="100" t="s">
        <v>502</v>
      </c>
      <c r="F755" s="10">
        <v>0</v>
      </c>
      <c r="G755" s="99">
        <v>0</v>
      </c>
      <c r="H755" s="14">
        <v>35</v>
      </c>
    </row>
    <row r="756" spans="1:8" x14ac:dyDescent="0.2">
      <c r="A756" s="12" t="s">
        <v>2085</v>
      </c>
      <c r="B756" s="12" t="s">
        <v>808</v>
      </c>
      <c r="C756" s="10"/>
      <c r="D756" s="10"/>
      <c r="E756" s="11" t="s">
        <v>932</v>
      </c>
      <c r="F756" s="10">
        <v>0</v>
      </c>
      <c r="G756" s="99">
        <v>0</v>
      </c>
      <c r="H756" s="14">
        <v>35</v>
      </c>
    </row>
    <row r="757" spans="1:8" x14ac:dyDescent="0.2">
      <c r="A757" s="12" t="s">
        <v>2086</v>
      </c>
      <c r="B757" s="12" t="s">
        <v>809</v>
      </c>
      <c r="C757" s="10"/>
      <c r="D757" s="10"/>
      <c r="E757" s="11" t="s">
        <v>933</v>
      </c>
      <c r="F757" s="10">
        <v>0</v>
      </c>
      <c r="G757" s="99">
        <v>0</v>
      </c>
      <c r="H757" s="14">
        <v>35</v>
      </c>
    </row>
    <row r="758" spans="1:8" x14ac:dyDescent="0.2">
      <c r="A758" s="12" t="s">
        <v>2087</v>
      </c>
      <c r="B758" s="12" t="s">
        <v>810</v>
      </c>
      <c r="C758" s="10"/>
      <c r="D758" s="10"/>
      <c r="E758" s="100" t="s">
        <v>503</v>
      </c>
      <c r="F758" s="10">
        <v>0</v>
      </c>
      <c r="G758" s="99">
        <v>0</v>
      </c>
      <c r="H758" s="14">
        <v>35</v>
      </c>
    </row>
    <row r="759" spans="1:8" x14ac:dyDescent="0.2">
      <c r="A759" s="12" t="s">
        <v>2088</v>
      </c>
      <c r="B759" s="12">
        <v>45138</v>
      </c>
      <c r="C759" s="10"/>
      <c r="D759" s="10"/>
      <c r="E759" s="11" t="s">
        <v>934</v>
      </c>
      <c r="F759" s="10">
        <v>0</v>
      </c>
      <c r="G759" s="99">
        <v>0</v>
      </c>
      <c r="H759" s="14">
        <v>35</v>
      </c>
    </row>
    <row r="760" spans="1:8" x14ac:dyDescent="0.2">
      <c r="A760" s="12" t="s">
        <v>2089</v>
      </c>
      <c r="B760" s="12">
        <v>45139</v>
      </c>
      <c r="C760" s="10"/>
      <c r="D760" s="10"/>
      <c r="E760" s="11" t="s">
        <v>935</v>
      </c>
      <c r="F760" s="10">
        <v>0</v>
      </c>
      <c r="G760" s="99">
        <v>0</v>
      </c>
      <c r="H760" s="14">
        <v>35</v>
      </c>
    </row>
    <row r="761" spans="1:8" x14ac:dyDescent="0.2">
      <c r="A761" s="51" t="s">
        <v>2090</v>
      </c>
      <c r="B761" s="51">
        <v>46329</v>
      </c>
      <c r="C761" s="10"/>
      <c r="D761" s="10"/>
      <c r="E761" s="100" t="s">
        <v>936</v>
      </c>
      <c r="F761" s="10">
        <v>0</v>
      </c>
      <c r="G761" s="99">
        <v>0</v>
      </c>
      <c r="H761" s="14">
        <v>50</v>
      </c>
    </row>
    <row r="762" spans="1:8" x14ac:dyDescent="0.2">
      <c r="A762" s="12" t="s">
        <v>2091</v>
      </c>
      <c r="B762" s="12">
        <v>46332</v>
      </c>
      <c r="C762" s="10"/>
      <c r="D762" s="10"/>
      <c r="E762" s="100" t="s">
        <v>28</v>
      </c>
      <c r="F762" s="10">
        <v>0</v>
      </c>
      <c r="G762" s="99">
        <v>0</v>
      </c>
      <c r="H762" s="14">
        <v>50</v>
      </c>
    </row>
    <row r="763" spans="1:8" x14ac:dyDescent="0.2">
      <c r="A763" s="12" t="s">
        <v>2092</v>
      </c>
      <c r="B763" s="12">
        <v>46334</v>
      </c>
      <c r="C763" s="10"/>
      <c r="D763" s="10"/>
      <c r="E763" s="100" t="s">
        <v>937</v>
      </c>
      <c r="F763" s="10">
        <v>0</v>
      </c>
      <c r="G763" s="99">
        <v>0</v>
      </c>
      <c r="H763" s="14">
        <v>50</v>
      </c>
    </row>
    <row r="764" spans="1:8" x14ac:dyDescent="0.2">
      <c r="A764" s="12" t="s">
        <v>2093</v>
      </c>
      <c r="B764" s="12">
        <v>46062</v>
      </c>
      <c r="C764" s="10"/>
      <c r="D764" s="10"/>
      <c r="E764" s="100" t="s">
        <v>504</v>
      </c>
      <c r="F764" s="10">
        <v>0</v>
      </c>
      <c r="G764" s="99">
        <v>0</v>
      </c>
      <c r="H764" s="14">
        <v>35</v>
      </c>
    </row>
    <row r="765" spans="1:8" x14ac:dyDescent="0.2">
      <c r="A765" s="12" t="s">
        <v>2094</v>
      </c>
      <c r="B765" s="12">
        <v>46063</v>
      </c>
      <c r="C765" s="10"/>
      <c r="D765" s="10"/>
      <c r="E765" s="100" t="s">
        <v>938</v>
      </c>
      <c r="F765" s="10">
        <v>0</v>
      </c>
      <c r="G765" s="99">
        <v>0</v>
      </c>
      <c r="H765" s="14">
        <v>35</v>
      </c>
    </row>
    <row r="766" spans="1:8" x14ac:dyDescent="0.2">
      <c r="A766" s="12" t="s">
        <v>2095</v>
      </c>
      <c r="B766" s="12">
        <v>44955</v>
      </c>
      <c r="C766" s="10"/>
      <c r="D766" s="10"/>
      <c r="E766" s="100" t="s">
        <v>534</v>
      </c>
      <c r="F766" s="10">
        <v>0</v>
      </c>
      <c r="G766" s="99">
        <v>0</v>
      </c>
      <c r="H766" s="14">
        <v>35</v>
      </c>
    </row>
    <row r="767" spans="1:8" x14ac:dyDescent="0.2">
      <c r="A767" s="12" t="s">
        <v>2096</v>
      </c>
      <c r="B767" s="12">
        <v>44951</v>
      </c>
      <c r="C767" s="10"/>
      <c r="D767" s="10"/>
      <c r="E767" s="100" t="s">
        <v>939</v>
      </c>
      <c r="F767" s="10">
        <v>0</v>
      </c>
      <c r="G767" s="99">
        <v>0</v>
      </c>
      <c r="H767" s="14">
        <v>35</v>
      </c>
    </row>
    <row r="768" spans="1:8" x14ac:dyDescent="0.2">
      <c r="A768" s="12" t="s">
        <v>2097</v>
      </c>
      <c r="B768" s="12">
        <v>44960</v>
      </c>
      <c r="C768" s="10"/>
      <c r="D768" s="10"/>
      <c r="E768" s="100" t="s">
        <v>940</v>
      </c>
      <c r="F768" s="10">
        <v>0</v>
      </c>
      <c r="G768" s="99">
        <v>0</v>
      </c>
      <c r="H768" s="14">
        <v>35</v>
      </c>
    </row>
    <row r="769" spans="1:8" x14ac:dyDescent="0.2">
      <c r="A769" s="12" t="s">
        <v>2098</v>
      </c>
      <c r="B769" s="12" t="s">
        <v>811</v>
      </c>
      <c r="C769" s="10"/>
      <c r="D769" s="10"/>
      <c r="E769" s="100" t="s">
        <v>941</v>
      </c>
      <c r="F769" s="10">
        <v>0</v>
      </c>
      <c r="G769" s="99">
        <v>0</v>
      </c>
      <c r="H769" s="14">
        <v>35</v>
      </c>
    </row>
    <row r="770" spans="1:8" x14ac:dyDescent="0.2">
      <c r="A770" s="12" t="s">
        <v>2099</v>
      </c>
      <c r="B770" s="12">
        <v>46648</v>
      </c>
      <c r="C770" s="10"/>
      <c r="D770" s="10"/>
      <c r="E770" s="100" t="s">
        <v>942</v>
      </c>
      <c r="F770" s="10">
        <v>0</v>
      </c>
      <c r="G770" s="99">
        <v>0</v>
      </c>
      <c r="H770" s="14">
        <v>35</v>
      </c>
    </row>
    <row r="771" spans="1:8" x14ac:dyDescent="0.2">
      <c r="A771" s="12" t="s">
        <v>2100</v>
      </c>
      <c r="B771" s="12">
        <v>46718</v>
      </c>
      <c r="C771" s="10"/>
      <c r="D771" s="10"/>
      <c r="E771" s="100" t="s">
        <v>943</v>
      </c>
      <c r="F771" s="10">
        <v>0</v>
      </c>
      <c r="G771" s="99">
        <v>0</v>
      </c>
      <c r="H771" s="14">
        <v>35</v>
      </c>
    </row>
    <row r="772" spans="1:8" x14ac:dyDescent="0.2">
      <c r="A772" s="12" t="s">
        <v>2101</v>
      </c>
      <c r="B772" s="12" t="s">
        <v>812</v>
      </c>
      <c r="C772" s="10"/>
      <c r="D772" s="10"/>
      <c r="E772" s="100" t="s">
        <v>944</v>
      </c>
      <c r="F772" s="10">
        <v>0</v>
      </c>
      <c r="G772" s="99">
        <v>0</v>
      </c>
      <c r="H772" s="14">
        <v>35</v>
      </c>
    </row>
    <row r="773" spans="1:8" x14ac:dyDescent="0.2">
      <c r="A773" s="12" t="s">
        <v>2102</v>
      </c>
      <c r="B773" s="12" t="s">
        <v>813</v>
      </c>
      <c r="C773" s="10"/>
      <c r="D773" s="10"/>
      <c r="E773" s="100" t="s">
        <v>703</v>
      </c>
      <c r="F773" s="10">
        <v>0</v>
      </c>
      <c r="G773" s="99">
        <v>0</v>
      </c>
      <c r="H773" s="14">
        <v>35</v>
      </c>
    </row>
    <row r="774" spans="1:8" x14ac:dyDescent="0.2">
      <c r="A774" s="12" t="s">
        <v>2103</v>
      </c>
      <c r="B774" s="12" t="s">
        <v>814</v>
      </c>
      <c r="C774" s="10"/>
      <c r="D774" s="10"/>
      <c r="E774" s="107" t="s">
        <v>945</v>
      </c>
      <c r="F774" s="10">
        <v>0</v>
      </c>
      <c r="G774" s="99">
        <v>0</v>
      </c>
      <c r="H774" s="14">
        <v>35</v>
      </c>
    </row>
    <row r="775" spans="1:8" x14ac:dyDescent="0.2">
      <c r="A775" s="12" t="s">
        <v>2104</v>
      </c>
      <c r="B775" s="12">
        <v>46435</v>
      </c>
      <c r="C775" s="10"/>
      <c r="D775" s="10"/>
      <c r="E775" s="100" t="s">
        <v>946</v>
      </c>
      <c r="F775" s="10">
        <v>0</v>
      </c>
      <c r="G775" s="99">
        <v>0</v>
      </c>
      <c r="H775" s="14">
        <v>35</v>
      </c>
    </row>
    <row r="776" spans="1:8" x14ac:dyDescent="0.2">
      <c r="A776" s="12" t="s">
        <v>2105</v>
      </c>
      <c r="B776" s="12">
        <v>46436</v>
      </c>
      <c r="C776" s="10"/>
      <c r="D776" s="10"/>
      <c r="E776" s="100" t="s">
        <v>947</v>
      </c>
      <c r="F776" s="10">
        <v>0</v>
      </c>
      <c r="G776" s="99">
        <v>0</v>
      </c>
      <c r="H776" s="14">
        <v>35</v>
      </c>
    </row>
    <row r="777" spans="1:8" x14ac:dyDescent="0.2">
      <c r="A777" s="12" t="s">
        <v>2106</v>
      </c>
      <c r="B777" s="12">
        <v>46437</v>
      </c>
      <c r="C777" s="10"/>
      <c r="D777" s="10"/>
      <c r="E777" s="100" t="s">
        <v>948</v>
      </c>
      <c r="F777" s="10">
        <v>0</v>
      </c>
      <c r="G777" s="99">
        <v>0</v>
      </c>
      <c r="H777" s="14">
        <v>35</v>
      </c>
    </row>
    <row r="778" spans="1:8" x14ac:dyDescent="0.2">
      <c r="A778" s="12" t="s">
        <v>2107</v>
      </c>
      <c r="B778" s="12">
        <v>46438</v>
      </c>
      <c r="C778" s="10"/>
      <c r="D778" s="10"/>
      <c r="E778" s="100" t="s">
        <v>949</v>
      </c>
      <c r="F778" s="10">
        <v>0</v>
      </c>
      <c r="G778" s="99">
        <v>0</v>
      </c>
      <c r="H778" s="14">
        <v>35</v>
      </c>
    </row>
    <row r="779" spans="1:8" x14ac:dyDescent="0.2">
      <c r="A779" s="12" t="s">
        <v>2108</v>
      </c>
      <c r="B779" s="12">
        <v>46439</v>
      </c>
      <c r="C779" s="10"/>
      <c r="D779" s="10"/>
      <c r="E779" s="100" t="s">
        <v>950</v>
      </c>
      <c r="F779" s="10">
        <v>0</v>
      </c>
      <c r="G779" s="99">
        <v>0</v>
      </c>
      <c r="H779" s="14">
        <v>35</v>
      </c>
    </row>
    <row r="780" spans="1:8" x14ac:dyDescent="0.2">
      <c r="A780" s="86" t="s">
        <v>2109</v>
      </c>
      <c r="B780" s="12">
        <v>46440</v>
      </c>
      <c r="C780" s="10"/>
      <c r="D780" s="10"/>
      <c r="E780" s="100" t="s">
        <v>951</v>
      </c>
      <c r="F780" s="10">
        <v>0</v>
      </c>
      <c r="G780" s="99">
        <v>0</v>
      </c>
      <c r="H780" s="14">
        <v>35</v>
      </c>
    </row>
    <row r="781" spans="1:8" x14ac:dyDescent="0.2">
      <c r="A781" s="86" t="s">
        <v>2110</v>
      </c>
      <c r="B781" s="12">
        <v>46441</v>
      </c>
      <c r="C781" s="10"/>
      <c r="D781" s="10"/>
      <c r="E781" s="100" t="s">
        <v>952</v>
      </c>
      <c r="F781" s="10">
        <v>0</v>
      </c>
      <c r="G781" s="99">
        <v>0</v>
      </c>
      <c r="H781" s="14">
        <v>35</v>
      </c>
    </row>
    <row r="782" spans="1:8" x14ac:dyDescent="0.2">
      <c r="A782" s="86" t="s">
        <v>2111</v>
      </c>
      <c r="B782" s="12">
        <v>46442</v>
      </c>
      <c r="C782" s="10"/>
      <c r="D782" s="10"/>
      <c r="E782" s="100" t="s">
        <v>953</v>
      </c>
      <c r="F782" s="10">
        <v>0</v>
      </c>
      <c r="G782" s="99">
        <v>0</v>
      </c>
      <c r="H782" s="14">
        <v>35</v>
      </c>
    </row>
    <row r="783" spans="1:8" x14ac:dyDescent="0.2">
      <c r="A783" s="86" t="s">
        <v>2112</v>
      </c>
      <c r="B783" s="12">
        <v>46443</v>
      </c>
      <c r="C783" s="10"/>
      <c r="D783" s="10"/>
      <c r="E783" s="100" t="s">
        <v>954</v>
      </c>
      <c r="F783" s="10">
        <v>0</v>
      </c>
      <c r="G783" s="99">
        <v>0</v>
      </c>
      <c r="H783" s="14">
        <v>35</v>
      </c>
    </row>
    <row r="784" spans="1:8" x14ac:dyDescent="0.2">
      <c r="A784" s="86" t="s">
        <v>2113</v>
      </c>
      <c r="B784" s="12">
        <v>46444</v>
      </c>
      <c r="C784" s="10"/>
      <c r="D784" s="10"/>
      <c r="E784" s="100" t="s">
        <v>955</v>
      </c>
      <c r="F784" s="10">
        <v>0</v>
      </c>
      <c r="G784" s="99">
        <v>0</v>
      </c>
      <c r="H784" s="14">
        <v>35</v>
      </c>
    </row>
    <row r="785" spans="1:8" x14ac:dyDescent="0.2">
      <c r="A785" s="86" t="s">
        <v>2114</v>
      </c>
      <c r="B785" s="12">
        <v>46445</v>
      </c>
      <c r="C785" s="10"/>
      <c r="D785" s="10"/>
      <c r="E785" s="100" t="s">
        <v>956</v>
      </c>
      <c r="F785" s="10">
        <v>0</v>
      </c>
      <c r="G785" s="99">
        <v>0</v>
      </c>
      <c r="H785" s="14">
        <v>35</v>
      </c>
    </row>
    <row r="786" spans="1:8" x14ac:dyDescent="0.2">
      <c r="A786" s="86" t="s">
        <v>2115</v>
      </c>
      <c r="B786" s="12">
        <v>46446</v>
      </c>
      <c r="C786" s="10"/>
      <c r="D786" s="10"/>
      <c r="E786" s="100" t="s">
        <v>957</v>
      </c>
      <c r="F786" s="10">
        <v>0</v>
      </c>
      <c r="G786" s="99">
        <v>0</v>
      </c>
      <c r="H786" s="14">
        <v>35</v>
      </c>
    </row>
    <row r="787" spans="1:8" x14ac:dyDescent="0.2">
      <c r="A787" s="86" t="s">
        <v>2116</v>
      </c>
      <c r="B787" s="12">
        <v>46447</v>
      </c>
      <c r="C787" s="10"/>
      <c r="D787" s="10"/>
      <c r="E787" s="100" t="s">
        <v>958</v>
      </c>
      <c r="F787" s="10">
        <v>0</v>
      </c>
      <c r="G787" s="99">
        <v>0</v>
      </c>
      <c r="H787" s="14">
        <v>35</v>
      </c>
    </row>
    <row r="788" spans="1:8" x14ac:dyDescent="0.2">
      <c r="A788" s="86" t="s">
        <v>2117</v>
      </c>
      <c r="B788" s="12">
        <v>46448</v>
      </c>
      <c r="C788" s="10"/>
      <c r="D788" s="10"/>
      <c r="E788" s="100" t="s">
        <v>959</v>
      </c>
      <c r="F788" s="10">
        <v>0</v>
      </c>
      <c r="G788" s="99">
        <v>0</v>
      </c>
      <c r="H788" s="14">
        <v>35</v>
      </c>
    </row>
    <row r="789" spans="1:8" ht="15" thickBot="1" x14ac:dyDescent="0.25">
      <c r="A789" s="86" t="s">
        <v>2118</v>
      </c>
      <c r="B789" s="12">
        <v>46449</v>
      </c>
      <c r="C789" s="10"/>
      <c r="D789" s="10"/>
      <c r="E789" s="100" t="s">
        <v>960</v>
      </c>
      <c r="F789" s="10">
        <v>0</v>
      </c>
      <c r="G789" s="99">
        <v>0</v>
      </c>
      <c r="H789" s="14">
        <v>35</v>
      </c>
    </row>
    <row r="790" spans="1:8" ht="15" thickBot="1" x14ac:dyDescent="0.25">
      <c r="A790" s="108" t="s">
        <v>13</v>
      </c>
      <c r="B790" s="82"/>
      <c r="C790" s="82"/>
      <c r="D790" s="82"/>
      <c r="E790" s="109"/>
      <c r="F790" s="110"/>
      <c r="G790" s="111"/>
      <c r="H790" s="112"/>
    </row>
    <row r="791" spans="1:8" ht="15" thickBot="1" x14ac:dyDescent="0.25">
      <c r="A791" s="56" t="s">
        <v>41</v>
      </c>
      <c r="B791" s="57"/>
      <c r="C791" s="57"/>
      <c r="D791" s="58"/>
      <c r="E791" s="82" t="s">
        <v>132</v>
      </c>
      <c r="F791" s="60"/>
      <c r="G791" s="61"/>
      <c r="H791" s="61"/>
    </row>
    <row r="792" spans="1:8" ht="15" thickBot="1" x14ac:dyDescent="0.25">
      <c r="A792" s="56" t="s">
        <v>41</v>
      </c>
      <c r="B792" s="57"/>
      <c r="C792" s="57"/>
      <c r="D792" s="58"/>
      <c r="E792" s="82" t="s">
        <v>133</v>
      </c>
      <c r="F792" s="60"/>
      <c r="G792" s="61"/>
      <c r="H792" s="61"/>
    </row>
    <row r="793" spans="1:8" x14ac:dyDescent="0.2">
      <c r="A793" s="113" t="s">
        <v>2119</v>
      </c>
      <c r="B793" s="10"/>
      <c r="C793" s="10"/>
      <c r="D793" s="10"/>
      <c r="E793" s="114" t="s">
        <v>961</v>
      </c>
      <c r="F793" s="43">
        <v>9</v>
      </c>
      <c r="G793" s="99">
        <v>546</v>
      </c>
      <c r="H793" s="115">
        <v>850</v>
      </c>
    </row>
    <row r="794" spans="1:8" x14ac:dyDescent="0.2">
      <c r="A794" s="113" t="s">
        <v>2120</v>
      </c>
      <c r="B794" s="10"/>
      <c r="C794" s="10"/>
      <c r="D794" s="10"/>
      <c r="E794" s="114" t="s">
        <v>962</v>
      </c>
      <c r="F794" s="43">
        <v>9</v>
      </c>
      <c r="G794" s="99">
        <v>546</v>
      </c>
      <c r="H794" s="115">
        <v>850</v>
      </c>
    </row>
    <row r="795" spans="1:8" x14ac:dyDescent="0.2">
      <c r="A795" s="113" t="s">
        <v>2121</v>
      </c>
      <c r="B795" s="10"/>
      <c r="C795" s="10"/>
      <c r="D795" s="10"/>
      <c r="E795" s="114" t="s">
        <v>963</v>
      </c>
      <c r="F795" s="43">
        <v>5</v>
      </c>
      <c r="G795" s="99">
        <v>308</v>
      </c>
      <c r="H795" s="115">
        <v>480</v>
      </c>
    </row>
    <row r="796" spans="1:8" x14ac:dyDescent="0.2">
      <c r="A796" s="113" t="s">
        <v>2122</v>
      </c>
      <c r="B796" s="10"/>
      <c r="C796" s="10"/>
      <c r="D796" s="10"/>
      <c r="E796" s="114" t="s">
        <v>964</v>
      </c>
      <c r="F796" s="43">
        <v>5</v>
      </c>
      <c r="G796" s="99">
        <v>308</v>
      </c>
      <c r="H796" s="115">
        <v>480</v>
      </c>
    </row>
    <row r="797" spans="1:8" x14ac:dyDescent="0.2">
      <c r="A797" s="113" t="s">
        <v>2123</v>
      </c>
      <c r="B797" s="10"/>
      <c r="C797" s="10"/>
      <c r="D797" s="10"/>
      <c r="E797" s="114" t="s">
        <v>965</v>
      </c>
      <c r="F797" s="43">
        <v>5</v>
      </c>
      <c r="G797" s="99">
        <v>308</v>
      </c>
      <c r="H797" s="115">
        <v>480</v>
      </c>
    </row>
    <row r="798" spans="1:8" x14ac:dyDescent="0.2">
      <c r="A798" s="113" t="s">
        <v>2124</v>
      </c>
      <c r="B798" s="10"/>
      <c r="C798" s="10"/>
      <c r="D798" s="10"/>
      <c r="E798" s="114" t="s">
        <v>966</v>
      </c>
      <c r="F798" s="43">
        <v>5</v>
      </c>
      <c r="G798" s="99">
        <v>308</v>
      </c>
      <c r="H798" s="115">
        <v>480</v>
      </c>
    </row>
    <row r="799" spans="1:8" x14ac:dyDescent="0.2">
      <c r="A799" s="113" t="s">
        <v>2125</v>
      </c>
      <c r="B799" s="10"/>
      <c r="C799" s="10"/>
      <c r="D799" s="10"/>
      <c r="E799" s="114" t="s">
        <v>967</v>
      </c>
      <c r="F799" s="43">
        <v>5</v>
      </c>
      <c r="G799" s="99">
        <v>308</v>
      </c>
      <c r="H799" s="115">
        <v>480</v>
      </c>
    </row>
    <row r="800" spans="1:8" x14ac:dyDescent="0.2">
      <c r="A800" s="113" t="s">
        <v>2126</v>
      </c>
      <c r="B800" s="10"/>
      <c r="C800" s="10"/>
      <c r="D800" s="10"/>
      <c r="E800" s="114" t="s">
        <v>968</v>
      </c>
      <c r="F800" s="43">
        <v>5</v>
      </c>
      <c r="G800" s="99">
        <v>308</v>
      </c>
      <c r="H800" s="115">
        <v>480</v>
      </c>
    </row>
    <row r="801" spans="1:8" x14ac:dyDescent="0.2">
      <c r="A801" s="113" t="s">
        <v>2127</v>
      </c>
      <c r="B801" s="10"/>
      <c r="C801" s="10"/>
      <c r="D801" s="10"/>
      <c r="E801" s="114" t="s">
        <v>969</v>
      </c>
      <c r="F801" s="43">
        <v>5</v>
      </c>
      <c r="G801" s="99">
        <v>308</v>
      </c>
      <c r="H801" s="115">
        <v>480</v>
      </c>
    </row>
    <row r="802" spans="1:8" x14ac:dyDescent="0.2">
      <c r="A802" s="113" t="s">
        <v>2128</v>
      </c>
      <c r="B802" s="10"/>
      <c r="C802" s="10"/>
      <c r="D802" s="10"/>
      <c r="E802" s="114" t="s">
        <v>970</v>
      </c>
      <c r="F802" s="43">
        <v>5</v>
      </c>
      <c r="G802" s="99">
        <v>308</v>
      </c>
      <c r="H802" s="115">
        <v>480</v>
      </c>
    </row>
    <row r="803" spans="1:8" x14ac:dyDescent="0.2">
      <c r="A803" s="113" t="s">
        <v>2129</v>
      </c>
      <c r="B803" s="10"/>
      <c r="C803" s="10"/>
      <c r="D803" s="10"/>
      <c r="E803" s="114" t="s">
        <v>971</v>
      </c>
      <c r="F803" s="43">
        <v>11</v>
      </c>
      <c r="G803" s="99">
        <v>738</v>
      </c>
      <c r="H803" s="115">
        <v>1150</v>
      </c>
    </row>
    <row r="804" spans="1:8" x14ac:dyDescent="0.2">
      <c r="A804" s="113" t="s">
        <v>2130</v>
      </c>
      <c r="B804" s="10"/>
      <c r="C804" s="10"/>
      <c r="D804" s="10"/>
      <c r="E804" s="114" t="s">
        <v>972</v>
      </c>
      <c r="F804" s="43">
        <v>9</v>
      </c>
      <c r="G804" s="99">
        <v>577</v>
      </c>
      <c r="H804" s="115">
        <v>900</v>
      </c>
    </row>
    <row r="805" spans="1:8" x14ac:dyDescent="0.2">
      <c r="A805" s="113" t="s">
        <v>2131</v>
      </c>
      <c r="B805" s="10"/>
      <c r="C805" s="10"/>
      <c r="D805" s="10"/>
      <c r="E805" s="114" t="s">
        <v>973</v>
      </c>
      <c r="F805" s="43">
        <v>9</v>
      </c>
      <c r="G805" s="99">
        <v>577</v>
      </c>
      <c r="H805" s="115">
        <v>900</v>
      </c>
    </row>
    <row r="806" spans="1:8" x14ac:dyDescent="0.2">
      <c r="A806" s="113" t="s">
        <v>2132</v>
      </c>
      <c r="B806" s="10"/>
      <c r="C806" s="10"/>
      <c r="D806" s="10"/>
      <c r="E806" s="114" t="s">
        <v>974</v>
      </c>
      <c r="F806" s="43">
        <v>9</v>
      </c>
      <c r="G806" s="99">
        <v>577</v>
      </c>
      <c r="H806" s="115">
        <v>900</v>
      </c>
    </row>
    <row r="807" spans="1:8" x14ac:dyDescent="0.2">
      <c r="A807" s="113" t="s">
        <v>2133</v>
      </c>
      <c r="B807" s="10"/>
      <c r="C807" s="10"/>
      <c r="D807" s="10"/>
      <c r="E807" s="114" t="s">
        <v>975</v>
      </c>
      <c r="F807" s="43">
        <v>9</v>
      </c>
      <c r="G807" s="99">
        <v>577</v>
      </c>
      <c r="H807" s="115">
        <v>900</v>
      </c>
    </row>
    <row r="808" spans="1:8" x14ac:dyDescent="0.2">
      <c r="A808" s="113" t="s">
        <v>2134</v>
      </c>
      <c r="B808" s="10"/>
      <c r="C808" s="10"/>
      <c r="D808" s="10"/>
      <c r="E808" s="114" t="s">
        <v>976</v>
      </c>
      <c r="F808" s="43">
        <v>9</v>
      </c>
      <c r="G808" s="99">
        <v>577</v>
      </c>
      <c r="H808" s="115">
        <v>900</v>
      </c>
    </row>
    <row r="809" spans="1:8" x14ac:dyDescent="0.2">
      <c r="A809" s="113" t="s">
        <v>2135</v>
      </c>
      <c r="B809" s="10"/>
      <c r="C809" s="10"/>
      <c r="D809" s="10"/>
      <c r="E809" s="114" t="s">
        <v>977</v>
      </c>
      <c r="F809" s="43">
        <v>9</v>
      </c>
      <c r="G809" s="99">
        <v>577</v>
      </c>
      <c r="H809" s="115">
        <v>900</v>
      </c>
    </row>
    <row r="810" spans="1:8" x14ac:dyDescent="0.2">
      <c r="A810" s="113" t="s">
        <v>2136</v>
      </c>
      <c r="B810" s="10"/>
      <c r="C810" s="10"/>
      <c r="D810" s="10"/>
      <c r="E810" s="114" t="s">
        <v>978</v>
      </c>
      <c r="F810" s="43">
        <v>9</v>
      </c>
      <c r="G810" s="99">
        <v>577</v>
      </c>
      <c r="H810" s="115">
        <v>900</v>
      </c>
    </row>
    <row r="811" spans="1:8" x14ac:dyDescent="0.2">
      <c r="A811" s="113" t="s">
        <v>2137</v>
      </c>
      <c r="B811" s="10"/>
      <c r="C811" s="10"/>
      <c r="D811" s="10"/>
      <c r="E811" s="114" t="s">
        <v>979</v>
      </c>
      <c r="F811" s="43">
        <v>9</v>
      </c>
      <c r="G811" s="99">
        <v>577</v>
      </c>
      <c r="H811" s="115">
        <v>900</v>
      </c>
    </row>
    <row r="812" spans="1:8" x14ac:dyDescent="0.2">
      <c r="A812" s="113" t="s">
        <v>2138</v>
      </c>
      <c r="B812" s="10"/>
      <c r="C812" s="10"/>
      <c r="D812" s="10"/>
      <c r="E812" s="114" t="s">
        <v>1130</v>
      </c>
      <c r="F812" s="43">
        <v>10</v>
      </c>
      <c r="G812" s="99">
        <v>623</v>
      </c>
      <c r="H812" s="115">
        <v>970</v>
      </c>
    </row>
    <row r="813" spans="1:8" x14ac:dyDescent="0.2">
      <c r="A813" s="113" t="s">
        <v>2139</v>
      </c>
      <c r="B813" s="10"/>
      <c r="C813" s="10"/>
      <c r="D813" s="10"/>
      <c r="E813" s="114" t="s">
        <v>1131</v>
      </c>
      <c r="F813" s="43">
        <v>10</v>
      </c>
      <c r="G813" s="99">
        <v>623</v>
      </c>
      <c r="H813" s="115">
        <v>970</v>
      </c>
    </row>
    <row r="814" spans="1:8" x14ac:dyDescent="0.2">
      <c r="A814" s="113" t="s">
        <v>2140</v>
      </c>
      <c r="B814" s="10"/>
      <c r="C814" s="10"/>
      <c r="D814" s="10"/>
      <c r="E814" s="114" t="s">
        <v>1132</v>
      </c>
      <c r="F814" s="43">
        <v>10</v>
      </c>
      <c r="G814" s="99">
        <v>623</v>
      </c>
      <c r="H814" s="115">
        <v>970</v>
      </c>
    </row>
    <row r="815" spans="1:8" x14ac:dyDescent="0.2">
      <c r="A815" s="113" t="s">
        <v>2141</v>
      </c>
      <c r="B815" s="10"/>
      <c r="C815" s="10"/>
      <c r="D815" s="10"/>
      <c r="E815" s="114" t="s">
        <v>1133</v>
      </c>
      <c r="F815" s="43">
        <v>10</v>
      </c>
      <c r="G815" s="99">
        <v>623</v>
      </c>
      <c r="H815" s="115">
        <v>970</v>
      </c>
    </row>
    <row r="816" spans="1:8" x14ac:dyDescent="0.2">
      <c r="A816" s="113" t="s">
        <v>2142</v>
      </c>
      <c r="B816" s="10"/>
      <c r="C816" s="10"/>
      <c r="D816" s="10"/>
      <c r="E816" s="114" t="s">
        <v>1134</v>
      </c>
      <c r="F816" s="43">
        <v>10</v>
      </c>
      <c r="G816" s="99">
        <v>623</v>
      </c>
      <c r="H816" s="115">
        <v>970</v>
      </c>
    </row>
    <row r="817" spans="1:8" x14ac:dyDescent="0.2">
      <c r="A817" s="113" t="s">
        <v>2143</v>
      </c>
      <c r="B817" s="10"/>
      <c r="C817" s="10"/>
      <c r="D817" s="10"/>
      <c r="E817" s="114" t="s">
        <v>1135</v>
      </c>
      <c r="F817" s="43">
        <v>10</v>
      </c>
      <c r="G817" s="99">
        <v>623</v>
      </c>
      <c r="H817" s="115">
        <v>970</v>
      </c>
    </row>
    <row r="818" spans="1:8" x14ac:dyDescent="0.2">
      <c r="A818" s="113" t="s">
        <v>2144</v>
      </c>
      <c r="B818" s="10"/>
      <c r="C818" s="10"/>
      <c r="D818" s="10"/>
      <c r="E818" s="114" t="s">
        <v>1136</v>
      </c>
      <c r="F818" s="43">
        <v>10</v>
      </c>
      <c r="G818" s="99">
        <v>623</v>
      </c>
      <c r="H818" s="115">
        <v>970</v>
      </c>
    </row>
    <row r="819" spans="1:8" x14ac:dyDescent="0.2">
      <c r="A819" s="113" t="s">
        <v>2145</v>
      </c>
      <c r="B819" s="10"/>
      <c r="C819" s="10"/>
      <c r="D819" s="10"/>
      <c r="E819" s="114" t="s">
        <v>1137</v>
      </c>
      <c r="F819" s="43">
        <v>10</v>
      </c>
      <c r="G819" s="99">
        <v>623</v>
      </c>
      <c r="H819" s="115">
        <v>970</v>
      </c>
    </row>
    <row r="820" spans="1:8" x14ac:dyDescent="0.2">
      <c r="A820" s="113" t="s">
        <v>2146</v>
      </c>
      <c r="B820" s="10"/>
      <c r="C820" s="10"/>
      <c r="D820" s="10"/>
      <c r="E820" s="114" t="s">
        <v>1138</v>
      </c>
      <c r="F820" s="43">
        <v>10</v>
      </c>
      <c r="G820" s="99">
        <v>623</v>
      </c>
      <c r="H820" s="115">
        <v>970</v>
      </c>
    </row>
    <row r="821" spans="1:8" x14ac:dyDescent="0.2">
      <c r="A821" s="113" t="s">
        <v>2147</v>
      </c>
      <c r="B821" s="10"/>
      <c r="C821" s="10"/>
      <c r="D821" s="10"/>
      <c r="E821" s="114" t="s">
        <v>1139</v>
      </c>
      <c r="F821" s="43">
        <v>10</v>
      </c>
      <c r="G821" s="99">
        <v>623</v>
      </c>
      <c r="H821" s="115">
        <v>970</v>
      </c>
    </row>
    <row r="822" spans="1:8" x14ac:dyDescent="0.2">
      <c r="A822" s="113" t="s">
        <v>2148</v>
      </c>
      <c r="B822" s="10"/>
      <c r="C822" s="10"/>
      <c r="D822" s="10"/>
      <c r="E822" s="114" t="s">
        <v>1140</v>
      </c>
      <c r="F822" s="43">
        <v>12</v>
      </c>
      <c r="G822" s="99">
        <v>802</v>
      </c>
      <c r="H822" s="115">
        <v>1250</v>
      </c>
    </row>
    <row r="823" spans="1:8" x14ac:dyDescent="0.2">
      <c r="A823" s="113" t="s">
        <v>2149</v>
      </c>
      <c r="B823" s="10"/>
      <c r="C823" s="10"/>
      <c r="D823" s="10"/>
      <c r="E823" s="114" t="s">
        <v>1141</v>
      </c>
      <c r="F823" s="43">
        <v>12</v>
      </c>
      <c r="G823" s="99">
        <v>802</v>
      </c>
      <c r="H823" s="115">
        <v>1250</v>
      </c>
    </row>
    <row r="824" spans="1:8" x14ac:dyDescent="0.2">
      <c r="A824" s="113" t="s">
        <v>2150</v>
      </c>
      <c r="B824" s="10"/>
      <c r="C824" s="10"/>
      <c r="D824" s="10"/>
      <c r="E824" s="114" t="s">
        <v>1142</v>
      </c>
      <c r="F824" s="43">
        <v>12</v>
      </c>
      <c r="G824" s="99">
        <v>802</v>
      </c>
      <c r="H824" s="115">
        <v>1250</v>
      </c>
    </row>
    <row r="825" spans="1:8" x14ac:dyDescent="0.2">
      <c r="A825" s="113" t="s">
        <v>2151</v>
      </c>
      <c r="B825" s="10"/>
      <c r="C825" s="10"/>
      <c r="D825" s="10"/>
      <c r="E825" s="114" t="s">
        <v>1143</v>
      </c>
      <c r="F825" s="43">
        <v>12</v>
      </c>
      <c r="G825" s="99">
        <v>802</v>
      </c>
      <c r="H825" s="115">
        <v>1250</v>
      </c>
    </row>
    <row r="826" spans="1:8" x14ac:dyDescent="0.2">
      <c r="A826" s="113" t="s">
        <v>2152</v>
      </c>
      <c r="B826" s="10"/>
      <c r="C826" s="10"/>
      <c r="D826" s="10"/>
      <c r="E826" s="114" t="s">
        <v>1144</v>
      </c>
      <c r="F826" s="43">
        <v>12</v>
      </c>
      <c r="G826" s="99">
        <v>802</v>
      </c>
      <c r="H826" s="115">
        <v>1250</v>
      </c>
    </row>
    <row r="827" spans="1:8" x14ac:dyDescent="0.2">
      <c r="A827" s="113" t="s">
        <v>2153</v>
      </c>
      <c r="B827" s="10"/>
      <c r="C827" s="10"/>
      <c r="D827" s="10"/>
      <c r="E827" s="114" t="s">
        <v>1145</v>
      </c>
      <c r="F827" s="43">
        <v>12</v>
      </c>
      <c r="G827" s="99">
        <v>802</v>
      </c>
      <c r="H827" s="115">
        <v>1250</v>
      </c>
    </row>
    <row r="828" spans="1:8" x14ac:dyDescent="0.2">
      <c r="A828" s="113" t="s">
        <v>2154</v>
      </c>
      <c r="B828" s="10"/>
      <c r="C828" s="10"/>
      <c r="D828" s="10"/>
      <c r="E828" s="114" t="s">
        <v>1146</v>
      </c>
      <c r="F828" s="43">
        <v>12</v>
      </c>
      <c r="G828" s="99">
        <v>802</v>
      </c>
      <c r="H828" s="115">
        <v>1250</v>
      </c>
    </row>
    <row r="829" spans="1:8" x14ac:dyDescent="0.2">
      <c r="A829" s="113" t="s">
        <v>2155</v>
      </c>
      <c r="B829" s="10"/>
      <c r="C829" s="10"/>
      <c r="D829" s="10"/>
      <c r="E829" s="114" t="s">
        <v>1147</v>
      </c>
      <c r="F829" s="43">
        <v>12</v>
      </c>
      <c r="G829" s="99">
        <v>802</v>
      </c>
      <c r="H829" s="115">
        <v>1250</v>
      </c>
    </row>
    <row r="830" spans="1:8" x14ac:dyDescent="0.2">
      <c r="A830" s="113" t="s">
        <v>2156</v>
      </c>
      <c r="B830" s="10"/>
      <c r="C830" s="10"/>
      <c r="D830" s="10"/>
      <c r="E830" s="114" t="s">
        <v>1148</v>
      </c>
      <c r="F830" s="43">
        <v>12</v>
      </c>
      <c r="G830" s="99">
        <v>802</v>
      </c>
      <c r="H830" s="115">
        <v>1250</v>
      </c>
    </row>
    <row r="831" spans="1:8" x14ac:dyDescent="0.2">
      <c r="A831" s="113" t="s">
        <v>2157</v>
      </c>
      <c r="B831" s="10"/>
      <c r="C831" s="10"/>
      <c r="D831" s="10"/>
      <c r="E831" s="114" t="s">
        <v>1149</v>
      </c>
      <c r="F831" s="43">
        <v>12</v>
      </c>
      <c r="G831" s="99">
        <v>802</v>
      </c>
      <c r="H831" s="115">
        <v>1250</v>
      </c>
    </row>
    <row r="832" spans="1:8" x14ac:dyDescent="0.2">
      <c r="A832" s="113" t="s">
        <v>2158</v>
      </c>
      <c r="B832" s="10"/>
      <c r="C832" s="10"/>
      <c r="D832" s="10"/>
      <c r="E832" s="114" t="s">
        <v>1150</v>
      </c>
      <c r="F832" s="43">
        <v>8</v>
      </c>
      <c r="G832" s="99">
        <v>494</v>
      </c>
      <c r="H832" s="115">
        <v>770</v>
      </c>
    </row>
    <row r="833" spans="1:8" x14ac:dyDescent="0.2">
      <c r="A833" s="113" t="s">
        <v>2159</v>
      </c>
      <c r="B833" s="10"/>
      <c r="C833" s="10"/>
      <c r="D833" s="10"/>
      <c r="E833" s="114" t="s">
        <v>1151</v>
      </c>
      <c r="F833" s="43">
        <v>8</v>
      </c>
      <c r="G833" s="99">
        <v>494</v>
      </c>
      <c r="H833" s="115">
        <v>770</v>
      </c>
    </row>
    <row r="834" spans="1:8" x14ac:dyDescent="0.2">
      <c r="A834" s="113" t="s">
        <v>2160</v>
      </c>
      <c r="B834" s="10"/>
      <c r="C834" s="10"/>
      <c r="D834" s="10"/>
      <c r="E834" s="114" t="s">
        <v>1152</v>
      </c>
      <c r="F834" s="43">
        <v>8</v>
      </c>
      <c r="G834" s="99">
        <v>494</v>
      </c>
      <c r="H834" s="115">
        <v>770</v>
      </c>
    </row>
    <row r="835" spans="1:8" x14ac:dyDescent="0.2">
      <c r="A835" s="113" t="s">
        <v>2161</v>
      </c>
      <c r="B835" s="10"/>
      <c r="C835" s="10"/>
      <c r="D835" s="10"/>
      <c r="E835" s="114" t="s">
        <v>1153</v>
      </c>
      <c r="F835" s="43">
        <v>8</v>
      </c>
      <c r="G835" s="99">
        <v>494</v>
      </c>
      <c r="H835" s="115">
        <v>770</v>
      </c>
    </row>
    <row r="836" spans="1:8" x14ac:dyDescent="0.2">
      <c r="A836" s="113" t="s">
        <v>2162</v>
      </c>
      <c r="B836" s="10"/>
      <c r="C836" s="10"/>
      <c r="D836" s="10"/>
      <c r="E836" s="114" t="s">
        <v>1154</v>
      </c>
      <c r="F836" s="43">
        <v>8</v>
      </c>
      <c r="G836" s="99">
        <v>494</v>
      </c>
      <c r="H836" s="115">
        <v>770</v>
      </c>
    </row>
    <row r="837" spans="1:8" x14ac:dyDescent="0.2">
      <c r="A837" s="113" t="s">
        <v>2163</v>
      </c>
      <c r="B837" s="10"/>
      <c r="C837" s="10"/>
      <c r="D837" s="10"/>
      <c r="E837" s="114" t="s">
        <v>1155</v>
      </c>
      <c r="F837" s="43">
        <v>3</v>
      </c>
      <c r="G837" s="99">
        <v>218</v>
      </c>
      <c r="H837" s="115">
        <v>340</v>
      </c>
    </row>
    <row r="838" spans="1:8" x14ac:dyDescent="0.2">
      <c r="A838" s="113" t="s">
        <v>2164</v>
      </c>
      <c r="B838" s="17"/>
      <c r="C838" s="17"/>
      <c r="D838" s="17"/>
      <c r="E838" s="114" t="s">
        <v>1156</v>
      </c>
      <c r="F838" s="43">
        <v>3</v>
      </c>
      <c r="G838" s="99">
        <v>218</v>
      </c>
      <c r="H838" s="115">
        <v>340</v>
      </c>
    </row>
    <row r="839" spans="1:8" x14ac:dyDescent="0.2">
      <c r="A839" s="113" t="s">
        <v>2165</v>
      </c>
      <c r="B839" s="10"/>
      <c r="C839" s="10"/>
      <c r="D839" s="17"/>
      <c r="E839" s="114" t="s">
        <v>1157</v>
      </c>
      <c r="F839" s="43">
        <v>3</v>
      </c>
      <c r="G839" s="99">
        <v>218</v>
      </c>
      <c r="H839" s="115">
        <v>340</v>
      </c>
    </row>
    <row r="840" spans="1:8" x14ac:dyDescent="0.2">
      <c r="A840" s="113" t="s">
        <v>2166</v>
      </c>
      <c r="B840" s="10"/>
      <c r="C840" s="10"/>
      <c r="D840" s="17"/>
      <c r="E840" s="114" t="s">
        <v>1158</v>
      </c>
      <c r="F840" s="43">
        <v>3</v>
      </c>
      <c r="G840" s="99">
        <v>218</v>
      </c>
      <c r="H840" s="115">
        <v>340</v>
      </c>
    </row>
    <row r="841" spans="1:8" x14ac:dyDescent="0.2">
      <c r="A841" s="113" t="s">
        <v>2167</v>
      </c>
      <c r="B841" s="10"/>
      <c r="C841" s="10"/>
      <c r="D841" s="17"/>
      <c r="E841" s="114" t="s">
        <v>1159</v>
      </c>
      <c r="F841" s="43">
        <v>3</v>
      </c>
      <c r="G841" s="99">
        <v>218</v>
      </c>
      <c r="H841" s="115">
        <v>340</v>
      </c>
    </row>
    <row r="842" spans="1:8" x14ac:dyDescent="0.2">
      <c r="A842" s="113" t="s">
        <v>2168</v>
      </c>
      <c r="B842" s="10"/>
      <c r="C842" s="10"/>
      <c r="D842" s="17"/>
      <c r="E842" s="114" t="s">
        <v>1160</v>
      </c>
      <c r="F842" s="43">
        <v>3</v>
      </c>
      <c r="G842" s="99">
        <v>218</v>
      </c>
      <c r="H842" s="115">
        <v>340</v>
      </c>
    </row>
    <row r="843" spans="1:8" x14ac:dyDescent="0.2">
      <c r="A843" s="113" t="s">
        <v>2169</v>
      </c>
      <c r="B843" s="10"/>
      <c r="C843" s="10"/>
      <c r="D843" s="17"/>
      <c r="E843" s="114" t="s">
        <v>1161</v>
      </c>
      <c r="F843" s="43">
        <v>3</v>
      </c>
      <c r="G843" s="99">
        <v>218</v>
      </c>
      <c r="H843" s="115">
        <v>340</v>
      </c>
    </row>
    <row r="844" spans="1:8" x14ac:dyDescent="0.2">
      <c r="A844" s="113" t="s">
        <v>2170</v>
      </c>
      <c r="B844" s="10"/>
      <c r="C844" s="10"/>
      <c r="D844" s="17"/>
      <c r="E844" s="114" t="s">
        <v>1162</v>
      </c>
      <c r="F844" s="43">
        <v>3</v>
      </c>
      <c r="G844" s="99">
        <v>218</v>
      </c>
      <c r="H844" s="115">
        <v>340</v>
      </c>
    </row>
    <row r="845" spans="1:8" x14ac:dyDescent="0.2">
      <c r="A845" s="113" t="s">
        <v>2171</v>
      </c>
      <c r="B845" s="10"/>
      <c r="C845" s="10"/>
      <c r="D845" s="17"/>
      <c r="E845" s="114" t="s">
        <v>980</v>
      </c>
      <c r="F845" s="43">
        <v>3</v>
      </c>
      <c r="G845" s="99">
        <v>224</v>
      </c>
      <c r="H845" s="115">
        <v>350</v>
      </c>
    </row>
    <row r="846" spans="1:8" ht="15" thickBot="1" x14ac:dyDescent="0.25">
      <c r="A846" s="113" t="s">
        <v>2172</v>
      </c>
      <c r="B846" s="10"/>
      <c r="C846" s="10"/>
      <c r="D846" s="17"/>
      <c r="E846" s="114" t="s">
        <v>981</v>
      </c>
      <c r="F846" s="43">
        <v>3</v>
      </c>
      <c r="G846" s="99">
        <v>224</v>
      </c>
      <c r="H846" s="115">
        <v>350</v>
      </c>
    </row>
    <row r="847" spans="1:8" ht="15" thickBot="1" x14ac:dyDescent="0.25">
      <c r="A847" s="56" t="s">
        <v>41</v>
      </c>
      <c r="B847" s="57"/>
      <c r="C847" s="57"/>
      <c r="D847" s="58"/>
      <c r="E847" s="82" t="s">
        <v>982</v>
      </c>
      <c r="F847" s="60"/>
      <c r="G847" s="61"/>
      <c r="H847" s="61"/>
    </row>
    <row r="848" spans="1:8" x14ac:dyDescent="0.2">
      <c r="A848" s="113" t="s">
        <v>2173</v>
      </c>
      <c r="B848" s="10"/>
      <c r="C848" s="10"/>
      <c r="D848" s="17"/>
      <c r="E848" s="114" t="s">
        <v>983</v>
      </c>
      <c r="F848" s="43">
        <v>8</v>
      </c>
      <c r="G848" s="99">
        <v>256</v>
      </c>
      <c r="H848" s="115">
        <v>800</v>
      </c>
    </row>
    <row r="849" spans="1:8" x14ac:dyDescent="0.2">
      <c r="A849" s="113" t="s">
        <v>2174</v>
      </c>
      <c r="B849" s="10"/>
      <c r="C849" s="10"/>
      <c r="D849" s="17"/>
      <c r="E849" s="114" t="s">
        <v>362</v>
      </c>
      <c r="F849" s="43">
        <v>6</v>
      </c>
      <c r="G849" s="99">
        <v>208</v>
      </c>
      <c r="H849" s="115">
        <v>650</v>
      </c>
    </row>
    <row r="850" spans="1:8" x14ac:dyDescent="0.2">
      <c r="A850" s="113" t="s">
        <v>2175</v>
      </c>
      <c r="B850" s="10"/>
      <c r="C850" s="10"/>
      <c r="D850" s="17"/>
      <c r="E850" s="114" t="s">
        <v>983</v>
      </c>
      <c r="F850" s="43">
        <v>5</v>
      </c>
      <c r="G850" s="99">
        <v>154</v>
      </c>
      <c r="H850" s="115">
        <v>480</v>
      </c>
    </row>
    <row r="851" spans="1:8" x14ac:dyDescent="0.2">
      <c r="A851" s="113" t="s">
        <v>2176</v>
      </c>
      <c r="B851" s="10"/>
      <c r="C851" s="10"/>
      <c r="D851" s="17"/>
      <c r="E851" s="114" t="s">
        <v>1163</v>
      </c>
      <c r="F851" s="43">
        <v>6</v>
      </c>
      <c r="G851" s="99">
        <v>208</v>
      </c>
      <c r="H851" s="115">
        <v>650</v>
      </c>
    </row>
    <row r="852" spans="1:8" x14ac:dyDescent="0.2">
      <c r="A852" s="113" t="s">
        <v>2177</v>
      </c>
      <c r="B852" s="10"/>
      <c r="C852" s="10"/>
      <c r="D852" s="17"/>
      <c r="E852" s="114" t="s">
        <v>1164</v>
      </c>
      <c r="F852" s="43">
        <v>8</v>
      </c>
      <c r="G852" s="99">
        <v>500</v>
      </c>
      <c r="H852" s="115">
        <v>780</v>
      </c>
    </row>
    <row r="853" spans="1:8" x14ac:dyDescent="0.2">
      <c r="A853" s="113" t="s">
        <v>2178</v>
      </c>
      <c r="B853" s="10"/>
      <c r="C853" s="10"/>
      <c r="D853" s="17"/>
      <c r="E853" s="114" t="s">
        <v>984</v>
      </c>
      <c r="F853" s="43">
        <v>4</v>
      </c>
      <c r="G853" s="99">
        <v>144</v>
      </c>
      <c r="H853" s="115">
        <v>450</v>
      </c>
    </row>
    <row r="854" spans="1:8" x14ac:dyDescent="0.2">
      <c r="A854" s="113" t="s">
        <v>2179</v>
      </c>
      <c r="B854" s="10"/>
      <c r="C854" s="10"/>
      <c r="D854" s="17"/>
      <c r="E854" s="114" t="s">
        <v>985</v>
      </c>
      <c r="F854" s="43">
        <v>10</v>
      </c>
      <c r="G854" s="99">
        <v>623</v>
      </c>
      <c r="H854" s="115">
        <v>970</v>
      </c>
    </row>
    <row r="855" spans="1:8" x14ac:dyDescent="0.2">
      <c r="A855" s="113" t="s">
        <v>2180</v>
      </c>
      <c r="B855" s="10"/>
      <c r="C855" s="10"/>
      <c r="D855" s="17"/>
      <c r="E855" s="114" t="s">
        <v>986</v>
      </c>
      <c r="F855" s="43">
        <v>5</v>
      </c>
      <c r="G855" s="99">
        <v>321</v>
      </c>
      <c r="H855" s="115">
        <v>500</v>
      </c>
    </row>
    <row r="856" spans="1:8" x14ac:dyDescent="0.2">
      <c r="A856" s="113" t="s">
        <v>2181</v>
      </c>
      <c r="B856" s="10"/>
      <c r="C856" s="10"/>
      <c r="D856" s="17"/>
      <c r="E856" s="114" t="s">
        <v>987</v>
      </c>
      <c r="F856" s="43">
        <v>5</v>
      </c>
      <c r="G856" s="99">
        <v>321</v>
      </c>
      <c r="H856" s="115">
        <v>500</v>
      </c>
    </row>
    <row r="857" spans="1:8" x14ac:dyDescent="0.2">
      <c r="A857" s="113" t="s">
        <v>2182</v>
      </c>
      <c r="B857" s="10"/>
      <c r="C857" s="10"/>
      <c r="D857" s="17"/>
      <c r="E857" s="114" t="s">
        <v>988</v>
      </c>
      <c r="F857" s="43">
        <v>5</v>
      </c>
      <c r="G857" s="99">
        <v>321</v>
      </c>
      <c r="H857" s="115">
        <v>500</v>
      </c>
    </row>
    <row r="858" spans="1:8" x14ac:dyDescent="0.2">
      <c r="A858" s="113" t="s">
        <v>2183</v>
      </c>
      <c r="B858" s="10"/>
      <c r="C858" s="10"/>
      <c r="D858" s="17"/>
      <c r="E858" s="114" t="s">
        <v>989</v>
      </c>
      <c r="F858" s="43">
        <v>5</v>
      </c>
      <c r="G858" s="99">
        <v>321</v>
      </c>
      <c r="H858" s="115">
        <v>500</v>
      </c>
    </row>
    <row r="859" spans="1:8" x14ac:dyDescent="0.2">
      <c r="A859" s="113" t="s">
        <v>2184</v>
      </c>
      <c r="B859" s="10"/>
      <c r="C859" s="10"/>
      <c r="D859" s="17"/>
      <c r="E859" s="114" t="s">
        <v>990</v>
      </c>
      <c r="F859" s="43">
        <v>5</v>
      </c>
      <c r="G859" s="99">
        <v>321</v>
      </c>
      <c r="H859" s="115">
        <v>500</v>
      </c>
    </row>
    <row r="860" spans="1:8" x14ac:dyDescent="0.2">
      <c r="A860" s="113" t="s">
        <v>2185</v>
      </c>
      <c r="B860" s="10"/>
      <c r="C860" s="10"/>
      <c r="D860" s="17"/>
      <c r="E860" s="114" t="s">
        <v>1165</v>
      </c>
      <c r="F860" s="43">
        <v>12</v>
      </c>
      <c r="G860" s="99">
        <v>802</v>
      </c>
      <c r="H860" s="115">
        <v>1250</v>
      </c>
    </row>
    <row r="861" spans="1:8" x14ac:dyDescent="0.2">
      <c r="A861" s="113" t="s">
        <v>2186</v>
      </c>
      <c r="B861" s="10"/>
      <c r="C861" s="10"/>
      <c r="D861" s="17"/>
      <c r="E861" s="114" t="s">
        <v>1166</v>
      </c>
      <c r="F861" s="43">
        <v>12</v>
      </c>
      <c r="G861" s="99">
        <v>802</v>
      </c>
      <c r="H861" s="115">
        <v>1250</v>
      </c>
    </row>
    <row r="862" spans="1:8" x14ac:dyDescent="0.2">
      <c r="A862" s="113" t="s">
        <v>2187</v>
      </c>
      <c r="B862" s="10"/>
      <c r="C862" s="10"/>
      <c r="D862" s="17"/>
      <c r="E862" s="114" t="s">
        <v>1167</v>
      </c>
      <c r="F862" s="43">
        <v>12</v>
      </c>
      <c r="G862" s="99">
        <v>802</v>
      </c>
      <c r="H862" s="115">
        <v>1250</v>
      </c>
    </row>
    <row r="863" spans="1:8" x14ac:dyDescent="0.2">
      <c r="A863" s="113" t="s">
        <v>2188</v>
      </c>
      <c r="B863" s="10"/>
      <c r="C863" s="10"/>
      <c r="D863" s="17"/>
      <c r="E863" s="114" t="s">
        <v>1168</v>
      </c>
      <c r="F863" s="43">
        <v>14</v>
      </c>
      <c r="G863" s="99">
        <v>931</v>
      </c>
      <c r="H863" s="115">
        <v>1450</v>
      </c>
    </row>
    <row r="864" spans="1:8" x14ac:dyDescent="0.2">
      <c r="A864" s="113" t="s">
        <v>2189</v>
      </c>
      <c r="B864" s="10"/>
      <c r="C864" s="10"/>
      <c r="D864" s="17"/>
      <c r="E864" s="114" t="s">
        <v>1169</v>
      </c>
      <c r="F864" s="43">
        <v>14</v>
      </c>
      <c r="G864" s="99">
        <v>931</v>
      </c>
      <c r="H864" s="115">
        <v>1450</v>
      </c>
    </row>
    <row r="865" spans="1:8" x14ac:dyDescent="0.2">
      <c r="A865" s="113" t="s">
        <v>2190</v>
      </c>
      <c r="B865" s="10"/>
      <c r="C865" s="10"/>
      <c r="D865" s="17"/>
      <c r="E865" s="114" t="s">
        <v>1170</v>
      </c>
      <c r="F865" s="43">
        <v>8</v>
      </c>
      <c r="G865" s="99">
        <v>513</v>
      </c>
      <c r="H865" s="115">
        <v>800</v>
      </c>
    </row>
    <row r="866" spans="1:8" x14ac:dyDescent="0.2">
      <c r="A866" s="113" t="s">
        <v>2191</v>
      </c>
      <c r="B866" s="10"/>
      <c r="C866" s="10"/>
      <c r="D866" s="17"/>
      <c r="E866" s="114" t="s">
        <v>1171</v>
      </c>
      <c r="F866" s="43">
        <v>8</v>
      </c>
      <c r="G866" s="99">
        <v>513</v>
      </c>
      <c r="H866" s="115">
        <v>800</v>
      </c>
    </row>
    <row r="867" spans="1:8" x14ac:dyDescent="0.2">
      <c r="A867" s="113" t="s">
        <v>2192</v>
      </c>
      <c r="B867" s="10"/>
      <c r="C867" s="10"/>
      <c r="D867" s="17"/>
      <c r="E867" s="114" t="s">
        <v>991</v>
      </c>
      <c r="F867" s="43">
        <v>14</v>
      </c>
      <c r="G867" s="99">
        <v>898</v>
      </c>
      <c r="H867" s="115">
        <v>1400</v>
      </c>
    </row>
    <row r="868" spans="1:8" x14ac:dyDescent="0.2">
      <c r="A868" s="113" t="s">
        <v>2193</v>
      </c>
      <c r="B868" s="10"/>
      <c r="C868" s="10"/>
      <c r="D868" s="17"/>
      <c r="E868" s="114" t="s">
        <v>1172</v>
      </c>
      <c r="F868" s="43">
        <v>5</v>
      </c>
      <c r="G868" s="99">
        <v>340</v>
      </c>
      <c r="H868" s="115">
        <v>530</v>
      </c>
    </row>
    <row r="869" spans="1:8" x14ac:dyDescent="0.2">
      <c r="A869" s="113" t="s">
        <v>2194</v>
      </c>
      <c r="B869" s="10"/>
      <c r="C869" s="10"/>
      <c r="D869" s="17"/>
      <c r="E869" s="114" t="s">
        <v>1173</v>
      </c>
      <c r="F869" s="43">
        <v>5</v>
      </c>
      <c r="G869" s="99">
        <v>340</v>
      </c>
      <c r="H869" s="115">
        <v>530</v>
      </c>
    </row>
    <row r="870" spans="1:8" x14ac:dyDescent="0.2">
      <c r="A870" s="113" t="s">
        <v>2195</v>
      </c>
      <c r="B870" s="10"/>
      <c r="C870" s="10"/>
      <c r="D870" s="17"/>
      <c r="E870" s="114" t="s">
        <v>1174</v>
      </c>
      <c r="F870" s="43">
        <v>5</v>
      </c>
      <c r="G870" s="99">
        <v>340</v>
      </c>
      <c r="H870" s="115">
        <v>530</v>
      </c>
    </row>
    <row r="871" spans="1:8" x14ac:dyDescent="0.2">
      <c r="A871" s="113" t="s">
        <v>2196</v>
      </c>
      <c r="B871" s="10"/>
      <c r="C871" s="10"/>
      <c r="D871" s="17"/>
      <c r="E871" s="114" t="s">
        <v>1175</v>
      </c>
      <c r="F871" s="43">
        <v>5</v>
      </c>
      <c r="G871" s="99">
        <v>340</v>
      </c>
      <c r="H871" s="115">
        <v>530</v>
      </c>
    </row>
    <row r="872" spans="1:8" x14ac:dyDescent="0.2">
      <c r="A872" s="113" t="s">
        <v>2197</v>
      </c>
      <c r="B872" s="10"/>
      <c r="C872" s="10"/>
      <c r="D872" s="17"/>
      <c r="E872" s="114" t="s">
        <v>1176</v>
      </c>
      <c r="F872" s="43">
        <v>5</v>
      </c>
      <c r="G872" s="99">
        <v>340</v>
      </c>
      <c r="H872" s="115">
        <v>530</v>
      </c>
    </row>
    <row r="873" spans="1:8" x14ac:dyDescent="0.2">
      <c r="A873" s="113" t="s">
        <v>2198</v>
      </c>
      <c r="B873" s="10"/>
      <c r="C873" s="10"/>
      <c r="D873" s="17"/>
      <c r="E873" s="114" t="s">
        <v>1177</v>
      </c>
      <c r="F873" s="43">
        <v>10</v>
      </c>
      <c r="G873" s="99">
        <v>674</v>
      </c>
      <c r="H873" s="115">
        <v>1050</v>
      </c>
    </row>
    <row r="874" spans="1:8" x14ac:dyDescent="0.2">
      <c r="A874" s="113" t="s">
        <v>2199</v>
      </c>
      <c r="B874" s="10"/>
      <c r="C874" s="10"/>
      <c r="D874" s="17"/>
      <c r="E874" s="114" t="s">
        <v>992</v>
      </c>
      <c r="F874" s="43">
        <v>10</v>
      </c>
      <c r="G874" s="99">
        <v>623</v>
      </c>
      <c r="H874" s="115">
        <v>970</v>
      </c>
    </row>
    <row r="875" spans="1:8" x14ac:dyDescent="0.2">
      <c r="A875" s="113" t="s">
        <v>2200</v>
      </c>
      <c r="B875" s="10"/>
      <c r="C875" s="10"/>
      <c r="D875" s="17"/>
      <c r="E875" s="114" t="s">
        <v>993</v>
      </c>
      <c r="F875" s="43">
        <v>10</v>
      </c>
      <c r="G875" s="99">
        <v>623</v>
      </c>
      <c r="H875" s="115">
        <v>970</v>
      </c>
    </row>
    <row r="876" spans="1:8" x14ac:dyDescent="0.2">
      <c r="A876" s="113" t="s">
        <v>2201</v>
      </c>
      <c r="B876" s="10"/>
      <c r="C876" s="10"/>
      <c r="D876" s="17"/>
      <c r="E876" s="114" t="s">
        <v>994</v>
      </c>
      <c r="F876" s="43">
        <v>10</v>
      </c>
      <c r="G876" s="99">
        <v>623</v>
      </c>
      <c r="H876" s="115">
        <v>970</v>
      </c>
    </row>
    <row r="877" spans="1:8" x14ac:dyDescent="0.2">
      <c r="A877" s="113" t="s">
        <v>2202</v>
      </c>
      <c r="B877" s="10"/>
      <c r="C877" s="10"/>
      <c r="D877" s="17"/>
      <c r="E877" s="114" t="s">
        <v>995</v>
      </c>
      <c r="F877" s="43">
        <v>10</v>
      </c>
      <c r="G877" s="99">
        <v>623</v>
      </c>
      <c r="H877" s="115">
        <v>970</v>
      </c>
    </row>
    <row r="878" spans="1:8" x14ac:dyDescent="0.2">
      <c r="A878" s="113" t="s">
        <v>2203</v>
      </c>
      <c r="B878" s="10"/>
      <c r="C878" s="10"/>
      <c r="D878" s="17"/>
      <c r="E878" s="114" t="s">
        <v>996</v>
      </c>
      <c r="F878" s="43">
        <v>10</v>
      </c>
      <c r="G878" s="99">
        <v>623</v>
      </c>
      <c r="H878" s="115">
        <v>970</v>
      </c>
    </row>
    <row r="879" spans="1:8" x14ac:dyDescent="0.2">
      <c r="A879" s="113" t="s">
        <v>2204</v>
      </c>
      <c r="B879" s="10"/>
      <c r="C879" s="10"/>
      <c r="D879" s="17"/>
      <c r="E879" s="114" t="s">
        <v>997</v>
      </c>
      <c r="F879" s="43">
        <v>8</v>
      </c>
      <c r="G879" s="99">
        <v>513</v>
      </c>
      <c r="H879" s="115">
        <v>800</v>
      </c>
    </row>
    <row r="880" spans="1:8" x14ac:dyDescent="0.2">
      <c r="A880" s="113" t="s">
        <v>2205</v>
      </c>
      <c r="B880" s="10"/>
      <c r="C880" s="10"/>
      <c r="D880" s="17"/>
      <c r="E880" s="114" t="s">
        <v>1178</v>
      </c>
      <c r="F880" s="43">
        <v>9</v>
      </c>
      <c r="G880" s="99">
        <v>546</v>
      </c>
      <c r="H880" s="115">
        <v>850</v>
      </c>
    </row>
    <row r="881" spans="1:8" x14ac:dyDescent="0.2">
      <c r="A881" s="113" t="s">
        <v>2206</v>
      </c>
      <c r="B881" s="10"/>
      <c r="C881" s="10"/>
      <c r="D881" s="17"/>
      <c r="E881" s="114" t="s">
        <v>1179</v>
      </c>
      <c r="F881" s="43">
        <v>10</v>
      </c>
      <c r="G881" s="99">
        <v>642</v>
      </c>
      <c r="H881" s="115">
        <v>1000</v>
      </c>
    </row>
    <row r="882" spans="1:8" x14ac:dyDescent="0.2">
      <c r="A882" s="113" t="s">
        <v>2207</v>
      </c>
      <c r="B882" s="10"/>
      <c r="C882" s="10"/>
      <c r="D882" s="17"/>
      <c r="E882" s="114" t="s">
        <v>998</v>
      </c>
      <c r="F882" s="43">
        <v>8</v>
      </c>
      <c r="G882" s="99">
        <v>513</v>
      </c>
      <c r="H882" s="115">
        <v>800</v>
      </c>
    </row>
    <row r="883" spans="1:8" x14ac:dyDescent="0.2">
      <c r="A883" s="113" t="s">
        <v>2208</v>
      </c>
      <c r="B883" s="10"/>
      <c r="C883" s="10"/>
      <c r="D883" s="17"/>
      <c r="E883" s="114" t="s">
        <v>1180</v>
      </c>
      <c r="F883" s="43">
        <v>14</v>
      </c>
      <c r="G883" s="99">
        <v>898</v>
      </c>
      <c r="H883" s="115">
        <v>1400</v>
      </c>
    </row>
    <row r="884" spans="1:8" x14ac:dyDescent="0.2">
      <c r="A884" s="113" t="s">
        <v>2209</v>
      </c>
      <c r="B884" s="10"/>
      <c r="C884" s="10"/>
      <c r="D884" s="17"/>
      <c r="E884" s="114" t="s">
        <v>1181</v>
      </c>
      <c r="F884" s="43">
        <v>14</v>
      </c>
      <c r="G884" s="99">
        <v>898</v>
      </c>
      <c r="H884" s="115">
        <v>1400</v>
      </c>
    </row>
    <row r="885" spans="1:8" x14ac:dyDescent="0.2">
      <c r="A885" s="113" t="s">
        <v>2210</v>
      </c>
      <c r="B885" s="10"/>
      <c r="C885" s="10"/>
      <c r="D885" s="17"/>
      <c r="E885" s="114" t="s">
        <v>1182</v>
      </c>
      <c r="F885" s="43">
        <v>14</v>
      </c>
      <c r="G885" s="99">
        <v>898</v>
      </c>
      <c r="H885" s="115">
        <v>1400</v>
      </c>
    </row>
    <row r="886" spans="1:8" x14ac:dyDescent="0.2">
      <c r="A886" s="113" t="s">
        <v>2211</v>
      </c>
      <c r="B886" s="10"/>
      <c r="C886" s="10"/>
      <c r="D886" s="17"/>
      <c r="E886" s="114" t="s">
        <v>1183</v>
      </c>
      <c r="F886" s="43">
        <v>14</v>
      </c>
      <c r="G886" s="99">
        <v>898</v>
      </c>
      <c r="H886" s="115">
        <v>1400</v>
      </c>
    </row>
    <row r="887" spans="1:8" x14ac:dyDescent="0.2">
      <c r="A887" s="113" t="s">
        <v>2212</v>
      </c>
      <c r="B887" s="10"/>
      <c r="C887" s="10"/>
      <c r="D887" s="17"/>
      <c r="E887" s="114" t="s">
        <v>1184</v>
      </c>
      <c r="F887" s="43">
        <v>14</v>
      </c>
      <c r="G887" s="99">
        <v>898</v>
      </c>
      <c r="H887" s="115">
        <v>1400</v>
      </c>
    </row>
    <row r="888" spans="1:8" x14ac:dyDescent="0.2">
      <c r="A888" s="113" t="s">
        <v>2213</v>
      </c>
      <c r="B888" s="10"/>
      <c r="C888" s="10"/>
      <c r="D888" s="17"/>
      <c r="E888" s="114" t="s">
        <v>1185</v>
      </c>
      <c r="F888" s="43">
        <v>7</v>
      </c>
      <c r="G888" s="99">
        <v>436</v>
      </c>
      <c r="H888" s="115">
        <v>680</v>
      </c>
    </row>
    <row r="889" spans="1:8" x14ac:dyDescent="0.2">
      <c r="A889" s="113" t="s">
        <v>2214</v>
      </c>
      <c r="B889" s="10"/>
      <c r="C889" s="10"/>
      <c r="D889" s="17"/>
      <c r="E889" s="114" t="s">
        <v>1186</v>
      </c>
      <c r="F889" s="43">
        <v>14</v>
      </c>
      <c r="G889" s="99">
        <v>898</v>
      </c>
      <c r="H889" s="115">
        <v>1400</v>
      </c>
    </row>
    <row r="890" spans="1:8" x14ac:dyDescent="0.2">
      <c r="A890" s="113" t="s">
        <v>2215</v>
      </c>
      <c r="B890" s="10"/>
      <c r="C890" s="10"/>
      <c r="D890" s="17"/>
      <c r="E890" s="114" t="s">
        <v>1187</v>
      </c>
      <c r="F890" s="43">
        <v>14</v>
      </c>
      <c r="G890" s="99">
        <v>898</v>
      </c>
      <c r="H890" s="115">
        <v>1400</v>
      </c>
    </row>
    <row r="891" spans="1:8" x14ac:dyDescent="0.2">
      <c r="A891" s="113" t="s">
        <v>2216</v>
      </c>
      <c r="B891" s="10"/>
      <c r="C891" s="10"/>
      <c r="D891" s="17"/>
      <c r="E891" s="114" t="s">
        <v>1188</v>
      </c>
      <c r="F891" s="43">
        <v>14</v>
      </c>
      <c r="G891" s="99">
        <v>898</v>
      </c>
      <c r="H891" s="115">
        <v>1400</v>
      </c>
    </row>
    <row r="892" spans="1:8" x14ac:dyDescent="0.2">
      <c r="A892" s="113" t="s">
        <v>2217</v>
      </c>
      <c r="B892" s="10"/>
      <c r="C892" s="10"/>
      <c r="D892" s="17"/>
      <c r="E892" s="114" t="s">
        <v>999</v>
      </c>
      <c r="F892" s="43">
        <v>15</v>
      </c>
      <c r="G892" s="99">
        <v>994</v>
      </c>
      <c r="H892" s="115">
        <v>1550</v>
      </c>
    </row>
    <row r="893" spans="1:8" x14ac:dyDescent="0.2">
      <c r="A893" s="113" t="s">
        <v>2218</v>
      </c>
      <c r="B893" s="10"/>
      <c r="C893" s="10"/>
      <c r="D893" s="17"/>
      <c r="E893" s="114" t="s">
        <v>1000</v>
      </c>
      <c r="F893" s="43">
        <v>15</v>
      </c>
      <c r="G893" s="99">
        <v>994</v>
      </c>
      <c r="H893" s="115">
        <v>1550</v>
      </c>
    </row>
    <row r="894" spans="1:8" ht="15" thickBot="1" x14ac:dyDescent="0.25">
      <c r="A894" s="113" t="s">
        <v>2219</v>
      </c>
      <c r="B894" s="10"/>
      <c r="C894" s="10"/>
      <c r="D894" s="17"/>
      <c r="E894" s="114" t="s">
        <v>1001</v>
      </c>
      <c r="F894" s="43">
        <v>12</v>
      </c>
      <c r="G894" s="99">
        <v>802</v>
      </c>
      <c r="H894" s="115">
        <v>1250</v>
      </c>
    </row>
    <row r="895" spans="1:8" ht="15" thickBot="1" x14ac:dyDescent="0.25">
      <c r="A895" s="56" t="s">
        <v>41</v>
      </c>
      <c r="B895" s="57"/>
      <c r="C895" s="57"/>
      <c r="D895" s="58"/>
      <c r="E895" s="82" t="s">
        <v>1002</v>
      </c>
      <c r="F895" s="60"/>
      <c r="G895" s="61"/>
      <c r="H895" s="61"/>
    </row>
    <row r="896" spans="1:8" x14ac:dyDescent="0.2">
      <c r="A896" s="113" t="s">
        <v>2220</v>
      </c>
      <c r="B896" s="10"/>
      <c r="C896" s="10"/>
      <c r="D896" s="17"/>
      <c r="E896" s="114" t="s">
        <v>1003</v>
      </c>
      <c r="F896" s="43">
        <v>7</v>
      </c>
      <c r="G896" s="99">
        <v>423</v>
      </c>
      <c r="H896" s="115">
        <v>660</v>
      </c>
    </row>
    <row r="897" spans="1:8" x14ac:dyDescent="0.2">
      <c r="A897" s="113" t="s">
        <v>2221</v>
      </c>
      <c r="B897" s="10"/>
      <c r="C897" s="10"/>
      <c r="D897" s="17"/>
      <c r="E897" s="114" t="s">
        <v>1004</v>
      </c>
      <c r="F897" s="43">
        <v>7</v>
      </c>
      <c r="G897" s="99">
        <v>423</v>
      </c>
      <c r="H897" s="115">
        <v>660</v>
      </c>
    </row>
    <row r="898" spans="1:8" x14ac:dyDescent="0.2">
      <c r="A898" s="113" t="s">
        <v>2222</v>
      </c>
      <c r="B898" s="10"/>
      <c r="C898" s="10"/>
      <c r="D898" s="17"/>
      <c r="E898" s="114" t="s">
        <v>1005</v>
      </c>
      <c r="F898" s="43">
        <v>7</v>
      </c>
      <c r="G898" s="99">
        <v>423</v>
      </c>
      <c r="H898" s="115">
        <v>660</v>
      </c>
    </row>
    <row r="899" spans="1:8" x14ac:dyDescent="0.2">
      <c r="A899" s="113" t="s">
        <v>2223</v>
      </c>
      <c r="B899" s="10"/>
      <c r="C899" s="10"/>
      <c r="D899" s="17"/>
      <c r="E899" s="114" t="s">
        <v>1189</v>
      </c>
      <c r="F899" s="43">
        <v>15</v>
      </c>
      <c r="G899" s="99">
        <v>962</v>
      </c>
      <c r="H899" s="115">
        <v>1500</v>
      </c>
    </row>
    <row r="900" spans="1:8" x14ac:dyDescent="0.2">
      <c r="A900" s="113" t="s">
        <v>2224</v>
      </c>
      <c r="B900" s="10"/>
      <c r="C900" s="10"/>
      <c r="D900" s="17"/>
      <c r="E900" s="114" t="s">
        <v>1190</v>
      </c>
      <c r="F900" s="43">
        <v>15</v>
      </c>
      <c r="G900" s="99">
        <v>962</v>
      </c>
      <c r="H900" s="115">
        <v>1500</v>
      </c>
    </row>
    <row r="901" spans="1:8" x14ac:dyDescent="0.2">
      <c r="A901" s="113" t="s">
        <v>2225</v>
      </c>
      <c r="B901" s="10"/>
      <c r="C901" s="10"/>
      <c r="D901" s="17"/>
      <c r="E901" s="114" t="s">
        <v>1191</v>
      </c>
      <c r="F901" s="43">
        <v>15</v>
      </c>
      <c r="G901" s="99">
        <v>962</v>
      </c>
      <c r="H901" s="115">
        <v>1500</v>
      </c>
    </row>
    <row r="902" spans="1:8" x14ac:dyDescent="0.2">
      <c r="A902" s="113" t="s">
        <v>2226</v>
      </c>
      <c r="B902" s="10"/>
      <c r="C902" s="10"/>
      <c r="D902" s="17"/>
      <c r="E902" s="114" t="s">
        <v>1192</v>
      </c>
      <c r="F902" s="43">
        <v>15</v>
      </c>
      <c r="G902" s="99">
        <v>962</v>
      </c>
      <c r="H902" s="115">
        <v>1500</v>
      </c>
    </row>
    <row r="903" spans="1:8" x14ac:dyDescent="0.2">
      <c r="A903" s="113" t="s">
        <v>2227</v>
      </c>
      <c r="B903" s="10"/>
      <c r="C903" s="10"/>
      <c r="D903" s="17"/>
      <c r="E903" s="114" t="s">
        <v>1193</v>
      </c>
      <c r="F903" s="43">
        <v>15</v>
      </c>
      <c r="G903" s="99">
        <v>962</v>
      </c>
      <c r="H903" s="115">
        <v>1500</v>
      </c>
    </row>
    <row r="904" spans="1:8" x14ac:dyDescent="0.2">
      <c r="A904" s="113" t="s">
        <v>2228</v>
      </c>
      <c r="B904" s="10"/>
      <c r="C904" s="10"/>
      <c r="D904" s="17"/>
      <c r="E904" s="114" t="s">
        <v>1194</v>
      </c>
      <c r="F904" s="43">
        <v>15</v>
      </c>
      <c r="G904" s="99">
        <v>962</v>
      </c>
      <c r="H904" s="115">
        <v>1500</v>
      </c>
    </row>
    <row r="905" spans="1:8" x14ac:dyDescent="0.2">
      <c r="A905" s="113" t="s">
        <v>2229</v>
      </c>
      <c r="B905" s="10"/>
      <c r="C905" s="10"/>
      <c r="D905" s="17"/>
      <c r="E905" s="114" t="s">
        <v>1195</v>
      </c>
      <c r="F905" s="43">
        <v>15</v>
      </c>
      <c r="G905" s="99">
        <v>962</v>
      </c>
      <c r="H905" s="115">
        <v>1500</v>
      </c>
    </row>
    <row r="906" spans="1:8" x14ac:dyDescent="0.2">
      <c r="A906" s="113" t="s">
        <v>2230</v>
      </c>
      <c r="B906" s="10"/>
      <c r="C906" s="10"/>
      <c r="D906" s="17"/>
      <c r="E906" s="114" t="s">
        <v>1196</v>
      </c>
      <c r="F906" s="43">
        <v>15</v>
      </c>
      <c r="G906" s="99">
        <v>962</v>
      </c>
      <c r="H906" s="115">
        <v>1500</v>
      </c>
    </row>
    <row r="907" spans="1:8" x14ac:dyDescent="0.2">
      <c r="A907" s="113" t="s">
        <v>2231</v>
      </c>
      <c r="B907" s="10"/>
      <c r="C907" s="10"/>
      <c r="D907" s="17"/>
      <c r="E907" s="114" t="s">
        <v>1197</v>
      </c>
      <c r="F907" s="43">
        <v>15</v>
      </c>
      <c r="G907" s="99">
        <v>962</v>
      </c>
      <c r="H907" s="115">
        <v>1500</v>
      </c>
    </row>
    <row r="908" spans="1:8" x14ac:dyDescent="0.2">
      <c r="A908" s="113" t="s">
        <v>2232</v>
      </c>
      <c r="B908" s="10"/>
      <c r="C908" s="10"/>
      <c r="D908" s="17"/>
      <c r="E908" s="114" t="s">
        <v>1006</v>
      </c>
      <c r="F908" s="43">
        <v>15</v>
      </c>
      <c r="G908" s="99">
        <v>962</v>
      </c>
      <c r="H908" s="115">
        <v>1500</v>
      </c>
    </row>
    <row r="909" spans="1:8" x14ac:dyDescent="0.2">
      <c r="A909" s="113" t="s">
        <v>2233</v>
      </c>
      <c r="B909" s="10"/>
      <c r="C909" s="10"/>
      <c r="D909" s="17"/>
      <c r="E909" s="114" t="s">
        <v>1198</v>
      </c>
      <c r="F909" s="43">
        <v>7</v>
      </c>
      <c r="G909" s="99">
        <v>481</v>
      </c>
      <c r="H909" s="115">
        <v>750</v>
      </c>
    </row>
    <row r="910" spans="1:8" x14ac:dyDescent="0.2">
      <c r="A910" s="113" t="s">
        <v>2234</v>
      </c>
      <c r="B910" s="10"/>
      <c r="C910" s="10"/>
      <c r="D910" s="17"/>
      <c r="E910" s="114" t="s">
        <v>1199</v>
      </c>
      <c r="F910" s="43">
        <v>5</v>
      </c>
      <c r="G910" s="99">
        <v>353</v>
      </c>
      <c r="H910" s="115">
        <v>550</v>
      </c>
    </row>
    <row r="911" spans="1:8" x14ac:dyDescent="0.2">
      <c r="A911" s="113" t="s">
        <v>2235</v>
      </c>
      <c r="B911" s="10"/>
      <c r="C911" s="10"/>
      <c r="D911" s="17"/>
      <c r="E911" s="114" t="s">
        <v>1200</v>
      </c>
      <c r="F911" s="43">
        <v>5</v>
      </c>
      <c r="G911" s="99">
        <v>353</v>
      </c>
      <c r="H911" s="115">
        <v>550</v>
      </c>
    </row>
    <row r="912" spans="1:8" x14ac:dyDescent="0.2">
      <c r="A912" s="113" t="s">
        <v>2236</v>
      </c>
      <c r="B912" s="10"/>
      <c r="C912" s="10"/>
      <c r="D912" s="17"/>
      <c r="E912" s="114" t="s">
        <v>893</v>
      </c>
      <c r="F912" s="43">
        <v>19</v>
      </c>
      <c r="G912" s="99">
        <v>1251</v>
      </c>
      <c r="H912" s="115">
        <v>1950</v>
      </c>
    </row>
    <row r="913" spans="1:8" x14ac:dyDescent="0.2">
      <c r="A913" s="113" t="s">
        <v>2237</v>
      </c>
      <c r="B913" s="10"/>
      <c r="C913" s="10"/>
      <c r="D913" s="17"/>
      <c r="E913" s="114" t="s">
        <v>1201</v>
      </c>
      <c r="F913" s="43">
        <v>19</v>
      </c>
      <c r="G913" s="99">
        <v>1251</v>
      </c>
      <c r="H913" s="115">
        <v>1950</v>
      </c>
    </row>
    <row r="914" spans="1:8" x14ac:dyDescent="0.2">
      <c r="A914" s="113" t="s">
        <v>2238</v>
      </c>
      <c r="B914" s="10"/>
      <c r="C914" s="10"/>
      <c r="D914" s="17"/>
      <c r="E914" s="114" t="s">
        <v>895</v>
      </c>
      <c r="F914" s="43">
        <v>19</v>
      </c>
      <c r="G914" s="99">
        <v>1251</v>
      </c>
      <c r="H914" s="115">
        <v>1950</v>
      </c>
    </row>
    <row r="915" spans="1:8" x14ac:dyDescent="0.2">
      <c r="A915" s="113" t="s">
        <v>2239</v>
      </c>
      <c r="B915" s="10"/>
      <c r="C915" s="10"/>
      <c r="D915" s="17"/>
      <c r="E915" s="114" t="s">
        <v>1202</v>
      </c>
      <c r="F915" s="43">
        <v>19</v>
      </c>
      <c r="G915" s="99">
        <v>1251</v>
      </c>
      <c r="H915" s="115">
        <v>1950</v>
      </c>
    </row>
    <row r="916" spans="1:8" x14ac:dyDescent="0.2">
      <c r="A916" s="113" t="s">
        <v>2240</v>
      </c>
      <c r="B916" s="10"/>
      <c r="C916" s="10"/>
      <c r="D916" s="17"/>
      <c r="E916" s="114" t="s">
        <v>1203</v>
      </c>
      <c r="F916" s="43">
        <v>19</v>
      </c>
      <c r="G916" s="99">
        <v>1251</v>
      </c>
      <c r="H916" s="115">
        <v>1950</v>
      </c>
    </row>
    <row r="917" spans="1:8" x14ac:dyDescent="0.2">
      <c r="A917" s="113" t="s">
        <v>2241</v>
      </c>
      <c r="B917" s="10"/>
      <c r="C917" s="10"/>
      <c r="D917" s="17"/>
      <c r="E917" s="114" t="s">
        <v>1204</v>
      </c>
      <c r="F917" s="43">
        <v>19</v>
      </c>
      <c r="G917" s="99">
        <v>1251</v>
      </c>
      <c r="H917" s="115">
        <v>1950</v>
      </c>
    </row>
    <row r="918" spans="1:8" x14ac:dyDescent="0.2">
      <c r="A918" s="113" t="s">
        <v>2242</v>
      </c>
      <c r="B918" s="10"/>
      <c r="C918" s="10"/>
      <c r="D918" s="17"/>
      <c r="E918" s="114" t="s">
        <v>1205</v>
      </c>
      <c r="F918" s="43">
        <v>19</v>
      </c>
      <c r="G918" s="99">
        <v>1251</v>
      </c>
      <c r="H918" s="115">
        <v>1950</v>
      </c>
    </row>
    <row r="919" spans="1:8" x14ac:dyDescent="0.2">
      <c r="A919" s="113" t="s">
        <v>2243</v>
      </c>
      <c r="B919" s="10"/>
      <c r="C919" s="10"/>
      <c r="D919" s="17"/>
      <c r="E919" s="114" t="s">
        <v>910</v>
      </c>
      <c r="F919" s="43">
        <v>17</v>
      </c>
      <c r="G919" s="99">
        <v>1123</v>
      </c>
      <c r="H919" s="115">
        <v>1750</v>
      </c>
    </row>
    <row r="920" spans="1:8" x14ac:dyDescent="0.2">
      <c r="A920" s="113" t="s">
        <v>2244</v>
      </c>
      <c r="B920" s="10"/>
      <c r="C920" s="10"/>
      <c r="D920" s="17"/>
      <c r="E920" s="114" t="s">
        <v>911</v>
      </c>
      <c r="F920" s="43">
        <v>17</v>
      </c>
      <c r="G920" s="99">
        <v>1123</v>
      </c>
      <c r="H920" s="115">
        <v>1750</v>
      </c>
    </row>
    <row r="921" spans="1:8" x14ac:dyDescent="0.2">
      <c r="A921" s="113" t="s">
        <v>2245</v>
      </c>
      <c r="B921" s="10"/>
      <c r="C921" s="10"/>
      <c r="D921" s="17"/>
      <c r="E921" s="114" t="s">
        <v>1206</v>
      </c>
      <c r="F921" s="43">
        <v>15</v>
      </c>
      <c r="G921" s="99">
        <v>994</v>
      </c>
      <c r="H921" s="115">
        <v>1550</v>
      </c>
    </row>
    <row r="922" spans="1:8" x14ac:dyDescent="0.2">
      <c r="A922" s="113" t="s">
        <v>2246</v>
      </c>
      <c r="B922" s="10"/>
      <c r="C922" s="10"/>
      <c r="D922" s="17"/>
      <c r="E922" s="114" t="s">
        <v>1207</v>
      </c>
      <c r="F922" s="43">
        <v>15</v>
      </c>
      <c r="G922" s="99">
        <v>994</v>
      </c>
      <c r="H922" s="115">
        <v>1550</v>
      </c>
    </row>
    <row r="923" spans="1:8" x14ac:dyDescent="0.2">
      <c r="A923" s="113" t="s">
        <v>2247</v>
      </c>
      <c r="B923" s="10"/>
      <c r="C923" s="10"/>
      <c r="D923" s="17"/>
      <c r="E923" s="114" t="s">
        <v>1208</v>
      </c>
      <c r="F923" s="43">
        <v>15</v>
      </c>
      <c r="G923" s="99">
        <v>994</v>
      </c>
      <c r="H923" s="115">
        <v>1550</v>
      </c>
    </row>
    <row r="924" spans="1:8" x14ac:dyDescent="0.2">
      <c r="A924" s="113" t="s">
        <v>2248</v>
      </c>
      <c r="B924" s="10"/>
      <c r="C924" s="10"/>
      <c r="D924" s="17"/>
      <c r="E924" s="114" t="s">
        <v>1209</v>
      </c>
      <c r="F924" s="43">
        <v>18</v>
      </c>
      <c r="G924" s="99">
        <v>1187</v>
      </c>
      <c r="H924" s="115">
        <v>1850</v>
      </c>
    </row>
    <row r="925" spans="1:8" x14ac:dyDescent="0.2">
      <c r="A925" s="113" t="s">
        <v>2249</v>
      </c>
      <c r="B925" s="10"/>
      <c r="C925" s="10"/>
      <c r="D925" s="17"/>
      <c r="E925" s="114" t="s">
        <v>1210</v>
      </c>
      <c r="F925" s="43">
        <v>18</v>
      </c>
      <c r="G925" s="99">
        <v>1187</v>
      </c>
      <c r="H925" s="115">
        <v>1850</v>
      </c>
    </row>
    <row r="926" spans="1:8" x14ac:dyDescent="0.2">
      <c r="A926" s="113" t="s">
        <v>2250</v>
      </c>
      <c r="B926" s="10"/>
      <c r="C926" s="10"/>
      <c r="D926" s="17"/>
      <c r="E926" s="114" t="s">
        <v>1211</v>
      </c>
      <c r="F926" s="43">
        <v>18</v>
      </c>
      <c r="G926" s="99">
        <v>1187</v>
      </c>
      <c r="H926" s="115">
        <v>1850</v>
      </c>
    </row>
    <row r="927" spans="1:8" x14ac:dyDescent="0.2">
      <c r="A927" s="113" t="s">
        <v>2251</v>
      </c>
      <c r="B927" s="10"/>
      <c r="C927" s="10"/>
      <c r="D927" s="17"/>
      <c r="E927" s="114" t="s">
        <v>1212</v>
      </c>
      <c r="F927" s="43">
        <v>18</v>
      </c>
      <c r="G927" s="99">
        <v>1187</v>
      </c>
      <c r="H927" s="115">
        <v>1850</v>
      </c>
    </row>
    <row r="928" spans="1:8" x14ac:dyDescent="0.2">
      <c r="A928" s="113" t="s">
        <v>2252</v>
      </c>
      <c r="B928" s="10"/>
      <c r="C928" s="10"/>
      <c r="D928" s="17"/>
      <c r="E928" s="114" t="s">
        <v>1007</v>
      </c>
      <c r="F928" s="43">
        <v>11</v>
      </c>
      <c r="G928" s="99">
        <v>738</v>
      </c>
      <c r="H928" s="115">
        <v>1150</v>
      </c>
    </row>
    <row r="929" spans="1:8" x14ac:dyDescent="0.2">
      <c r="A929" s="113" t="s">
        <v>2253</v>
      </c>
      <c r="B929" s="10"/>
      <c r="C929" s="10"/>
      <c r="D929" s="17"/>
      <c r="E929" s="114" t="s">
        <v>1008</v>
      </c>
      <c r="F929" s="43">
        <v>12</v>
      </c>
      <c r="G929" s="99">
        <v>802</v>
      </c>
      <c r="H929" s="115">
        <v>1250</v>
      </c>
    </row>
    <row r="930" spans="1:8" x14ac:dyDescent="0.2">
      <c r="A930" s="113" t="s">
        <v>2254</v>
      </c>
      <c r="B930" s="10"/>
      <c r="C930" s="10"/>
      <c r="D930" s="17"/>
      <c r="E930" s="114" t="s">
        <v>1009</v>
      </c>
      <c r="F930" s="43">
        <v>12</v>
      </c>
      <c r="G930" s="99">
        <v>802</v>
      </c>
      <c r="H930" s="115">
        <v>1250</v>
      </c>
    </row>
    <row r="931" spans="1:8" x14ac:dyDescent="0.2">
      <c r="A931" s="113" t="s">
        <v>2255</v>
      </c>
      <c r="B931" s="10"/>
      <c r="C931" s="10"/>
      <c r="D931" s="17"/>
      <c r="E931" s="114" t="s">
        <v>1010</v>
      </c>
      <c r="F931" s="43">
        <v>12</v>
      </c>
      <c r="G931" s="99">
        <v>802</v>
      </c>
      <c r="H931" s="115">
        <v>1250</v>
      </c>
    </row>
    <row r="932" spans="1:8" x14ac:dyDescent="0.2">
      <c r="A932" s="113" t="s">
        <v>2256</v>
      </c>
      <c r="B932" s="10"/>
      <c r="C932" s="10"/>
      <c r="D932" s="17"/>
      <c r="E932" s="114" t="s">
        <v>1213</v>
      </c>
      <c r="F932" s="43">
        <v>12</v>
      </c>
      <c r="G932" s="99">
        <v>802</v>
      </c>
      <c r="H932" s="115">
        <v>1250</v>
      </c>
    </row>
    <row r="933" spans="1:8" x14ac:dyDescent="0.2">
      <c r="A933" s="113" t="s">
        <v>2257</v>
      </c>
      <c r="B933" s="10"/>
      <c r="C933" s="10"/>
      <c r="D933" s="17"/>
      <c r="E933" s="114" t="s">
        <v>1214</v>
      </c>
      <c r="F933" s="43">
        <v>12</v>
      </c>
      <c r="G933" s="99">
        <v>802</v>
      </c>
      <c r="H933" s="115">
        <v>1250</v>
      </c>
    </row>
    <row r="934" spans="1:8" x14ac:dyDescent="0.2">
      <c r="A934" s="113" t="s">
        <v>2258</v>
      </c>
      <c r="B934" s="10"/>
      <c r="C934" s="10"/>
      <c r="D934" s="17"/>
      <c r="E934" s="114" t="s">
        <v>1215</v>
      </c>
      <c r="F934" s="43">
        <v>12</v>
      </c>
      <c r="G934" s="99">
        <v>802</v>
      </c>
      <c r="H934" s="115">
        <v>1250</v>
      </c>
    </row>
    <row r="935" spans="1:8" x14ac:dyDescent="0.2">
      <c r="A935" s="113" t="s">
        <v>2259</v>
      </c>
      <c r="B935" s="10"/>
      <c r="C935" s="10"/>
      <c r="D935" s="17"/>
      <c r="E935" s="114" t="s">
        <v>1216</v>
      </c>
      <c r="F935" s="43">
        <v>12</v>
      </c>
      <c r="G935" s="99">
        <v>802</v>
      </c>
      <c r="H935" s="115">
        <v>1250</v>
      </c>
    </row>
    <row r="936" spans="1:8" x14ac:dyDescent="0.2">
      <c r="A936" s="113" t="s">
        <v>2260</v>
      </c>
      <c r="B936" s="10"/>
      <c r="C936" s="10"/>
      <c r="D936" s="17"/>
      <c r="E936" s="114" t="s">
        <v>1011</v>
      </c>
      <c r="F936" s="43">
        <v>12</v>
      </c>
      <c r="G936" s="99">
        <v>802</v>
      </c>
      <c r="H936" s="115">
        <v>1250</v>
      </c>
    </row>
    <row r="937" spans="1:8" x14ac:dyDescent="0.2">
      <c r="A937" s="113" t="s">
        <v>2261</v>
      </c>
      <c r="B937" s="10"/>
      <c r="C937" s="10"/>
      <c r="D937" s="17"/>
      <c r="E937" s="114" t="s">
        <v>1012</v>
      </c>
      <c r="F937" s="43">
        <v>12</v>
      </c>
      <c r="G937" s="99">
        <v>802</v>
      </c>
      <c r="H937" s="115">
        <v>1250</v>
      </c>
    </row>
    <row r="938" spans="1:8" x14ac:dyDescent="0.2">
      <c r="A938" s="113" t="s">
        <v>2262</v>
      </c>
      <c r="B938" s="10"/>
      <c r="C938" s="10"/>
      <c r="D938" s="17"/>
      <c r="E938" s="114" t="s">
        <v>1013</v>
      </c>
      <c r="F938" s="43">
        <v>12</v>
      </c>
      <c r="G938" s="99">
        <v>802</v>
      </c>
      <c r="H938" s="115">
        <v>1250</v>
      </c>
    </row>
    <row r="939" spans="1:8" x14ac:dyDescent="0.2">
      <c r="A939" s="113" t="s">
        <v>2263</v>
      </c>
      <c r="B939" s="10"/>
      <c r="C939" s="10"/>
      <c r="D939" s="17"/>
      <c r="E939" s="114" t="s">
        <v>1217</v>
      </c>
      <c r="F939" s="43">
        <v>12</v>
      </c>
      <c r="G939" s="99">
        <v>802</v>
      </c>
      <c r="H939" s="115">
        <v>1250</v>
      </c>
    </row>
    <row r="940" spans="1:8" x14ac:dyDescent="0.2">
      <c r="A940" s="113" t="s">
        <v>2264</v>
      </c>
      <c r="B940" s="10"/>
      <c r="C940" s="10"/>
      <c r="D940" s="17"/>
      <c r="E940" s="114" t="s">
        <v>1014</v>
      </c>
      <c r="F940" s="43">
        <v>22</v>
      </c>
      <c r="G940" s="99">
        <v>1412</v>
      </c>
      <c r="H940" s="115">
        <v>2200</v>
      </c>
    </row>
    <row r="941" spans="1:8" x14ac:dyDescent="0.2">
      <c r="A941" s="113" t="s">
        <v>2265</v>
      </c>
      <c r="B941" s="10"/>
      <c r="C941" s="10"/>
      <c r="D941" s="17"/>
      <c r="E941" s="114" t="s">
        <v>1015</v>
      </c>
      <c r="F941" s="43">
        <v>22</v>
      </c>
      <c r="G941" s="99">
        <v>1412</v>
      </c>
      <c r="H941" s="115">
        <v>2200</v>
      </c>
    </row>
    <row r="942" spans="1:8" x14ac:dyDescent="0.2">
      <c r="A942" s="113" t="s">
        <v>2266</v>
      </c>
      <c r="B942" s="10"/>
      <c r="C942" s="10"/>
      <c r="D942" s="17"/>
      <c r="E942" s="114" t="s">
        <v>1016</v>
      </c>
      <c r="F942" s="43">
        <v>22</v>
      </c>
      <c r="G942" s="99">
        <v>1412</v>
      </c>
      <c r="H942" s="115">
        <v>2200</v>
      </c>
    </row>
    <row r="943" spans="1:8" x14ac:dyDescent="0.2">
      <c r="A943" s="113" t="s">
        <v>2267</v>
      </c>
      <c r="B943" s="10"/>
      <c r="C943" s="10"/>
      <c r="D943" s="17"/>
      <c r="E943" s="114" t="s">
        <v>1218</v>
      </c>
      <c r="F943" s="43">
        <v>15</v>
      </c>
      <c r="G943" s="99">
        <v>962</v>
      </c>
      <c r="H943" s="115">
        <v>1500</v>
      </c>
    </row>
    <row r="944" spans="1:8" x14ac:dyDescent="0.2">
      <c r="A944" s="113" t="s">
        <v>2268</v>
      </c>
      <c r="B944" s="10"/>
      <c r="C944" s="10"/>
      <c r="D944" s="17"/>
      <c r="E944" s="114" t="s">
        <v>1219</v>
      </c>
      <c r="F944" s="43">
        <v>15</v>
      </c>
      <c r="G944" s="99">
        <v>962</v>
      </c>
      <c r="H944" s="115">
        <v>1500</v>
      </c>
    </row>
    <row r="945" spans="1:8" x14ac:dyDescent="0.2">
      <c r="A945" s="113" t="s">
        <v>2269</v>
      </c>
      <c r="B945" s="10"/>
      <c r="C945" s="10"/>
      <c r="D945" s="17"/>
      <c r="E945" s="114" t="s">
        <v>1017</v>
      </c>
      <c r="F945" s="43">
        <v>15</v>
      </c>
      <c r="G945" s="99">
        <v>962</v>
      </c>
      <c r="H945" s="115">
        <v>1500</v>
      </c>
    </row>
    <row r="946" spans="1:8" x14ac:dyDescent="0.2">
      <c r="A946" s="113" t="s">
        <v>2270</v>
      </c>
      <c r="B946" s="10"/>
      <c r="C946" s="10"/>
      <c r="D946" s="17"/>
      <c r="E946" s="114" t="s">
        <v>1018</v>
      </c>
      <c r="F946" s="43">
        <v>15</v>
      </c>
      <c r="G946" s="99">
        <v>962</v>
      </c>
      <c r="H946" s="115">
        <v>1500</v>
      </c>
    </row>
    <row r="947" spans="1:8" x14ac:dyDescent="0.2">
      <c r="A947" s="113" t="s">
        <v>2271</v>
      </c>
      <c r="B947" s="10"/>
      <c r="C947" s="10"/>
      <c r="D947" s="17"/>
      <c r="E947" s="114" t="s">
        <v>1019</v>
      </c>
      <c r="F947" s="43">
        <v>15</v>
      </c>
      <c r="G947" s="99">
        <v>962</v>
      </c>
      <c r="H947" s="115">
        <v>1500</v>
      </c>
    </row>
    <row r="948" spans="1:8" x14ac:dyDescent="0.2">
      <c r="A948" s="113" t="s">
        <v>2272</v>
      </c>
      <c r="B948" s="10"/>
      <c r="C948" s="10"/>
      <c r="D948" s="17"/>
      <c r="E948" s="114" t="s">
        <v>1020</v>
      </c>
      <c r="F948" s="43">
        <v>15</v>
      </c>
      <c r="G948" s="99">
        <v>962</v>
      </c>
      <c r="H948" s="115">
        <v>1500</v>
      </c>
    </row>
    <row r="949" spans="1:8" x14ac:dyDescent="0.2">
      <c r="A949" s="113" t="s">
        <v>2273</v>
      </c>
      <c r="B949" s="10"/>
      <c r="C949" s="10"/>
      <c r="D949" s="17"/>
      <c r="E949" s="114" t="s">
        <v>1021</v>
      </c>
      <c r="F949" s="43">
        <v>15</v>
      </c>
      <c r="G949" s="99">
        <v>962</v>
      </c>
      <c r="H949" s="115">
        <v>1500</v>
      </c>
    </row>
    <row r="950" spans="1:8" ht="15" thickBot="1" x14ac:dyDescent="0.25">
      <c r="A950" s="113" t="s">
        <v>2274</v>
      </c>
      <c r="B950" s="10"/>
      <c r="C950" s="10"/>
      <c r="D950" s="17"/>
      <c r="E950" s="114" t="s">
        <v>1022</v>
      </c>
      <c r="F950" s="43">
        <v>15</v>
      </c>
      <c r="G950" s="99">
        <v>962</v>
      </c>
      <c r="H950" s="115">
        <v>1500</v>
      </c>
    </row>
    <row r="951" spans="1:8" ht="15" thickBot="1" x14ac:dyDescent="0.25">
      <c r="A951" s="56" t="s">
        <v>41</v>
      </c>
      <c r="B951" s="57"/>
      <c r="C951" s="57"/>
      <c r="D951" s="58"/>
      <c r="E951" s="82" t="s">
        <v>447</v>
      </c>
      <c r="F951" s="60"/>
      <c r="G951" s="61"/>
      <c r="H951" s="61"/>
    </row>
    <row r="952" spans="1:8" x14ac:dyDescent="0.2">
      <c r="A952" s="113" t="s">
        <v>2275</v>
      </c>
      <c r="B952" s="10"/>
      <c r="C952" s="10"/>
      <c r="D952" s="17"/>
      <c r="E952" s="114" t="s">
        <v>1220</v>
      </c>
      <c r="F952" s="43">
        <v>5</v>
      </c>
      <c r="G952" s="99">
        <v>353</v>
      </c>
      <c r="H952" s="115">
        <v>550</v>
      </c>
    </row>
    <row r="953" spans="1:8" x14ac:dyDescent="0.2">
      <c r="A953" s="113" t="s">
        <v>2276</v>
      </c>
      <c r="B953" s="10"/>
      <c r="C953" s="10"/>
      <c r="D953" s="17"/>
      <c r="E953" s="114" t="s">
        <v>1221</v>
      </c>
      <c r="F953" s="43">
        <v>5</v>
      </c>
      <c r="G953" s="99">
        <v>353</v>
      </c>
      <c r="H953" s="115">
        <v>550</v>
      </c>
    </row>
    <row r="954" spans="1:8" x14ac:dyDescent="0.2">
      <c r="A954" s="113" t="s">
        <v>2277</v>
      </c>
      <c r="B954" s="10"/>
      <c r="C954" s="10"/>
      <c r="D954" s="17"/>
      <c r="E954" s="114" t="s">
        <v>1222</v>
      </c>
      <c r="F954" s="43">
        <v>5</v>
      </c>
      <c r="G954" s="99">
        <v>353</v>
      </c>
      <c r="H954" s="115">
        <v>550</v>
      </c>
    </row>
    <row r="955" spans="1:8" x14ac:dyDescent="0.2">
      <c r="A955" s="113" t="s">
        <v>2278</v>
      </c>
      <c r="B955" s="10"/>
      <c r="C955" s="10"/>
      <c r="D955" s="17"/>
      <c r="E955" s="114" t="s">
        <v>1223</v>
      </c>
      <c r="F955" s="43">
        <v>5</v>
      </c>
      <c r="G955" s="99">
        <v>353</v>
      </c>
      <c r="H955" s="115">
        <v>550</v>
      </c>
    </row>
    <row r="956" spans="1:8" x14ac:dyDescent="0.2">
      <c r="A956" s="113" t="s">
        <v>2279</v>
      </c>
      <c r="B956" s="10"/>
      <c r="C956" s="10"/>
      <c r="D956" s="17"/>
      <c r="E956" s="114" t="s">
        <v>1224</v>
      </c>
      <c r="F956" s="43">
        <v>5</v>
      </c>
      <c r="G956" s="99">
        <v>353</v>
      </c>
      <c r="H956" s="115">
        <v>550</v>
      </c>
    </row>
    <row r="957" spans="1:8" x14ac:dyDescent="0.2">
      <c r="A957" s="113" t="s">
        <v>2280</v>
      </c>
      <c r="B957" s="10"/>
      <c r="C957" s="10"/>
      <c r="D957" s="17"/>
      <c r="E957" s="114" t="s">
        <v>1225</v>
      </c>
      <c r="F957" s="43">
        <v>5</v>
      </c>
      <c r="G957" s="99">
        <v>353</v>
      </c>
      <c r="H957" s="115">
        <v>550</v>
      </c>
    </row>
    <row r="958" spans="1:8" x14ac:dyDescent="0.2">
      <c r="A958" s="113" t="s">
        <v>2281</v>
      </c>
      <c r="B958" s="10"/>
      <c r="C958" s="10"/>
      <c r="D958" s="17"/>
      <c r="E958" s="114" t="s">
        <v>1226</v>
      </c>
      <c r="F958" s="43">
        <v>5</v>
      </c>
      <c r="G958" s="99">
        <v>353</v>
      </c>
      <c r="H958" s="115">
        <v>550</v>
      </c>
    </row>
    <row r="959" spans="1:8" x14ac:dyDescent="0.2">
      <c r="A959" s="113" t="s">
        <v>2282</v>
      </c>
      <c r="B959" s="10"/>
      <c r="C959" s="10"/>
      <c r="D959" s="17"/>
      <c r="E959" s="114" t="s">
        <v>1227</v>
      </c>
      <c r="F959" s="43">
        <v>5</v>
      </c>
      <c r="G959" s="99">
        <v>353</v>
      </c>
      <c r="H959" s="115">
        <v>550</v>
      </c>
    </row>
    <row r="960" spans="1:8" x14ac:dyDescent="0.2">
      <c r="A960" s="113" t="s">
        <v>2283</v>
      </c>
      <c r="B960" s="10"/>
      <c r="C960" s="10"/>
      <c r="D960" s="17"/>
      <c r="E960" s="114" t="s">
        <v>1228</v>
      </c>
      <c r="F960" s="43">
        <v>5</v>
      </c>
      <c r="G960" s="99">
        <v>353</v>
      </c>
      <c r="H960" s="115">
        <v>550</v>
      </c>
    </row>
    <row r="961" spans="1:8" x14ac:dyDescent="0.2">
      <c r="A961" s="113" t="s">
        <v>2284</v>
      </c>
      <c r="B961" s="10"/>
      <c r="C961" s="10"/>
      <c r="D961" s="17"/>
      <c r="E961" s="114" t="s">
        <v>1229</v>
      </c>
      <c r="F961" s="43">
        <v>5</v>
      </c>
      <c r="G961" s="99">
        <v>353</v>
      </c>
      <c r="H961" s="115">
        <v>550</v>
      </c>
    </row>
    <row r="962" spans="1:8" x14ac:dyDescent="0.2">
      <c r="A962" s="113" t="s">
        <v>2285</v>
      </c>
      <c r="B962" s="10"/>
      <c r="C962" s="10"/>
      <c r="D962" s="17"/>
      <c r="E962" s="114" t="s">
        <v>1230</v>
      </c>
      <c r="F962" s="43">
        <v>5</v>
      </c>
      <c r="G962" s="99">
        <v>353</v>
      </c>
      <c r="H962" s="115">
        <v>550</v>
      </c>
    </row>
    <row r="963" spans="1:8" x14ac:dyDescent="0.2">
      <c r="A963" s="113" t="s">
        <v>2286</v>
      </c>
      <c r="B963" s="10"/>
      <c r="C963" s="10"/>
      <c r="D963" s="38"/>
      <c r="E963" s="114" t="s">
        <v>1231</v>
      </c>
      <c r="F963" s="43">
        <v>5</v>
      </c>
      <c r="G963" s="99">
        <v>353</v>
      </c>
      <c r="H963" s="115">
        <v>550</v>
      </c>
    </row>
    <row r="964" spans="1:8" x14ac:dyDescent="0.2">
      <c r="A964" s="113" t="s">
        <v>2287</v>
      </c>
      <c r="B964" s="10"/>
      <c r="C964" s="10"/>
      <c r="D964" s="38"/>
      <c r="E964" s="114" t="s">
        <v>1232</v>
      </c>
      <c r="F964" s="43">
        <v>5</v>
      </c>
      <c r="G964" s="99">
        <v>353</v>
      </c>
      <c r="H964" s="115">
        <v>550</v>
      </c>
    </row>
    <row r="965" spans="1:8" x14ac:dyDescent="0.2">
      <c r="A965" s="113" t="s">
        <v>2288</v>
      </c>
      <c r="B965" s="10"/>
      <c r="C965" s="10"/>
      <c r="D965" s="38"/>
      <c r="E965" s="114" t="s">
        <v>1233</v>
      </c>
      <c r="F965" s="43">
        <v>5</v>
      </c>
      <c r="G965" s="99">
        <v>353</v>
      </c>
      <c r="H965" s="115">
        <v>550</v>
      </c>
    </row>
    <row r="966" spans="1:8" x14ac:dyDescent="0.2">
      <c r="A966" s="113" t="s">
        <v>2289</v>
      </c>
      <c r="B966" s="10"/>
      <c r="C966" s="10"/>
      <c r="D966" s="38"/>
      <c r="E966" s="114" t="s">
        <v>1023</v>
      </c>
      <c r="F966" s="43">
        <v>5</v>
      </c>
      <c r="G966" s="99">
        <v>353</v>
      </c>
      <c r="H966" s="115">
        <v>550</v>
      </c>
    </row>
    <row r="967" spans="1:8" x14ac:dyDescent="0.2">
      <c r="A967" s="113" t="s">
        <v>2290</v>
      </c>
      <c r="B967" s="10"/>
      <c r="C967" s="10"/>
      <c r="D967" s="38"/>
      <c r="E967" s="114" t="s">
        <v>1024</v>
      </c>
      <c r="F967" s="43">
        <v>8</v>
      </c>
      <c r="G967" s="99">
        <v>494</v>
      </c>
      <c r="H967" s="115">
        <v>770</v>
      </c>
    </row>
    <row r="968" spans="1:8" x14ac:dyDescent="0.2">
      <c r="A968" s="113" t="s">
        <v>2291</v>
      </c>
      <c r="B968" s="10"/>
      <c r="C968" s="10"/>
      <c r="D968" s="38"/>
      <c r="E968" s="114" t="s">
        <v>1025</v>
      </c>
      <c r="F968" s="43">
        <v>5</v>
      </c>
      <c r="G968" s="99">
        <v>353</v>
      </c>
      <c r="H968" s="115">
        <v>550</v>
      </c>
    </row>
    <row r="969" spans="1:8" x14ac:dyDescent="0.2">
      <c r="A969" s="113" t="s">
        <v>2292</v>
      </c>
      <c r="B969" s="10"/>
      <c r="C969" s="10"/>
      <c r="D969" s="38"/>
      <c r="E969" s="114" t="s">
        <v>1026</v>
      </c>
      <c r="F969" s="43">
        <v>5</v>
      </c>
      <c r="G969" s="99">
        <v>353</v>
      </c>
      <c r="H969" s="115">
        <v>550</v>
      </c>
    </row>
    <row r="970" spans="1:8" x14ac:dyDescent="0.2">
      <c r="A970" s="113" t="s">
        <v>2293</v>
      </c>
      <c r="B970" s="10"/>
      <c r="C970" s="10"/>
      <c r="D970" s="38"/>
      <c r="E970" s="114" t="s">
        <v>1027</v>
      </c>
      <c r="F970" s="43">
        <v>5</v>
      </c>
      <c r="G970" s="99">
        <v>353</v>
      </c>
      <c r="H970" s="115">
        <v>550</v>
      </c>
    </row>
    <row r="971" spans="1:8" x14ac:dyDescent="0.2">
      <c r="A971" s="113" t="s">
        <v>2294</v>
      </c>
      <c r="B971" s="10"/>
      <c r="C971" s="10"/>
      <c r="D971" s="38"/>
      <c r="E971" s="114" t="s">
        <v>1028</v>
      </c>
      <c r="F971" s="43">
        <v>5</v>
      </c>
      <c r="G971" s="99">
        <v>353</v>
      </c>
      <c r="H971" s="115">
        <v>550</v>
      </c>
    </row>
    <row r="972" spans="1:8" x14ac:dyDescent="0.2">
      <c r="A972" s="113" t="s">
        <v>2295</v>
      </c>
      <c r="B972" s="10"/>
      <c r="C972" s="10"/>
      <c r="D972" s="38"/>
      <c r="E972" s="114" t="s">
        <v>1029</v>
      </c>
      <c r="F972" s="43">
        <v>4</v>
      </c>
      <c r="G972" s="99">
        <v>276</v>
      </c>
      <c r="H972" s="115">
        <v>430</v>
      </c>
    </row>
    <row r="973" spans="1:8" x14ac:dyDescent="0.2">
      <c r="A973" s="113" t="s">
        <v>2296</v>
      </c>
      <c r="B973" s="10"/>
      <c r="C973" s="10"/>
      <c r="D973" s="38"/>
      <c r="E973" s="114" t="s">
        <v>1030</v>
      </c>
      <c r="F973" s="43">
        <v>4</v>
      </c>
      <c r="G973" s="99">
        <v>276</v>
      </c>
      <c r="H973" s="115">
        <v>430</v>
      </c>
    </row>
    <row r="974" spans="1:8" x14ac:dyDescent="0.2">
      <c r="A974" s="113" t="s">
        <v>2297</v>
      </c>
      <c r="B974" s="10"/>
      <c r="C974" s="10"/>
      <c r="D974" s="38"/>
      <c r="E974" s="114" t="s">
        <v>1031</v>
      </c>
      <c r="F974" s="43">
        <v>4</v>
      </c>
      <c r="G974" s="99">
        <v>276</v>
      </c>
      <c r="H974" s="115">
        <v>430</v>
      </c>
    </row>
    <row r="975" spans="1:8" x14ac:dyDescent="0.2">
      <c r="A975" s="113" t="s">
        <v>2298</v>
      </c>
      <c r="B975" s="10"/>
      <c r="C975" s="10"/>
      <c r="D975" s="38"/>
      <c r="E975" s="114" t="s">
        <v>1032</v>
      </c>
      <c r="F975" s="43">
        <v>4</v>
      </c>
      <c r="G975" s="99">
        <v>276</v>
      </c>
      <c r="H975" s="115">
        <v>430</v>
      </c>
    </row>
    <row r="976" spans="1:8" x14ac:dyDescent="0.2">
      <c r="A976" s="113" t="s">
        <v>2299</v>
      </c>
      <c r="B976" s="10"/>
      <c r="C976" s="10"/>
      <c r="D976" s="38"/>
      <c r="E976" s="114" t="s">
        <v>1033</v>
      </c>
      <c r="F976" s="43">
        <v>5</v>
      </c>
      <c r="G976" s="99">
        <v>353</v>
      </c>
      <c r="H976" s="115">
        <v>550</v>
      </c>
    </row>
    <row r="977" spans="1:8" x14ac:dyDescent="0.2">
      <c r="A977" s="113" t="s">
        <v>2300</v>
      </c>
      <c r="B977" s="10"/>
      <c r="C977" s="10"/>
      <c r="D977" s="38"/>
      <c r="E977" s="114" t="s">
        <v>1034</v>
      </c>
      <c r="F977" s="43">
        <v>5</v>
      </c>
      <c r="G977" s="99">
        <v>353</v>
      </c>
      <c r="H977" s="115">
        <v>550</v>
      </c>
    </row>
    <row r="978" spans="1:8" ht="15" thickBot="1" x14ac:dyDescent="0.25">
      <c r="A978" s="113" t="s">
        <v>2301</v>
      </c>
      <c r="B978" s="10"/>
      <c r="C978" s="10"/>
      <c r="D978" s="38"/>
      <c r="E978" s="114" t="s">
        <v>1035</v>
      </c>
      <c r="F978" s="43">
        <v>5</v>
      </c>
      <c r="G978" s="99">
        <v>353</v>
      </c>
      <c r="H978" s="115">
        <v>550</v>
      </c>
    </row>
    <row r="979" spans="1:8" ht="15" thickBot="1" x14ac:dyDescent="0.25">
      <c r="A979" s="56" t="s">
        <v>41</v>
      </c>
      <c r="B979" s="57"/>
      <c r="C979" s="57"/>
      <c r="D979" s="58"/>
      <c r="E979" s="82" t="s">
        <v>475</v>
      </c>
      <c r="F979" s="60"/>
      <c r="G979" s="61"/>
      <c r="H979" s="61"/>
    </row>
    <row r="980" spans="1:8" x14ac:dyDescent="0.2">
      <c r="A980" s="113" t="s">
        <v>2302</v>
      </c>
      <c r="B980" s="10"/>
      <c r="C980" s="10"/>
      <c r="D980" s="38"/>
      <c r="E980" s="114" t="s">
        <v>1234</v>
      </c>
      <c r="F980" s="43">
        <v>35</v>
      </c>
      <c r="G980" s="99">
        <v>2245</v>
      </c>
      <c r="H980" s="115">
        <v>3500</v>
      </c>
    </row>
    <row r="981" spans="1:8" x14ac:dyDescent="0.2">
      <c r="A981" s="113" t="s">
        <v>2303</v>
      </c>
      <c r="B981" s="10"/>
      <c r="C981" s="10"/>
      <c r="D981" s="38"/>
      <c r="E981" s="114" t="s">
        <v>16</v>
      </c>
      <c r="F981" s="43">
        <v>19</v>
      </c>
      <c r="G981" s="99">
        <v>1219</v>
      </c>
      <c r="H981" s="115">
        <v>1900</v>
      </c>
    </row>
    <row r="982" spans="1:8" x14ac:dyDescent="0.2">
      <c r="A982" s="113" t="s">
        <v>2304</v>
      </c>
      <c r="B982" s="10"/>
      <c r="C982" s="10"/>
      <c r="D982" s="38"/>
      <c r="E982" s="114" t="s">
        <v>852</v>
      </c>
      <c r="F982" s="43">
        <v>55</v>
      </c>
      <c r="G982" s="99">
        <v>3529</v>
      </c>
      <c r="H982" s="115">
        <v>5500</v>
      </c>
    </row>
    <row r="983" spans="1:8" x14ac:dyDescent="0.2">
      <c r="A983" s="113" t="s">
        <v>2305</v>
      </c>
      <c r="B983" s="10"/>
      <c r="C983" s="10"/>
      <c r="D983" s="38"/>
      <c r="E983" s="114" t="s">
        <v>919</v>
      </c>
      <c r="F983" s="43">
        <v>35</v>
      </c>
      <c r="G983" s="99">
        <v>2245</v>
      </c>
      <c r="H983" s="115">
        <v>3500</v>
      </c>
    </row>
    <row r="984" spans="1:8" x14ac:dyDescent="0.2">
      <c r="A984" s="113" t="s">
        <v>2306</v>
      </c>
      <c r="B984" s="10"/>
      <c r="C984" s="10"/>
      <c r="D984" s="38"/>
      <c r="E984" s="114" t="s">
        <v>1036</v>
      </c>
      <c r="F984" s="43">
        <v>35</v>
      </c>
      <c r="G984" s="99">
        <v>2245</v>
      </c>
      <c r="H984" s="115">
        <v>3500</v>
      </c>
    </row>
    <row r="985" spans="1:8" x14ac:dyDescent="0.2">
      <c r="A985" s="113" t="s">
        <v>2307</v>
      </c>
      <c r="B985" s="10"/>
      <c r="C985" s="10"/>
      <c r="D985" s="38"/>
      <c r="E985" s="114" t="s">
        <v>1235</v>
      </c>
      <c r="F985" s="43">
        <v>30</v>
      </c>
      <c r="G985" s="99">
        <v>1925</v>
      </c>
      <c r="H985" s="115">
        <v>3000</v>
      </c>
    </row>
    <row r="986" spans="1:8" x14ac:dyDescent="0.2">
      <c r="A986" s="113" t="s">
        <v>2308</v>
      </c>
      <c r="B986" s="10"/>
      <c r="C986" s="10"/>
      <c r="D986" s="38"/>
      <c r="E986" s="114" t="s">
        <v>1236</v>
      </c>
      <c r="F986" s="43">
        <v>41</v>
      </c>
      <c r="G986" s="99">
        <v>2630</v>
      </c>
      <c r="H986" s="115">
        <v>4100</v>
      </c>
    </row>
    <row r="987" spans="1:8" x14ac:dyDescent="0.2">
      <c r="A987" s="113" t="s">
        <v>2309</v>
      </c>
      <c r="B987" s="10"/>
      <c r="C987" s="10"/>
      <c r="D987" s="38"/>
      <c r="E987" s="114" t="s">
        <v>1237</v>
      </c>
      <c r="F987" s="43">
        <v>30</v>
      </c>
      <c r="G987" s="99">
        <v>1925</v>
      </c>
      <c r="H987" s="115">
        <v>3000</v>
      </c>
    </row>
    <row r="988" spans="1:8" x14ac:dyDescent="0.2">
      <c r="A988" s="113" t="s">
        <v>2310</v>
      </c>
      <c r="B988" s="10"/>
      <c r="C988" s="10"/>
      <c r="D988" s="38"/>
      <c r="E988" s="114" t="s">
        <v>30</v>
      </c>
      <c r="F988" s="43">
        <v>41</v>
      </c>
      <c r="G988" s="99">
        <v>2630</v>
      </c>
      <c r="H988" s="115">
        <v>4100</v>
      </c>
    </row>
    <row r="989" spans="1:8" x14ac:dyDescent="0.2">
      <c r="A989" s="113" t="s">
        <v>2311</v>
      </c>
      <c r="B989" s="10"/>
      <c r="C989" s="10"/>
      <c r="D989" s="38"/>
      <c r="E989" s="114" t="s">
        <v>25</v>
      </c>
      <c r="F989" s="43">
        <v>24</v>
      </c>
      <c r="G989" s="99">
        <v>1540</v>
      </c>
      <c r="H989" s="115">
        <v>2400</v>
      </c>
    </row>
    <row r="990" spans="1:8" x14ac:dyDescent="0.2">
      <c r="A990" s="113" t="s">
        <v>2312</v>
      </c>
      <c r="B990" s="10"/>
      <c r="C990" s="10"/>
      <c r="D990" s="38"/>
      <c r="E990" s="114" t="s">
        <v>1238</v>
      </c>
      <c r="F990" s="43">
        <v>35</v>
      </c>
      <c r="G990" s="99">
        <v>2245</v>
      </c>
      <c r="H990" s="115">
        <v>3500</v>
      </c>
    </row>
    <row r="991" spans="1:8" x14ac:dyDescent="0.2">
      <c r="A991" s="113" t="s">
        <v>2313</v>
      </c>
      <c r="B991" s="10"/>
      <c r="C991" s="10"/>
      <c r="D991" s="38"/>
      <c r="E991" s="114" t="s">
        <v>1239</v>
      </c>
      <c r="F991" s="43">
        <v>19</v>
      </c>
      <c r="G991" s="99">
        <v>1219</v>
      </c>
      <c r="H991" s="115">
        <v>1900</v>
      </c>
    </row>
    <row r="992" spans="1:8" x14ac:dyDescent="0.2">
      <c r="A992" s="113" t="s">
        <v>2314</v>
      </c>
      <c r="B992" s="10"/>
      <c r="C992" s="10"/>
      <c r="D992" s="38"/>
      <c r="E992" s="114" t="s">
        <v>1037</v>
      </c>
      <c r="F992" s="43">
        <v>46</v>
      </c>
      <c r="G992" s="99">
        <v>2952</v>
      </c>
      <c r="H992" s="115">
        <v>4600</v>
      </c>
    </row>
    <row r="993" spans="1:8" x14ac:dyDescent="0.2">
      <c r="A993" s="113" t="s">
        <v>2315</v>
      </c>
      <c r="B993" s="10"/>
      <c r="C993" s="10"/>
      <c r="D993" s="38"/>
      <c r="E993" s="114" t="s">
        <v>883</v>
      </c>
      <c r="F993" s="43">
        <v>19</v>
      </c>
      <c r="G993" s="99">
        <v>1219</v>
      </c>
      <c r="H993" s="115">
        <v>1900</v>
      </c>
    </row>
    <row r="994" spans="1:8" x14ac:dyDescent="0.2">
      <c r="A994" s="113" t="s">
        <v>2316</v>
      </c>
      <c r="B994" s="10"/>
      <c r="C994" s="10"/>
      <c r="D994" s="38"/>
      <c r="E994" s="114" t="s">
        <v>1038</v>
      </c>
      <c r="F994" s="43">
        <v>30</v>
      </c>
      <c r="G994" s="99">
        <v>1925</v>
      </c>
      <c r="H994" s="115">
        <v>3000</v>
      </c>
    </row>
    <row r="995" spans="1:8" ht="15" thickBot="1" x14ac:dyDescent="0.25">
      <c r="A995" s="113" t="s">
        <v>2317</v>
      </c>
      <c r="B995" s="10"/>
      <c r="C995" s="10"/>
      <c r="D995" s="38"/>
      <c r="E995" s="114" t="s">
        <v>918</v>
      </c>
      <c r="F995" s="43">
        <v>46</v>
      </c>
      <c r="G995" s="99">
        <v>2952</v>
      </c>
      <c r="H995" s="115">
        <v>4600</v>
      </c>
    </row>
    <row r="996" spans="1:8" ht="15" thickBot="1" x14ac:dyDescent="0.25">
      <c r="A996" s="56" t="s">
        <v>41</v>
      </c>
      <c r="B996" s="57"/>
      <c r="C996" s="57"/>
      <c r="D996" s="58"/>
      <c r="E996" s="82" t="s">
        <v>590</v>
      </c>
      <c r="F996" s="60"/>
      <c r="G996" s="61"/>
      <c r="H996" s="61"/>
    </row>
    <row r="997" spans="1:8" x14ac:dyDescent="0.2">
      <c r="A997" s="113" t="s">
        <v>2318</v>
      </c>
      <c r="B997" s="10"/>
      <c r="C997" s="10"/>
      <c r="D997" s="38"/>
      <c r="E997" s="114" t="s">
        <v>1039</v>
      </c>
      <c r="F997" s="43">
        <v>6</v>
      </c>
      <c r="G997" s="99">
        <v>404</v>
      </c>
      <c r="H997" s="115">
        <v>630</v>
      </c>
    </row>
    <row r="998" spans="1:8" x14ac:dyDescent="0.2">
      <c r="A998" s="113" t="s">
        <v>2319</v>
      </c>
      <c r="B998" s="10"/>
      <c r="C998" s="10"/>
      <c r="D998" s="38"/>
      <c r="E998" s="114" t="s">
        <v>1240</v>
      </c>
      <c r="F998" s="43">
        <v>6</v>
      </c>
      <c r="G998" s="99">
        <v>404</v>
      </c>
      <c r="H998" s="115">
        <v>630</v>
      </c>
    </row>
    <row r="999" spans="1:8" x14ac:dyDescent="0.2">
      <c r="A999" s="113" t="s">
        <v>2320</v>
      </c>
      <c r="B999" s="10"/>
      <c r="C999" s="10"/>
      <c r="D999" s="38"/>
      <c r="E999" s="114" t="s">
        <v>1040</v>
      </c>
      <c r="F999" s="43">
        <v>6</v>
      </c>
      <c r="G999" s="99">
        <v>404</v>
      </c>
      <c r="H999" s="115">
        <v>630</v>
      </c>
    </row>
    <row r="1000" spans="1:8" x14ac:dyDescent="0.2">
      <c r="A1000" s="113" t="s">
        <v>2321</v>
      </c>
      <c r="B1000" s="10"/>
      <c r="C1000" s="10"/>
      <c r="D1000" s="38"/>
      <c r="E1000" s="114" t="s">
        <v>1041</v>
      </c>
      <c r="F1000" s="43">
        <v>6</v>
      </c>
      <c r="G1000" s="99">
        <v>404</v>
      </c>
      <c r="H1000" s="115">
        <v>630</v>
      </c>
    </row>
    <row r="1001" spans="1:8" x14ac:dyDescent="0.2">
      <c r="A1001" s="113" t="s">
        <v>2322</v>
      </c>
      <c r="B1001" s="10"/>
      <c r="C1001" s="10"/>
      <c r="D1001" s="38"/>
      <c r="E1001" s="114" t="s">
        <v>600</v>
      </c>
      <c r="F1001" s="43">
        <v>5</v>
      </c>
      <c r="G1001" s="99">
        <v>321</v>
      </c>
      <c r="H1001" s="115">
        <v>500</v>
      </c>
    </row>
    <row r="1002" spans="1:8" x14ac:dyDescent="0.2">
      <c r="A1002" s="113" t="s">
        <v>2323</v>
      </c>
      <c r="B1002" s="10"/>
      <c r="C1002" s="10"/>
      <c r="D1002" s="38"/>
      <c r="E1002" s="114" t="s">
        <v>1241</v>
      </c>
      <c r="F1002" s="43">
        <v>6</v>
      </c>
      <c r="G1002" s="99">
        <v>404</v>
      </c>
      <c r="H1002" s="115">
        <v>630</v>
      </c>
    </row>
    <row r="1003" spans="1:8" x14ac:dyDescent="0.2">
      <c r="A1003" s="113" t="s">
        <v>2324</v>
      </c>
      <c r="B1003" s="10"/>
      <c r="C1003" s="10"/>
      <c r="D1003" s="38"/>
      <c r="E1003" s="114" t="s">
        <v>1042</v>
      </c>
      <c r="F1003" s="43">
        <v>6</v>
      </c>
      <c r="G1003" s="99">
        <v>404</v>
      </c>
      <c r="H1003" s="115">
        <v>630</v>
      </c>
    </row>
    <row r="1004" spans="1:8" x14ac:dyDescent="0.2">
      <c r="A1004" s="113" t="s">
        <v>2325</v>
      </c>
      <c r="B1004" s="10"/>
      <c r="C1004" s="10"/>
      <c r="D1004" s="38"/>
      <c r="E1004" s="114" t="s">
        <v>1043</v>
      </c>
      <c r="F1004" s="43">
        <v>6</v>
      </c>
      <c r="G1004" s="99">
        <v>404</v>
      </c>
      <c r="H1004" s="115">
        <v>630</v>
      </c>
    </row>
    <row r="1005" spans="1:8" ht="15" thickBot="1" x14ac:dyDescent="0.25">
      <c r="A1005" s="113" t="s">
        <v>2326</v>
      </c>
      <c r="B1005" s="10"/>
      <c r="C1005" s="10"/>
      <c r="D1005" s="38"/>
      <c r="E1005" s="114" t="s">
        <v>1044</v>
      </c>
      <c r="F1005" s="43">
        <v>6</v>
      </c>
      <c r="G1005" s="99">
        <v>404</v>
      </c>
      <c r="H1005" s="115">
        <v>630</v>
      </c>
    </row>
    <row r="1006" spans="1:8" ht="15" thickBot="1" x14ac:dyDescent="0.25">
      <c r="A1006" s="56" t="s">
        <v>41</v>
      </c>
      <c r="B1006" s="57"/>
      <c r="C1006" s="57"/>
      <c r="D1006" s="58"/>
      <c r="E1006" s="82" t="s">
        <v>524</v>
      </c>
      <c r="F1006" s="60"/>
      <c r="G1006" s="61"/>
      <c r="H1006" s="61"/>
    </row>
    <row r="1007" spans="1:8" x14ac:dyDescent="0.2">
      <c r="A1007" s="113" t="s">
        <v>2327</v>
      </c>
      <c r="B1007" s="10"/>
      <c r="C1007" s="10"/>
      <c r="D1007" s="38"/>
      <c r="E1007" s="114" t="s">
        <v>1045</v>
      </c>
      <c r="F1007" s="43">
        <v>9</v>
      </c>
      <c r="G1007" s="99">
        <v>282</v>
      </c>
      <c r="H1007" s="115">
        <v>880</v>
      </c>
    </row>
    <row r="1008" spans="1:8" x14ac:dyDescent="0.2">
      <c r="A1008" s="113" t="s">
        <v>2328</v>
      </c>
      <c r="B1008" s="10"/>
      <c r="C1008" s="10"/>
      <c r="D1008" s="38"/>
      <c r="E1008" s="114" t="s">
        <v>1046</v>
      </c>
      <c r="F1008" s="43">
        <v>9</v>
      </c>
      <c r="G1008" s="99">
        <v>298</v>
      </c>
      <c r="H1008" s="115">
        <v>930</v>
      </c>
    </row>
    <row r="1009" spans="1:8" x14ac:dyDescent="0.2">
      <c r="A1009" s="113" t="s">
        <v>2329</v>
      </c>
      <c r="B1009" s="10"/>
      <c r="C1009" s="10"/>
      <c r="D1009" s="38"/>
      <c r="E1009" s="114" t="s">
        <v>1047</v>
      </c>
      <c r="F1009" s="43">
        <v>9</v>
      </c>
      <c r="G1009" s="99">
        <v>282</v>
      </c>
      <c r="H1009" s="115">
        <v>880</v>
      </c>
    </row>
    <row r="1010" spans="1:8" x14ac:dyDescent="0.2">
      <c r="A1010" s="113" t="s">
        <v>2330</v>
      </c>
      <c r="B1010" s="10"/>
      <c r="C1010" s="10"/>
      <c r="D1010" s="38"/>
      <c r="E1010" s="114" t="s">
        <v>1048</v>
      </c>
      <c r="F1010" s="43">
        <v>3</v>
      </c>
      <c r="G1010" s="99">
        <v>87</v>
      </c>
      <c r="H1010" s="115">
        <v>270</v>
      </c>
    </row>
    <row r="1011" spans="1:8" x14ac:dyDescent="0.2">
      <c r="A1011" s="113" t="s">
        <v>2331</v>
      </c>
      <c r="B1011" s="10"/>
      <c r="C1011" s="10"/>
      <c r="D1011" s="38"/>
      <c r="E1011" s="114" t="s">
        <v>1049</v>
      </c>
      <c r="F1011" s="43">
        <v>4</v>
      </c>
      <c r="G1011" s="99">
        <v>131</v>
      </c>
      <c r="H1011" s="115">
        <v>410</v>
      </c>
    </row>
    <row r="1012" spans="1:8" x14ac:dyDescent="0.2">
      <c r="A1012" s="113" t="s">
        <v>2332</v>
      </c>
      <c r="B1012" s="10"/>
      <c r="C1012" s="10"/>
      <c r="D1012" s="38"/>
      <c r="E1012" s="114" t="s">
        <v>1050</v>
      </c>
      <c r="F1012" s="43">
        <v>4</v>
      </c>
      <c r="G1012" s="99">
        <v>131</v>
      </c>
      <c r="H1012" s="115">
        <v>410</v>
      </c>
    </row>
    <row r="1013" spans="1:8" x14ac:dyDescent="0.2">
      <c r="A1013" s="113" t="s">
        <v>2333</v>
      </c>
      <c r="B1013" s="10"/>
      <c r="C1013" s="10"/>
      <c r="D1013" s="38"/>
      <c r="E1013" s="114" t="s">
        <v>1051</v>
      </c>
      <c r="F1013" s="43">
        <v>11</v>
      </c>
      <c r="G1013" s="99">
        <v>353</v>
      </c>
      <c r="H1013" s="115">
        <v>1100</v>
      </c>
    </row>
    <row r="1014" spans="1:8" x14ac:dyDescent="0.2">
      <c r="A1014" s="113" t="s">
        <v>2334</v>
      </c>
      <c r="B1014" s="10"/>
      <c r="C1014" s="10"/>
      <c r="D1014" s="38"/>
      <c r="E1014" s="114" t="s">
        <v>1052</v>
      </c>
      <c r="F1014" s="43">
        <v>9</v>
      </c>
      <c r="G1014" s="99">
        <v>276</v>
      </c>
      <c r="H1014" s="115">
        <v>860</v>
      </c>
    </row>
    <row r="1015" spans="1:8" x14ac:dyDescent="0.2">
      <c r="A1015" s="113" t="s">
        <v>2335</v>
      </c>
      <c r="B1015" s="10"/>
      <c r="C1015" s="10"/>
      <c r="D1015" s="38"/>
      <c r="E1015" s="114" t="s">
        <v>1053</v>
      </c>
      <c r="F1015" s="43">
        <v>19</v>
      </c>
      <c r="G1015" s="99">
        <v>1251</v>
      </c>
      <c r="H1015" s="115">
        <v>1950</v>
      </c>
    </row>
    <row r="1016" spans="1:8" x14ac:dyDescent="0.2">
      <c r="A1016" s="113" t="s">
        <v>2336</v>
      </c>
      <c r="B1016" s="10"/>
      <c r="C1016" s="10"/>
      <c r="D1016" s="38"/>
      <c r="E1016" s="114" t="s">
        <v>1054</v>
      </c>
      <c r="F1016" s="43">
        <v>4</v>
      </c>
      <c r="G1016" s="99">
        <v>231</v>
      </c>
      <c r="H1016" s="115">
        <v>360</v>
      </c>
    </row>
    <row r="1017" spans="1:8" x14ac:dyDescent="0.2">
      <c r="A1017" s="113" t="s">
        <v>2337</v>
      </c>
      <c r="B1017" s="10"/>
      <c r="C1017" s="10"/>
      <c r="D1017" s="38"/>
      <c r="E1017" s="114" t="s">
        <v>1055</v>
      </c>
      <c r="F1017" s="43">
        <v>10</v>
      </c>
      <c r="G1017" s="99">
        <v>642</v>
      </c>
      <c r="H1017" s="115">
        <v>1000</v>
      </c>
    </row>
    <row r="1018" spans="1:8" x14ac:dyDescent="0.2">
      <c r="A1018" s="113" t="s">
        <v>2338</v>
      </c>
      <c r="B1018" s="10"/>
      <c r="C1018" s="10"/>
      <c r="D1018" s="38"/>
      <c r="E1018" s="114" t="s">
        <v>939</v>
      </c>
      <c r="F1018" s="43">
        <v>10</v>
      </c>
      <c r="G1018" s="99">
        <v>642</v>
      </c>
      <c r="H1018" s="115">
        <v>1000</v>
      </c>
    </row>
    <row r="1019" spans="1:8" x14ac:dyDescent="0.2">
      <c r="A1019" s="113" t="s">
        <v>2339</v>
      </c>
      <c r="B1019" s="10"/>
      <c r="C1019" s="10"/>
      <c r="D1019" s="38"/>
      <c r="E1019" s="114" t="s">
        <v>1056</v>
      </c>
      <c r="F1019" s="43">
        <v>14</v>
      </c>
      <c r="G1019" s="99">
        <v>931</v>
      </c>
      <c r="H1019" s="115">
        <v>1450</v>
      </c>
    </row>
    <row r="1020" spans="1:8" x14ac:dyDescent="0.2">
      <c r="A1020" s="113" t="s">
        <v>2340</v>
      </c>
      <c r="B1020" s="10"/>
      <c r="C1020" s="10"/>
      <c r="D1020" s="38"/>
      <c r="E1020" s="114" t="s">
        <v>940</v>
      </c>
      <c r="F1020" s="43">
        <v>10</v>
      </c>
      <c r="G1020" s="99">
        <v>642</v>
      </c>
      <c r="H1020" s="115">
        <v>1000</v>
      </c>
    </row>
    <row r="1021" spans="1:8" x14ac:dyDescent="0.2">
      <c r="A1021" s="113" t="s">
        <v>2341</v>
      </c>
      <c r="B1021" s="10"/>
      <c r="C1021" s="10"/>
      <c r="D1021" s="38"/>
      <c r="E1021" s="114" t="s">
        <v>1057</v>
      </c>
      <c r="F1021" s="43">
        <v>11</v>
      </c>
      <c r="G1021" s="99">
        <v>738</v>
      </c>
      <c r="H1021" s="115">
        <v>1150</v>
      </c>
    </row>
    <row r="1022" spans="1:8" x14ac:dyDescent="0.2">
      <c r="A1022" s="113" t="s">
        <v>2342</v>
      </c>
      <c r="B1022" s="10"/>
      <c r="C1022" s="10"/>
      <c r="D1022" s="38"/>
      <c r="E1022" s="114" t="s">
        <v>1058</v>
      </c>
      <c r="F1022" s="43">
        <v>12</v>
      </c>
      <c r="G1022" s="99">
        <v>802</v>
      </c>
      <c r="H1022" s="115">
        <v>1250</v>
      </c>
    </row>
    <row r="1023" spans="1:8" x14ac:dyDescent="0.2">
      <c r="A1023" s="113" t="s">
        <v>2343</v>
      </c>
      <c r="B1023" s="10"/>
      <c r="C1023" s="10"/>
      <c r="D1023" s="38"/>
      <c r="E1023" s="114" t="s">
        <v>1059</v>
      </c>
      <c r="F1023" s="43">
        <v>6</v>
      </c>
      <c r="G1023" s="99">
        <v>397</v>
      </c>
      <c r="H1023" s="115">
        <v>620</v>
      </c>
    </row>
    <row r="1024" spans="1:8" x14ac:dyDescent="0.2">
      <c r="A1024" s="113" t="s">
        <v>2344</v>
      </c>
      <c r="B1024" s="10"/>
      <c r="C1024" s="10"/>
      <c r="D1024" s="38"/>
      <c r="E1024" s="114" t="s">
        <v>1060</v>
      </c>
      <c r="F1024" s="43">
        <v>12</v>
      </c>
      <c r="G1024" s="99">
        <v>802</v>
      </c>
      <c r="H1024" s="115">
        <v>1250</v>
      </c>
    </row>
    <row r="1025" spans="1:8" x14ac:dyDescent="0.2">
      <c r="A1025" s="113" t="s">
        <v>2345</v>
      </c>
      <c r="B1025" s="10"/>
      <c r="C1025" s="10"/>
      <c r="D1025" s="38"/>
      <c r="E1025" s="114" t="s">
        <v>1061</v>
      </c>
      <c r="F1025" s="43">
        <v>8</v>
      </c>
      <c r="G1025" s="99">
        <v>513</v>
      </c>
      <c r="H1025" s="115">
        <v>800</v>
      </c>
    </row>
    <row r="1026" spans="1:8" ht="15" thickBot="1" x14ac:dyDescent="0.25">
      <c r="A1026" s="113" t="s">
        <v>2346</v>
      </c>
      <c r="B1026" s="10"/>
      <c r="C1026" s="10"/>
      <c r="D1026" s="38"/>
      <c r="E1026" s="114" t="s">
        <v>1062</v>
      </c>
      <c r="F1026" s="43">
        <v>9</v>
      </c>
      <c r="G1026" s="99">
        <v>288</v>
      </c>
      <c r="H1026" s="115">
        <v>899</v>
      </c>
    </row>
    <row r="1027" spans="1:8" ht="15" thickBot="1" x14ac:dyDescent="0.25">
      <c r="A1027" s="56" t="s">
        <v>41</v>
      </c>
      <c r="B1027" s="57"/>
      <c r="C1027" s="57"/>
      <c r="D1027" s="58"/>
      <c r="E1027" s="82" t="s">
        <v>1063</v>
      </c>
      <c r="F1027" s="60"/>
      <c r="G1027" s="61"/>
      <c r="H1027" s="61"/>
    </row>
    <row r="1028" spans="1:8" x14ac:dyDescent="0.2">
      <c r="A1028" s="113" t="s">
        <v>2347</v>
      </c>
      <c r="B1028" s="10"/>
      <c r="C1028" s="10"/>
      <c r="D1028" s="38"/>
      <c r="E1028" s="114" t="s">
        <v>1064</v>
      </c>
      <c r="F1028" s="43">
        <v>3</v>
      </c>
      <c r="G1028" s="99">
        <v>87</v>
      </c>
      <c r="H1028" s="115">
        <v>270</v>
      </c>
    </row>
    <row r="1029" spans="1:8" x14ac:dyDescent="0.2">
      <c r="A1029" s="113" t="s">
        <v>2348</v>
      </c>
      <c r="B1029" s="10"/>
      <c r="C1029" s="10"/>
      <c r="D1029" s="38"/>
      <c r="E1029" s="114" t="s">
        <v>1242</v>
      </c>
      <c r="F1029" s="43">
        <v>5</v>
      </c>
      <c r="G1029" s="99">
        <v>154</v>
      </c>
      <c r="H1029" s="115">
        <v>480</v>
      </c>
    </row>
    <row r="1030" spans="1:8" x14ac:dyDescent="0.2">
      <c r="A1030" s="113" t="s">
        <v>2349</v>
      </c>
      <c r="B1030" s="10"/>
      <c r="C1030" s="10"/>
      <c r="D1030" s="38"/>
      <c r="E1030" s="114" t="s">
        <v>1065</v>
      </c>
      <c r="F1030" s="43">
        <v>5</v>
      </c>
      <c r="G1030" s="99">
        <v>154</v>
      </c>
      <c r="H1030" s="115">
        <v>480</v>
      </c>
    </row>
    <row r="1031" spans="1:8" x14ac:dyDescent="0.2">
      <c r="A1031" s="113" t="s">
        <v>2350</v>
      </c>
      <c r="B1031" s="10"/>
      <c r="C1031" s="10"/>
      <c r="D1031" s="38"/>
      <c r="E1031" s="114" t="s">
        <v>1066</v>
      </c>
      <c r="F1031" s="43">
        <v>5</v>
      </c>
      <c r="G1031" s="99">
        <v>353</v>
      </c>
      <c r="H1031" s="115">
        <v>550</v>
      </c>
    </row>
    <row r="1032" spans="1:8" x14ac:dyDescent="0.2">
      <c r="A1032" s="113" t="s">
        <v>2351</v>
      </c>
      <c r="B1032" s="10"/>
      <c r="C1032" s="10"/>
      <c r="D1032" s="38"/>
      <c r="E1032" s="114" t="s">
        <v>1243</v>
      </c>
      <c r="F1032" s="43">
        <v>16</v>
      </c>
      <c r="G1032" s="99">
        <v>1027</v>
      </c>
      <c r="H1032" s="115">
        <v>1600</v>
      </c>
    </row>
    <row r="1033" spans="1:8" x14ac:dyDescent="0.2">
      <c r="A1033" s="113" t="s">
        <v>2352</v>
      </c>
      <c r="B1033" s="10"/>
      <c r="C1033" s="10"/>
      <c r="D1033" s="38"/>
      <c r="E1033" s="114" t="s">
        <v>1067</v>
      </c>
      <c r="F1033" s="43">
        <v>16</v>
      </c>
      <c r="G1033" s="99">
        <v>1027</v>
      </c>
      <c r="H1033" s="115">
        <v>1600</v>
      </c>
    </row>
    <row r="1034" spans="1:8" x14ac:dyDescent="0.2">
      <c r="A1034" s="113" t="s">
        <v>2353</v>
      </c>
      <c r="B1034" s="10"/>
      <c r="C1034" s="10"/>
      <c r="D1034" s="38"/>
      <c r="E1034" s="114" t="s">
        <v>1244</v>
      </c>
      <c r="F1034" s="43">
        <v>12</v>
      </c>
      <c r="G1034" s="99">
        <v>802</v>
      </c>
      <c r="H1034" s="115">
        <v>1250</v>
      </c>
    </row>
    <row r="1035" spans="1:8" x14ac:dyDescent="0.2">
      <c r="A1035" s="113" t="s">
        <v>2354</v>
      </c>
      <c r="B1035" s="10"/>
      <c r="C1035" s="10"/>
      <c r="D1035" s="38"/>
      <c r="E1035" s="114" t="s">
        <v>1068</v>
      </c>
      <c r="F1035" s="43">
        <v>12</v>
      </c>
      <c r="G1035" s="99">
        <v>802</v>
      </c>
      <c r="H1035" s="115">
        <v>1250</v>
      </c>
    </row>
    <row r="1036" spans="1:8" x14ac:dyDescent="0.2">
      <c r="A1036" s="113" t="s">
        <v>2355</v>
      </c>
      <c r="B1036" s="10"/>
      <c r="C1036" s="10"/>
      <c r="D1036" s="38"/>
      <c r="E1036" s="114" t="s">
        <v>1069</v>
      </c>
      <c r="F1036" s="43">
        <v>7</v>
      </c>
      <c r="G1036" s="99">
        <v>481</v>
      </c>
      <c r="H1036" s="115">
        <v>750</v>
      </c>
    </row>
    <row r="1037" spans="1:8" x14ac:dyDescent="0.2">
      <c r="A1037" s="113" t="s">
        <v>2356</v>
      </c>
      <c r="B1037" s="10"/>
      <c r="C1037" s="10"/>
      <c r="D1037" s="38"/>
      <c r="E1037" s="114" t="s">
        <v>1070</v>
      </c>
      <c r="F1037" s="43">
        <v>9</v>
      </c>
      <c r="G1037" s="99">
        <v>577</v>
      </c>
      <c r="H1037" s="115">
        <v>900</v>
      </c>
    </row>
    <row r="1038" spans="1:8" ht="15" thickBot="1" x14ac:dyDescent="0.25">
      <c r="A1038" s="113" t="s">
        <v>2357</v>
      </c>
      <c r="B1038" s="10"/>
      <c r="C1038" s="10"/>
      <c r="D1038" s="38"/>
      <c r="E1038" s="114" t="s">
        <v>1071</v>
      </c>
      <c r="F1038" s="43">
        <v>6</v>
      </c>
      <c r="G1038" s="99">
        <v>397</v>
      </c>
      <c r="H1038" s="115">
        <v>620</v>
      </c>
    </row>
    <row r="1039" spans="1:8" ht="15" thickBot="1" x14ac:dyDescent="0.25">
      <c r="A1039" s="56" t="s">
        <v>41</v>
      </c>
      <c r="B1039" s="57"/>
      <c r="C1039" s="57"/>
      <c r="D1039" s="58"/>
      <c r="E1039" s="82" t="s">
        <v>620</v>
      </c>
      <c r="F1039" s="60"/>
      <c r="G1039" s="61"/>
      <c r="H1039" s="61"/>
    </row>
    <row r="1040" spans="1:8" x14ac:dyDescent="0.2">
      <c r="A1040" s="113" t="s">
        <v>2358</v>
      </c>
      <c r="B1040" s="10"/>
      <c r="C1040" s="10"/>
      <c r="D1040" s="38"/>
      <c r="E1040" s="114" t="s">
        <v>1245</v>
      </c>
      <c r="F1040" s="43">
        <v>4</v>
      </c>
      <c r="G1040" s="99">
        <v>131</v>
      </c>
      <c r="H1040" s="115">
        <v>410</v>
      </c>
    </row>
    <row r="1041" spans="1:8" x14ac:dyDescent="0.2">
      <c r="A1041" s="113" t="s">
        <v>2359</v>
      </c>
      <c r="B1041" s="10"/>
      <c r="C1041" s="10"/>
      <c r="D1041" s="38"/>
      <c r="E1041" s="114" t="s">
        <v>630</v>
      </c>
      <c r="F1041" s="43">
        <v>4</v>
      </c>
      <c r="G1041" s="99">
        <v>131</v>
      </c>
      <c r="H1041" s="115">
        <v>410</v>
      </c>
    </row>
    <row r="1042" spans="1:8" x14ac:dyDescent="0.2">
      <c r="A1042" s="113" t="s">
        <v>2360</v>
      </c>
      <c r="B1042" s="10"/>
      <c r="C1042" s="10"/>
      <c r="D1042" s="38"/>
      <c r="E1042" s="114" t="s">
        <v>630</v>
      </c>
      <c r="F1042" s="43">
        <v>6</v>
      </c>
      <c r="G1042" s="99">
        <v>177</v>
      </c>
      <c r="H1042" s="115">
        <v>550</v>
      </c>
    </row>
    <row r="1043" spans="1:8" x14ac:dyDescent="0.2">
      <c r="A1043" s="113" t="s">
        <v>2361</v>
      </c>
      <c r="B1043" s="10"/>
      <c r="C1043" s="10"/>
      <c r="D1043" s="38"/>
      <c r="E1043" s="114" t="s">
        <v>1246</v>
      </c>
      <c r="F1043" s="43">
        <v>7</v>
      </c>
      <c r="G1043" s="99">
        <v>237</v>
      </c>
      <c r="H1043" s="115">
        <v>740</v>
      </c>
    </row>
    <row r="1044" spans="1:8" x14ac:dyDescent="0.2">
      <c r="A1044" s="113" t="s">
        <v>2362</v>
      </c>
      <c r="B1044" s="10"/>
      <c r="C1044" s="10"/>
      <c r="D1044" s="38"/>
      <c r="E1044" s="114" t="s">
        <v>1072</v>
      </c>
      <c r="F1044" s="43">
        <v>9</v>
      </c>
      <c r="G1044" s="99">
        <v>577</v>
      </c>
      <c r="H1044" s="115">
        <v>900</v>
      </c>
    </row>
    <row r="1045" spans="1:8" x14ac:dyDescent="0.2">
      <c r="A1045" s="113" t="s">
        <v>2363</v>
      </c>
      <c r="B1045" s="10"/>
      <c r="C1045" s="10"/>
      <c r="D1045" s="38"/>
      <c r="E1045" s="114" t="s">
        <v>1073</v>
      </c>
      <c r="F1045" s="43">
        <v>10</v>
      </c>
      <c r="G1045" s="99">
        <v>642</v>
      </c>
      <c r="H1045" s="115">
        <v>1000</v>
      </c>
    </row>
    <row r="1046" spans="1:8" x14ac:dyDescent="0.2">
      <c r="A1046" s="113" t="s">
        <v>2364</v>
      </c>
      <c r="B1046" s="10"/>
      <c r="C1046" s="10"/>
      <c r="D1046" s="38"/>
      <c r="E1046" s="114" t="s">
        <v>1247</v>
      </c>
      <c r="F1046" s="43">
        <v>9</v>
      </c>
      <c r="G1046" s="99">
        <v>577</v>
      </c>
      <c r="H1046" s="115">
        <v>900</v>
      </c>
    </row>
    <row r="1047" spans="1:8" x14ac:dyDescent="0.2">
      <c r="A1047" s="113" t="s">
        <v>2365</v>
      </c>
      <c r="B1047" s="10"/>
      <c r="C1047" s="10"/>
      <c r="D1047" s="38"/>
      <c r="E1047" s="114" t="s">
        <v>1248</v>
      </c>
      <c r="F1047" s="43">
        <v>15</v>
      </c>
      <c r="G1047" s="99">
        <v>994</v>
      </c>
      <c r="H1047" s="115">
        <v>1550</v>
      </c>
    </row>
    <row r="1048" spans="1:8" x14ac:dyDescent="0.2">
      <c r="A1048" s="113" t="s">
        <v>2366</v>
      </c>
      <c r="B1048" s="10"/>
      <c r="C1048" s="10"/>
      <c r="D1048" s="38"/>
      <c r="E1048" s="114" t="s">
        <v>1249</v>
      </c>
      <c r="F1048" s="43">
        <v>3</v>
      </c>
      <c r="G1048" s="99">
        <v>192</v>
      </c>
      <c r="H1048" s="115">
        <v>300</v>
      </c>
    </row>
    <row r="1049" spans="1:8" ht="15" thickBot="1" x14ac:dyDescent="0.25">
      <c r="A1049" s="113" t="s">
        <v>2367</v>
      </c>
      <c r="B1049" s="10"/>
      <c r="C1049" s="10"/>
      <c r="D1049" s="38"/>
      <c r="E1049" s="114" t="s">
        <v>1074</v>
      </c>
      <c r="F1049" s="43">
        <v>5</v>
      </c>
      <c r="G1049" s="99">
        <v>160</v>
      </c>
      <c r="H1049" s="115">
        <v>500</v>
      </c>
    </row>
    <row r="1050" spans="1:8" ht="15" thickBot="1" x14ac:dyDescent="0.25">
      <c r="A1050" s="56" t="s">
        <v>41</v>
      </c>
      <c r="B1050" s="57"/>
      <c r="C1050" s="57"/>
      <c r="D1050" s="58"/>
      <c r="E1050" s="82" t="s">
        <v>548</v>
      </c>
      <c r="F1050" s="60"/>
      <c r="G1050" s="61"/>
      <c r="H1050" s="61"/>
    </row>
    <row r="1051" spans="1:8" x14ac:dyDescent="0.2">
      <c r="A1051" s="113" t="s">
        <v>2368</v>
      </c>
      <c r="B1051" s="10"/>
      <c r="C1051" s="10"/>
      <c r="D1051" s="38"/>
      <c r="E1051" s="114" t="s">
        <v>1075</v>
      </c>
      <c r="F1051" s="43">
        <v>7</v>
      </c>
      <c r="G1051" s="99">
        <v>481</v>
      </c>
      <c r="H1051" s="115">
        <v>750</v>
      </c>
    </row>
    <row r="1052" spans="1:8" x14ac:dyDescent="0.2">
      <c r="A1052" s="113" t="s">
        <v>2369</v>
      </c>
      <c r="B1052" s="10"/>
      <c r="C1052" s="10"/>
      <c r="D1052" s="38"/>
      <c r="E1052" s="114" t="s">
        <v>1076</v>
      </c>
      <c r="F1052" s="43">
        <v>3</v>
      </c>
      <c r="G1052" s="99">
        <v>186</v>
      </c>
      <c r="H1052" s="115">
        <v>290</v>
      </c>
    </row>
    <row r="1053" spans="1:8" x14ac:dyDescent="0.2">
      <c r="A1053" s="113" t="s">
        <v>2370</v>
      </c>
      <c r="B1053" s="10"/>
      <c r="C1053" s="10"/>
      <c r="D1053" s="38"/>
      <c r="E1053" s="114" t="s">
        <v>1250</v>
      </c>
      <c r="F1053" s="43">
        <v>6</v>
      </c>
      <c r="G1053" s="99">
        <v>417</v>
      </c>
      <c r="H1053" s="115">
        <v>650</v>
      </c>
    </row>
    <row r="1054" spans="1:8" x14ac:dyDescent="0.2">
      <c r="A1054" s="113" t="s">
        <v>2371</v>
      </c>
      <c r="B1054" s="10"/>
      <c r="C1054" s="10"/>
      <c r="D1054" s="38"/>
      <c r="E1054" s="114" t="s">
        <v>1077</v>
      </c>
      <c r="F1054" s="43">
        <v>6</v>
      </c>
      <c r="G1054" s="99">
        <v>417</v>
      </c>
      <c r="H1054" s="115">
        <v>650</v>
      </c>
    </row>
    <row r="1055" spans="1:8" x14ac:dyDescent="0.2">
      <c r="A1055" s="113" t="s">
        <v>2372</v>
      </c>
      <c r="B1055" s="10"/>
      <c r="C1055" s="10"/>
      <c r="D1055" s="38"/>
      <c r="E1055" s="114" t="s">
        <v>1078</v>
      </c>
      <c r="F1055" s="43">
        <v>8</v>
      </c>
      <c r="G1055" s="99">
        <v>256</v>
      </c>
      <c r="H1055" s="115">
        <v>799</v>
      </c>
    </row>
    <row r="1056" spans="1:8" x14ac:dyDescent="0.2">
      <c r="A1056" s="113" t="s">
        <v>2373</v>
      </c>
      <c r="B1056" s="10"/>
      <c r="C1056" s="10"/>
      <c r="D1056" s="38"/>
      <c r="E1056" s="114" t="s">
        <v>1079</v>
      </c>
      <c r="F1056" s="43">
        <v>11</v>
      </c>
      <c r="G1056" s="99">
        <v>353</v>
      </c>
      <c r="H1056" s="115">
        <v>1100</v>
      </c>
    </row>
    <row r="1057" spans="1:8" x14ac:dyDescent="0.2">
      <c r="A1057" s="113" t="s">
        <v>2374</v>
      </c>
      <c r="B1057" s="10"/>
      <c r="C1057" s="10"/>
      <c r="D1057" s="38"/>
      <c r="E1057" s="114" t="s">
        <v>1080</v>
      </c>
      <c r="F1057" s="43">
        <v>9</v>
      </c>
      <c r="G1057" s="99">
        <v>298</v>
      </c>
      <c r="H1057" s="115">
        <v>930</v>
      </c>
    </row>
    <row r="1058" spans="1:8" x14ac:dyDescent="0.2">
      <c r="A1058" s="113" t="s">
        <v>2375</v>
      </c>
      <c r="B1058" s="10"/>
      <c r="C1058" s="10"/>
      <c r="D1058" s="38"/>
      <c r="E1058" s="114" t="s">
        <v>1081</v>
      </c>
      <c r="F1058" s="43">
        <v>4</v>
      </c>
      <c r="G1058" s="99">
        <v>119</v>
      </c>
      <c r="H1058" s="115">
        <v>370</v>
      </c>
    </row>
    <row r="1059" spans="1:8" x14ac:dyDescent="0.2">
      <c r="A1059" s="113" t="s">
        <v>2376</v>
      </c>
      <c r="B1059" s="10"/>
      <c r="C1059" s="10"/>
      <c r="D1059" s="38"/>
      <c r="E1059" s="114" t="s">
        <v>1251</v>
      </c>
      <c r="F1059" s="43">
        <v>7</v>
      </c>
      <c r="G1059" s="99">
        <v>481</v>
      </c>
      <c r="H1059" s="115">
        <v>750</v>
      </c>
    </row>
    <row r="1060" spans="1:8" x14ac:dyDescent="0.2">
      <c r="A1060" s="113" t="s">
        <v>2377</v>
      </c>
      <c r="B1060" s="10"/>
      <c r="C1060" s="10"/>
      <c r="D1060" s="38"/>
      <c r="E1060" s="114" t="s">
        <v>1082</v>
      </c>
      <c r="F1060" s="43">
        <v>4</v>
      </c>
      <c r="G1060" s="99">
        <v>289</v>
      </c>
      <c r="H1060" s="115">
        <v>450</v>
      </c>
    </row>
    <row r="1061" spans="1:8" x14ac:dyDescent="0.2">
      <c r="A1061" s="113" t="s">
        <v>2378</v>
      </c>
      <c r="B1061" s="10"/>
      <c r="C1061" s="10"/>
      <c r="D1061" s="38"/>
      <c r="E1061" s="114" t="s">
        <v>1083</v>
      </c>
      <c r="F1061" s="43">
        <v>4</v>
      </c>
      <c r="G1061" s="99">
        <v>257</v>
      </c>
      <c r="H1061" s="115">
        <v>400</v>
      </c>
    </row>
    <row r="1062" spans="1:8" x14ac:dyDescent="0.2">
      <c r="A1062" s="113" t="s">
        <v>2379</v>
      </c>
      <c r="B1062" s="10"/>
      <c r="C1062" s="10"/>
      <c r="D1062" s="38"/>
      <c r="E1062" s="114" t="s">
        <v>1084</v>
      </c>
      <c r="F1062" s="43">
        <v>4</v>
      </c>
      <c r="G1062" s="99">
        <v>257</v>
      </c>
      <c r="H1062" s="115">
        <v>400</v>
      </c>
    </row>
    <row r="1063" spans="1:8" x14ac:dyDescent="0.2">
      <c r="A1063" s="113" t="s">
        <v>2380</v>
      </c>
      <c r="B1063" s="10"/>
      <c r="C1063" s="10"/>
      <c r="D1063" s="38"/>
      <c r="E1063" s="114" t="s">
        <v>1085</v>
      </c>
      <c r="F1063" s="43">
        <v>4</v>
      </c>
      <c r="G1063" s="99">
        <v>257</v>
      </c>
      <c r="H1063" s="115">
        <v>400</v>
      </c>
    </row>
    <row r="1064" spans="1:8" x14ac:dyDescent="0.2">
      <c r="A1064" s="113" t="s">
        <v>2381</v>
      </c>
      <c r="B1064" s="10"/>
      <c r="C1064" s="10"/>
      <c r="D1064" s="38"/>
      <c r="E1064" s="114" t="s">
        <v>1086</v>
      </c>
      <c r="F1064" s="43">
        <v>4</v>
      </c>
      <c r="G1064" s="99">
        <v>257</v>
      </c>
      <c r="H1064" s="115">
        <v>400</v>
      </c>
    </row>
    <row r="1065" spans="1:8" x14ac:dyDescent="0.2">
      <c r="A1065" s="113" t="s">
        <v>2382</v>
      </c>
      <c r="B1065" s="10"/>
      <c r="C1065" s="10"/>
      <c r="D1065" s="38"/>
      <c r="E1065" s="114" t="s">
        <v>1087</v>
      </c>
      <c r="F1065" s="43">
        <v>4</v>
      </c>
      <c r="G1065" s="99">
        <v>289</v>
      </c>
      <c r="H1065" s="115">
        <v>450</v>
      </c>
    </row>
    <row r="1066" spans="1:8" x14ac:dyDescent="0.2">
      <c r="A1066" s="113" t="s">
        <v>2383</v>
      </c>
      <c r="B1066" s="10"/>
      <c r="C1066" s="10"/>
      <c r="D1066" s="38"/>
      <c r="E1066" s="114" t="s">
        <v>1252</v>
      </c>
      <c r="F1066" s="43">
        <v>7</v>
      </c>
      <c r="G1066" s="99">
        <v>481</v>
      </c>
      <c r="H1066" s="115">
        <v>750</v>
      </c>
    </row>
    <row r="1067" spans="1:8" x14ac:dyDescent="0.2">
      <c r="A1067" s="113" t="s">
        <v>2384</v>
      </c>
      <c r="B1067" s="10"/>
      <c r="C1067" s="10"/>
      <c r="D1067" s="38"/>
      <c r="E1067" s="114" t="s">
        <v>1088</v>
      </c>
      <c r="F1067" s="43">
        <v>4</v>
      </c>
      <c r="G1067" s="99">
        <v>289</v>
      </c>
      <c r="H1067" s="115">
        <v>450</v>
      </c>
    </row>
    <row r="1068" spans="1:8" x14ac:dyDescent="0.2">
      <c r="A1068" s="113" t="s">
        <v>2385</v>
      </c>
      <c r="B1068" s="10"/>
      <c r="C1068" s="10"/>
      <c r="D1068" s="38"/>
      <c r="E1068" s="114" t="s">
        <v>1089</v>
      </c>
      <c r="F1068" s="43">
        <v>4</v>
      </c>
      <c r="G1068" s="99">
        <v>257</v>
      </c>
      <c r="H1068" s="115">
        <v>400</v>
      </c>
    </row>
    <row r="1069" spans="1:8" x14ac:dyDescent="0.2">
      <c r="A1069" s="113" t="s">
        <v>2386</v>
      </c>
      <c r="B1069" s="12"/>
      <c r="C1069" s="13"/>
      <c r="D1069" s="53"/>
      <c r="E1069" s="114" t="s">
        <v>1253</v>
      </c>
      <c r="F1069" s="43">
        <v>3</v>
      </c>
      <c r="G1069" s="99">
        <v>186</v>
      </c>
      <c r="H1069" s="115">
        <v>290</v>
      </c>
    </row>
    <row r="1070" spans="1:8" x14ac:dyDescent="0.2">
      <c r="A1070" s="113" t="s">
        <v>2387</v>
      </c>
      <c r="B1070" s="12"/>
      <c r="C1070" s="13"/>
      <c r="D1070" s="53"/>
      <c r="E1070" s="114" t="s">
        <v>1254</v>
      </c>
      <c r="F1070" s="43">
        <v>8</v>
      </c>
      <c r="G1070" s="99">
        <v>513</v>
      </c>
      <c r="H1070" s="115">
        <v>800</v>
      </c>
    </row>
    <row r="1071" spans="1:8" x14ac:dyDescent="0.2">
      <c r="A1071" s="113" t="s">
        <v>2388</v>
      </c>
      <c r="B1071" s="12"/>
      <c r="C1071" s="13"/>
      <c r="D1071" s="53"/>
      <c r="E1071" s="114" t="s">
        <v>1255</v>
      </c>
      <c r="F1071" s="43">
        <v>4</v>
      </c>
      <c r="G1071" s="99">
        <v>289</v>
      </c>
      <c r="H1071" s="115">
        <v>450</v>
      </c>
    </row>
    <row r="1072" spans="1:8" x14ac:dyDescent="0.2">
      <c r="A1072" s="113" t="s">
        <v>2389</v>
      </c>
      <c r="B1072" s="12"/>
      <c r="C1072" s="13"/>
      <c r="D1072" s="53"/>
      <c r="E1072" s="114" t="s">
        <v>1090</v>
      </c>
      <c r="F1072" s="43">
        <v>6</v>
      </c>
      <c r="G1072" s="99">
        <v>417</v>
      </c>
      <c r="H1072" s="115">
        <v>650</v>
      </c>
    </row>
    <row r="1073" spans="1:8" x14ac:dyDescent="0.2">
      <c r="A1073" s="113" t="s">
        <v>2390</v>
      </c>
      <c r="B1073" s="12"/>
      <c r="C1073" s="13"/>
      <c r="D1073" s="53"/>
      <c r="E1073" s="114" t="s">
        <v>1256</v>
      </c>
      <c r="F1073" s="43">
        <v>7</v>
      </c>
      <c r="G1073" s="99">
        <v>449</v>
      </c>
      <c r="H1073" s="115">
        <v>700</v>
      </c>
    </row>
    <row r="1074" spans="1:8" x14ac:dyDescent="0.2">
      <c r="A1074" s="113" t="s">
        <v>2391</v>
      </c>
      <c r="B1074" s="12"/>
      <c r="C1074" s="13"/>
      <c r="D1074" s="53"/>
      <c r="E1074" s="114" t="s">
        <v>1257</v>
      </c>
      <c r="F1074" s="43">
        <v>4</v>
      </c>
      <c r="G1074" s="99">
        <v>289</v>
      </c>
      <c r="H1074" s="115">
        <v>450</v>
      </c>
    </row>
    <row r="1075" spans="1:8" x14ac:dyDescent="0.2">
      <c r="A1075" s="113" t="s">
        <v>2392</v>
      </c>
      <c r="B1075" s="12"/>
      <c r="C1075" s="13"/>
      <c r="D1075" s="53"/>
      <c r="E1075" s="114" t="s">
        <v>1091</v>
      </c>
      <c r="F1075" s="43">
        <v>3</v>
      </c>
      <c r="G1075" s="99">
        <v>186</v>
      </c>
      <c r="H1075" s="115">
        <v>290</v>
      </c>
    </row>
    <row r="1076" spans="1:8" x14ac:dyDescent="0.2">
      <c r="A1076" s="113" t="s">
        <v>2393</v>
      </c>
      <c r="B1076" s="12"/>
      <c r="C1076" s="13"/>
      <c r="D1076" s="53"/>
      <c r="E1076" s="114" t="s">
        <v>1092</v>
      </c>
      <c r="F1076" s="43">
        <v>9</v>
      </c>
      <c r="G1076" s="99">
        <v>577</v>
      </c>
      <c r="H1076" s="115">
        <v>900</v>
      </c>
    </row>
    <row r="1077" spans="1:8" x14ac:dyDescent="0.2">
      <c r="A1077" s="113" t="s">
        <v>2394</v>
      </c>
      <c r="B1077" s="12"/>
      <c r="C1077" s="13"/>
      <c r="D1077" s="53"/>
      <c r="E1077" s="114" t="s">
        <v>1258</v>
      </c>
      <c r="F1077" s="43">
        <v>12</v>
      </c>
      <c r="G1077" s="99">
        <v>770</v>
      </c>
      <c r="H1077" s="115">
        <v>1200</v>
      </c>
    </row>
    <row r="1078" spans="1:8" ht="15" thickBot="1" x14ac:dyDescent="0.25">
      <c r="A1078" s="113" t="s">
        <v>2395</v>
      </c>
      <c r="B1078" s="12"/>
      <c r="C1078" s="13"/>
      <c r="D1078" s="53"/>
      <c r="E1078" s="114" t="s">
        <v>1093</v>
      </c>
      <c r="F1078" s="43">
        <v>12</v>
      </c>
      <c r="G1078" s="99">
        <v>802</v>
      </c>
      <c r="H1078" s="115">
        <v>1250</v>
      </c>
    </row>
    <row r="1079" spans="1:8" ht="15" thickBot="1" x14ac:dyDescent="0.25">
      <c r="A1079" s="56" t="s">
        <v>41</v>
      </c>
      <c r="B1079" s="57"/>
      <c r="C1079" s="57"/>
      <c r="D1079" s="58"/>
      <c r="E1079" s="82" t="s">
        <v>1094</v>
      </c>
      <c r="F1079" s="60"/>
      <c r="G1079" s="61"/>
      <c r="H1079" s="61"/>
    </row>
    <row r="1080" spans="1:8" x14ac:dyDescent="0.2">
      <c r="A1080" s="113" t="s">
        <v>2396</v>
      </c>
      <c r="B1080" s="12"/>
      <c r="C1080" s="13"/>
      <c r="D1080" s="53"/>
      <c r="E1080" s="114" t="s">
        <v>1259</v>
      </c>
      <c r="F1080" s="43">
        <v>9</v>
      </c>
      <c r="G1080" s="99">
        <v>298</v>
      </c>
      <c r="H1080" s="115">
        <v>930</v>
      </c>
    </row>
    <row r="1081" spans="1:8" x14ac:dyDescent="0.2">
      <c r="A1081" s="113" t="s">
        <v>2397</v>
      </c>
      <c r="B1081" s="12"/>
      <c r="C1081" s="13"/>
      <c r="D1081" s="53"/>
      <c r="E1081" s="114" t="s">
        <v>640</v>
      </c>
      <c r="F1081" s="43">
        <v>4</v>
      </c>
      <c r="G1081" s="99">
        <v>119</v>
      </c>
      <c r="H1081" s="115">
        <v>370</v>
      </c>
    </row>
    <row r="1082" spans="1:8" x14ac:dyDescent="0.2">
      <c r="A1082" s="113" t="s">
        <v>2398</v>
      </c>
      <c r="B1082" s="12"/>
      <c r="C1082" s="13"/>
      <c r="D1082" s="53"/>
      <c r="E1082" s="114" t="s">
        <v>1095</v>
      </c>
      <c r="F1082" s="43">
        <v>6</v>
      </c>
      <c r="G1082" s="99">
        <v>177</v>
      </c>
      <c r="H1082" s="115">
        <v>550</v>
      </c>
    </row>
    <row r="1083" spans="1:8" x14ac:dyDescent="0.2">
      <c r="A1083" s="113" t="s">
        <v>2399</v>
      </c>
      <c r="B1083" s="12"/>
      <c r="C1083" s="13"/>
      <c r="D1083" s="53"/>
      <c r="E1083" s="114" t="s">
        <v>693</v>
      </c>
      <c r="F1083" s="43">
        <v>9</v>
      </c>
      <c r="G1083" s="99">
        <v>298</v>
      </c>
      <c r="H1083" s="115">
        <v>930</v>
      </c>
    </row>
    <row r="1084" spans="1:8" x14ac:dyDescent="0.2">
      <c r="A1084" s="113" t="s">
        <v>2400</v>
      </c>
      <c r="B1084" s="12"/>
      <c r="C1084" s="13"/>
      <c r="D1084" s="53"/>
      <c r="E1084" s="114" t="s">
        <v>1096</v>
      </c>
      <c r="F1084" s="43">
        <v>9</v>
      </c>
      <c r="G1084" s="99">
        <v>298</v>
      </c>
      <c r="H1084" s="115">
        <v>930</v>
      </c>
    </row>
    <row r="1085" spans="1:8" x14ac:dyDescent="0.2">
      <c r="A1085" s="113" t="s">
        <v>2401</v>
      </c>
      <c r="B1085" s="12"/>
      <c r="C1085" s="13"/>
      <c r="D1085" s="53"/>
      <c r="E1085" s="114" t="s">
        <v>1097</v>
      </c>
      <c r="F1085" s="43">
        <v>9</v>
      </c>
      <c r="G1085" s="99">
        <v>305</v>
      </c>
      <c r="H1085" s="115">
        <v>950</v>
      </c>
    </row>
    <row r="1086" spans="1:8" x14ac:dyDescent="0.2">
      <c r="A1086" s="113" t="s">
        <v>2402</v>
      </c>
      <c r="B1086" s="12"/>
      <c r="C1086" s="13"/>
      <c r="D1086" s="53"/>
      <c r="E1086" s="114" t="s">
        <v>1260</v>
      </c>
      <c r="F1086" s="43">
        <v>12</v>
      </c>
      <c r="G1086" s="99">
        <v>802</v>
      </c>
      <c r="H1086" s="115">
        <v>1250</v>
      </c>
    </row>
    <row r="1087" spans="1:8" x14ac:dyDescent="0.2">
      <c r="A1087" s="113" t="s">
        <v>2403</v>
      </c>
      <c r="B1087" s="12"/>
      <c r="C1087" s="13"/>
      <c r="D1087" s="53"/>
      <c r="E1087" s="114" t="s">
        <v>1261</v>
      </c>
      <c r="F1087" s="43">
        <v>6</v>
      </c>
      <c r="G1087" s="99">
        <v>385</v>
      </c>
      <c r="H1087" s="115">
        <v>600</v>
      </c>
    </row>
    <row r="1088" spans="1:8" x14ac:dyDescent="0.2">
      <c r="A1088" s="113" t="s">
        <v>2404</v>
      </c>
      <c r="B1088" s="12"/>
      <c r="C1088" s="13"/>
      <c r="D1088" s="53"/>
      <c r="E1088" s="114" t="s">
        <v>1098</v>
      </c>
      <c r="F1088" s="43">
        <v>2</v>
      </c>
      <c r="G1088" s="99">
        <v>128</v>
      </c>
      <c r="H1088" s="115">
        <v>200</v>
      </c>
    </row>
    <row r="1089" spans="1:8" x14ac:dyDescent="0.2">
      <c r="A1089" s="113" t="s">
        <v>2405</v>
      </c>
      <c r="B1089" s="12"/>
      <c r="C1089" s="13"/>
      <c r="D1089" s="53"/>
      <c r="E1089" s="114" t="s">
        <v>1262</v>
      </c>
      <c r="F1089" s="43">
        <v>8</v>
      </c>
      <c r="G1089" s="99">
        <v>513</v>
      </c>
      <c r="H1089" s="115">
        <v>800</v>
      </c>
    </row>
    <row r="1090" spans="1:8" x14ac:dyDescent="0.2">
      <c r="A1090" s="113" t="s">
        <v>36</v>
      </c>
      <c r="B1090" s="12"/>
      <c r="C1090" s="13"/>
      <c r="D1090" s="53"/>
      <c r="E1090" s="114" t="s">
        <v>18</v>
      </c>
      <c r="F1090" s="43">
        <v>26</v>
      </c>
      <c r="G1090" s="99">
        <v>1668</v>
      </c>
      <c r="H1090" s="115">
        <v>2600</v>
      </c>
    </row>
    <row r="1091" spans="1:8" x14ac:dyDescent="0.2">
      <c r="A1091" s="113" t="s">
        <v>37</v>
      </c>
      <c r="B1091" s="12"/>
      <c r="C1091" s="13"/>
      <c r="D1091" s="53"/>
      <c r="E1091" s="114" t="s">
        <v>20</v>
      </c>
      <c r="F1091" s="43">
        <v>15</v>
      </c>
      <c r="G1091" s="99">
        <v>994</v>
      </c>
      <c r="H1091" s="115">
        <v>1550</v>
      </c>
    </row>
    <row r="1092" spans="1:8" x14ac:dyDescent="0.2">
      <c r="A1092" s="113" t="s">
        <v>2406</v>
      </c>
      <c r="B1092" s="12"/>
      <c r="C1092" s="13"/>
      <c r="D1092" s="53"/>
      <c r="E1092" s="114" t="s">
        <v>1263</v>
      </c>
      <c r="F1092" s="43">
        <v>6</v>
      </c>
      <c r="G1092" s="99">
        <v>385</v>
      </c>
      <c r="H1092" s="115">
        <v>600</v>
      </c>
    </row>
    <row r="1093" spans="1:8" x14ac:dyDescent="0.2">
      <c r="A1093" s="113" t="s">
        <v>2407</v>
      </c>
      <c r="B1093" s="12"/>
      <c r="C1093" s="13"/>
      <c r="D1093" s="53"/>
      <c r="E1093" s="114" t="s">
        <v>1264</v>
      </c>
      <c r="F1093" s="43">
        <v>6</v>
      </c>
      <c r="G1093" s="99">
        <v>385</v>
      </c>
      <c r="H1093" s="115">
        <v>600</v>
      </c>
    </row>
    <row r="1094" spans="1:8" x14ac:dyDescent="0.2">
      <c r="A1094" s="113" t="s">
        <v>2408</v>
      </c>
      <c r="B1094" s="12"/>
      <c r="C1094" s="13"/>
      <c r="D1094" s="53"/>
      <c r="E1094" s="114" t="s">
        <v>1265</v>
      </c>
      <c r="F1094" s="43">
        <v>6</v>
      </c>
      <c r="G1094" s="99">
        <v>385</v>
      </c>
      <c r="H1094" s="115">
        <v>600</v>
      </c>
    </row>
    <row r="1095" spans="1:8" x14ac:dyDescent="0.2">
      <c r="A1095" s="113" t="s">
        <v>2409</v>
      </c>
      <c r="B1095" s="12"/>
      <c r="C1095" s="13"/>
      <c r="D1095" s="53"/>
      <c r="E1095" s="114" t="s">
        <v>1099</v>
      </c>
      <c r="F1095" s="43">
        <v>6</v>
      </c>
      <c r="G1095" s="99">
        <v>417</v>
      </c>
      <c r="H1095" s="115">
        <v>650</v>
      </c>
    </row>
    <row r="1096" spans="1:8" x14ac:dyDescent="0.2">
      <c r="A1096" s="113" t="s">
        <v>2410</v>
      </c>
      <c r="B1096" s="12"/>
      <c r="C1096" s="13"/>
      <c r="D1096" s="53"/>
      <c r="E1096" s="114" t="s">
        <v>1266</v>
      </c>
      <c r="F1096" s="43">
        <v>6</v>
      </c>
      <c r="G1096" s="99">
        <v>385</v>
      </c>
      <c r="H1096" s="115">
        <v>600</v>
      </c>
    </row>
    <row r="1097" spans="1:8" x14ac:dyDescent="0.2">
      <c r="A1097" s="113" t="s">
        <v>2411</v>
      </c>
      <c r="B1097" s="12"/>
      <c r="C1097" s="13"/>
      <c r="D1097" s="53"/>
      <c r="E1097" s="114" t="s">
        <v>878</v>
      </c>
      <c r="F1097" s="43">
        <v>26</v>
      </c>
      <c r="G1097" s="99">
        <v>1668</v>
      </c>
      <c r="H1097" s="115">
        <v>2600</v>
      </c>
    </row>
    <row r="1098" spans="1:8" x14ac:dyDescent="0.2">
      <c r="A1098" s="113" t="s">
        <v>2412</v>
      </c>
      <c r="B1098" s="12"/>
      <c r="C1098" s="13"/>
      <c r="D1098" s="53"/>
      <c r="E1098" s="114" t="s">
        <v>1100</v>
      </c>
      <c r="F1098" s="43">
        <v>16</v>
      </c>
      <c r="G1098" s="99">
        <v>1059</v>
      </c>
      <c r="H1098" s="115">
        <v>1650</v>
      </c>
    </row>
    <row r="1099" spans="1:8" x14ac:dyDescent="0.2">
      <c r="A1099" s="113" t="s">
        <v>2413</v>
      </c>
      <c r="B1099" s="12"/>
      <c r="C1099" s="13"/>
      <c r="D1099" s="53"/>
      <c r="E1099" s="114" t="s">
        <v>1267</v>
      </c>
      <c r="F1099" s="43">
        <v>13</v>
      </c>
      <c r="G1099" s="99">
        <v>834</v>
      </c>
      <c r="H1099" s="115">
        <v>1300</v>
      </c>
    </row>
    <row r="1100" spans="1:8" x14ac:dyDescent="0.2">
      <c r="A1100" s="113" t="s">
        <v>2414</v>
      </c>
      <c r="B1100" s="12"/>
      <c r="C1100" s="13"/>
      <c r="D1100" s="53"/>
      <c r="E1100" s="114" t="s">
        <v>1101</v>
      </c>
      <c r="F1100" s="43">
        <v>6</v>
      </c>
      <c r="G1100" s="99">
        <v>417</v>
      </c>
      <c r="H1100" s="115">
        <v>650</v>
      </c>
    </row>
    <row r="1101" spans="1:8" x14ac:dyDescent="0.2">
      <c r="A1101" s="113" t="s">
        <v>2415</v>
      </c>
      <c r="B1101" s="12"/>
      <c r="C1101" s="13"/>
      <c r="D1101" s="53"/>
      <c r="E1101" s="114" t="s">
        <v>1102</v>
      </c>
      <c r="F1101" s="43">
        <v>16</v>
      </c>
      <c r="G1101" s="99">
        <v>1059</v>
      </c>
      <c r="H1101" s="115">
        <v>1650</v>
      </c>
    </row>
    <row r="1102" spans="1:8" x14ac:dyDescent="0.2">
      <c r="A1102" s="113" t="s">
        <v>2416</v>
      </c>
      <c r="B1102" s="12"/>
      <c r="C1102" s="13"/>
      <c r="D1102" s="53"/>
      <c r="E1102" s="114" t="s">
        <v>1268</v>
      </c>
      <c r="F1102" s="43">
        <v>14</v>
      </c>
      <c r="G1102" s="99">
        <v>931</v>
      </c>
      <c r="H1102" s="115">
        <v>1450</v>
      </c>
    </row>
    <row r="1103" spans="1:8" x14ac:dyDescent="0.2">
      <c r="A1103" s="113" t="s">
        <v>2417</v>
      </c>
      <c r="B1103" s="12"/>
      <c r="C1103" s="13"/>
      <c r="D1103" s="53"/>
      <c r="E1103" s="114" t="s">
        <v>1103</v>
      </c>
      <c r="F1103" s="43">
        <v>13</v>
      </c>
      <c r="G1103" s="99">
        <v>834</v>
      </c>
      <c r="H1103" s="115">
        <v>1300</v>
      </c>
    </row>
    <row r="1104" spans="1:8" x14ac:dyDescent="0.2">
      <c r="A1104" s="113" t="s">
        <v>2418</v>
      </c>
      <c r="B1104" s="12"/>
      <c r="C1104" s="13"/>
      <c r="D1104" s="53"/>
      <c r="E1104" s="114" t="s">
        <v>1269</v>
      </c>
      <c r="F1104" s="43">
        <v>10</v>
      </c>
      <c r="G1104" s="99">
        <v>674</v>
      </c>
      <c r="H1104" s="115">
        <v>1050</v>
      </c>
    </row>
    <row r="1105" spans="1:8" x14ac:dyDescent="0.2">
      <c r="A1105" s="113" t="s">
        <v>2419</v>
      </c>
      <c r="B1105" s="12"/>
      <c r="C1105" s="13"/>
      <c r="D1105" s="53"/>
      <c r="E1105" s="114" t="s">
        <v>1270</v>
      </c>
      <c r="F1105" s="43">
        <v>10</v>
      </c>
      <c r="G1105" s="99">
        <v>674</v>
      </c>
      <c r="H1105" s="115">
        <v>1050</v>
      </c>
    </row>
    <row r="1106" spans="1:8" x14ac:dyDescent="0.2">
      <c r="A1106" s="113" t="s">
        <v>2420</v>
      </c>
      <c r="B1106" s="12"/>
      <c r="C1106" s="13"/>
      <c r="D1106" s="53"/>
      <c r="E1106" s="114" t="s">
        <v>1271</v>
      </c>
      <c r="F1106" s="43">
        <v>10</v>
      </c>
      <c r="G1106" s="99">
        <v>674</v>
      </c>
      <c r="H1106" s="115">
        <v>1050</v>
      </c>
    </row>
    <row r="1107" spans="1:8" x14ac:dyDescent="0.2">
      <c r="A1107" s="113" t="s">
        <v>2421</v>
      </c>
      <c r="B1107" s="12"/>
      <c r="C1107" s="13"/>
      <c r="D1107" s="53"/>
      <c r="E1107" s="114" t="s">
        <v>1272</v>
      </c>
      <c r="F1107" s="43">
        <v>10</v>
      </c>
      <c r="G1107" s="99">
        <v>674</v>
      </c>
      <c r="H1107" s="115">
        <v>1050</v>
      </c>
    </row>
    <row r="1108" spans="1:8" x14ac:dyDescent="0.2">
      <c r="A1108" s="113" t="s">
        <v>2422</v>
      </c>
      <c r="B1108" s="12"/>
      <c r="C1108" s="13"/>
      <c r="D1108" s="53"/>
      <c r="E1108" s="114" t="s">
        <v>1273</v>
      </c>
      <c r="F1108" s="43">
        <v>10</v>
      </c>
      <c r="G1108" s="99">
        <v>674</v>
      </c>
      <c r="H1108" s="115">
        <v>1050</v>
      </c>
    </row>
    <row r="1109" spans="1:8" x14ac:dyDescent="0.2">
      <c r="A1109" s="113" t="s">
        <v>2423</v>
      </c>
      <c r="B1109" s="12"/>
      <c r="C1109" s="13"/>
      <c r="D1109" s="53"/>
      <c r="E1109" s="114" t="s">
        <v>1274</v>
      </c>
      <c r="F1109" s="43">
        <v>10</v>
      </c>
      <c r="G1109" s="99">
        <v>674</v>
      </c>
      <c r="H1109" s="115">
        <v>1050</v>
      </c>
    </row>
    <row r="1110" spans="1:8" x14ac:dyDescent="0.2">
      <c r="A1110" s="113" t="s">
        <v>2424</v>
      </c>
      <c r="B1110" s="12"/>
      <c r="C1110" s="13"/>
      <c r="D1110" s="53"/>
      <c r="E1110" s="114" t="s">
        <v>1104</v>
      </c>
      <c r="F1110" s="43">
        <v>9</v>
      </c>
      <c r="G1110" s="99">
        <v>546</v>
      </c>
      <c r="H1110" s="115">
        <v>850</v>
      </c>
    </row>
    <row r="1111" spans="1:8" x14ac:dyDescent="0.2">
      <c r="A1111" s="113" t="s">
        <v>2425</v>
      </c>
      <c r="B1111" s="12"/>
      <c r="C1111" s="13"/>
      <c r="D1111" s="53"/>
      <c r="E1111" s="114" t="s">
        <v>1275</v>
      </c>
      <c r="F1111" s="43">
        <v>9</v>
      </c>
      <c r="G1111" s="99">
        <v>546</v>
      </c>
      <c r="H1111" s="115">
        <v>850</v>
      </c>
    </row>
    <row r="1112" spans="1:8" x14ac:dyDescent="0.2">
      <c r="A1112" s="113" t="s">
        <v>2426</v>
      </c>
      <c r="B1112" s="12"/>
      <c r="C1112" s="13"/>
      <c r="D1112" s="53"/>
      <c r="E1112" s="114" t="s">
        <v>1105</v>
      </c>
      <c r="F1112" s="43">
        <v>13</v>
      </c>
      <c r="G1112" s="99">
        <v>834</v>
      </c>
      <c r="H1112" s="115">
        <v>1300</v>
      </c>
    </row>
    <row r="1113" spans="1:8" x14ac:dyDescent="0.2">
      <c r="A1113" s="113" t="s">
        <v>2427</v>
      </c>
      <c r="B1113" s="12"/>
      <c r="C1113" s="13"/>
      <c r="D1113" s="53"/>
      <c r="E1113" s="114" t="s">
        <v>1106</v>
      </c>
      <c r="F1113" s="43">
        <v>6</v>
      </c>
      <c r="G1113" s="99">
        <v>417</v>
      </c>
      <c r="H1113" s="115">
        <v>650</v>
      </c>
    </row>
    <row r="1114" spans="1:8" x14ac:dyDescent="0.2">
      <c r="A1114" s="113" t="s">
        <v>2428</v>
      </c>
      <c r="B1114" s="12"/>
      <c r="C1114" s="13"/>
      <c r="D1114" s="53"/>
      <c r="E1114" s="114" t="s">
        <v>1276</v>
      </c>
      <c r="F1114" s="43">
        <v>11</v>
      </c>
      <c r="G1114" s="99">
        <v>705</v>
      </c>
      <c r="H1114" s="115">
        <v>1100</v>
      </c>
    </row>
    <row r="1115" spans="1:8" x14ac:dyDescent="0.2">
      <c r="A1115" s="113" t="s">
        <v>2429</v>
      </c>
      <c r="B1115" s="12"/>
      <c r="C1115" s="13"/>
      <c r="D1115" s="53"/>
      <c r="E1115" s="114" t="s">
        <v>1277</v>
      </c>
      <c r="F1115" s="43">
        <v>7</v>
      </c>
      <c r="G1115" s="99">
        <v>481</v>
      </c>
      <c r="H1115" s="115">
        <v>750</v>
      </c>
    </row>
    <row r="1116" spans="1:8" x14ac:dyDescent="0.2">
      <c r="A1116" s="113" t="s">
        <v>2430</v>
      </c>
      <c r="B1116" s="12"/>
      <c r="C1116" s="13"/>
      <c r="D1116" s="53"/>
      <c r="E1116" s="114" t="s">
        <v>1278</v>
      </c>
      <c r="F1116" s="43">
        <v>2</v>
      </c>
      <c r="G1116" s="99">
        <v>122</v>
      </c>
      <c r="H1116" s="115">
        <v>190</v>
      </c>
    </row>
    <row r="1117" spans="1:8" ht="15" thickBot="1" x14ac:dyDescent="0.25">
      <c r="A1117" s="113" t="s">
        <v>2431</v>
      </c>
      <c r="B1117" s="12"/>
      <c r="C1117" s="13"/>
      <c r="D1117" s="53"/>
      <c r="E1117" s="114" t="s">
        <v>1279</v>
      </c>
      <c r="F1117" s="43">
        <v>2</v>
      </c>
      <c r="G1117" s="99">
        <v>122</v>
      </c>
      <c r="H1117" s="115">
        <v>190</v>
      </c>
    </row>
    <row r="1118" spans="1:8" ht="15" thickBot="1" x14ac:dyDescent="0.25">
      <c r="A1118" s="56" t="s">
        <v>41</v>
      </c>
      <c r="B1118" s="57"/>
      <c r="C1118" s="57"/>
      <c r="D1118" s="58"/>
      <c r="E1118" s="82" t="s">
        <v>1107</v>
      </c>
      <c r="F1118" s="60"/>
      <c r="G1118" s="61"/>
      <c r="H1118" s="61"/>
    </row>
    <row r="1119" spans="1:8" x14ac:dyDescent="0.2">
      <c r="A1119" s="113" t="s">
        <v>2432</v>
      </c>
      <c r="B1119" s="12"/>
      <c r="C1119" s="13"/>
      <c r="D1119" s="53"/>
      <c r="E1119" s="114" t="s">
        <v>1108</v>
      </c>
      <c r="F1119" s="43">
        <v>6</v>
      </c>
      <c r="G1119" s="99">
        <v>385</v>
      </c>
      <c r="H1119" s="115">
        <v>600</v>
      </c>
    </row>
    <row r="1120" spans="1:8" ht="15" thickBot="1" x14ac:dyDescent="0.25">
      <c r="A1120" s="113" t="s">
        <v>2433</v>
      </c>
      <c r="B1120" s="12"/>
      <c r="C1120" s="13"/>
      <c r="D1120" s="53"/>
      <c r="E1120" s="114" t="s">
        <v>1109</v>
      </c>
      <c r="F1120" s="43">
        <v>3</v>
      </c>
      <c r="G1120" s="99">
        <v>103</v>
      </c>
      <c r="H1120" s="115">
        <v>320</v>
      </c>
    </row>
    <row r="1121" spans="1:8" ht="15" thickBot="1" x14ac:dyDescent="0.25">
      <c r="A1121" s="56" t="s">
        <v>41</v>
      </c>
      <c r="B1121" s="57"/>
      <c r="C1121" s="57"/>
      <c r="D1121" s="58"/>
      <c r="E1121" s="82" t="s">
        <v>718</v>
      </c>
      <c r="F1121" s="60"/>
      <c r="G1121" s="61"/>
      <c r="H1121" s="61"/>
    </row>
    <row r="1122" spans="1:8" x14ac:dyDescent="0.2">
      <c r="A1122" s="113" t="s">
        <v>2434</v>
      </c>
      <c r="B1122" s="12"/>
      <c r="C1122" s="13"/>
      <c r="D1122" s="53"/>
      <c r="E1122" s="114" t="s">
        <v>1110</v>
      </c>
      <c r="F1122" s="43">
        <v>3</v>
      </c>
      <c r="G1122" s="99">
        <v>103</v>
      </c>
      <c r="H1122" s="115">
        <v>320</v>
      </c>
    </row>
    <row r="1123" spans="1:8" x14ac:dyDescent="0.2">
      <c r="A1123" s="113" t="s">
        <v>2435</v>
      </c>
      <c r="B1123" s="12"/>
      <c r="C1123" s="13"/>
      <c r="D1123" s="53"/>
      <c r="E1123" s="114" t="s">
        <v>1280</v>
      </c>
      <c r="F1123" s="43">
        <v>5</v>
      </c>
      <c r="G1123" s="99">
        <v>321</v>
      </c>
      <c r="H1123" s="115">
        <v>500</v>
      </c>
    </row>
    <row r="1124" spans="1:8" x14ac:dyDescent="0.2">
      <c r="A1124" s="113" t="s">
        <v>2436</v>
      </c>
      <c r="B1124" s="12"/>
      <c r="C1124" s="13"/>
      <c r="D1124" s="53"/>
      <c r="E1124" s="114" t="s">
        <v>1281</v>
      </c>
      <c r="F1124" s="43">
        <v>2</v>
      </c>
      <c r="G1124" s="99">
        <v>147</v>
      </c>
      <c r="H1124" s="115">
        <v>230</v>
      </c>
    </row>
    <row r="1125" spans="1:8" ht="15" thickBot="1" x14ac:dyDescent="0.25">
      <c r="A1125" s="113" t="s">
        <v>2437</v>
      </c>
      <c r="B1125" s="12"/>
      <c r="C1125" s="13"/>
      <c r="D1125" s="53"/>
      <c r="E1125" s="114" t="s">
        <v>1282</v>
      </c>
      <c r="F1125" s="43">
        <v>2</v>
      </c>
      <c r="G1125" s="99">
        <v>80</v>
      </c>
      <c r="H1125" s="115">
        <v>249</v>
      </c>
    </row>
    <row r="1126" spans="1:8" ht="15" thickBot="1" x14ac:dyDescent="0.25">
      <c r="A1126" s="56" t="s">
        <v>41</v>
      </c>
      <c r="B1126" s="57"/>
      <c r="C1126" s="57"/>
      <c r="D1126" s="58"/>
      <c r="E1126" s="82" t="s">
        <v>1111</v>
      </c>
      <c r="F1126" s="60"/>
      <c r="G1126" s="61"/>
      <c r="H1126" s="61"/>
    </row>
    <row r="1127" spans="1:8" x14ac:dyDescent="0.2">
      <c r="A1127" s="113" t="s">
        <v>2438</v>
      </c>
      <c r="B1127" s="12"/>
      <c r="C1127" s="13"/>
      <c r="D1127" s="53"/>
      <c r="E1127" s="114" t="s">
        <v>23</v>
      </c>
      <c r="F1127" s="43">
        <v>4</v>
      </c>
      <c r="G1127" s="99">
        <v>119</v>
      </c>
      <c r="H1127" s="115">
        <v>370</v>
      </c>
    </row>
    <row r="1128" spans="1:8" x14ac:dyDescent="0.2">
      <c r="A1128" s="113" t="s">
        <v>2439</v>
      </c>
      <c r="B1128" s="12"/>
      <c r="C1128" s="13"/>
      <c r="D1128" s="53"/>
      <c r="E1128" s="114" t="s">
        <v>1283</v>
      </c>
      <c r="F1128" s="43">
        <v>14</v>
      </c>
      <c r="G1128" s="99">
        <v>449</v>
      </c>
      <c r="H1128" s="115">
        <v>1400</v>
      </c>
    </row>
    <row r="1129" spans="1:8" x14ac:dyDescent="0.2">
      <c r="A1129" s="113" t="s">
        <v>2440</v>
      </c>
      <c r="B1129" s="12"/>
      <c r="C1129" s="13"/>
      <c r="D1129" s="53"/>
      <c r="E1129" s="114" t="s">
        <v>1113</v>
      </c>
      <c r="F1129" s="43">
        <v>8</v>
      </c>
      <c r="G1129" s="99">
        <v>256</v>
      </c>
      <c r="H1129" s="115">
        <v>800</v>
      </c>
    </row>
    <row r="1130" spans="1:8" x14ac:dyDescent="0.2">
      <c r="A1130" s="113" t="s">
        <v>2441</v>
      </c>
      <c r="B1130" s="12"/>
      <c r="C1130" s="13"/>
      <c r="D1130" s="53"/>
      <c r="E1130" s="114" t="s">
        <v>1112</v>
      </c>
      <c r="F1130" s="43">
        <v>7</v>
      </c>
      <c r="G1130" s="99">
        <v>237</v>
      </c>
      <c r="H1130" s="115">
        <v>740</v>
      </c>
    </row>
    <row r="1131" spans="1:8" x14ac:dyDescent="0.2">
      <c r="A1131" s="113" t="s">
        <v>2442</v>
      </c>
      <c r="B1131" s="12"/>
      <c r="C1131" s="13"/>
      <c r="D1131" s="53"/>
      <c r="E1131" s="114" t="s">
        <v>1284</v>
      </c>
      <c r="F1131" s="43">
        <v>7</v>
      </c>
      <c r="G1131" s="99">
        <v>237</v>
      </c>
      <c r="H1131" s="115">
        <v>740</v>
      </c>
    </row>
    <row r="1132" spans="1:8" x14ac:dyDescent="0.2">
      <c r="A1132" s="113" t="s">
        <v>2443</v>
      </c>
      <c r="B1132" s="12"/>
      <c r="C1132" s="13"/>
      <c r="D1132" s="53"/>
      <c r="E1132" s="114" t="s">
        <v>1113</v>
      </c>
      <c r="F1132" s="43">
        <v>8</v>
      </c>
      <c r="G1132" s="99">
        <v>256</v>
      </c>
      <c r="H1132" s="115">
        <v>800</v>
      </c>
    </row>
    <row r="1133" spans="1:8" x14ac:dyDescent="0.2">
      <c r="A1133" s="113" t="s">
        <v>2444</v>
      </c>
      <c r="B1133" s="12"/>
      <c r="C1133" s="13"/>
      <c r="D1133" s="53"/>
      <c r="E1133" s="114" t="s">
        <v>1114</v>
      </c>
      <c r="F1133" s="43">
        <v>7</v>
      </c>
      <c r="G1133" s="99">
        <v>237</v>
      </c>
      <c r="H1133" s="115">
        <v>740</v>
      </c>
    </row>
    <row r="1134" spans="1:8" x14ac:dyDescent="0.2">
      <c r="A1134" s="113" t="s">
        <v>2445</v>
      </c>
      <c r="B1134" s="12"/>
      <c r="C1134" s="13"/>
      <c r="D1134" s="53"/>
      <c r="E1134" s="114" t="s">
        <v>1115</v>
      </c>
      <c r="F1134" s="43">
        <v>5</v>
      </c>
      <c r="G1134" s="99">
        <v>154</v>
      </c>
      <c r="H1134" s="115">
        <v>480</v>
      </c>
    </row>
    <row r="1135" spans="1:8" x14ac:dyDescent="0.2">
      <c r="A1135" s="113" t="s">
        <v>2446</v>
      </c>
      <c r="B1135" s="12"/>
      <c r="C1135" s="13"/>
      <c r="D1135" s="53"/>
      <c r="E1135" s="114" t="s">
        <v>1285</v>
      </c>
      <c r="F1135" s="43">
        <v>5</v>
      </c>
      <c r="G1135" s="99">
        <v>154</v>
      </c>
      <c r="H1135" s="115">
        <v>480</v>
      </c>
    </row>
    <row r="1136" spans="1:8" ht="15" thickBot="1" x14ac:dyDescent="0.25">
      <c r="A1136" s="113" t="s">
        <v>2447</v>
      </c>
      <c r="B1136" s="12"/>
      <c r="C1136" s="13"/>
      <c r="D1136" s="53"/>
      <c r="E1136" s="114" t="s">
        <v>1116</v>
      </c>
      <c r="F1136" s="43">
        <v>5</v>
      </c>
      <c r="G1136" s="99">
        <v>154</v>
      </c>
      <c r="H1136" s="115">
        <v>480</v>
      </c>
    </row>
    <row r="1137" spans="1:8" ht="15" thickBot="1" x14ac:dyDescent="0.25">
      <c r="A1137" s="56" t="s">
        <v>41</v>
      </c>
      <c r="B1137" s="57"/>
      <c r="C1137" s="57"/>
      <c r="D1137" s="58"/>
      <c r="E1137" s="82" t="s">
        <v>764</v>
      </c>
      <c r="F1137" s="60"/>
      <c r="G1137" s="61"/>
      <c r="H1137" s="61"/>
    </row>
    <row r="1138" spans="1:8" x14ac:dyDescent="0.2">
      <c r="A1138" s="113" t="s">
        <v>2448</v>
      </c>
      <c r="B1138" s="12"/>
      <c r="C1138" s="13"/>
      <c r="D1138" s="53"/>
      <c r="E1138" s="114" t="s">
        <v>1117</v>
      </c>
      <c r="F1138" s="43">
        <v>5</v>
      </c>
      <c r="G1138" s="99">
        <v>160</v>
      </c>
      <c r="H1138" s="115">
        <v>500</v>
      </c>
    </row>
    <row r="1139" spans="1:8" x14ac:dyDescent="0.2">
      <c r="A1139" s="113" t="s">
        <v>2449</v>
      </c>
      <c r="B1139" s="12"/>
      <c r="C1139" s="13"/>
      <c r="D1139" s="53"/>
      <c r="E1139" s="114" t="s">
        <v>1118</v>
      </c>
      <c r="F1139" s="43">
        <v>42</v>
      </c>
      <c r="G1139" s="99">
        <v>1347</v>
      </c>
      <c r="H1139" s="115">
        <v>4200</v>
      </c>
    </row>
    <row r="1140" spans="1:8" x14ac:dyDescent="0.2">
      <c r="A1140" s="113" t="s">
        <v>2450</v>
      </c>
      <c r="B1140" s="12"/>
      <c r="C1140" s="13"/>
      <c r="D1140" s="53"/>
      <c r="E1140" s="114" t="s">
        <v>1119</v>
      </c>
      <c r="F1140" s="43">
        <v>35</v>
      </c>
      <c r="G1140" s="99">
        <v>1123</v>
      </c>
      <c r="H1140" s="115">
        <v>3500</v>
      </c>
    </row>
    <row r="1141" spans="1:8" x14ac:dyDescent="0.2">
      <c r="A1141" s="113" t="s">
        <v>2451</v>
      </c>
      <c r="B1141" s="12"/>
      <c r="C1141" s="13"/>
      <c r="D1141" s="53"/>
      <c r="E1141" s="114" t="s">
        <v>1120</v>
      </c>
      <c r="F1141" s="43">
        <v>9</v>
      </c>
      <c r="G1141" s="99">
        <v>282</v>
      </c>
      <c r="H1141" s="115">
        <v>880</v>
      </c>
    </row>
    <row r="1142" spans="1:8" x14ac:dyDescent="0.2">
      <c r="A1142" s="113" t="s">
        <v>2452</v>
      </c>
      <c r="B1142" s="12"/>
      <c r="C1142" s="13"/>
      <c r="D1142" s="53"/>
      <c r="E1142" s="114" t="s">
        <v>1121</v>
      </c>
      <c r="F1142" s="43">
        <v>8</v>
      </c>
      <c r="G1142" s="99">
        <v>256</v>
      </c>
      <c r="H1142" s="115">
        <v>800</v>
      </c>
    </row>
    <row r="1143" spans="1:8" x14ac:dyDescent="0.2">
      <c r="A1143" s="113" t="s">
        <v>2453</v>
      </c>
      <c r="B1143" s="12"/>
      <c r="C1143" s="13"/>
      <c r="D1143" s="53"/>
      <c r="E1143" s="114" t="s">
        <v>83</v>
      </c>
      <c r="F1143" s="43">
        <v>12</v>
      </c>
      <c r="G1143" s="99">
        <v>385</v>
      </c>
      <c r="H1143" s="115">
        <v>1199</v>
      </c>
    </row>
    <row r="1144" spans="1:8" x14ac:dyDescent="0.2">
      <c r="A1144" s="113" t="s">
        <v>2454</v>
      </c>
      <c r="B1144" s="12"/>
      <c r="C1144" s="13"/>
      <c r="D1144" s="53"/>
      <c r="E1144" s="114" t="s">
        <v>1286</v>
      </c>
      <c r="F1144" s="43">
        <v>6</v>
      </c>
      <c r="G1144" s="99">
        <v>177</v>
      </c>
      <c r="H1144" s="115">
        <v>550</v>
      </c>
    </row>
    <row r="1145" spans="1:8" x14ac:dyDescent="0.2">
      <c r="A1145" s="113" t="s">
        <v>2455</v>
      </c>
      <c r="B1145" s="12"/>
      <c r="C1145" s="13"/>
      <c r="D1145" s="53"/>
      <c r="E1145" s="114" t="s">
        <v>1122</v>
      </c>
      <c r="F1145" s="43">
        <v>25</v>
      </c>
      <c r="G1145" s="99">
        <v>802</v>
      </c>
      <c r="H1145" s="115">
        <v>2500</v>
      </c>
    </row>
    <row r="1146" spans="1:8" x14ac:dyDescent="0.2">
      <c r="A1146" s="113" t="s">
        <v>2456</v>
      </c>
      <c r="B1146" s="12"/>
      <c r="C1146" s="13"/>
      <c r="D1146" s="53"/>
      <c r="E1146" s="114" t="s">
        <v>1123</v>
      </c>
      <c r="F1146" s="43">
        <v>13</v>
      </c>
      <c r="G1146" s="99">
        <v>417</v>
      </c>
      <c r="H1146" s="115">
        <v>1299</v>
      </c>
    </row>
    <row r="1147" spans="1:8" x14ac:dyDescent="0.2">
      <c r="A1147" s="113" t="s">
        <v>2457</v>
      </c>
      <c r="B1147" s="12"/>
      <c r="C1147" s="13"/>
      <c r="D1147" s="53"/>
      <c r="E1147" s="114" t="s">
        <v>1124</v>
      </c>
      <c r="F1147" s="43">
        <v>12</v>
      </c>
      <c r="G1147" s="99">
        <v>385</v>
      </c>
      <c r="H1147" s="115">
        <v>1199</v>
      </c>
    </row>
    <row r="1148" spans="1:8" x14ac:dyDescent="0.2">
      <c r="A1148" s="113" t="s">
        <v>2458</v>
      </c>
      <c r="B1148" s="12"/>
      <c r="C1148" s="13"/>
      <c r="D1148" s="53"/>
      <c r="E1148" s="114" t="s">
        <v>1125</v>
      </c>
      <c r="F1148" s="43">
        <v>12</v>
      </c>
      <c r="G1148" s="99">
        <v>385</v>
      </c>
      <c r="H1148" s="115">
        <v>1199</v>
      </c>
    </row>
    <row r="1149" spans="1:8" x14ac:dyDescent="0.2">
      <c r="A1149" s="113" t="s">
        <v>2459</v>
      </c>
      <c r="B1149" s="12"/>
      <c r="C1149" s="13"/>
      <c r="D1149" s="53"/>
      <c r="E1149" s="114" t="s">
        <v>1126</v>
      </c>
      <c r="F1149" s="43">
        <v>30</v>
      </c>
      <c r="G1149" s="99">
        <v>962</v>
      </c>
      <c r="H1149" s="115">
        <v>2999</v>
      </c>
    </row>
    <row r="1150" spans="1:8" x14ac:dyDescent="0.2">
      <c r="A1150" s="113" t="s">
        <v>2460</v>
      </c>
      <c r="B1150" s="12"/>
      <c r="C1150" s="13"/>
      <c r="D1150" s="53"/>
      <c r="E1150" s="114" t="s">
        <v>1127</v>
      </c>
      <c r="F1150" s="43">
        <v>15</v>
      </c>
      <c r="G1150" s="99">
        <v>481</v>
      </c>
      <c r="H1150" s="115">
        <v>1499</v>
      </c>
    </row>
    <row r="1151" spans="1:8" x14ac:dyDescent="0.2">
      <c r="A1151" s="113" t="s">
        <v>2461</v>
      </c>
      <c r="B1151" s="12"/>
      <c r="C1151" s="13"/>
      <c r="D1151" s="53"/>
      <c r="E1151" s="114" t="s">
        <v>1128</v>
      </c>
      <c r="F1151" s="43">
        <v>15</v>
      </c>
      <c r="G1151" s="99">
        <v>481</v>
      </c>
      <c r="H1151" s="115">
        <v>1499</v>
      </c>
    </row>
    <row r="1152" spans="1:8" ht="15" thickBot="1" x14ac:dyDescent="0.25">
      <c r="A1152" s="113" t="s">
        <v>2462</v>
      </c>
      <c r="B1152" s="12"/>
      <c r="C1152" s="13"/>
      <c r="D1152" s="53"/>
      <c r="E1152" s="114" t="s">
        <v>1129</v>
      </c>
      <c r="F1152" s="43">
        <v>7</v>
      </c>
      <c r="G1152" s="99">
        <v>224</v>
      </c>
      <c r="H1152" s="115">
        <v>699</v>
      </c>
    </row>
    <row r="1153" spans="1:8" ht="15.75" thickBot="1" x14ac:dyDescent="0.3">
      <c r="A1153" s="116" t="s">
        <v>14</v>
      </c>
      <c r="B1153" s="117"/>
      <c r="C1153" s="117"/>
      <c r="D1153" s="117"/>
      <c r="E1153" s="117"/>
      <c r="F1153" s="117"/>
      <c r="G1153" s="117"/>
      <c r="H1153" s="118"/>
    </row>
    <row r="1154" spans="1:8" x14ac:dyDescent="0.2">
      <c r="A1154" s="146" t="s">
        <v>41</v>
      </c>
      <c r="B1154" s="12"/>
      <c r="C1154" s="13"/>
      <c r="D1154" s="53"/>
      <c r="E1154" s="120" t="s">
        <v>1287</v>
      </c>
      <c r="F1154" s="121"/>
      <c r="G1154" s="122"/>
      <c r="H1154" s="123"/>
    </row>
    <row r="1155" spans="1:8" x14ac:dyDescent="0.2">
      <c r="A1155" s="147" t="s">
        <v>1403</v>
      </c>
      <c r="B1155" s="12"/>
      <c r="C1155" s="13"/>
      <c r="D1155" s="53"/>
      <c r="E1155" s="124" t="s">
        <v>81</v>
      </c>
      <c r="F1155" s="125">
        <v>16</v>
      </c>
      <c r="G1155" s="126">
        <v>513</v>
      </c>
      <c r="H1155" s="127">
        <v>1600</v>
      </c>
    </row>
    <row r="1156" spans="1:8" x14ac:dyDescent="0.2">
      <c r="A1156" s="147" t="s">
        <v>41</v>
      </c>
      <c r="B1156" s="12"/>
      <c r="C1156" s="13"/>
      <c r="D1156" s="53"/>
      <c r="E1156" s="128" t="s">
        <v>1288</v>
      </c>
      <c r="F1156" s="129">
        <v>10</v>
      </c>
      <c r="G1156" s="130">
        <v>321</v>
      </c>
      <c r="H1156" s="131">
        <v>999</v>
      </c>
    </row>
    <row r="1157" spans="1:8" x14ac:dyDescent="0.2">
      <c r="A1157" s="147" t="s">
        <v>41</v>
      </c>
      <c r="B1157" s="12"/>
      <c r="C1157" s="13"/>
      <c r="D1157" s="53"/>
      <c r="E1157" s="120" t="s">
        <v>1289</v>
      </c>
      <c r="F1157" s="125"/>
      <c r="G1157" s="126"/>
      <c r="H1157" s="127"/>
    </row>
    <row r="1158" spans="1:8" x14ac:dyDescent="0.2">
      <c r="A1158" s="147" t="s">
        <v>1703</v>
      </c>
      <c r="B1158" s="12"/>
      <c r="C1158" s="13"/>
      <c r="D1158" s="53"/>
      <c r="E1158" s="124" t="s">
        <v>533</v>
      </c>
      <c r="F1158" s="125">
        <v>2</v>
      </c>
      <c r="G1158" s="126">
        <v>109</v>
      </c>
      <c r="H1158" s="127">
        <v>169</v>
      </c>
    </row>
    <row r="1159" spans="1:8" x14ac:dyDescent="0.2">
      <c r="A1159" s="147" t="s">
        <v>1792</v>
      </c>
      <c r="B1159" s="12"/>
      <c r="C1159" s="13"/>
      <c r="D1159" s="53"/>
      <c r="E1159" s="124" t="s">
        <v>625</v>
      </c>
      <c r="F1159" s="125">
        <v>3</v>
      </c>
      <c r="G1159" s="126">
        <v>211</v>
      </c>
      <c r="H1159" s="127">
        <v>329</v>
      </c>
    </row>
    <row r="1160" spans="1:8" x14ac:dyDescent="0.2">
      <c r="A1160" s="147" t="s">
        <v>1755</v>
      </c>
      <c r="B1160" s="12"/>
      <c r="C1160" s="13"/>
      <c r="D1160" s="53"/>
      <c r="E1160" s="124" t="s">
        <v>585</v>
      </c>
      <c r="F1160" s="125">
        <v>3</v>
      </c>
      <c r="G1160" s="126">
        <v>186</v>
      </c>
      <c r="H1160" s="127">
        <v>289</v>
      </c>
    </row>
    <row r="1161" spans="1:8" x14ac:dyDescent="0.2">
      <c r="A1161" s="148" t="s">
        <v>1908</v>
      </c>
      <c r="B1161" s="12"/>
      <c r="C1161" s="13"/>
      <c r="D1161" s="53"/>
      <c r="E1161" s="132" t="s">
        <v>1290</v>
      </c>
      <c r="F1161" s="129">
        <v>7</v>
      </c>
      <c r="G1161" s="130">
        <v>449</v>
      </c>
      <c r="H1161" s="131">
        <v>699</v>
      </c>
    </row>
    <row r="1162" spans="1:8" x14ac:dyDescent="0.2">
      <c r="A1162" s="147" t="s">
        <v>41</v>
      </c>
      <c r="B1162" s="12"/>
      <c r="C1162" s="13"/>
      <c r="D1162" s="53"/>
      <c r="E1162" s="120" t="s">
        <v>1291</v>
      </c>
      <c r="F1162" s="125"/>
      <c r="G1162" s="126"/>
      <c r="H1162" s="127"/>
    </row>
    <row r="1163" spans="1:8" x14ac:dyDescent="0.2">
      <c r="A1163" s="147" t="s">
        <v>1565</v>
      </c>
      <c r="B1163" s="12"/>
      <c r="C1163" s="13"/>
      <c r="D1163" s="53"/>
      <c r="E1163" s="124" t="s">
        <v>388</v>
      </c>
      <c r="F1163" s="125">
        <v>5</v>
      </c>
      <c r="G1163" s="126">
        <v>301</v>
      </c>
      <c r="H1163" s="127">
        <v>469</v>
      </c>
    </row>
    <row r="1164" spans="1:8" x14ac:dyDescent="0.2">
      <c r="A1164" s="147" t="s">
        <v>1667</v>
      </c>
      <c r="B1164" s="12"/>
      <c r="C1164" s="13"/>
      <c r="D1164" s="53"/>
      <c r="E1164" s="124" t="s">
        <v>492</v>
      </c>
      <c r="F1164" s="125">
        <v>12</v>
      </c>
      <c r="G1164" s="126">
        <v>769</v>
      </c>
      <c r="H1164" s="127">
        <v>1199</v>
      </c>
    </row>
    <row r="1165" spans="1:8" x14ac:dyDescent="0.2">
      <c r="A1165" s="148" t="s">
        <v>1911</v>
      </c>
      <c r="B1165" s="12"/>
      <c r="C1165" s="13"/>
      <c r="D1165" s="53"/>
      <c r="E1165" s="128" t="s">
        <v>1292</v>
      </c>
      <c r="F1165" s="129">
        <v>16</v>
      </c>
      <c r="G1165" s="130">
        <v>1026</v>
      </c>
      <c r="H1165" s="131">
        <v>1599</v>
      </c>
    </row>
    <row r="1166" spans="1:8" x14ac:dyDescent="0.2">
      <c r="A1166" s="147" t="s">
        <v>41</v>
      </c>
      <c r="B1166" s="12"/>
      <c r="C1166" s="13"/>
      <c r="D1166" s="53"/>
      <c r="E1166" s="120" t="s">
        <v>1293</v>
      </c>
      <c r="F1166" s="125"/>
      <c r="G1166" s="126"/>
      <c r="H1166" s="127"/>
    </row>
    <row r="1167" spans="1:8" x14ac:dyDescent="0.2">
      <c r="A1167" s="146" t="s">
        <v>1672</v>
      </c>
      <c r="B1167" s="12"/>
      <c r="C1167" s="13"/>
      <c r="D1167" s="53"/>
      <c r="E1167" s="124" t="s">
        <v>497</v>
      </c>
      <c r="F1167" s="125">
        <v>10</v>
      </c>
      <c r="G1167" s="126">
        <v>641</v>
      </c>
      <c r="H1167" s="127">
        <v>999</v>
      </c>
    </row>
    <row r="1168" spans="1:8" x14ac:dyDescent="0.2">
      <c r="A1168" s="146" t="s">
        <v>1751</v>
      </c>
      <c r="B1168" s="12"/>
      <c r="C1168" s="13"/>
      <c r="D1168" s="53"/>
      <c r="E1168" s="124" t="s">
        <v>581</v>
      </c>
      <c r="F1168" s="125">
        <v>2</v>
      </c>
      <c r="G1168" s="126">
        <v>121</v>
      </c>
      <c r="H1168" s="127">
        <v>189</v>
      </c>
    </row>
    <row r="1169" spans="1:8" x14ac:dyDescent="0.2">
      <c r="A1169" s="149" t="s">
        <v>1915</v>
      </c>
      <c r="B1169" s="12"/>
      <c r="C1169" s="13"/>
      <c r="D1169" s="53"/>
      <c r="E1169" s="128" t="s">
        <v>1294</v>
      </c>
      <c r="F1169" s="129">
        <v>12</v>
      </c>
      <c r="G1169" s="130">
        <v>769</v>
      </c>
      <c r="H1169" s="131">
        <v>1199</v>
      </c>
    </row>
    <row r="1170" spans="1:8" x14ac:dyDescent="0.2">
      <c r="A1170" s="146" t="s">
        <v>41</v>
      </c>
      <c r="B1170" s="12"/>
      <c r="C1170" s="13"/>
      <c r="D1170" s="53"/>
      <c r="E1170" s="120" t="s">
        <v>1295</v>
      </c>
      <c r="F1170" s="125"/>
      <c r="G1170" s="126"/>
      <c r="H1170" s="127"/>
    </row>
    <row r="1171" spans="1:8" x14ac:dyDescent="0.2">
      <c r="A1171" s="146" t="s">
        <v>1656</v>
      </c>
      <c r="B1171" s="12"/>
      <c r="C1171" s="13"/>
      <c r="D1171" s="53"/>
      <c r="E1171" s="124" t="s">
        <v>482</v>
      </c>
      <c r="F1171" s="125">
        <v>8</v>
      </c>
      <c r="G1171" s="126">
        <v>513</v>
      </c>
      <c r="H1171" s="127">
        <v>799</v>
      </c>
    </row>
    <row r="1172" spans="1:8" x14ac:dyDescent="0.2">
      <c r="A1172" s="146" t="s">
        <v>1741</v>
      </c>
      <c r="B1172" s="12"/>
      <c r="C1172" s="13"/>
      <c r="D1172" s="53"/>
      <c r="E1172" s="124" t="s">
        <v>571</v>
      </c>
      <c r="F1172" s="125">
        <v>2</v>
      </c>
      <c r="G1172" s="126">
        <v>121</v>
      </c>
      <c r="H1172" s="127">
        <v>189</v>
      </c>
    </row>
    <row r="1173" spans="1:8" x14ac:dyDescent="0.2">
      <c r="A1173" s="148" t="s">
        <v>1916</v>
      </c>
      <c r="B1173" s="12"/>
      <c r="C1173" s="13"/>
      <c r="D1173" s="53"/>
      <c r="E1173" s="128" t="s">
        <v>1296</v>
      </c>
      <c r="F1173" s="129">
        <v>9</v>
      </c>
      <c r="G1173" s="130">
        <v>609</v>
      </c>
      <c r="H1173" s="131">
        <v>949</v>
      </c>
    </row>
    <row r="1174" spans="1:8" x14ac:dyDescent="0.2">
      <c r="A1174" s="147" t="s">
        <v>41</v>
      </c>
      <c r="B1174" s="12"/>
      <c r="C1174" s="13"/>
      <c r="D1174" s="53"/>
      <c r="E1174" s="120" t="s">
        <v>1297</v>
      </c>
      <c r="F1174" s="125"/>
      <c r="G1174" s="126"/>
      <c r="H1174" s="127"/>
    </row>
    <row r="1175" spans="1:8" x14ac:dyDescent="0.2">
      <c r="A1175" s="147" t="s">
        <v>807</v>
      </c>
      <c r="B1175" s="12"/>
      <c r="C1175" s="13"/>
      <c r="D1175" s="53"/>
      <c r="E1175" s="124" t="s">
        <v>502</v>
      </c>
      <c r="F1175" s="125">
        <v>12</v>
      </c>
      <c r="G1175" s="126">
        <v>769</v>
      </c>
      <c r="H1175" s="127">
        <v>1199</v>
      </c>
    </row>
    <row r="1176" spans="1:8" x14ac:dyDescent="0.2">
      <c r="A1176" s="147" t="s">
        <v>1719</v>
      </c>
      <c r="B1176" s="12"/>
      <c r="C1176" s="13"/>
      <c r="D1176" s="53"/>
      <c r="E1176" s="124" t="s">
        <v>549</v>
      </c>
      <c r="F1176" s="125">
        <v>1</v>
      </c>
      <c r="G1176" s="126">
        <v>95</v>
      </c>
      <c r="H1176" s="127">
        <v>149</v>
      </c>
    </row>
    <row r="1177" spans="1:8" x14ac:dyDescent="0.2">
      <c r="A1177" s="148" t="s">
        <v>1910</v>
      </c>
      <c r="B1177" s="12"/>
      <c r="C1177" s="13"/>
      <c r="D1177" s="53"/>
      <c r="E1177" s="132" t="s">
        <v>1298</v>
      </c>
      <c r="F1177" s="129">
        <v>13</v>
      </c>
      <c r="G1177" s="130">
        <v>834</v>
      </c>
      <c r="H1177" s="131">
        <v>1299</v>
      </c>
    </row>
    <row r="1178" spans="1:8" x14ac:dyDescent="0.2">
      <c r="A1178" s="147" t="s">
        <v>41</v>
      </c>
      <c r="B1178" s="12"/>
      <c r="C1178" s="13"/>
      <c r="D1178" s="53"/>
      <c r="E1178" s="120" t="s">
        <v>1299</v>
      </c>
      <c r="F1178" s="125"/>
      <c r="G1178" s="126"/>
      <c r="H1178" s="127"/>
    </row>
    <row r="1179" spans="1:8" x14ac:dyDescent="0.2">
      <c r="A1179" s="147" t="s">
        <v>1528</v>
      </c>
      <c r="B1179" s="12"/>
      <c r="C1179" s="13"/>
      <c r="D1179" s="53"/>
      <c r="E1179" s="124" t="s">
        <v>348</v>
      </c>
      <c r="F1179" s="125">
        <v>5</v>
      </c>
      <c r="G1179" s="126">
        <v>301</v>
      </c>
      <c r="H1179" s="127">
        <v>469</v>
      </c>
    </row>
    <row r="1180" spans="1:8" x14ac:dyDescent="0.2">
      <c r="A1180" s="146" t="s">
        <v>1543</v>
      </c>
      <c r="B1180" s="12"/>
      <c r="C1180" s="13"/>
      <c r="D1180" s="53"/>
      <c r="E1180" s="124" t="s">
        <v>364</v>
      </c>
      <c r="F1180" s="125">
        <v>4</v>
      </c>
      <c r="G1180" s="126">
        <v>288</v>
      </c>
      <c r="H1180" s="127">
        <v>449</v>
      </c>
    </row>
    <row r="1181" spans="1:8" x14ac:dyDescent="0.2">
      <c r="A1181" s="148" t="s">
        <v>1917</v>
      </c>
      <c r="B1181" s="12"/>
      <c r="C1181" s="13"/>
      <c r="D1181" s="53"/>
      <c r="E1181" s="132" t="s">
        <v>1300</v>
      </c>
      <c r="F1181" s="129">
        <v>8</v>
      </c>
      <c r="G1181" s="130">
        <v>544</v>
      </c>
      <c r="H1181" s="131">
        <v>849</v>
      </c>
    </row>
    <row r="1182" spans="1:8" x14ac:dyDescent="0.2">
      <c r="A1182" s="148" t="s">
        <v>41</v>
      </c>
      <c r="B1182" s="12"/>
      <c r="C1182" s="13"/>
      <c r="D1182" s="53"/>
      <c r="E1182" s="120" t="s">
        <v>1301</v>
      </c>
      <c r="F1182" s="125"/>
      <c r="G1182" s="126"/>
      <c r="H1182" s="127"/>
    </row>
    <row r="1183" spans="1:8" x14ac:dyDescent="0.2">
      <c r="A1183" s="147" t="s">
        <v>1929</v>
      </c>
      <c r="B1183" s="12"/>
      <c r="C1183" s="13"/>
      <c r="D1183" s="53"/>
      <c r="E1183" s="124" t="s">
        <v>767</v>
      </c>
      <c r="F1183" s="125">
        <v>2</v>
      </c>
      <c r="G1183" s="126">
        <v>54</v>
      </c>
      <c r="H1183" s="127">
        <v>169</v>
      </c>
    </row>
    <row r="1184" spans="1:8" x14ac:dyDescent="0.2">
      <c r="A1184" s="148" t="s">
        <v>41</v>
      </c>
      <c r="B1184" s="12"/>
      <c r="C1184" s="13"/>
      <c r="D1184" s="53"/>
      <c r="E1184" s="132" t="s">
        <v>1302</v>
      </c>
      <c r="F1184" s="129">
        <v>1</v>
      </c>
      <c r="G1184" s="130">
        <v>16</v>
      </c>
      <c r="H1184" s="131">
        <v>49</v>
      </c>
    </row>
    <row r="1185" spans="1:8" x14ac:dyDescent="0.2">
      <c r="A1185" s="147" t="s">
        <v>41</v>
      </c>
      <c r="B1185" s="12"/>
      <c r="C1185" s="13"/>
      <c r="D1185" s="53"/>
      <c r="E1185" s="120" t="s">
        <v>1303</v>
      </c>
      <c r="F1185" s="125"/>
      <c r="G1185" s="126"/>
      <c r="H1185" s="127"/>
    </row>
    <row r="1186" spans="1:8" x14ac:dyDescent="0.2">
      <c r="A1186" s="147" t="s">
        <v>1694</v>
      </c>
      <c r="B1186" s="12"/>
      <c r="C1186" s="13"/>
      <c r="D1186" s="53"/>
      <c r="E1186" s="124" t="s">
        <v>523</v>
      </c>
      <c r="F1186" s="125">
        <v>12</v>
      </c>
      <c r="G1186" s="126">
        <v>769</v>
      </c>
      <c r="H1186" s="127">
        <v>1199</v>
      </c>
    </row>
    <row r="1187" spans="1:8" x14ac:dyDescent="0.2">
      <c r="A1187" s="147" t="s">
        <v>1744</v>
      </c>
      <c r="B1187" s="12"/>
      <c r="C1187" s="13"/>
      <c r="D1187" s="53"/>
      <c r="E1187" s="124" t="s">
        <v>574</v>
      </c>
      <c r="F1187" s="125">
        <v>2</v>
      </c>
      <c r="G1187" s="126">
        <v>121</v>
      </c>
      <c r="H1187" s="127">
        <v>189</v>
      </c>
    </row>
    <row r="1188" spans="1:8" x14ac:dyDescent="0.2">
      <c r="A1188" s="148" t="s">
        <v>1918</v>
      </c>
      <c r="B1188" s="12"/>
      <c r="C1188" s="13"/>
      <c r="D1188" s="53"/>
      <c r="E1188" s="128" t="s">
        <v>1304</v>
      </c>
      <c r="F1188" s="129">
        <v>13</v>
      </c>
      <c r="G1188" s="130">
        <v>834</v>
      </c>
      <c r="H1188" s="131">
        <v>1299</v>
      </c>
    </row>
    <row r="1189" spans="1:8" x14ac:dyDescent="0.2">
      <c r="A1189" s="150" t="s">
        <v>41</v>
      </c>
      <c r="B1189" s="12"/>
      <c r="C1189" s="13"/>
      <c r="D1189" s="53"/>
      <c r="E1189" s="120" t="s">
        <v>1305</v>
      </c>
      <c r="F1189" s="125"/>
      <c r="G1189" s="126"/>
      <c r="H1189" s="127"/>
    </row>
    <row r="1190" spans="1:8" x14ac:dyDescent="0.2">
      <c r="A1190" s="147" t="s">
        <v>1753</v>
      </c>
      <c r="B1190" s="12"/>
      <c r="C1190" s="13"/>
      <c r="D1190" s="53"/>
      <c r="E1190" s="124" t="s">
        <v>583</v>
      </c>
      <c r="F1190" s="125">
        <v>2</v>
      </c>
      <c r="G1190" s="126">
        <v>51</v>
      </c>
      <c r="H1190" s="127">
        <v>159</v>
      </c>
    </row>
    <row r="1191" spans="1:8" x14ac:dyDescent="0.2">
      <c r="A1191" s="147" t="s">
        <v>1692</v>
      </c>
      <c r="B1191" s="12"/>
      <c r="C1191" s="13"/>
      <c r="D1191" s="53"/>
      <c r="E1191" s="124" t="s">
        <v>521</v>
      </c>
      <c r="F1191" s="125">
        <v>9</v>
      </c>
      <c r="G1191" s="126">
        <v>609</v>
      </c>
      <c r="H1191" s="127">
        <v>949</v>
      </c>
    </row>
    <row r="1192" spans="1:8" x14ac:dyDescent="0.2">
      <c r="A1192" s="147" t="s">
        <v>1712</v>
      </c>
      <c r="B1192" s="12"/>
      <c r="C1192" s="13"/>
      <c r="D1192" s="53"/>
      <c r="E1192" s="124" t="s">
        <v>542</v>
      </c>
      <c r="F1192" s="125">
        <v>4</v>
      </c>
      <c r="G1192" s="126">
        <v>256</v>
      </c>
      <c r="H1192" s="127">
        <v>399</v>
      </c>
    </row>
    <row r="1193" spans="1:8" x14ac:dyDescent="0.2">
      <c r="A1193" s="148" t="s">
        <v>1909</v>
      </c>
      <c r="B1193" s="12"/>
      <c r="C1193" s="13"/>
      <c r="D1193" s="53"/>
      <c r="E1193" s="132" t="s">
        <v>1306</v>
      </c>
      <c r="F1193" s="129">
        <v>15</v>
      </c>
      <c r="G1193" s="130">
        <v>913</v>
      </c>
      <c r="H1193" s="131">
        <v>1499</v>
      </c>
    </row>
    <row r="1194" spans="1:8" x14ac:dyDescent="0.2">
      <c r="A1194" s="147" t="s">
        <v>41</v>
      </c>
      <c r="B1194" s="12"/>
      <c r="C1194" s="13"/>
      <c r="D1194" s="53"/>
      <c r="E1194" s="120" t="s">
        <v>1307</v>
      </c>
      <c r="F1194" s="125"/>
      <c r="G1194" s="126"/>
      <c r="H1194" s="127"/>
    </row>
    <row r="1195" spans="1:8" x14ac:dyDescent="0.2">
      <c r="A1195" s="147" t="s">
        <v>1690</v>
      </c>
      <c r="B1195" s="12"/>
      <c r="C1195" s="13"/>
      <c r="D1195" s="53"/>
      <c r="E1195" s="124" t="s">
        <v>519</v>
      </c>
      <c r="F1195" s="125">
        <v>10</v>
      </c>
      <c r="G1195" s="126">
        <v>641</v>
      </c>
      <c r="H1195" s="127">
        <v>999</v>
      </c>
    </row>
    <row r="1196" spans="1:8" x14ac:dyDescent="0.2">
      <c r="A1196" s="147" t="s">
        <v>1695</v>
      </c>
      <c r="B1196" s="12"/>
      <c r="C1196" s="13"/>
      <c r="D1196" s="53"/>
      <c r="E1196" s="124" t="s">
        <v>525</v>
      </c>
      <c r="F1196" s="125">
        <v>4</v>
      </c>
      <c r="G1196" s="126">
        <v>249</v>
      </c>
      <c r="H1196" s="127">
        <v>389</v>
      </c>
    </row>
    <row r="1197" spans="1:8" x14ac:dyDescent="0.2">
      <c r="A1197" s="149" t="s">
        <v>1914</v>
      </c>
      <c r="B1197" s="12"/>
      <c r="C1197" s="13"/>
      <c r="D1197" s="53"/>
      <c r="E1197" s="132" t="s">
        <v>1308</v>
      </c>
      <c r="F1197" s="129">
        <v>12</v>
      </c>
      <c r="G1197" s="130">
        <v>833</v>
      </c>
      <c r="H1197" s="131">
        <v>1299</v>
      </c>
    </row>
    <row r="1198" spans="1:8" x14ac:dyDescent="0.2">
      <c r="A1198" s="147" t="s">
        <v>41</v>
      </c>
      <c r="B1198" s="12"/>
      <c r="C1198" s="13"/>
      <c r="D1198" s="53"/>
      <c r="E1198" s="120" t="s">
        <v>1309</v>
      </c>
      <c r="F1198" s="125"/>
      <c r="G1198" s="126"/>
      <c r="H1198" s="127"/>
    </row>
    <row r="1199" spans="1:8" x14ac:dyDescent="0.2">
      <c r="A1199" s="147" t="s">
        <v>1691</v>
      </c>
      <c r="B1199" s="12"/>
      <c r="C1199" s="13"/>
      <c r="D1199" s="53"/>
      <c r="E1199" s="124" t="s">
        <v>520</v>
      </c>
      <c r="F1199" s="125">
        <v>10</v>
      </c>
      <c r="G1199" s="126">
        <v>641</v>
      </c>
      <c r="H1199" s="127">
        <v>999</v>
      </c>
    </row>
    <row r="1200" spans="1:8" x14ac:dyDescent="0.2">
      <c r="A1200" s="147" t="s">
        <v>1740</v>
      </c>
      <c r="B1200" s="12"/>
      <c r="C1200" s="13"/>
      <c r="D1200" s="53"/>
      <c r="E1200" s="124" t="s">
        <v>570</v>
      </c>
      <c r="F1200" s="125">
        <v>2</v>
      </c>
      <c r="G1200" s="126">
        <v>121</v>
      </c>
      <c r="H1200" s="127">
        <v>189</v>
      </c>
    </row>
    <row r="1201" spans="1:8" x14ac:dyDescent="0.2">
      <c r="A1201" s="148" t="s">
        <v>1919</v>
      </c>
      <c r="B1201" s="12"/>
      <c r="C1201" s="13"/>
      <c r="D1201" s="53"/>
      <c r="E1201" s="128" t="s">
        <v>1294</v>
      </c>
      <c r="F1201" s="129">
        <v>12</v>
      </c>
      <c r="G1201" s="130">
        <v>769</v>
      </c>
      <c r="H1201" s="131">
        <v>1199</v>
      </c>
    </row>
    <row r="1202" spans="1:8" x14ac:dyDescent="0.2">
      <c r="A1202" s="147" t="s">
        <v>41</v>
      </c>
      <c r="B1202" s="12"/>
      <c r="C1202" s="13"/>
      <c r="D1202" s="53"/>
      <c r="E1202" s="120" t="s">
        <v>1310</v>
      </c>
      <c r="F1202" s="125"/>
      <c r="G1202" s="126"/>
      <c r="H1202" s="127"/>
    </row>
    <row r="1203" spans="1:8" x14ac:dyDescent="0.2">
      <c r="A1203" s="147" t="s">
        <v>1689</v>
      </c>
      <c r="B1203" s="12"/>
      <c r="C1203" s="13"/>
      <c r="D1203" s="53"/>
      <c r="E1203" s="124" t="s">
        <v>518</v>
      </c>
      <c r="F1203" s="125">
        <v>16</v>
      </c>
      <c r="G1203" s="126">
        <v>1026</v>
      </c>
      <c r="H1203" s="127">
        <v>1599</v>
      </c>
    </row>
    <row r="1204" spans="1:8" x14ac:dyDescent="0.2">
      <c r="A1204" s="147" t="s">
        <v>1760</v>
      </c>
      <c r="B1204" s="12"/>
      <c r="C1204" s="13"/>
      <c r="D1204" s="53"/>
      <c r="E1204" s="124" t="s">
        <v>591</v>
      </c>
      <c r="F1204" s="125">
        <v>5</v>
      </c>
      <c r="G1204" s="126">
        <v>307</v>
      </c>
      <c r="H1204" s="127">
        <v>479</v>
      </c>
    </row>
    <row r="1205" spans="1:8" x14ac:dyDescent="0.2">
      <c r="A1205" s="148" t="s">
        <v>1912</v>
      </c>
      <c r="B1205" s="12"/>
      <c r="C1205" s="13"/>
      <c r="D1205" s="53"/>
      <c r="E1205" s="132" t="s">
        <v>1311</v>
      </c>
      <c r="F1205" s="129">
        <v>21</v>
      </c>
      <c r="G1205" s="130">
        <v>1347</v>
      </c>
      <c r="H1205" s="131">
        <v>2099</v>
      </c>
    </row>
    <row r="1206" spans="1:8" x14ac:dyDescent="0.2">
      <c r="A1206" s="147" t="s">
        <v>41</v>
      </c>
      <c r="B1206" s="12"/>
      <c r="C1206" s="13"/>
      <c r="D1206" s="53"/>
      <c r="E1206" s="120" t="s">
        <v>1312</v>
      </c>
      <c r="F1206" s="125"/>
      <c r="G1206" s="126"/>
      <c r="H1206" s="127"/>
    </row>
    <row r="1207" spans="1:8" x14ac:dyDescent="0.2">
      <c r="A1207" s="147" t="s">
        <v>1661</v>
      </c>
      <c r="B1207" s="12"/>
      <c r="C1207" s="13"/>
      <c r="D1207" s="53"/>
      <c r="E1207" s="124" t="s">
        <v>487</v>
      </c>
      <c r="F1207" s="125">
        <v>16</v>
      </c>
      <c r="G1207" s="126">
        <v>1026</v>
      </c>
      <c r="H1207" s="127">
        <v>1599</v>
      </c>
    </row>
    <row r="1208" spans="1:8" x14ac:dyDescent="0.2">
      <c r="A1208" s="147" t="s">
        <v>1771</v>
      </c>
      <c r="B1208" s="12"/>
      <c r="C1208" s="13"/>
      <c r="D1208" s="53"/>
      <c r="E1208" s="124" t="s">
        <v>602</v>
      </c>
      <c r="F1208" s="125">
        <v>3</v>
      </c>
      <c r="G1208" s="126">
        <v>179</v>
      </c>
      <c r="H1208" s="127">
        <v>279</v>
      </c>
    </row>
    <row r="1209" spans="1:8" x14ac:dyDescent="0.2">
      <c r="A1209" s="147" t="s">
        <v>1395</v>
      </c>
      <c r="B1209" s="12"/>
      <c r="C1209" s="13"/>
      <c r="D1209" s="53"/>
      <c r="E1209" s="124" t="s">
        <v>74</v>
      </c>
      <c r="F1209" s="125">
        <v>7</v>
      </c>
      <c r="G1209" s="126">
        <v>480</v>
      </c>
      <c r="H1209" s="127">
        <v>749</v>
      </c>
    </row>
    <row r="1210" spans="1:8" x14ac:dyDescent="0.2">
      <c r="A1210" s="150" t="s">
        <v>1913</v>
      </c>
      <c r="B1210" s="12"/>
      <c r="C1210" s="13"/>
      <c r="D1210" s="53"/>
      <c r="E1210" s="132" t="s">
        <v>1313</v>
      </c>
      <c r="F1210" s="129">
        <v>25</v>
      </c>
      <c r="G1210" s="130">
        <v>1604</v>
      </c>
      <c r="H1210" s="131">
        <v>2499</v>
      </c>
    </row>
    <row r="1211" spans="1:8" x14ac:dyDescent="0.2">
      <c r="A1211" s="150" t="s">
        <v>41</v>
      </c>
      <c r="B1211" s="12"/>
      <c r="C1211" s="13"/>
      <c r="D1211" s="53"/>
      <c r="E1211" s="120" t="s">
        <v>1314</v>
      </c>
      <c r="F1211" s="125"/>
      <c r="G1211" s="126"/>
      <c r="H1211" s="127"/>
    </row>
    <row r="1212" spans="1:8" x14ac:dyDescent="0.2">
      <c r="A1212" s="147" t="s">
        <v>1930</v>
      </c>
      <c r="B1212" s="12"/>
      <c r="C1212" s="13"/>
      <c r="D1212" s="53"/>
      <c r="E1212" s="124" t="s">
        <v>768</v>
      </c>
      <c r="F1212" s="125">
        <v>2</v>
      </c>
      <c r="G1212" s="126">
        <v>54</v>
      </c>
      <c r="H1212" s="127">
        <v>169</v>
      </c>
    </row>
    <row r="1213" spans="1:8" x14ac:dyDescent="0.2">
      <c r="A1213" s="147" t="s">
        <v>41</v>
      </c>
      <c r="B1213" s="12"/>
      <c r="C1213" s="13"/>
      <c r="D1213" s="53"/>
      <c r="E1213" s="132" t="s">
        <v>1315</v>
      </c>
      <c r="F1213" s="129">
        <v>1</v>
      </c>
      <c r="G1213" s="130">
        <v>16</v>
      </c>
      <c r="H1213" s="131">
        <v>49</v>
      </c>
    </row>
    <row r="1214" spans="1:8" x14ac:dyDescent="0.2">
      <c r="A1214" s="147" t="s">
        <v>41</v>
      </c>
      <c r="B1214" s="12"/>
      <c r="C1214" s="13"/>
      <c r="D1214" s="53"/>
      <c r="E1214" s="120" t="s">
        <v>1316</v>
      </c>
      <c r="F1214" s="125"/>
      <c r="G1214" s="126"/>
      <c r="H1214" s="127"/>
    </row>
    <row r="1215" spans="1:8" x14ac:dyDescent="0.2">
      <c r="A1215" s="147" t="s">
        <v>1659</v>
      </c>
      <c r="B1215" s="12"/>
      <c r="C1215" s="13"/>
      <c r="D1215" s="53"/>
      <c r="E1215" s="124" t="s">
        <v>1317</v>
      </c>
      <c r="F1215" s="125">
        <v>6</v>
      </c>
      <c r="G1215" s="126">
        <v>417</v>
      </c>
      <c r="H1215" s="127">
        <v>649</v>
      </c>
    </row>
    <row r="1216" spans="1:8" x14ac:dyDescent="0.2">
      <c r="A1216" s="147" t="s">
        <v>1660</v>
      </c>
      <c r="B1216" s="12"/>
      <c r="C1216" s="13"/>
      <c r="D1216" s="53"/>
      <c r="E1216" s="124" t="s">
        <v>486</v>
      </c>
      <c r="F1216" s="125">
        <v>6</v>
      </c>
      <c r="G1216" s="126">
        <v>417</v>
      </c>
      <c r="H1216" s="127">
        <v>649</v>
      </c>
    </row>
    <row r="1217" spans="1:8" x14ac:dyDescent="0.2">
      <c r="A1217" s="147" t="s">
        <v>1668</v>
      </c>
      <c r="B1217" s="12"/>
      <c r="C1217" s="13"/>
      <c r="D1217" s="53"/>
      <c r="E1217" s="124" t="s">
        <v>486</v>
      </c>
      <c r="F1217" s="125">
        <v>6</v>
      </c>
      <c r="G1217" s="126">
        <v>417</v>
      </c>
      <c r="H1217" s="127">
        <v>649</v>
      </c>
    </row>
    <row r="1218" spans="1:8" x14ac:dyDescent="0.2">
      <c r="A1218" s="147" t="s">
        <v>1673</v>
      </c>
      <c r="B1218" s="12"/>
      <c r="C1218" s="13"/>
      <c r="D1218" s="53"/>
      <c r="E1218" s="124" t="s">
        <v>498</v>
      </c>
      <c r="F1218" s="125">
        <v>6</v>
      </c>
      <c r="G1218" s="126">
        <v>417</v>
      </c>
      <c r="H1218" s="127">
        <v>649</v>
      </c>
    </row>
    <row r="1219" spans="1:8" x14ac:dyDescent="0.2">
      <c r="A1219" s="147" t="s">
        <v>1674</v>
      </c>
      <c r="B1219" s="12"/>
      <c r="C1219" s="13"/>
      <c r="D1219" s="53"/>
      <c r="E1219" s="124" t="s">
        <v>499</v>
      </c>
      <c r="F1219" s="125">
        <v>6</v>
      </c>
      <c r="G1219" s="126">
        <v>417</v>
      </c>
      <c r="H1219" s="127">
        <v>649</v>
      </c>
    </row>
    <row r="1220" spans="1:8" x14ac:dyDescent="0.2">
      <c r="A1220" s="147" t="s">
        <v>1671</v>
      </c>
      <c r="B1220" s="12"/>
      <c r="C1220" s="13"/>
      <c r="D1220" s="53"/>
      <c r="E1220" s="124" t="s">
        <v>496</v>
      </c>
      <c r="F1220" s="125">
        <v>6</v>
      </c>
      <c r="G1220" s="126">
        <v>417</v>
      </c>
      <c r="H1220" s="127">
        <v>649</v>
      </c>
    </row>
    <row r="1221" spans="1:8" x14ac:dyDescent="0.2">
      <c r="A1221" s="147" t="s">
        <v>41</v>
      </c>
      <c r="B1221" s="12"/>
      <c r="C1221" s="13"/>
      <c r="D1221" s="53"/>
      <c r="E1221" s="132" t="s">
        <v>1318</v>
      </c>
      <c r="F1221" s="129">
        <v>5</v>
      </c>
      <c r="G1221" s="130">
        <v>352</v>
      </c>
      <c r="H1221" s="131">
        <v>549</v>
      </c>
    </row>
    <row r="1222" spans="1:8" x14ac:dyDescent="0.2">
      <c r="A1222" s="147" t="s">
        <v>1393</v>
      </c>
      <c r="B1222" s="12"/>
      <c r="C1222" s="13"/>
      <c r="D1222" s="53"/>
      <c r="E1222" s="124" t="s">
        <v>31</v>
      </c>
      <c r="F1222" s="125">
        <v>7</v>
      </c>
      <c r="G1222" s="126">
        <v>480</v>
      </c>
      <c r="H1222" s="127">
        <v>749</v>
      </c>
    </row>
    <row r="1223" spans="1:8" x14ac:dyDescent="0.2">
      <c r="A1223" s="147" t="s">
        <v>1394</v>
      </c>
      <c r="B1223" s="12"/>
      <c r="C1223" s="13"/>
      <c r="D1223" s="53"/>
      <c r="E1223" s="124" t="s">
        <v>73</v>
      </c>
      <c r="F1223" s="125">
        <v>7</v>
      </c>
      <c r="G1223" s="126">
        <v>480</v>
      </c>
      <c r="H1223" s="127">
        <v>749</v>
      </c>
    </row>
    <row r="1224" spans="1:8" x14ac:dyDescent="0.2">
      <c r="A1224" s="147" t="s">
        <v>1395</v>
      </c>
      <c r="B1224" s="12"/>
      <c r="C1224" s="13"/>
      <c r="D1224" s="53"/>
      <c r="E1224" s="124" t="s">
        <v>74</v>
      </c>
      <c r="F1224" s="125">
        <v>7</v>
      </c>
      <c r="G1224" s="126">
        <v>480</v>
      </c>
      <c r="H1224" s="127">
        <v>749</v>
      </c>
    </row>
    <row r="1225" spans="1:8" x14ac:dyDescent="0.2">
      <c r="A1225" s="147" t="s">
        <v>1396</v>
      </c>
      <c r="B1225" s="12"/>
      <c r="C1225" s="13"/>
      <c r="D1225" s="53"/>
      <c r="E1225" s="124" t="s">
        <v>75</v>
      </c>
      <c r="F1225" s="125">
        <v>7</v>
      </c>
      <c r="G1225" s="126">
        <v>480</v>
      </c>
      <c r="H1225" s="127">
        <v>749</v>
      </c>
    </row>
    <row r="1226" spans="1:8" x14ac:dyDescent="0.2">
      <c r="A1226" s="147" t="s">
        <v>1397</v>
      </c>
      <c r="B1226" s="12"/>
      <c r="C1226" s="13"/>
      <c r="D1226" s="53"/>
      <c r="E1226" s="124" t="s">
        <v>76</v>
      </c>
      <c r="F1226" s="125">
        <v>7</v>
      </c>
      <c r="G1226" s="126">
        <v>480</v>
      </c>
      <c r="H1226" s="127">
        <v>749</v>
      </c>
    </row>
    <row r="1227" spans="1:8" x14ac:dyDescent="0.2">
      <c r="A1227" s="147" t="s">
        <v>1398</v>
      </c>
      <c r="B1227" s="12"/>
      <c r="C1227" s="13"/>
      <c r="D1227" s="53"/>
      <c r="E1227" s="124" t="s">
        <v>77</v>
      </c>
      <c r="F1227" s="125">
        <v>7</v>
      </c>
      <c r="G1227" s="126">
        <v>480</v>
      </c>
      <c r="H1227" s="127">
        <v>749</v>
      </c>
    </row>
    <row r="1228" spans="1:8" x14ac:dyDescent="0.2">
      <c r="A1228" s="147" t="s">
        <v>41</v>
      </c>
      <c r="B1228" s="12"/>
      <c r="C1228" s="13"/>
      <c r="D1228" s="53"/>
      <c r="E1228" s="132" t="s">
        <v>1319</v>
      </c>
      <c r="F1228" s="129">
        <v>6</v>
      </c>
      <c r="G1228" s="130">
        <v>403</v>
      </c>
      <c r="H1228" s="131">
        <v>629</v>
      </c>
    </row>
    <row r="1229" spans="1:8" x14ac:dyDescent="0.2">
      <c r="A1229" s="147" t="s">
        <v>41</v>
      </c>
      <c r="B1229" s="12"/>
      <c r="C1229" s="13"/>
      <c r="D1229" s="53"/>
      <c r="E1229" s="120" t="s">
        <v>1320</v>
      </c>
      <c r="F1229" s="125"/>
      <c r="G1229" s="126"/>
      <c r="H1229" s="127"/>
    </row>
    <row r="1230" spans="1:8" x14ac:dyDescent="0.2">
      <c r="A1230" s="147" t="s">
        <v>1935</v>
      </c>
      <c r="B1230" s="12"/>
      <c r="C1230" s="13"/>
      <c r="D1230" s="53"/>
      <c r="E1230" s="124" t="s">
        <v>772</v>
      </c>
      <c r="F1230" s="129">
        <v>2</v>
      </c>
      <c r="G1230" s="130">
        <v>64</v>
      </c>
      <c r="H1230" s="131">
        <v>199</v>
      </c>
    </row>
    <row r="1231" spans="1:8" x14ac:dyDescent="0.2">
      <c r="A1231" s="147" t="s">
        <v>41</v>
      </c>
      <c r="B1231" s="12"/>
      <c r="C1231" s="13"/>
      <c r="D1231" s="53"/>
      <c r="E1231" s="132" t="s">
        <v>1321</v>
      </c>
      <c r="F1231" s="125"/>
      <c r="G1231" s="126"/>
      <c r="H1231" s="127"/>
    </row>
    <row r="1232" spans="1:8" x14ac:dyDescent="0.2">
      <c r="A1232" s="147" t="s">
        <v>41</v>
      </c>
      <c r="B1232" s="12"/>
      <c r="C1232" s="13"/>
      <c r="D1232" s="53"/>
      <c r="E1232" s="120" t="s">
        <v>1322</v>
      </c>
      <c r="F1232" s="125"/>
      <c r="G1232" s="126"/>
      <c r="H1232" s="127"/>
    </row>
    <row r="1233" spans="1:8" x14ac:dyDescent="0.2">
      <c r="A1233" s="147" t="s">
        <v>1381</v>
      </c>
      <c r="B1233" s="12"/>
      <c r="C1233" s="13"/>
      <c r="D1233" s="53"/>
      <c r="E1233" s="124" t="s">
        <v>61</v>
      </c>
      <c r="F1233" s="125">
        <v>0</v>
      </c>
      <c r="G1233" s="126">
        <v>0</v>
      </c>
      <c r="H1233" s="127">
        <v>35</v>
      </c>
    </row>
    <row r="1234" spans="1:8" x14ac:dyDescent="0.2">
      <c r="A1234" s="147" t="s">
        <v>41</v>
      </c>
      <c r="B1234" s="12"/>
      <c r="C1234" s="13"/>
      <c r="D1234" s="53"/>
      <c r="E1234" s="132" t="s">
        <v>1323</v>
      </c>
      <c r="F1234" s="129">
        <v>0</v>
      </c>
      <c r="G1234" s="130">
        <v>0</v>
      </c>
      <c r="H1234" s="131">
        <v>1</v>
      </c>
    </row>
    <row r="1235" spans="1:8" x14ac:dyDescent="0.2">
      <c r="A1235" s="147" t="s">
        <v>41</v>
      </c>
      <c r="B1235" s="12"/>
      <c r="C1235" s="13"/>
      <c r="D1235" s="53"/>
      <c r="E1235" s="120" t="s">
        <v>1324</v>
      </c>
      <c r="F1235" s="125"/>
      <c r="G1235" s="126"/>
      <c r="H1235" s="127"/>
    </row>
    <row r="1236" spans="1:8" x14ac:dyDescent="0.2">
      <c r="A1236" s="147" t="s">
        <v>1682</v>
      </c>
      <c r="B1236" s="12"/>
      <c r="C1236" s="13"/>
      <c r="D1236" s="53"/>
      <c r="E1236" s="124" t="s">
        <v>510</v>
      </c>
      <c r="F1236" s="125">
        <v>12</v>
      </c>
      <c r="G1236" s="126">
        <v>769</v>
      </c>
      <c r="H1236" s="127">
        <v>1199</v>
      </c>
    </row>
    <row r="1237" spans="1:8" x14ac:dyDescent="0.2">
      <c r="A1237" s="147" t="s">
        <v>1764</v>
      </c>
      <c r="B1237" s="12"/>
      <c r="C1237" s="13"/>
      <c r="D1237" s="53"/>
      <c r="E1237" s="124" t="s">
        <v>595</v>
      </c>
      <c r="F1237" s="125">
        <v>3</v>
      </c>
      <c r="G1237" s="126">
        <v>205</v>
      </c>
      <c r="H1237" s="127">
        <v>319</v>
      </c>
    </row>
    <row r="1238" spans="1:8" x14ac:dyDescent="0.2">
      <c r="A1238" s="148" t="s">
        <v>1906</v>
      </c>
      <c r="B1238" s="12"/>
      <c r="C1238" s="13"/>
      <c r="D1238" s="53"/>
      <c r="E1238" s="132" t="s">
        <v>1325</v>
      </c>
      <c r="F1238" s="129">
        <v>15</v>
      </c>
      <c r="G1238" s="130">
        <v>962</v>
      </c>
      <c r="H1238" s="131">
        <v>1499</v>
      </c>
    </row>
    <row r="1239" spans="1:8" x14ac:dyDescent="0.2">
      <c r="A1239" s="147" t="s">
        <v>41</v>
      </c>
      <c r="B1239" s="12"/>
      <c r="C1239" s="13"/>
      <c r="D1239" s="53"/>
      <c r="E1239" s="120" t="s">
        <v>1326</v>
      </c>
      <c r="F1239" s="125"/>
      <c r="G1239" s="126"/>
      <c r="H1239" s="127"/>
    </row>
    <row r="1240" spans="1:8" x14ac:dyDescent="0.2">
      <c r="A1240" s="147" t="s">
        <v>1875</v>
      </c>
      <c r="B1240" s="12"/>
      <c r="C1240" s="13"/>
      <c r="D1240" s="53"/>
      <c r="E1240" s="124" t="s">
        <v>711</v>
      </c>
      <c r="F1240" s="125">
        <v>11</v>
      </c>
      <c r="G1240" s="126">
        <v>705</v>
      </c>
      <c r="H1240" s="127">
        <v>1099</v>
      </c>
    </row>
    <row r="1241" spans="1:8" x14ac:dyDescent="0.2">
      <c r="A1241" s="147" t="s">
        <v>1876</v>
      </c>
      <c r="B1241" s="12"/>
      <c r="C1241" s="13"/>
      <c r="D1241" s="53"/>
      <c r="E1241" s="124" t="s">
        <v>712</v>
      </c>
      <c r="F1241" s="125">
        <v>17</v>
      </c>
      <c r="G1241" s="126">
        <v>1090</v>
      </c>
      <c r="H1241" s="127">
        <v>1699</v>
      </c>
    </row>
    <row r="1242" spans="1:8" x14ac:dyDescent="0.2">
      <c r="A1242" s="147" t="s">
        <v>1877</v>
      </c>
      <c r="B1242" s="12"/>
      <c r="C1242" s="13"/>
      <c r="D1242" s="53"/>
      <c r="E1242" s="124" t="s">
        <v>713</v>
      </c>
      <c r="F1242" s="125">
        <v>37</v>
      </c>
      <c r="G1242" s="126">
        <v>2374</v>
      </c>
      <c r="H1242" s="127">
        <v>3700</v>
      </c>
    </row>
    <row r="1243" spans="1:8" x14ac:dyDescent="0.2">
      <c r="A1243" s="147" t="s">
        <v>1878</v>
      </c>
      <c r="B1243" s="12"/>
      <c r="C1243" s="13"/>
      <c r="D1243" s="53"/>
      <c r="E1243" s="124" t="s">
        <v>714</v>
      </c>
      <c r="F1243" s="125">
        <v>27</v>
      </c>
      <c r="G1243" s="126">
        <v>1732</v>
      </c>
      <c r="H1243" s="127">
        <v>2700</v>
      </c>
    </row>
    <row r="1244" spans="1:8" x14ac:dyDescent="0.2">
      <c r="A1244" s="148" t="s">
        <v>1894</v>
      </c>
      <c r="B1244" s="12"/>
      <c r="C1244" s="13"/>
      <c r="D1244" s="53"/>
      <c r="E1244" s="132" t="s">
        <v>733</v>
      </c>
      <c r="F1244" s="129">
        <v>85</v>
      </c>
      <c r="G1244" s="130">
        <v>4555</v>
      </c>
      <c r="H1244" s="131">
        <v>7099</v>
      </c>
    </row>
    <row r="1245" spans="1:8" x14ac:dyDescent="0.2">
      <c r="A1245" s="146" t="s">
        <v>41</v>
      </c>
      <c r="B1245" s="12"/>
      <c r="C1245" s="13"/>
      <c r="D1245" s="53"/>
      <c r="E1245" s="120" t="s">
        <v>1327</v>
      </c>
      <c r="F1245" s="125"/>
      <c r="G1245" s="126"/>
      <c r="H1245" s="127"/>
    </row>
    <row r="1246" spans="1:8" x14ac:dyDescent="0.2">
      <c r="A1246" s="147" t="s">
        <v>1814</v>
      </c>
      <c r="B1246" s="12"/>
      <c r="C1246" s="13"/>
      <c r="D1246" s="53"/>
      <c r="E1246" s="124" t="s">
        <v>648</v>
      </c>
      <c r="F1246" s="125">
        <v>16</v>
      </c>
      <c r="G1246" s="126">
        <v>1027</v>
      </c>
      <c r="H1246" s="127">
        <v>1600</v>
      </c>
    </row>
    <row r="1247" spans="1:8" x14ac:dyDescent="0.2">
      <c r="A1247" s="147" t="s">
        <v>1815</v>
      </c>
      <c r="B1247" s="12"/>
      <c r="C1247" s="13"/>
      <c r="D1247" s="53"/>
      <c r="E1247" s="124" t="s">
        <v>649</v>
      </c>
      <c r="F1247" s="125">
        <v>19</v>
      </c>
      <c r="G1247" s="126">
        <v>1218</v>
      </c>
      <c r="H1247" s="127">
        <v>1899</v>
      </c>
    </row>
    <row r="1248" spans="1:8" x14ac:dyDescent="0.2">
      <c r="A1248" s="147" t="s">
        <v>1820</v>
      </c>
      <c r="B1248" s="12"/>
      <c r="C1248" s="13"/>
      <c r="D1248" s="53"/>
      <c r="E1248" s="124" t="s">
        <v>654</v>
      </c>
      <c r="F1248" s="125">
        <v>40</v>
      </c>
      <c r="G1248" s="126">
        <v>2567</v>
      </c>
      <c r="H1248" s="127">
        <v>4000</v>
      </c>
    </row>
    <row r="1249" spans="1:8" x14ac:dyDescent="0.2">
      <c r="A1249" s="147" t="s">
        <v>1822</v>
      </c>
      <c r="B1249" s="12"/>
      <c r="C1249" s="13"/>
      <c r="D1249" s="53"/>
      <c r="E1249" s="124" t="s">
        <v>656</v>
      </c>
      <c r="F1249" s="125">
        <v>31</v>
      </c>
      <c r="G1249" s="126">
        <v>1989</v>
      </c>
      <c r="H1249" s="127">
        <v>3100</v>
      </c>
    </row>
    <row r="1250" spans="1:8" x14ac:dyDescent="0.2">
      <c r="A1250" s="147" t="s">
        <v>1826</v>
      </c>
      <c r="B1250" s="12"/>
      <c r="C1250" s="13"/>
      <c r="D1250" s="53"/>
      <c r="E1250" s="124" t="s">
        <v>660</v>
      </c>
      <c r="F1250" s="125">
        <v>31</v>
      </c>
      <c r="G1250" s="126">
        <v>1989</v>
      </c>
      <c r="H1250" s="127">
        <v>3100</v>
      </c>
    </row>
    <row r="1251" spans="1:8" x14ac:dyDescent="0.2">
      <c r="A1251" s="150" t="s">
        <v>1899</v>
      </c>
      <c r="B1251" s="12"/>
      <c r="C1251" s="13"/>
      <c r="D1251" s="53"/>
      <c r="E1251" s="132" t="s">
        <v>738</v>
      </c>
      <c r="F1251" s="129">
        <v>120</v>
      </c>
      <c r="G1251" s="130">
        <v>6416</v>
      </c>
      <c r="H1251" s="131">
        <v>9999</v>
      </c>
    </row>
    <row r="1252" spans="1:8" x14ac:dyDescent="0.2">
      <c r="A1252" s="150" t="s">
        <v>41</v>
      </c>
      <c r="B1252" s="12"/>
      <c r="C1252" s="13"/>
      <c r="D1252" s="53"/>
      <c r="E1252" s="120" t="s">
        <v>1327</v>
      </c>
      <c r="F1252" s="125"/>
      <c r="G1252" s="126"/>
      <c r="H1252" s="127"/>
    </row>
    <row r="1253" spans="1:8" x14ac:dyDescent="0.2">
      <c r="A1253" s="147" t="s">
        <v>1820</v>
      </c>
      <c r="B1253" s="12"/>
      <c r="C1253" s="13"/>
      <c r="D1253" s="53"/>
      <c r="E1253" s="124" t="s">
        <v>654</v>
      </c>
      <c r="F1253" s="125">
        <v>40</v>
      </c>
      <c r="G1253" s="126">
        <v>2567</v>
      </c>
      <c r="H1253" s="127">
        <v>4000</v>
      </c>
    </row>
    <row r="1254" spans="1:8" x14ac:dyDescent="0.2">
      <c r="A1254" s="147" t="s">
        <v>1822</v>
      </c>
      <c r="B1254" s="12"/>
      <c r="C1254" s="13"/>
      <c r="D1254" s="53"/>
      <c r="E1254" s="124" t="s">
        <v>656</v>
      </c>
      <c r="F1254" s="125">
        <v>31</v>
      </c>
      <c r="G1254" s="126">
        <v>1989</v>
      </c>
      <c r="H1254" s="127">
        <v>3100</v>
      </c>
    </row>
    <row r="1255" spans="1:8" x14ac:dyDescent="0.2">
      <c r="A1255" s="147" t="s">
        <v>2023</v>
      </c>
      <c r="B1255" s="12"/>
      <c r="C1255" s="13"/>
      <c r="D1255" s="53"/>
      <c r="E1255" s="124" t="s">
        <v>1328</v>
      </c>
      <c r="F1255" s="125">
        <v>0</v>
      </c>
      <c r="G1255" s="126">
        <v>0</v>
      </c>
      <c r="H1255" s="127">
        <v>35</v>
      </c>
    </row>
    <row r="1256" spans="1:8" x14ac:dyDescent="0.2">
      <c r="A1256" s="147" t="s">
        <v>2016</v>
      </c>
      <c r="B1256" s="12"/>
      <c r="C1256" s="13"/>
      <c r="D1256" s="53"/>
      <c r="E1256" s="124" t="s">
        <v>1329</v>
      </c>
      <c r="F1256" s="125">
        <v>0</v>
      </c>
      <c r="G1256" s="126">
        <v>0</v>
      </c>
      <c r="H1256" s="127">
        <v>35</v>
      </c>
    </row>
    <row r="1257" spans="1:8" x14ac:dyDescent="0.2">
      <c r="A1257" s="147" t="s">
        <v>2026</v>
      </c>
      <c r="B1257" s="12"/>
      <c r="C1257" s="13"/>
      <c r="D1257" s="53"/>
      <c r="E1257" s="124" t="s">
        <v>1330</v>
      </c>
      <c r="F1257" s="125">
        <v>0</v>
      </c>
      <c r="G1257" s="126">
        <v>0</v>
      </c>
      <c r="H1257" s="127">
        <v>35</v>
      </c>
    </row>
    <row r="1258" spans="1:8" x14ac:dyDescent="0.2">
      <c r="A1258" s="150" t="s">
        <v>1903</v>
      </c>
      <c r="B1258" s="12"/>
      <c r="C1258" s="13"/>
      <c r="D1258" s="53"/>
      <c r="E1258" s="132" t="s">
        <v>742</v>
      </c>
      <c r="F1258" s="129">
        <v>50</v>
      </c>
      <c r="G1258" s="130">
        <v>3208</v>
      </c>
      <c r="H1258" s="131">
        <v>4999</v>
      </c>
    </row>
    <row r="1259" spans="1:8" x14ac:dyDescent="0.2">
      <c r="A1259" s="148" t="s">
        <v>41</v>
      </c>
      <c r="B1259" s="10"/>
      <c r="C1259" s="10"/>
      <c r="D1259" s="13"/>
      <c r="E1259" s="120" t="s">
        <v>1331</v>
      </c>
      <c r="F1259" s="125"/>
      <c r="G1259" s="126"/>
      <c r="H1259" s="127"/>
    </row>
    <row r="1260" spans="1:8" x14ac:dyDescent="0.2">
      <c r="A1260" s="147" t="s">
        <v>1814</v>
      </c>
      <c r="B1260" s="54"/>
      <c r="C1260" s="54"/>
      <c r="D1260" s="54"/>
      <c r="E1260" s="124" t="s">
        <v>648</v>
      </c>
      <c r="F1260" s="125">
        <v>16</v>
      </c>
      <c r="G1260" s="126">
        <v>1027</v>
      </c>
      <c r="H1260" s="127">
        <v>1600</v>
      </c>
    </row>
    <row r="1261" spans="1:8" x14ac:dyDescent="0.2">
      <c r="A1261" s="147" t="s">
        <v>1816</v>
      </c>
      <c r="B1261" s="44"/>
      <c r="C1261" s="44"/>
      <c r="D1261" s="44"/>
      <c r="E1261" s="124" t="s">
        <v>650</v>
      </c>
      <c r="F1261" s="125">
        <v>19</v>
      </c>
      <c r="G1261" s="126">
        <v>1218</v>
      </c>
      <c r="H1261" s="127">
        <v>1899</v>
      </c>
    </row>
    <row r="1262" spans="1:8" x14ac:dyDescent="0.2">
      <c r="A1262" s="147" t="s">
        <v>1819</v>
      </c>
      <c r="B1262" s="44"/>
      <c r="C1262" s="44"/>
      <c r="D1262" s="44"/>
      <c r="E1262" s="124" t="s">
        <v>653</v>
      </c>
      <c r="F1262" s="125">
        <v>40</v>
      </c>
      <c r="G1262" s="126">
        <v>2567</v>
      </c>
      <c r="H1262" s="127">
        <v>4000</v>
      </c>
    </row>
    <row r="1263" spans="1:8" x14ac:dyDescent="0.2">
      <c r="A1263" s="147" t="s">
        <v>1822</v>
      </c>
      <c r="B1263" s="10"/>
      <c r="C1263" s="10"/>
      <c r="D1263" s="10"/>
      <c r="E1263" s="124" t="s">
        <v>656</v>
      </c>
      <c r="F1263" s="125">
        <v>31</v>
      </c>
      <c r="G1263" s="126">
        <v>1989</v>
      </c>
      <c r="H1263" s="127">
        <v>3100</v>
      </c>
    </row>
    <row r="1264" spans="1:8" x14ac:dyDescent="0.2">
      <c r="A1264" s="147" t="s">
        <v>1825</v>
      </c>
      <c r="B1264" s="49"/>
      <c r="C1264" s="49"/>
      <c r="D1264" s="49"/>
      <c r="E1264" s="124" t="s">
        <v>659</v>
      </c>
      <c r="F1264" s="125">
        <v>31</v>
      </c>
      <c r="G1264" s="126">
        <v>1989</v>
      </c>
      <c r="H1264" s="127">
        <v>3100</v>
      </c>
    </row>
    <row r="1265" spans="1:8" x14ac:dyDescent="0.2">
      <c r="A1265" s="150" t="s">
        <v>1900</v>
      </c>
      <c r="B1265" s="44"/>
      <c r="C1265" s="44"/>
      <c r="D1265" s="44"/>
      <c r="E1265" s="132" t="s">
        <v>739</v>
      </c>
      <c r="F1265" s="129">
        <v>120</v>
      </c>
      <c r="G1265" s="130">
        <v>6416</v>
      </c>
      <c r="H1265" s="131">
        <v>9999</v>
      </c>
    </row>
    <row r="1266" spans="1:8" x14ac:dyDescent="0.2">
      <c r="A1266" s="150" t="s">
        <v>41</v>
      </c>
      <c r="B1266" s="44"/>
      <c r="C1266" s="44"/>
      <c r="D1266" s="44"/>
      <c r="E1266" s="120" t="s">
        <v>1331</v>
      </c>
      <c r="F1266" s="125"/>
      <c r="G1266" s="126"/>
      <c r="H1266" s="127"/>
    </row>
    <row r="1267" spans="1:8" x14ac:dyDescent="0.2">
      <c r="A1267" s="147" t="s">
        <v>1819</v>
      </c>
      <c r="B1267" s="10"/>
      <c r="C1267" s="10"/>
      <c r="D1267" s="10"/>
      <c r="E1267" s="124" t="s">
        <v>653</v>
      </c>
      <c r="F1267" s="125">
        <v>40</v>
      </c>
      <c r="G1267" s="126">
        <v>2567</v>
      </c>
      <c r="H1267" s="127">
        <v>4000</v>
      </c>
    </row>
    <row r="1268" spans="1:8" x14ac:dyDescent="0.2">
      <c r="A1268" s="147" t="s">
        <v>1822</v>
      </c>
      <c r="B1268" s="55"/>
      <c r="C1268" s="55"/>
      <c r="D1268" s="55"/>
      <c r="E1268" s="124" t="s">
        <v>656</v>
      </c>
      <c r="F1268" s="125">
        <v>31</v>
      </c>
      <c r="G1268" s="126">
        <v>1989</v>
      </c>
      <c r="H1268" s="127">
        <v>3100</v>
      </c>
    </row>
    <row r="1269" spans="1:8" x14ac:dyDescent="0.2">
      <c r="A1269" s="147" t="s">
        <v>2023</v>
      </c>
      <c r="B1269" s="44"/>
      <c r="C1269" s="44"/>
      <c r="D1269" s="44"/>
      <c r="E1269" s="124" t="s">
        <v>1332</v>
      </c>
      <c r="F1269" s="125">
        <v>0</v>
      </c>
      <c r="G1269" s="126">
        <v>0</v>
      </c>
      <c r="H1269" s="127">
        <v>35</v>
      </c>
    </row>
    <row r="1270" spans="1:8" x14ac:dyDescent="0.2">
      <c r="A1270" s="147" t="s">
        <v>2017</v>
      </c>
      <c r="B1270" s="44"/>
      <c r="C1270" s="44"/>
      <c r="D1270" s="44"/>
      <c r="E1270" s="124" t="s">
        <v>1333</v>
      </c>
      <c r="F1270" s="125">
        <v>0</v>
      </c>
      <c r="G1270" s="126">
        <v>0</v>
      </c>
      <c r="H1270" s="127">
        <v>35</v>
      </c>
    </row>
    <row r="1271" spans="1:8" x14ac:dyDescent="0.2">
      <c r="A1271" s="147" t="s">
        <v>2025</v>
      </c>
      <c r="B1271" s="10"/>
      <c r="C1271" s="10"/>
      <c r="D1271" s="10"/>
      <c r="E1271" s="124" t="s">
        <v>1334</v>
      </c>
      <c r="F1271" s="125">
        <v>0</v>
      </c>
      <c r="G1271" s="126">
        <v>0</v>
      </c>
      <c r="H1271" s="127">
        <v>35</v>
      </c>
    </row>
    <row r="1272" spans="1:8" x14ac:dyDescent="0.2">
      <c r="A1272" s="150" t="s">
        <v>1904</v>
      </c>
      <c r="B1272" s="51"/>
      <c r="C1272" s="51"/>
      <c r="D1272" s="51"/>
      <c r="E1272" s="132" t="s">
        <v>743</v>
      </c>
      <c r="F1272" s="129">
        <v>50</v>
      </c>
      <c r="G1272" s="130">
        <v>3208</v>
      </c>
      <c r="H1272" s="131">
        <v>4999</v>
      </c>
    </row>
    <row r="1273" spans="1:8" x14ac:dyDescent="0.2">
      <c r="A1273" s="147" t="s">
        <v>41</v>
      </c>
      <c r="B1273" s="44"/>
      <c r="C1273" s="44"/>
      <c r="D1273" s="44"/>
      <c r="E1273" s="120" t="s">
        <v>1335</v>
      </c>
      <c r="F1273" s="125"/>
      <c r="G1273" s="126"/>
      <c r="H1273" s="127"/>
    </row>
    <row r="1274" spans="1:8" x14ac:dyDescent="0.2">
      <c r="A1274" s="147" t="s">
        <v>1814</v>
      </c>
      <c r="B1274" s="48"/>
      <c r="C1274" s="48"/>
      <c r="D1274" s="45"/>
      <c r="E1274" s="124" t="s">
        <v>648</v>
      </c>
      <c r="F1274" s="125">
        <v>16</v>
      </c>
      <c r="G1274" s="126">
        <v>1027</v>
      </c>
      <c r="H1274" s="127">
        <v>1600</v>
      </c>
    </row>
    <row r="1275" spans="1:8" x14ac:dyDescent="0.2">
      <c r="A1275" s="147" t="s">
        <v>1840</v>
      </c>
      <c r="B1275" s="48"/>
      <c r="C1275" s="48"/>
      <c r="D1275" s="45"/>
      <c r="E1275" s="124" t="s">
        <v>673</v>
      </c>
      <c r="F1275" s="125">
        <v>19</v>
      </c>
      <c r="G1275" s="126">
        <v>1218</v>
      </c>
      <c r="H1275" s="127">
        <v>1899</v>
      </c>
    </row>
    <row r="1276" spans="1:8" x14ac:dyDescent="0.2">
      <c r="A1276" s="147" t="s">
        <v>1818</v>
      </c>
      <c r="B1276" s="48"/>
      <c r="C1276" s="48"/>
      <c r="D1276" s="45"/>
      <c r="E1276" s="124" t="s">
        <v>652</v>
      </c>
      <c r="F1276" s="125">
        <v>40</v>
      </c>
      <c r="G1276" s="126">
        <v>2567</v>
      </c>
      <c r="H1276" s="127">
        <v>4000</v>
      </c>
    </row>
    <row r="1277" spans="1:8" x14ac:dyDescent="0.2">
      <c r="A1277" s="147" t="s">
        <v>1824</v>
      </c>
      <c r="B1277" s="48"/>
      <c r="C1277" s="48"/>
      <c r="D1277" s="45"/>
      <c r="E1277" s="124" t="s">
        <v>658</v>
      </c>
      <c r="F1277" s="125">
        <v>31</v>
      </c>
      <c r="G1277" s="126">
        <v>1989</v>
      </c>
      <c r="H1277" s="127">
        <v>3100</v>
      </c>
    </row>
    <row r="1278" spans="1:8" x14ac:dyDescent="0.2">
      <c r="A1278" s="147" t="s">
        <v>1826</v>
      </c>
      <c r="B1278" s="48"/>
      <c r="C1278" s="48"/>
      <c r="D1278" s="45"/>
      <c r="E1278" s="124" t="s">
        <v>660</v>
      </c>
      <c r="F1278" s="125">
        <v>31</v>
      </c>
      <c r="G1278" s="126">
        <v>1989</v>
      </c>
      <c r="H1278" s="127">
        <v>3100</v>
      </c>
    </row>
    <row r="1279" spans="1:8" x14ac:dyDescent="0.2">
      <c r="A1279" s="148" t="s">
        <v>1850</v>
      </c>
      <c r="B1279" s="48"/>
      <c r="C1279" s="48"/>
      <c r="D1279" s="45"/>
      <c r="E1279" s="132" t="s">
        <v>683</v>
      </c>
      <c r="F1279" s="129">
        <v>120</v>
      </c>
      <c r="G1279" s="130">
        <v>6416</v>
      </c>
      <c r="H1279" s="131">
        <v>9999</v>
      </c>
    </row>
    <row r="1280" spans="1:8" x14ac:dyDescent="0.2">
      <c r="A1280" s="150" t="s">
        <v>41</v>
      </c>
      <c r="B1280" s="48"/>
      <c r="C1280" s="48"/>
      <c r="D1280" s="45"/>
      <c r="E1280" s="120" t="s">
        <v>1335</v>
      </c>
      <c r="F1280" s="125"/>
      <c r="G1280" s="126"/>
      <c r="H1280" s="127"/>
    </row>
    <row r="1281" spans="1:8" x14ac:dyDescent="0.2">
      <c r="A1281" s="147" t="s">
        <v>1818</v>
      </c>
      <c r="B1281" s="48"/>
      <c r="C1281" s="48"/>
      <c r="D1281" s="45"/>
      <c r="E1281" s="124" t="s">
        <v>652</v>
      </c>
      <c r="F1281" s="125">
        <v>40</v>
      </c>
      <c r="G1281" s="126">
        <v>2567</v>
      </c>
      <c r="H1281" s="127">
        <v>4000</v>
      </c>
    </row>
    <row r="1282" spans="1:8" x14ac:dyDescent="0.2">
      <c r="A1282" s="147" t="s">
        <v>1824</v>
      </c>
      <c r="B1282" s="48"/>
      <c r="C1282" s="48"/>
      <c r="D1282" s="45"/>
      <c r="E1282" s="124" t="s">
        <v>658</v>
      </c>
      <c r="F1282" s="125">
        <v>31</v>
      </c>
      <c r="G1282" s="126">
        <v>1989</v>
      </c>
      <c r="H1282" s="127">
        <v>3100</v>
      </c>
    </row>
    <row r="1283" spans="1:8" x14ac:dyDescent="0.2">
      <c r="A1283" s="147" t="s">
        <v>2023</v>
      </c>
      <c r="B1283" s="48"/>
      <c r="C1283" s="48"/>
      <c r="D1283" s="45"/>
      <c r="E1283" s="124" t="s">
        <v>1332</v>
      </c>
      <c r="F1283" s="125">
        <v>0</v>
      </c>
      <c r="G1283" s="126">
        <v>0</v>
      </c>
      <c r="H1283" s="127">
        <v>35</v>
      </c>
    </row>
    <row r="1284" spans="1:8" x14ac:dyDescent="0.2">
      <c r="A1284" s="147" t="s">
        <v>2018</v>
      </c>
      <c r="B1284" s="48"/>
      <c r="C1284" s="48"/>
      <c r="D1284" s="45"/>
      <c r="E1284" s="124" t="s">
        <v>1336</v>
      </c>
      <c r="F1284" s="125">
        <v>0</v>
      </c>
      <c r="G1284" s="126">
        <v>0</v>
      </c>
      <c r="H1284" s="127">
        <v>35</v>
      </c>
    </row>
    <row r="1285" spans="1:8" x14ac:dyDescent="0.2">
      <c r="A1285" s="147" t="s">
        <v>2026</v>
      </c>
      <c r="B1285" s="48"/>
      <c r="C1285" s="48"/>
      <c r="D1285" s="45"/>
      <c r="E1285" s="124" t="s">
        <v>1330</v>
      </c>
      <c r="F1285" s="125">
        <v>0</v>
      </c>
      <c r="G1285" s="126">
        <v>0</v>
      </c>
      <c r="H1285" s="127">
        <v>35</v>
      </c>
    </row>
    <row r="1286" spans="1:8" x14ac:dyDescent="0.2">
      <c r="A1286" s="150" t="s">
        <v>1902</v>
      </c>
      <c r="B1286" s="48"/>
      <c r="C1286" s="48"/>
      <c r="D1286" s="45"/>
      <c r="E1286" s="132" t="s">
        <v>741</v>
      </c>
      <c r="F1286" s="129">
        <v>50</v>
      </c>
      <c r="G1286" s="130">
        <v>3208</v>
      </c>
      <c r="H1286" s="131">
        <v>4999</v>
      </c>
    </row>
    <row r="1287" spans="1:8" x14ac:dyDescent="0.2">
      <c r="A1287" s="147" t="s">
        <v>41</v>
      </c>
      <c r="B1287" s="48"/>
      <c r="C1287" s="48"/>
      <c r="D1287" s="45"/>
      <c r="E1287" s="120" t="s">
        <v>1337</v>
      </c>
      <c r="F1287" s="125"/>
      <c r="G1287" s="126"/>
      <c r="H1287" s="127"/>
    </row>
    <row r="1288" spans="1:8" x14ac:dyDescent="0.2">
      <c r="A1288" s="146" t="s">
        <v>1814</v>
      </c>
      <c r="B1288" s="48"/>
      <c r="C1288" s="48"/>
      <c r="D1288" s="45"/>
      <c r="E1288" s="68" t="s">
        <v>648</v>
      </c>
      <c r="F1288" s="125">
        <v>16</v>
      </c>
      <c r="G1288" s="126">
        <v>1027</v>
      </c>
      <c r="H1288" s="127">
        <v>1600</v>
      </c>
    </row>
    <row r="1289" spans="1:8" x14ac:dyDescent="0.2">
      <c r="A1289" s="146" t="s">
        <v>1816</v>
      </c>
      <c r="B1289" s="48"/>
      <c r="C1289" s="48"/>
      <c r="D1289" s="45"/>
      <c r="E1289" s="68" t="s">
        <v>650</v>
      </c>
      <c r="F1289" s="125">
        <v>19</v>
      </c>
      <c r="G1289" s="126">
        <v>1218</v>
      </c>
      <c r="H1289" s="127">
        <v>1899</v>
      </c>
    </row>
    <row r="1290" spans="1:8" x14ac:dyDescent="0.2">
      <c r="A1290" s="146" t="s">
        <v>1817</v>
      </c>
      <c r="B1290" s="48"/>
      <c r="C1290" s="48"/>
      <c r="D1290" s="45"/>
      <c r="E1290" s="68" t="s">
        <v>651</v>
      </c>
      <c r="F1290" s="125">
        <v>40</v>
      </c>
      <c r="G1290" s="126">
        <v>2567</v>
      </c>
      <c r="H1290" s="127">
        <v>4000</v>
      </c>
    </row>
    <row r="1291" spans="1:8" x14ac:dyDescent="0.2">
      <c r="A1291" s="146" t="s">
        <v>1822</v>
      </c>
      <c r="B1291" s="10"/>
      <c r="C1291" s="10"/>
      <c r="D1291" s="38"/>
      <c r="E1291" s="68" t="s">
        <v>656</v>
      </c>
      <c r="F1291" s="125">
        <v>31</v>
      </c>
      <c r="G1291" s="126">
        <v>1989</v>
      </c>
      <c r="H1291" s="127">
        <v>3100</v>
      </c>
    </row>
    <row r="1292" spans="1:8" x14ac:dyDescent="0.2">
      <c r="A1292" s="146" t="s">
        <v>1826</v>
      </c>
      <c r="B1292" s="47"/>
      <c r="C1292" s="47"/>
      <c r="D1292" s="47"/>
      <c r="E1292" s="68" t="s">
        <v>660</v>
      </c>
      <c r="F1292" s="125">
        <v>31</v>
      </c>
      <c r="G1292" s="126">
        <v>1989</v>
      </c>
      <c r="H1292" s="127">
        <v>3100</v>
      </c>
    </row>
    <row r="1293" spans="1:8" x14ac:dyDescent="0.2">
      <c r="A1293" s="149" t="s">
        <v>1898</v>
      </c>
      <c r="B1293" s="47"/>
      <c r="C1293" s="47"/>
      <c r="D1293" s="47"/>
      <c r="E1293" s="133" t="s">
        <v>737</v>
      </c>
      <c r="F1293" s="129">
        <v>120</v>
      </c>
      <c r="G1293" s="130">
        <v>6416</v>
      </c>
      <c r="H1293" s="131">
        <v>9999</v>
      </c>
    </row>
    <row r="1294" spans="1:8" x14ac:dyDescent="0.2">
      <c r="A1294" s="146" t="s">
        <v>41</v>
      </c>
      <c r="B1294" s="47"/>
      <c r="C1294" s="47"/>
      <c r="D1294" s="47"/>
      <c r="E1294" s="120" t="s">
        <v>1337</v>
      </c>
      <c r="F1294" s="125"/>
      <c r="G1294" s="126"/>
      <c r="H1294" s="127"/>
    </row>
    <row r="1295" spans="1:8" x14ac:dyDescent="0.2">
      <c r="A1295" s="147" t="s">
        <v>1817</v>
      </c>
      <c r="B1295" s="47"/>
      <c r="C1295" s="47"/>
      <c r="D1295" s="47"/>
      <c r="E1295" s="124" t="s">
        <v>651</v>
      </c>
      <c r="F1295" s="125">
        <v>40</v>
      </c>
      <c r="G1295" s="126">
        <v>2567</v>
      </c>
      <c r="H1295" s="127">
        <v>4000</v>
      </c>
    </row>
    <row r="1296" spans="1:8" x14ac:dyDescent="0.2">
      <c r="A1296" s="147" t="s">
        <v>1822</v>
      </c>
      <c r="B1296" s="47"/>
      <c r="C1296" s="47"/>
      <c r="D1296" s="47"/>
      <c r="E1296" s="124" t="s">
        <v>656</v>
      </c>
      <c r="F1296" s="125">
        <v>31</v>
      </c>
      <c r="G1296" s="126">
        <v>1989</v>
      </c>
      <c r="H1296" s="127">
        <v>3100</v>
      </c>
    </row>
    <row r="1297" spans="1:8" x14ac:dyDescent="0.2">
      <c r="A1297" s="147" t="s">
        <v>2023</v>
      </c>
      <c r="B1297" s="47"/>
      <c r="C1297" s="47"/>
      <c r="D1297" s="47"/>
      <c r="E1297" s="124" t="s">
        <v>1332</v>
      </c>
      <c r="F1297" s="125">
        <v>0</v>
      </c>
      <c r="G1297" s="126">
        <v>0</v>
      </c>
      <c r="H1297" s="127">
        <v>35</v>
      </c>
    </row>
    <row r="1298" spans="1:8" x14ac:dyDescent="0.2">
      <c r="A1298" s="147" t="s">
        <v>2017</v>
      </c>
      <c r="B1298" s="47"/>
      <c r="C1298" s="47"/>
      <c r="D1298" s="47"/>
      <c r="E1298" s="124" t="s">
        <v>1333</v>
      </c>
      <c r="F1298" s="125">
        <v>0</v>
      </c>
      <c r="G1298" s="126">
        <v>0</v>
      </c>
      <c r="H1298" s="127">
        <v>35</v>
      </c>
    </row>
    <row r="1299" spans="1:8" x14ac:dyDescent="0.2">
      <c r="A1299" s="147" t="s">
        <v>2026</v>
      </c>
      <c r="B1299" s="47"/>
      <c r="C1299" s="47"/>
      <c r="D1299" s="47"/>
      <c r="E1299" s="124" t="s">
        <v>1330</v>
      </c>
      <c r="F1299" s="125">
        <v>0</v>
      </c>
      <c r="G1299" s="126">
        <v>0</v>
      </c>
      <c r="H1299" s="127">
        <v>35</v>
      </c>
    </row>
    <row r="1300" spans="1:8" x14ac:dyDescent="0.2">
      <c r="A1300" s="150" t="s">
        <v>1901</v>
      </c>
      <c r="B1300" s="47"/>
      <c r="C1300" s="47"/>
      <c r="D1300" s="47"/>
      <c r="E1300" s="132" t="s">
        <v>740</v>
      </c>
      <c r="F1300" s="129">
        <v>50</v>
      </c>
      <c r="G1300" s="130">
        <v>3208</v>
      </c>
      <c r="H1300" s="131">
        <v>4999</v>
      </c>
    </row>
    <row r="1301" spans="1:8" x14ac:dyDescent="0.2">
      <c r="A1301" s="150" t="s">
        <v>41</v>
      </c>
      <c r="B1301" s="47"/>
      <c r="C1301" s="47"/>
      <c r="D1301" s="47"/>
      <c r="E1301" s="120" t="s">
        <v>1338</v>
      </c>
      <c r="F1301" s="125"/>
      <c r="G1301" s="126"/>
      <c r="H1301" s="127"/>
    </row>
    <row r="1302" spans="1:8" x14ac:dyDescent="0.2">
      <c r="A1302" s="147" t="s">
        <v>1800</v>
      </c>
      <c r="B1302" s="47"/>
      <c r="C1302" s="47"/>
      <c r="D1302" s="47"/>
      <c r="E1302" s="124" t="s">
        <v>634</v>
      </c>
      <c r="F1302" s="125">
        <v>31</v>
      </c>
      <c r="G1302" s="126">
        <v>1989</v>
      </c>
      <c r="H1302" s="127">
        <v>3100</v>
      </c>
    </row>
    <row r="1303" spans="1:8" x14ac:dyDescent="0.2">
      <c r="A1303" s="147" t="s">
        <v>1801</v>
      </c>
      <c r="B1303" s="47"/>
      <c r="C1303" s="47"/>
      <c r="D1303" s="47"/>
      <c r="E1303" s="124" t="s">
        <v>635</v>
      </c>
      <c r="F1303" s="125">
        <v>31</v>
      </c>
      <c r="G1303" s="126">
        <v>1989</v>
      </c>
      <c r="H1303" s="127">
        <v>3100</v>
      </c>
    </row>
    <row r="1304" spans="1:8" x14ac:dyDescent="0.2">
      <c r="A1304" s="147" t="s">
        <v>1802</v>
      </c>
      <c r="B1304" s="47"/>
      <c r="C1304" s="47"/>
      <c r="D1304" s="47"/>
      <c r="E1304" s="124" t="s">
        <v>636</v>
      </c>
      <c r="F1304" s="125">
        <v>19</v>
      </c>
      <c r="G1304" s="126">
        <v>1218</v>
      </c>
      <c r="H1304" s="127">
        <v>1899</v>
      </c>
    </row>
    <row r="1305" spans="1:8" x14ac:dyDescent="0.2">
      <c r="A1305" s="147" t="s">
        <v>1803</v>
      </c>
      <c r="B1305" s="47"/>
      <c r="C1305" s="47"/>
      <c r="D1305" s="47"/>
      <c r="E1305" s="124" t="s">
        <v>637</v>
      </c>
      <c r="F1305" s="125">
        <v>30</v>
      </c>
      <c r="G1305" s="126">
        <v>1924</v>
      </c>
      <c r="H1305" s="127">
        <v>2999</v>
      </c>
    </row>
    <row r="1306" spans="1:8" x14ac:dyDescent="0.2">
      <c r="A1306" s="147" t="s">
        <v>1804</v>
      </c>
      <c r="B1306" s="47"/>
      <c r="C1306" s="47"/>
      <c r="D1306" s="47"/>
      <c r="E1306" s="124" t="s">
        <v>638</v>
      </c>
      <c r="F1306" s="125">
        <v>16</v>
      </c>
      <c r="G1306" s="126">
        <v>1027</v>
      </c>
      <c r="H1306" s="127">
        <v>1600</v>
      </c>
    </row>
    <row r="1307" spans="1:8" ht="17.25" customHeight="1" x14ac:dyDescent="0.2">
      <c r="A1307" s="148" t="s">
        <v>1895</v>
      </c>
      <c r="B1307" s="47"/>
      <c r="C1307" s="47"/>
      <c r="D1307" s="47"/>
      <c r="E1307" s="132" t="s">
        <v>734</v>
      </c>
      <c r="F1307" s="129">
        <v>120</v>
      </c>
      <c r="G1307" s="130">
        <v>6416</v>
      </c>
      <c r="H1307" s="131">
        <v>9999</v>
      </c>
    </row>
    <row r="1308" spans="1:8" ht="15" x14ac:dyDescent="0.25">
      <c r="A1308" s="119" t="s">
        <v>41</v>
      </c>
      <c r="B1308" s="47"/>
      <c r="C1308" s="47"/>
      <c r="D1308" s="47"/>
      <c r="E1308" s="120" t="s">
        <v>1338</v>
      </c>
      <c r="F1308" s="125"/>
      <c r="G1308" s="126"/>
      <c r="H1308" s="127"/>
    </row>
    <row r="1309" spans="1:8" x14ac:dyDescent="0.2">
      <c r="A1309" s="151" t="s">
        <v>1807</v>
      </c>
      <c r="B1309" s="47"/>
      <c r="C1309" s="47"/>
      <c r="D1309" s="47"/>
      <c r="E1309" s="124" t="s">
        <v>641</v>
      </c>
      <c r="F1309" s="125">
        <v>16</v>
      </c>
      <c r="G1309" s="126">
        <v>1027</v>
      </c>
      <c r="H1309" s="127">
        <v>1600</v>
      </c>
    </row>
    <row r="1310" spans="1:8" x14ac:dyDescent="0.2">
      <c r="A1310" s="147" t="s">
        <v>1808</v>
      </c>
      <c r="B1310" s="47"/>
      <c r="C1310" s="47"/>
      <c r="D1310" s="47"/>
      <c r="E1310" s="124" t="s">
        <v>642</v>
      </c>
      <c r="F1310" s="125">
        <v>27</v>
      </c>
      <c r="G1310" s="126">
        <v>1732</v>
      </c>
      <c r="H1310" s="127">
        <v>2700</v>
      </c>
    </row>
    <row r="1311" spans="1:8" x14ac:dyDescent="0.2">
      <c r="A1311" s="147" t="s">
        <v>1809</v>
      </c>
      <c r="B1311" s="47"/>
      <c r="C1311" s="47"/>
      <c r="D1311" s="47"/>
      <c r="E1311" s="124" t="s">
        <v>643</v>
      </c>
      <c r="F1311" s="125">
        <v>23</v>
      </c>
      <c r="G1311" s="126">
        <v>1475</v>
      </c>
      <c r="H1311" s="127">
        <v>2300</v>
      </c>
    </row>
    <row r="1312" spans="1:8" x14ac:dyDescent="0.2">
      <c r="A1312" s="147" t="s">
        <v>1810</v>
      </c>
      <c r="B1312" s="47"/>
      <c r="C1312" s="47"/>
      <c r="D1312" s="47"/>
      <c r="E1312" s="124" t="s">
        <v>644</v>
      </c>
      <c r="F1312" s="125">
        <v>28</v>
      </c>
      <c r="G1312" s="126">
        <v>1796</v>
      </c>
      <c r="H1312" s="127">
        <v>2799</v>
      </c>
    </row>
    <row r="1313" spans="1:8" x14ac:dyDescent="0.2">
      <c r="A1313" s="147" t="s">
        <v>1812</v>
      </c>
      <c r="B1313" s="47"/>
      <c r="C1313" s="47"/>
      <c r="D1313" s="47"/>
      <c r="E1313" s="124" t="s">
        <v>646</v>
      </c>
      <c r="F1313" s="125">
        <v>27</v>
      </c>
      <c r="G1313" s="126">
        <v>1732</v>
      </c>
      <c r="H1313" s="127">
        <v>2700</v>
      </c>
    </row>
    <row r="1314" spans="1:8" x14ac:dyDescent="0.2">
      <c r="A1314" s="150" t="s">
        <v>1897</v>
      </c>
      <c r="B1314" s="47"/>
      <c r="C1314" s="47"/>
      <c r="D1314" s="47"/>
      <c r="E1314" s="132" t="s">
        <v>736</v>
      </c>
      <c r="F1314" s="129">
        <v>109</v>
      </c>
      <c r="G1314" s="130">
        <v>5838</v>
      </c>
      <c r="H1314" s="131">
        <v>9099</v>
      </c>
    </row>
    <row r="1315" spans="1:8" ht="15" x14ac:dyDescent="0.25">
      <c r="A1315" s="119" t="s">
        <v>41</v>
      </c>
      <c r="B1315" s="47"/>
      <c r="C1315" s="47"/>
      <c r="D1315" s="47"/>
      <c r="E1315" s="120" t="s">
        <v>1339</v>
      </c>
      <c r="F1315" s="125"/>
      <c r="G1315" s="126"/>
      <c r="H1315" s="127"/>
    </row>
    <row r="1316" spans="1:8" x14ac:dyDescent="0.2">
      <c r="A1316" s="151" t="s">
        <v>1759</v>
      </c>
      <c r="B1316" s="47"/>
      <c r="C1316" s="47"/>
      <c r="D1316" s="47"/>
      <c r="E1316" s="124" t="s">
        <v>589</v>
      </c>
      <c r="F1316" s="125">
        <v>2</v>
      </c>
      <c r="G1316" s="126">
        <v>109</v>
      </c>
      <c r="H1316" s="127">
        <v>169</v>
      </c>
    </row>
    <row r="1317" spans="1:8" x14ac:dyDescent="0.2">
      <c r="A1317" s="151" t="s">
        <v>1844</v>
      </c>
      <c r="B1317" s="47"/>
      <c r="C1317" s="47"/>
      <c r="D1317" s="47"/>
      <c r="E1317" s="124" t="s">
        <v>677</v>
      </c>
      <c r="F1317" s="125">
        <v>8</v>
      </c>
      <c r="G1317" s="126">
        <v>545</v>
      </c>
      <c r="H1317" s="127">
        <v>849</v>
      </c>
    </row>
    <row r="1318" spans="1:8" x14ac:dyDescent="0.2">
      <c r="A1318" s="148" t="s">
        <v>1920</v>
      </c>
      <c r="B1318" s="47"/>
      <c r="C1318" s="47"/>
      <c r="D1318" s="47"/>
      <c r="E1318" s="132" t="s">
        <v>1340</v>
      </c>
      <c r="F1318" s="129">
        <v>6</v>
      </c>
      <c r="G1318" s="130">
        <v>384</v>
      </c>
      <c r="H1318" s="131">
        <v>599</v>
      </c>
    </row>
    <row r="1319" spans="1:8" ht="15" x14ac:dyDescent="0.25">
      <c r="A1319" s="119" t="s">
        <v>41</v>
      </c>
      <c r="B1319" s="47"/>
      <c r="C1319" s="47"/>
      <c r="D1319" s="47"/>
      <c r="E1319" s="120" t="s">
        <v>1341</v>
      </c>
      <c r="F1319" s="125"/>
      <c r="G1319" s="126"/>
      <c r="H1319" s="127"/>
    </row>
    <row r="1320" spans="1:8" x14ac:dyDescent="0.2">
      <c r="A1320" s="151" t="s">
        <v>1758</v>
      </c>
      <c r="B1320" s="47"/>
      <c r="C1320" s="47"/>
      <c r="D1320" s="47"/>
      <c r="E1320" s="124" t="s">
        <v>588</v>
      </c>
      <c r="F1320" s="125">
        <v>2</v>
      </c>
      <c r="G1320" s="126">
        <v>109</v>
      </c>
      <c r="H1320" s="127">
        <v>169</v>
      </c>
    </row>
    <row r="1321" spans="1:8" x14ac:dyDescent="0.2">
      <c r="A1321" s="151" t="s">
        <v>814</v>
      </c>
      <c r="B1321" s="47"/>
      <c r="C1321" s="47"/>
      <c r="D1321" s="47"/>
      <c r="E1321" s="124" t="s">
        <v>704</v>
      </c>
      <c r="F1321" s="125">
        <v>5</v>
      </c>
      <c r="G1321" s="126">
        <v>352</v>
      </c>
      <c r="H1321" s="127">
        <v>549</v>
      </c>
    </row>
    <row r="1322" spans="1:8" x14ac:dyDescent="0.2">
      <c r="A1322" s="148" t="s">
        <v>1921</v>
      </c>
      <c r="B1322" s="47"/>
      <c r="C1322" s="47"/>
      <c r="D1322" s="47"/>
      <c r="E1322" s="132" t="s">
        <v>1342</v>
      </c>
      <c r="F1322" s="129">
        <v>6</v>
      </c>
      <c r="G1322" s="130">
        <v>384</v>
      </c>
      <c r="H1322" s="131">
        <v>599</v>
      </c>
    </row>
    <row r="1323" spans="1:8" ht="15" x14ac:dyDescent="0.25">
      <c r="A1323" s="119" t="s">
        <v>41</v>
      </c>
      <c r="B1323" s="47"/>
      <c r="C1323" s="47"/>
      <c r="D1323" s="47"/>
      <c r="E1323" s="120" t="s">
        <v>1343</v>
      </c>
      <c r="F1323" s="125"/>
      <c r="G1323" s="126"/>
      <c r="H1323" s="127"/>
    </row>
    <row r="1324" spans="1:8" x14ac:dyDescent="0.2">
      <c r="A1324" s="151" t="s">
        <v>1863</v>
      </c>
      <c r="B1324" s="47"/>
      <c r="C1324" s="47"/>
      <c r="D1324" s="47"/>
      <c r="E1324" s="124" t="s">
        <v>696</v>
      </c>
      <c r="F1324" s="125">
        <v>3</v>
      </c>
      <c r="G1324" s="126">
        <v>211</v>
      </c>
      <c r="H1324" s="127">
        <v>329</v>
      </c>
    </row>
    <row r="1325" spans="1:8" x14ac:dyDescent="0.2">
      <c r="A1325" s="151" t="s">
        <v>1864</v>
      </c>
      <c r="B1325" s="47"/>
      <c r="C1325" s="47"/>
      <c r="D1325" s="47"/>
      <c r="E1325" s="124" t="s">
        <v>697</v>
      </c>
      <c r="F1325" s="125">
        <v>3</v>
      </c>
      <c r="G1325" s="126">
        <v>192</v>
      </c>
      <c r="H1325" s="127">
        <v>299</v>
      </c>
    </row>
    <row r="1326" spans="1:8" x14ac:dyDescent="0.2">
      <c r="A1326" s="151" t="s">
        <v>1868</v>
      </c>
      <c r="B1326" s="47"/>
      <c r="C1326" s="47"/>
      <c r="D1326" s="47"/>
      <c r="E1326" s="124" t="s">
        <v>701</v>
      </c>
      <c r="F1326" s="125">
        <v>3</v>
      </c>
      <c r="G1326" s="126">
        <v>211</v>
      </c>
      <c r="H1326" s="127">
        <v>329</v>
      </c>
    </row>
    <row r="1327" spans="1:8" ht="15" thickBot="1" x14ac:dyDescent="0.25">
      <c r="A1327" s="148" t="s">
        <v>1907</v>
      </c>
      <c r="B1327" s="47"/>
      <c r="C1327" s="47"/>
      <c r="D1327" s="47"/>
      <c r="E1327" s="132" t="s">
        <v>1344</v>
      </c>
      <c r="F1327" s="129">
        <v>9</v>
      </c>
      <c r="G1327" s="130">
        <v>576</v>
      </c>
      <c r="H1327" s="131">
        <v>899</v>
      </c>
    </row>
    <row r="1328" spans="1:8" ht="15.75" thickBot="1" x14ac:dyDescent="0.3">
      <c r="A1328" s="116" t="s">
        <v>1345</v>
      </c>
      <c r="B1328" s="117"/>
      <c r="C1328" s="117"/>
      <c r="D1328" s="117"/>
      <c r="E1328" s="117"/>
      <c r="F1328" s="117"/>
      <c r="G1328" s="117"/>
      <c r="H1328" s="117"/>
    </row>
    <row r="1329" spans="1:8" x14ac:dyDescent="0.2">
      <c r="A1329" s="10" t="s">
        <v>1957</v>
      </c>
      <c r="B1329" s="16"/>
      <c r="C1329" s="8" t="s">
        <v>1346</v>
      </c>
      <c r="D1329" s="47"/>
      <c r="E1329" s="134" t="s">
        <v>714</v>
      </c>
      <c r="F1329" s="135">
        <v>0</v>
      </c>
      <c r="G1329" s="136">
        <v>0</v>
      </c>
      <c r="H1329" s="99">
        <v>35</v>
      </c>
    </row>
    <row r="1330" spans="1:8" x14ac:dyDescent="0.2">
      <c r="A1330" s="10" t="s">
        <v>1958</v>
      </c>
      <c r="B1330" s="16"/>
      <c r="C1330" s="8" t="s">
        <v>1346</v>
      </c>
      <c r="D1330" s="47"/>
      <c r="E1330" s="134" t="s">
        <v>713</v>
      </c>
      <c r="F1330" s="135">
        <v>0</v>
      </c>
      <c r="G1330" s="136">
        <v>0</v>
      </c>
      <c r="H1330" s="99">
        <v>35</v>
      </c>
    </row>
    <row r="1331" spans="1:8" x14ac:dyDescent="0.2">
      <c r="A1331" s="10" t="s">
        <v>1959</v>
      </c>
      <c r="B1331" s="16"/>
      <c r="C1331" s="8" t="s">
        <v>1346</v>
      </c>
      <c r="D1331" s="47"/>
      <c r="E1331" s="134" t="s">
        <v>1348</v>
      </c>
      <c r="F1331" s="135">
        <v>0</v>
      </c>
      <c r="G1331" s="136">
        <v>0</v>
      </c>
      <c r="H1331" s="99">
        <v>35</v>
      </c>
    </row>
    <row r="1332" spans="1:8" x14ac:dyDescent="0.2">
      <c r="A1332" s="10" t="s">
        <v>1960</v>
      </c>
      <c r="B1332" s="16"/>
      <c r="C1332" s="8" t="s">
        <v>1346</v>
      </c>
      <c r="D1332" s="47"/>
      <c r="E1332" s="134" t="s">
        <v>1349</v>
      </c>
      <c r="F1332" s="135">
        <v>0</v>
      </c>
      <c r="G1332" s="136">
        <v>0</v>
      </c>
      <c r="H1332" s="99">
        <v>35</v>
      </c>
    </row>
    <row r="1333" spans="1:8" x14ac:dyDescent="0.2">
      <c r="A1333" s="10" t="s">
        <v>1961</v>
      </c>
      <c r="B1333" s="16"/>
      <c r="C1333" s="8" t="s">
        <v>1346</v>
      </c>
      <c r="D1333" s="47"/>
      <c r="E1333" s="134" t="s">
        <v>1350</v>
      </c>
      <c r="F1333" s="135">
        <v>0</v>
      </c>
      <c r="G1333" s="136">
        <v>0</v>
      </c>
      <c r="H1333" s="99">
        <v>35</v>
      </c>
    </row>
    <row r="1334" spans="1:8" x14ac:dyDescent="0.2">
      <c r="A1334" s="10" t="s">
        <v>1962</v>
      </c>
      <c r="B1334" s="16"/>
      <c r="C1334" s="8" t="s">
        <v>1346</v>
      </c>
      <c r="D1334" s="47"/>
      <c r="E1334" s="134" t="s">
        <v>1351</v>
      </c>
      <c r="F1334" s="135">
        <v>0</v>
      </c>
      <c r="G1334" s="136">
        <v>0</v>
      </c>
      <c r="H1334" s="99">
        <v>35</v>
      </c>
    </row>
    <row r="1335" spans="1:8" x14ac:dyDescent="0.2">
      <c r="A1335" s="12" t="s">
        <v>1963</v>
      </c>
      <c r="B1335" s="16"/>
      <c r="C1335" s="8" t="s">
        <v>1346</v>
      </c>
      <c r="D1335" s="47"/>
      <c r="E1335" s="134" t="s">
        <v>1352</v>
      </c>
      <c r="F1335" s="135">
        <v>0</v>
      </c>
      <c r="G1335" s="136">
        <v>0</v>
      </c>
      <c r="H1335" s="99">
        <v>35</v>
      </c>
    </row>
    <row r="1336" spans="1:8" x14ac:dyDescent="0.2">
      <c r="A1336" s="12" t="s">
        <v>1964</v>
      </c>
      <c r="B1336" s="16"/>
      <c r="C1336" s="8" t="s">
        <v>1346</v>
      </c>
      <c r="D1336" s="47"/>
      <c r="E1336" s="134" t="s">
        <v>1353</v>
      </c>
      <c r="F1336" s="135">
        <v>0</v>
      </c>
      <c r="G1336" s="136">
        <v>0</v>
      </c>
      <c r="H1336" s="99">
        <v>35</v>
      </c>
    </row>
    <row r="1337" spans="1:8" x14ac:dyDescent="0.2">
      <c r="A1337" s="12" t="s">
        <v>1965</v>
      </c>
      <c r="B1337" s="16"/>
      <c r="C1337" s="8" t="s">
        <v>1346</v>
      </c>
      <c r="D1337" s="47"/>
      <c r="E1337" s="134" t="s">
        <v>1354</v>
      </c>
      <c r="F1337" s="135">
        <v>0</v>
      </c>
      <c r="G1337" s="136">
        <v>0</v>
      </c>
      <c r="H1337" s="99">
        <v>35</v>
      </c>
    </row>
    <row r="1338" spans="1:8" x14ac:dyDescent="0.2">
      <c r="A1338" s="12" t="s">
        <v>1989</v>
      </c>
      <c r="B1338" s="16"/>
      <c r="C1338" s="8" t="s">
        <v>1346</v>
      </c>
      <c r="D1338" s="47"/>
      <c r="E1338" s="134" t="s">
        <v>1355</v>
      </c>
      <c r="F1338" s="135">
        <v>0</v>
      </c>
      <c r="G1338" s="136">
        <v>0</v>
      </c>
      <c r="H1338" s="99">
        <v>35</v>
      </c>
    </row>
    <row r="1339" spans="1:8" x14ac:dyDescent="0.2">
      <c r="A1339" s="12" t="s">
        <v>1990</v>
      </c>
      <c r="B1339" s="16"/>
      <c r="C1339" s="8" t="s">
        <v>1346</v>
      </c>
      <c r="D1339" s="47"/>
      <c r="E1339" s="134" t="s">
        <v>1356</v>
      </c>
      <c r="F1339" s="135">
        <v>0</v>
      </c>
      <c r="G1339" s="136">
        <v>0</v>
      </c>
      <c r="H1339" s="99">
        <v>35</v>
      </c>
    </row>
    <row r="1340" spans="1:8" x14ac:dyDescent="0.2">
      <c r="A1340" s="12" t="s">
        <v>1992</v>
      </c>
      <c r="B1340" s="16"/>
      <c r="C1340" s="8" t="s">
        <v>1346</v>
      </c>
      <c r="D1340" s="47"/>
      <c r="E1340" s="134" t="s">
        <v>1357</v>
      </c>
      <c r="F1340" s="135">
        <v>0</v>
      </c>
      <c r="G1340" s="136">
        <v>0</v>
      </c>
      <c r="H1340" s="99">
        <v>35</v>
      </c>
    </row>
    <row r="1341" spans="1:8" x14ac:dyDescent="0.2">
      <c r="A1341" s="12" t="s">
        <v>1993</v>
      </c>
      <c r="B1341" s="16"/>
      <c r="C1341" s="8" t="s">
        <v>1346</v>
      </c>
      <c r="D1341" s="47"/>
      <c r="E1341" s="134" t="s">
        <v>1358</v>
      </c>
      <c r="F1341" s="135">
        <v>0</v>
      </c>
      <c r="G1341" s="136">
        <v>0</v>
      </c>
      <c r="H1341" s="99">
        <v>35</v>
      </c>
    </row>
    <row r="1342" spans="1:8" x14ac:dyDescent="0.2">
      <c r="A1342" s="12" t="s">
        <v>1994</v>
      </c>
      <c r="B1342" s="16"/>
      <c r="C1342" s="8" t="s">
        <v>1346</v>
      </c>
      <c r="D1342" s="47"/>
      <c r="E1342" s="134" t="s">
        <v>1359</v>
      </c>
      <c r="F1342" s="135">
        <v>0</v>
      </c>
      <c r="G1342" s="136">
        <v>0</v>
      </c>
      <c r="H1342" s="99">
        <v>35</v>
      </c>
    </row>
    <row r="1343" spans="1:8" x14ac:dyDescent="0.2">
      <c r="A1343" s="12" t="s">
        <v>2012</v>
      </c>
      <c r="B1343" s="16"/>
      <c r="C1343" s="8" t="s">
        <v>1346</v>
      </c>
      <c r="D1343" s="47"/>
      <c r="E1343" s="134" t="s">
        <v>1360</v>
      </c>
      <c r="F1343" s="135">
        <v>0</v>
      </c>
      <c r="G1343" s="136">
        <v>0</v>
      </c>
      <c r="H1343" s="99">
        <v>35</v>
      </c>
    </row>
    <row r="1344" spans="1:8" x14ac:dyDescent="0.2">
      <c r="A1344" s="12" t="s">
        <v>2014</v>
      </c>
      <c r="B1344" s="16"/>
      <c r="C1344" s="8" t="s">
        <v>1346</v>
      </c>
      <c r="D1344" s="47"/>
      <c r="E1344" s="134" t="s">
        <v>1361</v>
      </c>
      <c r="F1344" s="135">
        <v>0</v>
      </c>
      <c r="G1344" s="136">
        <v>0</v>
      </c>
      <c r="H1344" s="99">
        <v>35</v>
      </c>
    </row>
    <row r="1345" spans="1:8" x14ac:dyDescent="0.2">
      <c r="A1345" s="12" t="s">
        <v>2016</v>
      </c>
      <c r="B1345" s="16"/>
      <c r="C1345" s="8" t="s">
        <v>1346</v>
      </c>
      <c r="D1345" s="47"/>
      <c r="E1345" s="134" t="s">
        <v>1329</v>
      </c>
      <c r="F1345" s="135">
        <v>0</v>
      </c>
      <c r="G1345" s="136">
        <v>0</v>
      </c>
      <c r="H1345" s="99">
        <v>35</v>
      </c>
    </row>
    <row r="1346" spans="1:8" x14ac:dyDescent="0.2">
      <c r="A1346" s="12" t="s">
        <v>2017</v>
      </c>
      <c r="B1346" s="16"/>
      <c r="C1346" s="8" t="s">
        <v>1346</v>
      </c>
      <c r="D1346" s="47"/>
      <c r="E1346" s="134" t="s">
        <v>1333</v>
      </c>
      <c r="F1346" s="135">
        <v>0</v>
      </c>
      <c r="G1346" s="136">
        <v>0</v>
      </c>
      <c r="H1346" s="99">
        <v>35</v>
      </c>
    </row>
    <row r="1347" spans="1:8" x14ac:dyDescent="0.2">
      <c r="A1347" s="12" t="s">
        <v>2018</v>
      </c>
      <c r="B1347" s="16"/>
      <c r="C1347" s="8" t="s">
        <v>1346</v>
      </c>
      <c r="D1347" s="47"/>
      <c r="E1347" s="134" t="s">
        <v>1336</v>
      </c>
      <c r="F1347" s="135">
        <v>0</v>
      </c>
      <c r="G1347" s="136">
        <v>0</v>
      </c>
      <c r="H1347" s="99">
        <v>35</v>
      </c>
    </row>
    <row r="1348" spans="1:8" x14ac:dyDescent="0.2">
      <c r="A1348" s="12" t="s">
        <v>2019</v>
      </c>
      <c r="B1348" s="16"/>
      <c r="C1348" s="8" t="s">
        <v>1346</v>
      </c>
      <c r="D1348" s="47"/>
      <c r="E1348" s="134" t="s">
        <v>1362</v>
      </c>
      <c r="F1348" s="135">
        <v>0</v>
      </c>
      <c r="G1348" s="136">
        <v>0</v>
      </c>
      <c r="H1348" s="99">
        <v>35</v>
      </c>
    </row>
    <row r="1349" spans="1:8" x14ac:dyDescent="0.2">
      <c r="A1349" s="12" t="s">
        <v>2020</v>
      </c>
      <c r="B1349" s="16"/>
      <c r="C1349" s="8" t="s">
        <v>1346</v>
      </c>
      <c r="D1349" s="47"/>
      <c r="E1349" s="134" t="s">
        <v>1363</v>
      </c>
      <c r="F1349" s="135">
        <v>0</v>
      </c>
      <c r="G1349" s="136">
        <v>0</v>
      </c>
      <c r="H1349" s="99">
        <v>35</v>
      </c>
    </row>
    <row r="1350" spans="1:8" x14ac:dyDescent="0.2">
      <c r="A1350" s="12" t="s">
        <v>2021</v>
      </c>
      <c r="B1350" s="16"/>
      <c r="C1350" s="8" t="s">
        <v>1346</v>
      </c>
      <c r="D1350" s="47"/>
      <c r="E1350" s="134" t="s">
        <v>1364</v>
      </c>
      <c r="F1350" s="135">
        <v>0</v>
      </c>
      <c r="G1350" s="136">
        <v>0</v>
      </c>
      <c r="H1350" s="99">
        <v>35</v>
      </c>
    </row>
    <row r="1351" spans="1:8" x14ac:dyDescent="0.2">
      <c r="A1351" s="12" t="s">
        <v>2022</v>
      </c>
      <c r="B1351" s="16"/>
      <c r="C1351" s="8" t="s">
        <v>1346</v>
      </c>
      <c r="D1351" s="47"/>
      <c r="E1351" s="134" t="s">
        <v>1365</v>
      </c>
      <c r="F1351" s="135">
        <v>0</v>
      </c>
      <c r="G1351" s="136">
        <v>0</v>
      </c>
      <c r="H1351" s="99">
        <v>35</v>
      </c>
    </row>
    <row r="1352" spans="1:8" x14ac:dyDescent="0.2">
      <c r="A1352" s="12" t="s">
        <v>2023</v>
      </c>
      <c r="B1352" s="16"/>
      <c r="C1352" s="8" t="s">
        <v>1346</v>
      </c>
      <c r="D1352" s="47"/>
      <c r="E1352" s="134" t="s">
        <v>1332</v>
      </c>
      <c r="F1352" s="135">
        <v>0</v>
      </c>
      <c r="G1352" s="136">
        <v>0</v>
      </c>
      <c r="H1352" s="99">
        <v>35</v>
      </c>
    </row>
    <row r="1353" spans="1:8" x14ac:dyDescent="0.2">
      <c r="A1353" s="12" t="s">
        <v>2024</v>
      </c>
      <c r="B1353" s="16"/>
      <c r="C1353" s="8" t="s">
        <v>1346</v>
      </c>
      <c r="D1353" s="47"/>
      <c r="E1353" s="134" t="s">
        <v>1366</v>
      </c>
      <c r="F1353" s="135">
        <v>0</v>
      </c>
      <c r="G1353" s="136">
        <v>0</v>
      </c>
      <c r="H1353" s="99">
        <v>35</v>
      </c>
    </row>
    <row r="1354" spans="1:8" x14ac:dyDescent="0.2">
      <c r="A1354" s="12" t="s">
        <v>2025</v>
      </c>
      <c r="B1354" s="16"/>
      <c r="C1354" s="8" t="s">
        <v>1346</v>
      </c>
      <c r="D1354" s="50"/>
      <c r="E1354" s="134" t="s">
        <v>1334</v>
      </c>
      <c r="F1354" s="135">
        <v>0</v>
      </c>
      <c r="G1354" s="136">
        <v>0</v>
      </c>
      <c r="H1354" s="99">
        <v>35</v>
      </c>
    </row>
    <row r="1355" spans="1:8" x14ac:dyDescent="0.2">
      <c r="A1355" s="12" t="s">
        <v>2026</v>
      </c>
      <c r="B1355" s="16"/>
      <c r="C1355" s="8" t="s">
        <v>1346</v>
      </c>
      <c r="D1355" s="50"/>
      <c r="E1355" s="134" t="s">
        <v>1330</v>
      </c>
      <c r="F1355" s="135">
        <v>0</v>
      </c>
      <c r="G1355" s="136">
        <v>0</v>
      </c>
      <c r="H1355" s="99">
        <v>35</v>
      </c>
    </row>
    <row r="1356" spans="1:8" x14ac:dyDescent="0.2">
      <c r="A1356" s="12" t="s">
        <v>2463</v>
      </c>
      <c r="B1356" s="16"/>
      <c r="C1356" s="8" t="s">
        <v>1346</v>
      </c>
      <c r="D1356" s="50"/>
      <c r="E1356" s="134" t="s">
        <v>1367</v>
      </c>
      <c r="F1356" s="135">
        <v>0</v>
      </c>
      <c r="G1356" s="136">
        <v>0</v>
      </c>
      <c r="H1356" s="99">
        <v>35</v>
      </c>
    </row>
    <row r="1357" spans="1:8" x14ac:dyDescent="0.2">
      <c r="A1357" s="12" t="s">
        <v>2077</v>
      </c>
      <c r="B1357" s="16"/>
      <c r="C1357" s="8" t="s">
        <v>1346</v>
      </c>
      <c r="D1357" s="50"/>
      <c r="E1357" s="134" t="s">
        <v>1368</v>
      </c>
      <c r="F1357" s="135">
        <v>0</v>
      </c>
      <c r="G1357" s="136">
        <v>0</v>
      </c>
      <c r="H1357" s="99">
        <v>35</v>
      </c>
    </row>
    <row r="1358" spans="1:8" x14ac:dyDescent="0.2">
      <c r="A1358" s="12" t="s">
        <v>2078</v>
      </c>
      <c r="B1358" s="16"/>
      <c r="C1358" s="8" t="s">
        <v>1346</v>
      </c>
      <c r="D1358" s="50"/>
      <c r="E1358" s="134" t="s">
        <v>1369</v>
      </c>
      <c r="F1358" s="135">
        <v>0</v>
      </c>
      <c r="G1358" s="136">
        <v>0</v>
      </c>
      <c r="H1358" s="99">
        <v>35</v>
      </c>
    </row>
    <row r="1359" spans="1:8" ht="18" customHeight="1" x14ac:dyDescent="0.2">
      <c r="A1359" s="12" t="s">
        <v>2079</v>
      </c>
      <c r="B1359" s="16"/>
      <c r="C1359" s="8" t="s">
        <v>1346</v>
      </c>
      <c r="D1359" s="47"/>
      <c r="E1359" s="134" t="s">
        <v>1370</v>
      </c>
      <c r="F1359" s="135">
        <v>0</v>
      </c>
      <c r="G1359" s="136">
        <v>0</v>
      </c>
      <c r="H1359" s="99">
        <v>35</v>
      </c>
    </row>
    <row r="1360" spans="1:8" ht="18" customHeight="1" x14ac:dyDescent="0.2">
      <c r="A1360" s="12" t="s">
        <v>2464</v>
      </c>
      <c r="B1360" s="16"/>
      <c r="C1360" s="8" t="s">
        <v>1346</v>
      </c>
      <c r="D1360" s="47"/>
      <c r="E1360" s="134" t="s">
        <v>1371</v>
      </c>
      <c r="F1360" s="135">
        <v>0</v>
      </c>
      <c r="G1360" s="136">
        <v>0</v>
      </c>
      <c r="H1360" s="99">
        <v>35</v>
      </c>
    </row>
    <row r="1361" spans="1:8" ht="18" customHeight="1" x14ac:dyDescent="0.2">
      <c r="A1361" s="12" t="s">
        <v>1894</v>
      </c>
      <c r="B1361" s="16">
        <v>0.30401960784313697</v>
      </c>
      <c r="C1361" s="8" t="s">
        <v>1347</v>
      </c>
      <c r="D1361" s="47"/>
      <c r="E1361" s="134" t="s">
        <v>733</v>
      </c>
      <c r="F1361" s="52">
        <v>85</v>
      </c>
      <c r="G1361" s="99">
        <v>4555</v>
      </c>
      <c r="H1361" s="99">
        <v>7099</v>
      </c>
    </row>
    <row r="1362" spans="1:8" ht="18" customHeight="1" x14ac:dyDescent="0.2">
      <c r="A1362" s="12" t="s">
        <v>1895</v>
      </c>
      <c r="B1362" s="16">
        <v>0.30076923076923101</v>
      </c>
      <c r="C1362" s="8" t="s">
        <v>1347</v>
      </c>
      <c r="D1362" s="47"/>
      <c r="E1362" s="134" t="s">
        <v>734</v>
      </c>
      <c r="F1362" s="52">
        <v>120</v>
      </c>
      <c r="G1362" s="99">
        <v>6416</v>
      </c>
      <c r="H1362" s="99">
        <v>9999</v>
      </c>
    </row>
    <row r="1363" spans="1:8" ht="18" customHeight="1" x14ac:dyDescent="0.2">
      <c r="A1363" s="12" t="s">
        <v>1802</v>
      </c>
      <c r="B1363" s="16">
        <v>0.3604</v>
      </c>
      <c r="C1363" s="8" t="s">
        <v>1346</v>
      </c>
      <c r="D1363" s="47"/>
      <c r="E1363" s="134" t="s">
        <v>636</v>
      </c>
      <c r="F1363" s="52">
        <v>16</v>
      </c>
      <c r="G1363" s="99">
        <v>1026</v>
      </c>
      <c r="H1363" s="99">
        <v>1599</v>
      </c>
    </row>
    <row r="1364" spans="1:8" ht="18" customHeight="1" x14ac:dyDescent="0.2">
      <c r="A1364" s="12" t="s">
        <v>1803</v>
      </c>
      <c r="B1364" s="16">
        <v>0.35025000000000001</v>
      </c>
      <c r="C1364" s="8" t="s">
        <v>1346</v>
      </c>
      <c r="D1364" s="47"/>
      <c r="E1364" s="134" t="s">
        <v>637</v>
      </c>
      <c r="F1364" s="52">
        <v>26</v>
      </c>
      <c r="G1364" s="99">
        <v>1668</v>
      </c>
      <c r="H1364" s="99">
        <v>2599</v>
      </c>
    </row>
    <row r="1365" spans="1:8" ht="18" customHeight="1" x14ac:dyDescent="0.2">
      <c r="A1365" s="12" t="s">
        <v>1876</v>
      </c>
      <c r="B1365" s="16">
        <v>0.34826086956521701</v>
      </c>
      <c r="C1365" s="8" t="s">
        <v>1346</v>
      </c>
      <c r="D1365" s="47"/>
      <c r="E1365" s="134" t="s">
        <v>712</v>
      </c>
      <c r="F1365" s="52">
        <v>15</v>
      </c>
      <c r="G1365" s="99">
        <v>962</v>
      </c>
      <c r="H1365" s="99">
        <v>1499</v>
      </c>
    </row>
    <row r="1366" spans="1:8" ht="18" customHeight="1" x14ac:dyDescent="0.2">
      <c r="A1366" s="12" t="s">
        <v>1877</v>
      </c>
      <c r="B1366" s="16">
        <v>0.35162162162162203</v>
      </c>
      <c r="C1366" s="8" t="s">
        <v>1346</v>
      </c>
      <c r="D1366" s="47"/>
      <c r="E1366" s="134" t="s">
        <v>713</v>
      </c>
      <c r="F1366" s="52">
        <v>24</v>
      </c>
      <c r="G1366" s="99">
        <v>1539</v>
      </c>
      <c r="H1366" s="99">
        <v>2399</v>
      </c>
    </row>
    <row r="1367" spans="1:8" ht="18" customHeight="1" x14ac:dyDescent="0.2">
      <c r="A1367" s="12" t="s">
        <v>1809</v>
      </c>
      <c r="B1367" s="16">
        <v>0.34826086956521701</v>
      </c>
      <c r="C1367" s="8" t="s">
        <v>1346</v>
      </c>
      <c r="D1367" s="47"/>
      <c r="E1367" s="134" t="s">
        <v>643</v>
      </c>
      <c r="F1367" s="52">
        <v>15</v>
      </c>
      <c r="G1367" s="99">
        <v>962</v>
      </c>
      <c r="H1367" s="99">
        <v>1499</v>
      </c>
    </row>
    <row r="1368" spans="1:8" ht="18" customHeight="1" x14ac:dyDescent="0.2">
      <c r="A1368" s="12" t="s">
        <v>1810</v>
      </c>
      <c r="B1368" s="16">
        <v>0.35162162162162203</v>
      </c>
      <c r="C1368" s="8" t="s">
        <v>1346</v>
      </c>
      <c r="D1368" s="47"/>
      <c r="E1368" s="134" t="s">
        <v>644</v>
      </c>
      <c r="F1368" s="52">
        <v>24</v>
      </c>
      <c r="G1368" s="99">
        <v>1539</v>
      </c>
      <c r="H1368" s="99">
        <v>2399</v>
      </c>
    </row>
    <row r="1369" spans="1:8" ht="18" customHeight="1" x14ac:dyDescent="0.2">
      <c r="A1369" s="12" t="s">
        <v>1815</v>
      </c>
      <c r="B1369" s="16">
        <v>0.3604</v>
      </c>
      <c r="C1369" s="8" t="s">
        <v>1346</v>
      </c>
      <c r="D1369" s="47"/>
      <c r="E1369" s="134" t="s">
        <v>649</v>
      </c>
      <c r="F1369" s="52">
        <v>16</v>
      </c>
      <c r="G1369" s="99">
        <v>1026</v>
      </c>
      <c r="H1369" s="99">
        <v>1599</v>
      </c>
    </row>
    <row r="1370" spans="1:8" ht="18" customHeight="1" x14ac:dyDescent="0.2">
      <c r="A1370" s="12" t="s">
        <v>1816</v>
      </c>
      <c r="B1370" s="16">
        <v>0.3604</v>
      </c>
      <c r="C1370" s="8" t="s">
        <v>1346</v>
      </c>
      <c r="D1370" s="47"/>
      <c r="E1370" s="134" t="s">
        <v>650</v>
      </c>
      <c r="F1370" s="52">
        <v>16</v>
      </c>
      <c r="G1370" s="99">
        <v>1026</v>
      </c>
      <c r="H1370" s="99">
        <v>1599</v>
      </c>
    </row>
    <row r="1371" spans="1:8" ht="18" customHeight="1" x14ac:dyDescent="0.2">
      <c r="A1371" s="12" t="s">
        <v>1817</v>
      </c>
      <c r="B1371" s="16">
        <v>0.35025000000000001</v>
      </c>
      <c r="C1371" s="8" t="s">
        <v>1346</v>
      </c>
      <c r="D1371" s="47"/>
      <c r="E1371" s="134" t="s">
        <v>651</v>
      </c>
      <c r="F1371" s="52">
        <v>26</v>
      </c>
      <c r="G1371" s="99">
        <v>1668</v>
      </c>
      <c r="H1371" s="99">
        <v>2599</v>
      </c>
    </row>
    <row r="1372" spans="1:8" ht="18" customHeight="1" x14ac:dyDescent="0.2">
      <c r="A1372" s="12" t="s">
        <v>1818</v>
      </c>
      <c r="B1372" s="16">
        <v>0.35025000000000001</v>
      </c>
      <c r="C1372" s="8" t="s">
        <v>1346</v>
      </c>
      <c r="D1372" s="47"/>
      <c r="E1372" s="134" t="s">
        <v>652</v>
      </c>
      <c r="F1372" s="52">
        <v>26</v>
      </c>
      <c r="G1372" s="99">
        <v>1668</v>
      </c>
      <c r="H1372" s="99">
        <v>2599</v>
      </c>
    </row>
    <row r="1373" spans="1:8" ht="18" customHeight="1" x14ac:dyDescent="0.2">
      <c r="A1373" s="12" t="s">
        <v>1819</v>
      </c>
      <c r="B1373" s="16">
        <v>0.35025000000000001</v>
      </c>
      <c r="C1373" s="8" t="s">
        <v>1346</v>
      </c>
      <c r="D1373" s="47"/>
      <c r="E1373" s="134" t="s">
        <v>653</v>
      </c>
      <c r="F1373" s="52">
        <v>26</v>
      </c>
      <c r="G1373" s="99">
        <v>1668</v>
      </c>
      <c r="H1373" s="99">
        <v>2599</v>
      </c>
    </row>
    <row r="1374" spans="1:8" ht="18" customHeight="1" x14ac:dyDescent="0.2">
      <c r="A1374" s="12" t="s">
        <v>1820</v>
      </c>
      <c r="B1374" s="16">
        <v>0.35025000000000001</v>
      </c>
      <c r="C1374" s="8" t="s">
        <v>1346</v>
      </c>
      <c r="D1374" s="47"/>
      <c r="E1374" s="134" t="s">
        <v>654</v>
      </c>
      <c r="F1374" s="52">
        <v>26</v>
      </c>
      <c r="G1374" s="99">
        <v>1668</v>
      </c>
      <c r="H1374" s="99">
        <v>2599</v>
      </c>
    </row>
    <row r="1375" spans="1:8" ht="18" customHeight="1" x14ac:dyDescent="0.2">
      <c r="A1375" s="12" t="s">
        <v>1840</v>
      </c>
      <c r="B1375" s="16">
        <v>0.3604</v>
      </c>
      <c r="C1375" s="8" t="s">
        <v>1346</v>
      </c>
      <c r="D1375" s="47"/>
      <c r="E1375" s="134" t="s">
        <v>673</v>
      </c>
      <c r="F1375" s="52">
        <v>16</v>
      </c>
      <c r="G1375" s="99">
        <v>1026</v>
      </c>
      <c r="H1375" s="99">
        <v>1599</v>
      </c>
    </row>
    <row r="1376" spans="1:8" ht="18" customHeight="1" x14ac:dyDescent="0.2">
      <c r="A1376" s="12" t="s">
        <v>1850</v>
      </c>
      <c r="B1376" s="16">
        <v>0.30076923076923101</v>
      </c>
      <c r="C1376" s="8" t="s">
        <v>1347</v>
      </c>
      <c r="D1376" s="47"/>
      <c r="E1376" s="134" t="s">
        <v>683</v>
      </c>
      <c r="F1376" s="52">
        <v>120</v>
      </c>
      <c r="G1376" s="99">
        <v>6416</v>
      </c>
      <c r="H1376" s="99">
        <v>9999</v>
      </c>
    </row>
    <row r="1377" spans="1:8" ht="18" customHeight="1" x14ac:dyDescent="0.2">
      <c r="A1377" s="12" t="s">
        <v>1897</v>
      </c>
      <c r="B1377" s="16">
        <v>0.30007692307692302</v>
      </c>
      <c r="C1377" s="8" t="s">
        <v>1347</v>
      </c>
      <c r="D1377" s="47"/>
      <c r="E1377" s="134" t="s">
        <v>736</v>
      </c>
      <c r="F1377" s="52">
        <v>109</v>
      </c>
      <c r="G1377" s="99">
        <v>5838</v>
      </c>
      <c r="H1377" s="99">
        <v>9099</v>
      </c>
    </row>
    <row r="1378" spans="1:8" ht="18" customHeight="1" x14ac:dyDescent="0.2">
      <c r="A1378" s="12" t="s">
        <v>1898</v>
      </c>
      <c r="B1378" s="16">
        <v>0.30076923076923101</v>
      </c>
      <c r="C1378" s="8" t="s">
        <v>1347</v>
      </c>
      <c r="D1378" s="47"/>
      <c r="E1378" s="134" t="s">
        <v>737</v>
      </c>
      <c r="F1378" s="52">
        <v>120</v>
      </c>
      <c r="G1378" s="99">
        <v>6416</v>
      </c>
      <c r="H1378" s="99">
        <v>9999</v>
      </c>
    </row>
    <row r="1379" spans="1:8" ht="18" customHeight="1" x14ac:dyDescent="0.2">
      <c r="A1379" s="12" t="s">
        <v>1899</v>
      </c>
      <c r="B1379" s="16">
        <v>0.30076923076923101</v>
      </c>
      <c r="C1379" s="8" t="s">
        <v>1347</v>
      </c>
      <c r="D1379" s="47"/>
      <c r="E1379" s="134" t="s">
        <v>738</v>
      </c>
      <c r="F1379" s="52">
        <v>120</v>
      </c>
      <c r="G1379" s="99">
        <v>6416</v>
      </c>
      <c r="H1379" s="99">
        <v>9999</v>
      </c>
    </row>
    <row r="1380" spans="1:8" ht="18" customHeight="1" x14ac:dyDescent="0.2">
      <c r="A1380" s="12" t="s">
        <v>1900</v>
      </c>
      <c r="B1380" s="16">
        <v>0.30076923076923101</v>
      </c>
      <c r="C1380" s="8" t="s">
        <v>1347</v>
      </c>
      <c r="D1380" s="47"/>
      <c r="E1380" s="134" t="s">
        <v>739</v>
      </c>
      <c r="F1380" s="52">
        <v>120</v>
      </c>
      <c r="G1380" s="99">
        <v>6416</v>
      </c>
      <c r="H1380" s="99">
        <v>9999</v>
      </c>
    </row>
    <row r="1381" spans="1:8" ht="18" customHeight="1" x14ac:dyDescent="0.2">
      <c r="A1381" s="12" t="s">
        <v>1901</v>
      </c>
      <c r="B1381" s="16">
        <v>0.316142270861833</v>
      </c>
      <c r="C1381" s="8" t="s">
        <v>1347</v>
      </c>
      <c r="D1381" s="47"/>
      <c r="E1381" s="134" t="s">
        <v>740</v>
      </c>
      <c r="F1381" s="52">
        <v>50</v>
      </c>
      <c r="G1381" s="99">
        <v>3208</v>
      </c>
      <c r="H1381" s="99">
        <v>4999</v>
      </c>
    </row>
    <row r="1382" spans="1:8" ht="18" customHeight="1" x14ac:dyDescent="0.2">
      <c r="A1382" s="12" t="s">
        <v>1902</v>
      </c>
      <c r="B1382" s="16">
        <v>0.316142270861833</v>
      </c>
      <c r="C1382" s="8" t="s">
        <v>1347</v>
      </c>
      <c r="D1382" s="47"/>
      <c r="E1382" s="134" t="s">
        <v>741</v>
      </c>
      <c r="F1382" s="52">
        <v>50</v>
      </c>
      <c r="G1382" s="99">
        <v>3208</v>
      </c>
      <c r="H1382" s="99">
        <v>4999</v>
      </c>
    </row>
    <row r="1383" spans="1:8" ht="18" customHeight="1" x14ac:dyDescent="0.2">
      <c r="A1383" s="12" t="s">
        <v>1903</v>
      </c>
      <c r="B1383" s="16">
        <v>0.316142270861833</v>
      </c>
      <c r="C1383" s="8" t="s">
        <v>1347</v>
      </c>
      <c r="D1383" s="47"/>
      <c r="E1383" s="134" t="s">
        <v>742</v>
      </c>
      <c r="F1383" s="52">
        <v>50</v>
      </c>
      <c r="G1383" s="99">
        <v>3208</v>
      </c>
      <c r="H1383" s="99">
        <v>4999</v>
      </c>
    </row>
    <row r="1384" spans="1:8" ht="18" customHeight="1" x14ac:dyDescent="0.2">
      <c r="A1384" s="12" t="s">
        <v>1904</v>
      </c>
      <c r="B1384" s="16">
        <v>0.316142270861833</v>
      </c>
      <c r="C1384" s="8" t="s">
        <v>1347</v>
      </c>
      <c r="D1384" s="47"/>
      <c r="E1384" s="134" t="s">
        <v>743</v>
      </c>
      <c r="F1384" s="52">
        <v>50</v>
      </c>
      <c r="G1384" s="99">
        <v>3208</v>
      </c>
      <c r="H1384" s="99">
        <v>4999</v>
      </c>
    </row>
    <row r="1385" spans="1:8" ht="18" customHeight="1" x14ac:dyDescent="0.2">
      <c r="A1385" s="12" t="s">
        <v>2465</v>
      </c>
      <c r="B1385" s="98"/>
      <c r="C1385" s="8" t="s">
        <v>1347</v>
      </c>
      <c r="D1385" s="47"/>
      <c r="E1385" s="134" t="s">
        <v>1372</v>
      </c>
      <c r="F1385" s="135">
        <v>0</v>
      </c>
      <c r="G1385" s="136">
        <v>0</v>
      </c>
      <c r="H1385" s="99">
        <v>175</v>
      </c>
    </row>
    <row r="1386" spans="1:8" ht="18" customHeight="1" x14ac:dyDescent="0.2">
      <c r="A1386" s="12" t="s">
        <v>2465</v>
      </c>
      <c r="B1386" s="98">
        <v>0.32</v>
      </c>
      <c r="C1386" s="8" t="s">
        <v>1347</v>
      </c>
      <c r="D1386" s="47"/>
      <c r="E1386" s="128" t="s">
        <v>1372</v>
      </c>
      <c r="F1386" s="135">
        <v>0</v>
      </c>
      <c r="G1386" s="136">
        <v>0</v>
      </c>
      <c r="H1386" s="99">
        <v>595</v>
      </c>
    </row>
    <row r="1387" spans="1:8" ht="18" customHeight="1" x14ac:dyDescent="0.25">
      <c r="A1387" s="12" t="s">
        <v>2466</v>
      </c>
      <c r="B1387" s="119"/>
      <c r="C1387" s="8" t="s">
        <v>1347</v>
      </c>
      <c r="D1387" s="47"/>
      <c r="E1387" s="134" t="s">
        <v>1373</v>
      </c>
      <c r="F1387" s="135">
        <v>0</v>
      </c>
      <c r="G1387" s="136">
        <v>0</v>
      </c>
      <c r="H1387" s="99">
        <v>175</v>
      </c>
    </row>
    <row r="1388" spans="1:8" ht="18" customHeight="1" x14ac:dyDescent="0.2">
      <c r="A1388" s="12" t="s">
        <v>2466</v>
      </c>
      <c r="B1388" s="98">
        <v>0.32</v>
      </c>
      <c r="C1388" s="8" t="s">
        <v>1347</v>
      </c>
      <c r="D1388" s="47"/>
      <c r="E1388" s="128" t="s">
        <v>1373</v>
      </c>
      <c r="F1388" s="135">
        <v>0</v>
      </c>
      <c r="G1388" s="136">
        <v>0</v>
      </c>
      <c r="H1388" s="99">
        <v>595</v>
      </c>
    </row>
    <row r="1389" spans="1:8" ht="18" customHeight="1" x14ac:dyDescent="0.25">
      <c r="A1389" s="12" t="s">
        <v>2467</v>
      </c>
      <c r="B1389" s="119"/>
      <c r="C1389" s="8" t="s">
        <v>1347</v>
      </c>
      <c r="D1389" s="47"/>
      <c r="E1389" s="134" t="s">
        <v>1374</v>
      </c>
      <c r="F1389" s="135">
        <v>0</v>
      </c>
      <c r="G1389" s="136">
        <v>0</v>
      </c>
      <c r="H1389" s="99">
        <v>175</v>
      </c>
    </row>
    <row r="1390" spans="1:8" ht="18" customHeight="1" x14ac:dyDescent="0.2">
      <c r="A1390" s="12" t="s">
        <v>2467</v>
      </c>
      <c r="B1390" s="98">
        <v>0.32</v>
      </c>
      <c r="C1390" s="8" t="s">
        <v>1347</v>
      </c>
      <c r="D1390" s="47"/>
      <c r="E1390" s="128" t="s">
        <v>1374</v>
      </c>
      <c r="F1390" s="135">
        <v>0</v>
      </c>
      <c r="G1390" s="136">
        <v>0</v>
      </c>
      <c r="H1390" s="99">
        <v>595</v>
      </c>
    </row>
    <row r="1391" spans="1:8" ht="18" customHeight="1" x14ac:dyDescent="0.25">
      <c r="A1391" s="12" t="s">
        <v>2468</v>
      </c>
      <c r="B1391" s="119"/>
      <c r="C1391" s="8" t="s">
        <v>1347</v>
      </c>
      <c r="D1391" s="47"/>
      <c r="E1391" s="134" t="s">
        <v>1375</v>
      </c>
      <c r="F1391" s="135">
        <v>0</v>
      </c>
      <c r="G1391" s="136">
        <v>0</v>
      </c>
      <c r="H1391" s="99">
        <v>175</v>
      </c>
    </row>
    <row r="1392" spans="1:8" ht="18" customHeight="1" x14ac:dyDescent="0.2">
      <c r="A1392" s="12" t="s">
        <v>2468</v>
      </c>
      <c r="B1392" s="98">
        <v>0.32</v>
      </c>
      <c r="C1392" s="8" t="s">
        <v>1347</v>
      </c>
      <c r="D1392" s="47"/>
      <c r="E1392" s="128" t="s">
        <v>1375</v>
      </c>
      <c r="F1392" s="135">
        <v>0</v>
      </c>
      <c r="G1392" s="136">
        <v>0</v>
      </c>
      <c r="H1392" s="99">
        <v>595</v>
      </c>
    </row>
    <row r="1393" spans="1:8" ht="18" customHeight="1" thickBot="1" x14ac:dyDescent="0.25">
      <c r="A1393" s="12" t="s">
        <v>2469</v>
      </c>
      <c r="B1393" s="98">
        <v>0.32</v>
      </c>
      <c r="C1393" s="8" t="s">
        <v>1347</v>
      </c>
      <c r="D1393" s="47"/>
      <c r="E1393" s="128" t="s">
        <v>1376</v>
      </c>
      <c r="F1393" s="135">
        <v>0</v>
      </c>
      <c r="G1393" s="136">
        <v>0</v>
      </c>
      <c r="H1393" s="99">
        <v>595</v>
      </c>
    </row>
    <row r="1394" spans="1:8" ht="18" customHeight="1" thickBot="1" x14ac:dyDescent="0.3">
      <c r="A1394" s="116" t="s">
        <v>1377</v>
      </c>
      <c r="B1394" s="117"/>
      <c r="C1394" s="117"/>
      <c r="D1394" s="117"/>
      <c r="E1394" s="117"/>
      <c r="F1394" s="137"/>
      <c r="G1394" s="137"/>
      <c r="H1394" s="137"/>
    </row>
    <row r="1395" spans="1:8" ht="18" customHeight="1" x14ac:dyDescent="0.25">
      <c r="A1395" s="52" t="s">
        <v>1416</v>
      </c>
      <c r="B1395" s="119"/>
      <c r="C1395" s="43" t="s">
        <v>46</v>
      </c>
      <c r="D1395" s="47"/>
      <c r="E1395" s="11" t="s">
        <v>107</v>
      </c>
      <c r="F1395" s="115">
        <v>52</v>
      </c>
      <c r="G1395" s="115">
        <v>3208</v>
      </c>
      <c r="H1395" s="115">
        <v>5000</v>
      </c>
    </row>
    <row r="1396" spans="1:8" ht="18" customHeight="1" x14ac:dyDescent="0.25">
      <c r="A1396" s="52" t="s">
        <v>1415</v>
      </c>
      <c r="B1396" s="119"/>
      <c r="C1396" s="43" t="s">
        <v>50</v>
      </c>
      <c r="D1396" s="47"/>
      <c r="E1396" s="11" t="s">
        <v>95</v>
      </c>
      <c r="F1396" s="115">
        <v>20</v>
      </c>
      <c r="G1396" s="115">
        <v>1283</v>
      </c>
      <c r="H1396" s="115">
        <v>2000</v>
      </c>
    </row>
    <row r="1397" spans="1:8" ht="18" customHeight="1" x14ac:dyDescent="0.25">
      <c r="A1397" s="106" t="s">
        <v>1417</v>
      </c>
      <c r="B1397" s="119"/>
      <c r="C1397" s="43" t="s">
        <v>1346</v>
      </c>
      <c r="D1397" s="47"/>
      <c r="E1397" s="11" t="s">
        <v>108</v>
      </c>
      <c r="F1397" s="115">
        <v>52</v>
      </c>
      <c r="G1397" s="115">
        <v>3208</v>
      </c>
      <c r="H1397" s="115">
        <v>5000</v>
      </c>
    </row>
    <row r="1398" spans="1:8" ht="18" customHeight="1" x14ac:dyDescent="0.25">
      <c r="A1398" s="106" t="s">
        <v>1418</v>
      </c>
      <c r="B1398" s="119"/>
      <c r="C1398" s="43" t="s">
        <v>54</v>
      </c>
      <c r="D1398" s="47"/>
      <c r="E1398" s="11" t="s">
        <v>109</v>
      </c>
      <c r="F1398" s="115">
        <v>52</v>
      </c>
      <c r="G1398" s="115">
        <v>3208</v>
      </c>
      <c r="H1398" s="115">
        <v>5000</v>
      </c>
    </row>
    <row r="1399" spans="1:8" ht="18" customHeight="1" x14ac:dyDescent="0.25">
      <c r="A1399" s="106" t="s">
        <v>1419</v>
      </c>
      <c r="B1399" s="119"/>
      <c r="C1399" s="43" t="s">
        <v>54</v>
      </c>
      <c r="D1399" s="47"/>
      <c r="E1399" s="11" t="s">
        <v>110</v>
      </c>
      <c r="F1399" s="115">
        <v>52</v>
      </c>
      <c r="G1399" s="115">
        <v>3208</v>
      </c>
      <c r="H1399" s="115">
        <v>5000</v>
      </c>
    </row>
    <row r="1400" spans="1:8" ht="18" customHeight="1" x14ac:dyDescent="0.25">
      <c r="A1400" s="106" t="s">
        <v>1420</v>
      </c>
      <c r="B1400" s="119"/>
      <c r="C1400" s="43" t="s">
        <v>1378</v>
      </c>
      <c r="D1400" s="47"/>
      <c r="E1400" s="11" t="s">
        <v>111</v>
      </c>
      <c r="F1400" s="115">
        <v>52</v>
      </c>
      <c r="G1400" s="115">
        <v>3208</v>
      </c>
      <c r="H1400" s="115">
        <v>5000</v>
      </c>
    </row>
    <row r="1401" spans="1:8" ht="18" customHeight="1" x14ac:dyDescent="0.25">
      <c r="A1401" s="106" t="s">
        <v>1421</v>
      </c>
      <c r="B1401" s="119"/>
      <c r="C1401" s="43" t="s">
        <v>1346</v>
      </c>
      <c r="D1401" s="47"/>
      <c r="E1401" s="11" t="s">
        <v>32</v>
      </c>
      <c r="F1401" s="115">
        <v>24</v>
      </c>
      <c r="G1401" s="115">
        <v>1475</v>
      </c>
      <c r="H1401" s="115">
        <v>2300</v>
      </c>
    </row>
    <row r="1402" spans="1:8" ht="15" x14ac:dyDescent="0.25">
      <c r="A1402" s="106" t="s">
        <v>1422</v>
      </c>
      <c r="B1402" s="119"/>
      <c r="C1402" s="43" t="s">
        <v>1346</v>
      </c>
      <c r="D1402" s="12"/>
      <c r="E1402" s="11" t="s">
        <v>112</v>
      </c>
      <c r="F1402" s="115">
        <v>29</v>
      </c>
      <c r="G1402" s="115">
        <v>1797</v>
      </c>
      <c r="H1402" s="115">
        <v>2800</v>
      </c>
    </row>
    <row r="1403" spans="1:8" ht="15" x14ac:dyDescent="0.25">
      <c r="A1403" s="106" t="s">
        <v>1423</v>
      </c>
      <c r="B1403" s="119"/>
      <c r="C1403" s="43" t="s">
        <v>1346</v>
      </c>
      <c r="D1403" s="38"/>
      <c r="E1403" s="11" t="s">
        <v>33</v>
      </c>
      <c r="F1403" s="115">
        <v>29</v>
      </c>
      <c r="G1403" s="115">
        <v>1797</v>
      </c>
      <c r="H1403" s="115">
        <v>2800</v>
      </c>
    </row>
    <row r="1404" spans="1:8" ht="15" x14ac:dyDescent="0.25">
      <c r="A1404" s="106" t="s">
        <v>1424</v>
      </c>
      <c r="B1404" s="119"/>
      <c r="C1404" s="43" t="s">
        <v>1346</v>
      </c>
      <c r="D1404" s="38"/>
      <c r="E1404" s="11" t="s">
        <v>34</v>
      </c>
      <c r="F1404" s="115">
        <v>29</v>
      </c>
      <c r="G1404" s="115">
        <v>1797</v>
      </c>
      <c r="H1404" s="115">
        <v>2800</v>
      </c>
    </row>
    <row r="1405" spans="1:8" ht="15" x14ac:dyDescent="0.25">
      <c r="A1405" s="106" t="s">
        <v>1425</v>
      </c>
      <c r="B1405" s="119"/>
      <c r="C1405" s="43" t="s">
        <v>1346</v>
      </c>
      <c r="D1405" s="38"/>
      <c r="E1405" s="11" t="s">
        <v>113</v>
      </c>
      <c r="F1405" s="115">
        <v>50</v>
      </c>
      <c r="G1405" s="115">
        <v>2887</v>
      </c>
      <c r="H1405" s="115">
        <v>4500</v>
      </c>
    </row>
    <row r="1406" spans="1:8" ht="15" x14ac:dyDescent="0.25">
      <c r="A1406" s="106" t="s">
        <v>1426</v>
      </c>
      <c r="B1406" s="119"/>
      <c r="C1406" s="43" t="s">
        <v>1346</v>
      </c>
      <c r="D1406" s="38"/>
      <c r="E1406" s="11" t="s">
        <v>114</v>
      </c>
      <c r="F1406" s="115">
        <v>50</v>
      </c>
      <c r="G1406" s="115">
        <v>2887</v>
      </c>
      <c r="H1406" s="115">
        <v>4500</v>
      </c>
    </row>
    <row r="1407" spans="1:8" ht="15" x14ac:dyDescent="0.25">
      <c r="A1407" s="106" t="s">
        <v>1427</v>
      </c>
      <c r="B1407" s="119"/>
      <c r="C1407" s="43" t="s">
        <v>1378</v>
      </c>
      <c r="D1407" s="38"/>
      <c r="E1407" s="11" t="s">
        <v>115</v>
      </c>
      <c r="F1407" s="115">
        <v>70</v>
      </c>
      <c r="G1407" s="115">
        <v>3850</v>
      </c>
      <c r="H1407" s="115">
        <v>6000</v>
      </c>
    </row>
    <row r="1408" spans="1:8" ht="15" x14ac:dyDescent="0.25">
      <c r="A1408" s="106" t="s">
        <v>1431</v>
      </c>
      <c r="B1408" s="119"/>
      <c r="C1408" s="43" t="s">
        <v>150</v>
      </c>
      <c r="D1408" s="38"/>
      <c r="E1408" s="11" t="s">
        <v>119</v>
      </c>
      <c r="F1408" s="115">
        <v>35</v>
      </c>
      <c r="G1408" s="115">
        <v>2245</v>
      </c>
      <c r="H1408" s="115">
        <v>3500</v>
      </c>
    </row>
    <row r="1409" spans="1:8" ht="15" x14ac:dyDescent="0.25">
      <c r="A1409" s="106" t="s">
        <v>1434</v>
      </c>
      <c r="B1409" s="119"/>
      <c r="C1409" s="43" t="s">
        <v>1346</v>
      </c>
      <c r="D1409" s="38"/>
      <c r="E1409" s="11" t="s">
        <v>122</v>
      </c>
      <c r="F1409" s="115">
        <v>70</v>
      </c>
      <c r="G1409" s="115">
        <v>3850</v>
      </c>
      <c r="H1409" s="115">
        <v>6000</v>
      </c>
    </row>
    <row r="1410" spans="1:8" ht="15" x14ac:dyDescent="0.25">
      <c r="A1410" s="106" t="s">
        <v>1435</v>
      </c>
      <c r="B1410" s="119"/>
      <c r="C1410" s="43" t="s">
        <v>1346</v>
      </c>
      <c r="D1410" s="38"/>
      <c r="E1410" s="11" t="s">
        <v>123</v>
      </c>
      <c r="F1410" s="115">
        <v>70</v>
      </c>
      <c r="G1410" s="115">
        <v>3850</v>
      </c>
      <c r="H1410" s="115">
        <v>6000</v>
      </c>
    </row>
    <row r="1411" spans="1:8" ht="15" x14ac:dyDescent="0.25">
      <c r="A1411" s="106" t="s">
        <v>1436</v>
      </c>
      <c r="B1411" s="119"/>
      <c r="C1411" s="43" t="s">
        <v>51</v>
      </c>
      <c r="D1411" s="38"/>
      <c r="E1411" s="11" t="s">
        <v>1380</v>
      </c>
      <c r="F1411" s="115">
        <v>24</v>
      </c>
      <c r="G1411" s="115">
        <v>1475</v>
      </c>
      <c r="H1411" s="115">
        <v>2300</v>
      </c>
    </row>
    <row r="1412" spans="1:8" ht="15" x14ac:dyDescent="0.25">
      <c r="A1412" s="106" t="s">
        <v>1437</v>
      </c>
      <c r="B1412" s="119"/>
      <c r="C1412" s="43" t="s">
        <v>1379</v>
      </c>
      <c r="D1412" s="38"/>
      <c r="E1412" s="11" t="s">
        <v>125</v>
      </c>
      <c r="F1412" s="115">
        <v>23</v>
      </c>
      <c r="G1412" s="115">
        <v>1475</v>
      </c>
      <c r="H1412" s="115">
        <v>2300</v>
      </c>
    </row>
    <row r="1413" spans="1:8" ht="15" x14ac:dyDescent="0.25">
      <c r="A1413" s="106" t="s">
        <v>1438</v>
      </c>
      <c r="B1413" s="119"/>
      <c r="C1413" s="43" t="s">
        <v>1346</v>
      </c>
      <c r="D1413" s="38"/>
      <c r="E1413" s="11" t="s">
        <v>126</v>
      </c>
      <c r="F1413" s="115">
        <v>1</v>
      </c>
      <c r="G1413" s="115">
        <v>38</v>
      </c>
      <c r="H1413" s="115">
        <v>119</v>
      </c>
    </row>
    <row r="1414" spans="1:8" ht="15" x14ac:dyDescent="0.25">
      <c r="A1414" s="106" t="s">
        <v>2470</v>
      </c>
      <c r="B1414" s="119"/>
      <c r="C1414" s="43" t="s">
        <v>1346</v>
      </c>
      <c r="D1414" s="38"/>
      <c r="E1414" s="11" t="s">
        <v>129</v>
      </c>
      <c r="F1414" s="115">
        <v>14</v>
      </c>
      <c r="G1414" s="115">
        <v>449</v>
      </c>
      <c r="H1414" s="115">
        <v>1399</v>
      </c>
    </row>
    <row r="1415" spans="1:8" ht="15" x14ac:dyDescent="0.25">
      <c r="A1415" s="106" t="s">
        <v>1440</v>
      </c>
      <c r="B1415" s="119"/>
      <c r="C1415" s="43" t="s">
        <v>1346</v>
      </c>
      <c r="D1415" s="38"/>
      <c r="E1415" s="11" t="s">
        <v>128</v>
      </c>
      <c r="F1415" s="115">
        <v>7</v>
      </c>
      <c r="G1415" s="115">
        <v>224</v>
      </c>
      <c r="H1415" s="115">
        <v>699</v>
      </c>
    </row>
    <row r="1416" spans="1:8" ht="15" x14ac:dyDescent="0.25">
      <c r="A1416" s="106" t="s">
        <v>1441</v>
      </c>
      <c r="B1416" s="119"/>
      <c r="C1416" s="43" t="s">
        <v>1346</v>
      </c>
      <c r="D1416" s="38"/>
      <c r="E1416" s="11" t="s">
        <v>129</v>
      </c>
      <c r="F1416" s="115">
        <v>10</v>
      </c>
      <c r="G1416" s="115">
        <v>321</v>
      </c>
      <c r="H1416" s="115">
        <v>999</v>
      </c>
    </row>
    <row r="1417" spans="1:8" x14ac:dyDescent="0.2">
      <c r="A1417" s="12"/>
      <c r="B1417" s="40"/>
      <c r="C1417" s="17"/>
      <c r="D1417" s="38"/>
      <c r="E1417" s="15"/>
      <c r="F1417" s="12"/>
      <c r="G1417" s="12"/>
      <c r="H1417" s="12"/>
    </row>
    <row r="1418" spans="1:8" x14ac:dyDescent="0.2">
      <c r="A1418" s="12"/>
      <c r="B1418" s="40"/>
      <c r="C1418" s="17"/>
      <c r="D1418" s="38"/>
      <c r="E1418" s="15"/>
      <c r="F1418" s="12"/>
      <c r="G1418" s="12"/>
      <c r="H1418" s="12"/>
    </row>
    <row r="1419" spans="1:8" x14ac:dyDescent="0.2">
      <c r="A1419" s="12"/>
      <c r="B1419" s="40"/>
      <c r="C1419" s="17"/>
      <c r="D1419" s="38"/>
      <c r="E1419" s="15"/>
      <c r="F1419" s="12"/>
      <c r="G1419" s="12"/>
      <c r="H1419" s="12"/>
    </row>
    <row r="1420" spans="1:8" x14ac:dyDescent="0.2">
      <c r="A1420" s="12"/>
      <c r="B1420" s="40"/>
      <c r="C1420" s="17"/>
      <c r="D1420" s="38"/>
      <c r="E1420" s="15"/>
      <c r="F1420" s="12"/>
      <c r="G1420" s="12"/>
      <c r="H1420" s="12"/>
    </row>
    <row r="1421" spans="1:8" x14ac:dyDescent="0.2">
      <c r="A1421" s="12"/>
      <c r="B1421" s="40"/>
      <c r="C1421" s="17"/>
      <c r="D1421" s="38"/>
      <c r="E1421" s="15"/>
      <c r="F1421" s="12"/>
      <c r="G1421" s="12"/>
      <c r="H1421" s="12"/>
    </row>
    <row r="1422" spans="1:8" x14ac:dyDescent="0.2">
      <c r="A1422" s="12"/>
      <c r="B1422" s="40"/>
      <c r="C1422" s="17"/>
      <c r="D1422" s="38"/>
      <c r="E1422" s="15"/>
      <c r="F1422" s="12"/>
      <c r="G1422" s="12"/>
      <c r="H1422" s="12"/>
    </row>
    <row r="1423" spans="1:8" x14ac:dyDescent="0.2">
      <c r="A1423" s="12"/>
      <c r="B1423" s="40"/>
      <c r="C1423" s="17"/>
      <c r="D1423" s="38"/>
      <c r="E1423" s="15"/>
      <c r="F1423" s="12"/>
      <c r="G1423" s="12"/>
      <c r="H1423" s="12"/>
    </row>
    <row r="1424" spans="1:8" x14ac:dyDescent="0.2">
      <c r="A1424" s="12"/>
      <c r="B1424" s="40"/>
      <c r="C1424" s="17"/>
      <c r="D1424" s="38"/>
      <c r="E1424" s="15"/>
      <c r="F1424" s="12"/>
      <c r="G1424" s="12"/>
      <c r="H1424" s="12"/>
    </row>
    <row r="1425" spans="1:8" x14ac:dyDescent="0.2">
      <c r="A1425" s="12"/>
      <c r="B1425" s="40"/>
      <c r="C1425" s="17"/>
      <c r="D1425" s="38"/>
      <c r="E1425" s="15"/>
      <c r="F1425" s="12"/>
      <c r="G1425" s="12"/>
      <c r="H1425" s="12"/>
    </row>
    <row r="1426" spans="1:8" x14ac:dyDescent="0.2">
      <c r="A1426" s="12"/>
      <c r="B1426" s="40"/>
      <c r="C1426" s="17"/>
      <c r="D1426" s="38"/>
      <c r="E1426" s="15"/>
      <c r="F1426" s="12"/>
      <c r="G1426" s="12"/>
      <c r="H1426" s="12"/>
    </row>
    <row r="1427" spans="1:8" x14ac:dyDescent="0.2">
      <c r="A1427" s="12"/>
      <c r="B1427" s="40"/>
      <c r="C1427" s="17"/>
      <c r="D1427" s="38"/>
      <c r="E1427" s="15"/>
      <c r="F1427" s="12"/>
      <c r="G1427" s="12"/>
      <c r="H1427" s="12"/>
    </row>
    <row r="1428" spans="1:8" x14ac:dyDescent="0.2">
      <c r="A1428" s="12"/>
      <c r="B1428" s="40"/>
      <c r="C1428" s="17"/>
      <c r="D1428" s="38"/>
      <c r="E1428" s="15"/>
      <c r="F1428" s="12"/>
      <c r="G1428" s="12"/>
      <c r="H1428" s="12"/>
    </row>
    <row r="1429" spans="1:8" x14ac:dyDescent="0.2">
      <c r="A1429" s="12"/>
      <c r="B1429" s="40"/>
      <c r="C1429" s="17"/>
      <c r="D1429" s="38"/>
      <c r="E1429" s="15"/>
      <c r="F1429" s="12"/>
      <c r="G1429" s="12"/>
      <c r="H1429" s="12"/>
    </row>
    <row r="1430" spans="1:8" x14ac:dyDescent="0.2">
      <c r="A1430" s="12"/>
      <c r="B1430" s="40"/>
      <c r="C1430" s="17"/>
      <c r="D1430" s="38"/>
      <c r="E1430" s="15"/>
      <c r="F1430" s="12"/>
      <c r="G1430" s="12"/>
      <c r="H1430" s="12"/>
    </row>
    <row r="1431" spans="1:8" x14ac:dyDescent="0.2">
      <c r="A1431" s="12"/>
      <c r="B1431" s="40"/>
      <c r="C1431" s="17"/>
      <c r="D1431" s="38"/>
      <c r="E1431" s="15"/>
      <c r="F1431" s="12"/>
      <c r="G1431" s="12"/>
      <c r="H1431" s="12"/>
    </row>
    <row r="1432" spans="1:8" x14ac:dyDescent="0.2">
      <c r="A1432" s="12"/>
      <c r="B1432" s="40"/>
      <c r="C1432" s="17"/>
      <c r="D1432" s="38"/>
      <c r="E1432" s="15"/>
      <c r="F1432" s="12"/>
      <c r="G1432" s="12"/>
      <c r="H1432" s="12"/>
    </row>
    <row r="1433" spans="1:8" x14ac:dyDescent="0.2">
      <c r="A1433" s="12"/>
      <c r="B1433" s="40"/>
      <c r="C1433" s="17"/>
      <c r="D1433" s="38"/>
      <c r="E1433" s="15"/>
      <c r="F1433" s="12"/>
      <c r="G1433" s="12"/>
      <c r="H1433" s="12"/>
    </row>
    <row r="1434" spans="1:8" x14ac:dyDescent="0.2">
      <c r="A1434" s="12"/>
      <c r="B1434" s="40"/>
      <c r="C1434" s="17"/>
      <c r="D1434" s="38"/>
      <c r="E1434" s="15"/>
      <c r="F1434" s="12"/>
      <c r="G1434" s="12"/>
      <c r="H1434" s="12"/>
    </row>
    <row r="1435" spans="1:8" x14ac:dyDescent="0.2">
      <c r="A1435" s="12"/>
      <c r="B1435" s="40"/>
      <c r="C1435" s="17"/>
      <c r="D1435" s="38"/>
      <c r="E1435" s="15"/>
      <c r="F1435" s="12"/>
      <c r="G1435" s="12"/>
      <c r="H1435" s="12"/>
    </row>
    <row r="1436" spans="1:8" x14ac:dyDescent="0.2">
      <c r="A1436" s="12"/>
      <c r="B1436" s="40"/>
      <c r="C1436" s="17"/>
      <c r="D1436" s="38"/>
      <c r="E1436" s="15"/>
      <c r="F1436" s="12"/>
      <c r="G1436" s="12"/>
      <c r="H1436" s="12"/>
    </row>
    <row r="1437" spans="1:8" x14ac:dyDescent="0.2">
      <c r="A1437" s="12"/>
      <c r="B1437" s="40"/>
      <c r="C1437" s="17"/>
      <c r="D1437" s="38"/>
      <c r="E1437" s="15"/>
      <c r="F1437" s="12"/>
      <c r="G1437" s="12"/>
      <c r="H1437" s="12"/>
    </row>
    <row r="1438" spans="1:8" x14ac:dyDescent="0.2">
      <c r="A1438" s="12"/>
      <c r="B1438" s="40"/>
      <c r="C1438" s="17"/>
      <c r="D1438" s="38"/>
      <c r="E1438" s="15"/>
      <c r="F1438" s="12"/>
      <c r="G1438" s="12"/>
      <c r="H1438" s="12"/>
    </row>
    <row r="1439" spans="1:8" x14ac:dyDescent="0.2">
      <c r="A1439" s="12"/>
      <c r="B1439" s="40"/>
      <c r="C1439" s="17"/>
      <c r="D1439" s="38"/>
      <c r="E1439" s="15"/>
      <c r="F1439" s="12"/>
      <c r="G1439" s="12"/>
      <c r="H1439" s="12"/>
    </row>
    <row r="1440" spans="1:8" x14ac:dyDescent="0.2">
      <c r="A1440" s="12"/>
      <c r="B1440" s="40"/>
      <c r="C1440" s="17"/>
      <c r="D1440" s="38"/>
      <c r="E1440" s="15"/>
      <c r="F1440" s="12"/>
      <c r="G1440" s="12"/>
      <c r="H1440" s="12"/>
    </row>
    <row r="1441" spans="1:8" x14ac:dyDescent="0.2">
      <c r="A1441" s="12"/>
      <c r="B1441" s="40"/>
      <c r="C1441" s="17"/>
      <c r="D1441" s="38"/>
      <c r="E1441" s="15"/>
      <c r="F1441" s="12"/>
      <c r="G1441" s="12"/>
      <c r="H1441" s="12"/>
    </row>
    <row r="1442" spans="1:8" x14ac:dyDescent="0.2">
      <c r="A1442" s="12"/>
      <c r="B1442" s="40"/>
      <c r="C1442" s="17"/>
      <c r="D1442" s="38"/>
      <c r="E1442" s="15"/>
      <c r="F1442" s="12"/>
      <c r="G1442" s="12"/>
      <c r="H1442" s="12"/>
    </row>
    <row r="1443" spans="1:8" x14ac:dyDescent="0.2">
      <c r="A1443" s="12"/>
      <c r="B1443" s="40"/>
      <c r="C1443" s="17"/>
      <c r="D1443" s="38"/>
      <c r="E1443" s="15"/>
      <c r="F1443" s="12"/>
      <c r="G1443" s="12"/>
      <c r="H1443" s="12"/>
    </row>
    <row r="1444" spans="1:8" x14ac:dyDescent="0.2">
      <c r="A1444" s="12"/>
      <c r="B1444" s="40"/>
      <c r="C1444" s="17"/>
      <c r="D1444" s="38"/>
      <c r="E1444" s="15"/>
      <c r="F1444" s="12"/>
      <c r="G1444" s="12"/>
      <c r="H1444" s="12"/>
    </row>
    <row r="1445" spans="1:8" x14ac:dyDescent="0.2">
      <c r="A1445" s="12"/>
      <c r="B1445" s="40"/>
      <c r="C1445" s="17"/>
      <c r="D1445" s="38"/>
      <c r="E1445" s="15"/>
      <c r="F1445" s="12"/>
      <c r="G1445" s="12"/>
      <c r="H1445" s="12"/>
    </row>
    <row r="1446" spans="1:8" x14ac:dyDescent="0.2">
      <c r="A1446" s="12"/>
      <c r="B1446" s="40"/>
      <c r="C1446" s="17"/>
      <c r="D1446" s="38"/>
      <c r="E1446" s="15"/>
      <c r="F1446" s="12"/>
      <c r="G1446" s="12"/>
      <c r="H1446" s="12"/>
    </row>
    <row r="1447" spans="1:8" x14ac:dyDescent="0.2">
      <c r="A1447" s="12"/>
      <c r="B1447" s="40"/>
      <c r="C1447" s="17"/>
      <c r="D1447" s="38"/>
      <c r="E1447" s="15"/>
      <c r="F1447" s="12"/>
      <c r="G1447" s="12"/>
      <c r="H1447" s="12"/>
    </row>
    <row r="1448" spans="1:8" x14ac:dyDescent="0.2">
      <c r="A1448" s="12"/>
      <c r="B1448" s="40"/>
      <c r="C1448" s="17"/>
      <c r="D1448" s="38"/>
      <c r="E1448" s="15"/>
      <c r="F1448" s="12"/>
      <c r="G1448" s="12"/>
      <c r="H1448" s="12"/>
    </row>
    <row r="1449" spans="1:8" x14ac:dyDescent="0.2">
      <c r="A1449" s="12"/>
      <c r="B1449" s="40"/>
      <c r="C1449" s="17"/>
      <c r="D1449" s="38"/>
      <c r="E1449" s="15"/>
      <c r="F1449" s="12"/>
      <c r="G1449" s="12"/>
      <c r="H1449" s="12"/>
    </row>
    <row r="1450" spans="1:8" x14ac:dyDescent="0.2">
      <c r="A1450" s="12"/>
      <c r="B1450" s="40"/>
      <c r="C1450" s="17"/>
      <c r="D1450" s="38"/>
      <c r="E1450" s="15"/>
      <c r="F1450" s="12"/>
      <c r="G1450" s="12"/>
      <c r="H1450" s="12"/>
    </row>
    <row r="1451" spans="1:8" x14ac:dyDescent="0.2">
      <c r="A1451" s="12"/>
      <c r="B1451" s="40"/>
      <c r="C1451" s="17"/>
      <c r="D1451" s="38"/>
      <c r="E1451" s="15"/>
      <c r="F1451" s="12"/>
      <c r="G1451" s="12"/>
      <c r="H1451" s="12"/>
    </row>
    <row r="1452" spans="1:8" x14ac:dyDescent="0.2">
      <c r="A1452" s="12"/>
      <c r="B1452" s="40"/>
      <c r="C1452" s="17"/>
      <c r="D1452" s="38"/>
      <c r="E1452" s="15"/>
      <c r="F1452" s="12"/>
      <c r="G1452" s="12"/>
      <c r="H1452" s="12"/>
    </row>
    <row r="1453" spans="1:8" x14ac:dyDescent="0.2">
      <c r="A1453" s="12"/>
      <c r="B1453" s="40"/>
      <c r="C1453" s="17"/>
      <c r="D1453" s="38"/>
      <c r="E1453" s="15"/>
      <c r="F1453" s="12"/>
      <c r="G1453" s="12"/>
      <c r="H1453" s="12"/>
    </row>
    <row r="1454" spans="1:8" x14ac:dyDescent="0.2">
      <c r="A1454" s="12"/>
      <c r="B1454" s="40"/>
      <c r="C1454" s="17"/>
      <c r="D1454" s="38"/>
      <c r="E1454" s="15"/>
      <c r="F1454" s="12"/>
      <c r="G1454" s="12"/>
      <c r="H1454" s="12"/>
    </row>
    <row r="1455" spans="1:8" x14ac:dyDescent="0.2">
      <c r="A1455" s="12"/>
      <c r="B1455" s="40"/>
      <c r="C1455" s="17"/>
      <c r="D1455" s="38"/>
      <c r="E1455" s="15"/>
      <c r="F1455" s="12"/>
      <c r="G1455" s="12"/>
      <c r="H1455" s="12"/>
    </row>
    <row r="1456" spans="1:8" x14ac:dyDescent="0.2">
      <c r="A1456" s="12"/>
      <c r="B1456" s="40"/>
      <c r="C1456" s="17"/>
      <c r="D1456" s="38"/>
      <c r="E1456" s="15"/>
      <c r="F1456" s="12"/>
      <c r="G1456" s="12"/>
      <c r="H1456" s="12"/>
    </row>
    <row r="1457" spans="1:8" x14ac:dyDescent="0.2">
      <c r="A1457" s="12"/>
      <c r="B1457" s="40"/>
      <c r="C1457" s="17"/>
      <c r="D1457" s="38"/>
      <c r="E1457" s="15"/>
      <c r="F1457" s="12"/>
      <c r="G1457" s="12"/>
      <c r="H1457" s="12"/>
    </row>
    <row r="1458" spans="1:8" x14ac:dyDescent="0.2">
      <c r="A1458" s="12"/>
      <c r="B1458" s="40"/>
      <c r="C1458" s="17"/>
      <c r="D1458" s="38"/>
      <c r="E1458" s="15"/>
      <c r="F1458" s="12"/>
      <c r="G1458" s="12"/>
      <c r="H1458" s="12"/>
    </row>
    <row r="1459" spans="1:8" x14ac:dyDescent="0.2">
      <c r="A1459" s="12"/>
      <c r="B1459" s="40"/>
      <c r="C1459" s="17"/>
      <c r="D1459" s="38"/>
      <c r="E1459" s="15"/>
      <c r="F1459" s="12"/>
      <c r="G1459" s="12"/>
      <c r="H1459" s="12"/>
    </row>
    <row r="1460" spans="1:8" x14ac:dyDescent="0.2">
      <c r="A1460" s="12"/>
      <c r="B1460" s="40"/>
      <c r="C1460" s="17"/>
      <c r="D1460" s="38"/>
      <c r="E1460" s="15"/>
      <c r="F1460" s="12"/>
      <c r="G1460" s="12"/>
      <c r="H1460" s="12"/>
    </row>
    <row r="1461" spans="1:8" x14ac:dyDescent="0.2">
      <c r="A1461" s="12"/>
      <c r="B1461" s="40"/>
      <c r="C1461" s="17"/>
      <c r="D1461" s="38"/>
      <c r="E1461" s="15"/>
      <c r="F1461" s="12"/>
      <c r="G1461" s="12"/>
      <c r="H1461" s="12"/>
    </row>
    <row r="1462" spans="1:8" x14ac:dyDescent="0.2">
      <c r="A1462" s="12"/>
      <c r="B1462" s="40"/>
      <c r="C1462" s="17"/>
      <c r="D1462" s="38"/>
      <c r="E1462" s="15"/>
      <c r="F1462" s="12"/>
      <c r="G1462" s="12"/>
      <c r="H1462" s="12"/>
    </row>
    <row r="1463" spans="1:8" x14ac:dyDescent="0.2">
      <c r="A1463" s="12"/>
      <c r="B1463" s="40"/>
      <c r="C1463" s="17"/>
      <c r="D1463" s="38"/>
      <c r="E1463" s="15"/>
      <c r="F1463" s="12"/>
      <c r="G1463" s="12"/>
      <c r="H1463" s="12"/>
    </row>
    <row r="1464" spans="1:8" x14ac:dyDescent="0.2">
      <c r="A1464" s="12"/>
      <c r="B1464" s="40"/>
      <c r="C1464" s="17"/>
      <c r="D1464" s="38"/>
      <c r="E1464" s="15"/>
      <c r="F1464" s="12"/>
      <c r="G1464" s="12"/>
      <c r="H1464" s="12"/>
    </row>
    <row r="1465" spans="1:8" x14ac:dyDescent="0.2">
      <c r="A1465" s="12"/>
      <c r="B1465" s="40"/>
      <c r="C1465" s="17"/>
      <c r="D1465" s="38"/>
      <c r="E1465" s="15"/>
      <c r="F1465" s="12"/>
      <c r="G1465" s="12"/>
      <c r="H1465" s="12"/>
    </row>
    <row r="1466" spans="1:8" x14ac:dyDescent="0.2">
      <c r="A1466" s="12"/>
      <c r="B1466" s="40"/>
      <c r="C1466" s="17"/>
      <c r="D1466" s="38"/>
      <c r="E1466" s="15"/>
      <c r="F1466" s="12"/>
      <c r="G1466" s="12"/>
      <c r="H1466" s="12"/>
    </row>
    <row r="1467" spans="1:8" x14ac:dyDescent="0.2">
      <c r="A1467" s="12"/>
      <c r="B1467" s="40"/>
      <c r="C1467" s="17"/>
      <c r="D1467" s="38"/>
      <c r="E1467" s="15"/>
      <c r="F1467" s="12"/>
      <c r="G1467" s="12"/>
      <c r="H1467" s="12"/>
    </row>
    <row r="1468" spans="1:8" x14ac:dyDescent="0.2">
      <c r="A1468" s="12"/>
      <c r="B1468" s="40"/>
      <c r="C1468" s="17"/>
      <c r="D1468" s="38"/>
      <c r="E1468" s="15"/>
      <c r="F1468" s="12"/>
      <c r="G1468" s="12"/>
      <c r="H1468" s="12"/>
    </row>
    <row r="1469" spans="1:8" x14ac:dyDescent="0.2">
      <c r="A1469" s="12"/>
      <c r="B1469" s="40"/>
      <c r="C1469" s="17"/>
      <c r="D1469" s="38"/>
      <c r="E1469" s="15"/>
      <c r="F1469" s="12"/>
      <c r="G1469" s="12"/>
      <c r="H1469" s="12"/>
    </row>
    <row r="1470" spans="1:8" x14ac:dyDescent="0.2">
      <c r="A1470" s="12"/>
      <c r="B1470" s="40"/>
      <c r="C1470" s="17"/>
      <c r="D1470" s="38"/>
      <c r="E1470" s="15"/>
      <c r="F1470" s="12"/>
      <c r="G1470" s="12"/>
      <c r="H1470" s="12"/>
    </row>
    <row r="1471" spans="1:8" x14ac:dyDescent="0.2">
      <c r="A1471" s="12"/>
      <c r="B1471" s="40"/>
      <c r="C1471" s="17"/>
      <c r="D1471" s="38"/>
      <c r="E1471" s="15"/>
      <c r="F1471" s="12"/>
      <c r="G1471" s="12"/>
      <c r="H1471" s="12"/>
    </row>
    <row r="1472" spans="1:8" x14ac:dyDescent="0.2">
      <c r="A1472" s="12"/>
      <c r="B1472" s="40"/>
      <c r="C1472" s="17"/>
      <c r="D1472" s="38"/>
      <c r="E1472" s="15"/>
      <c r="F1472" s="12"/>
      <c r="G1472" s="12"/>
      <c r="H1472" s="12"/>
    </row>
    <row r="1473" spans="1:8" x14ac:dyDescent="0.2">
      <c r="A1473" s="12"/>
      <c r="B1473" s="40"/>
      <c r="C1473" s="17"/>
      <c r="D1473" s="38"/>
      <c r="E1473" s="15"/>
      <c r="F1473" s="12"/>
      <c r="G1473" s="12"/>
      <c r="H1473" s="12"/>
    </row>
    <row r="1474" spans="1:8" x14ac:dyDescent="0.2">
      <c r="A1474" s="12"/>
      <c r="B1474" s="40"/>
      <c r="C1474" s="17"/>
      <c r="D1474" s="38"/>
      <c r="E1474" s="15"/>
      <c r="F1474" s="12"/>
      <c r="G1474" s="12"/>
      <c r="H1474" s="12"/>
    </row>
    <row r="1475" spans="1:8" x14ac:dyDescent="0.2">
      <c r="A1475" s="12"/>
      <c r="B1475" s="40"/>
      <c r="C1475" s="17"/>
      <c r="D1475" s="38"/>
      <c r="E1475" s="15"/>
      <c r="F1475" s="12"/>
      <c r="G1475" s="12"/>
      <c r="H1475" s="12"/>
    </row>
    <row r="1476" spans="1:8" x14ac:dyDescent="0.2">
      <c r="A1476" s="12"/>
      <c r="B1476" s="40"/>
      <c r="C1476" s="17"/>
      <c r="D1476" s="38"/>
      <c r="E1476" s="15"/>
      <c r="F1476" s="12"/>
      <c r="G1476" s="12"/>
      <c r="H1476" s="12"/>
    </row>
    <row r="1477" spans="1:8" x14ac:dyDescent="0.2">
      <c r="A1477" s="12"/>
      <c r="B1477" s="40"/>
      <c r="C1477" s="17"/>
      <c r="D1477" s="38"/>
      <c r="E1477" s="15"/>
      <c r="F1477" s="12"/>
      <c r="G1477" s="12"/>
      <c r="H1477" s="12"/>
    </row>
    <row r="1478" spans="1:8" x14ac:dyDescent="0.2">
      <c r="A1478" s="12"/>
      <c r="B1478" s="40"/>
      <c r="C1478" s="17"/>
      <c r="D1478" s="38"/>
      <c r="E1478" s="15"/>
      <c r="F1478" s="12"/>
      <c r="G1478" s="12"/>
      <c r="H1478" s="12"/>
    </row>
    <row r="1479" spans="1:8" x14ac:dyDescent="0.2">
      <c r="A1479" s="12"/>
      <c r="B1479" s="40"/>
      <c r="C1479" s="17"/>
      <c r="D1479" s="38"/>
      <c r="E1479" s="15"/>
      <c r="F1479" s="12"/>
      <c r="G1479" s="12"/>
      <c r="H1479" s="12"/>
    </row>
    <row r="1480" spans="1:8" x14ac:dyDescent="0.2">
      <c r="A1480" s="12"/>
      <c r="B1480" s="40"/>
      <c r="C1480" s="17"/>
      <c r="D1480" s="38"/>
      <c r="E1480" s="15"/>
      <c r="F1480" s="12"/>
      <c r="G1480" s="12"/>
      <c r="H1480" s="12"/>
    </row>
    <row r="1481" spans="1:8" x14ac:dyDescent="0.2">
      <c r="A1481" s="12"/>
      <c r="B1481" s="40"/>
      <c r="C1481" s="17"/>
      <c r="D1481" s="38"/>
      <c r="E1481" s="15"/>
      <c r="F1481" s="12"/>
      <c r="G1481" s="12"/>
      <c r="H1481" s="12"/>
    </row>
    <row r="1482" spans="1:8" x14ac:dyDescent="0.2">
      <c r="A1482" s="12"/>
      <c r="B1482" s="40"/>
      <c r="C1482" s="17"/>
      <c r="D1482" s="38"/>
      <c r="E1482" s="15"/>
      <c r="F1482" s="12"/>
      <c r="G1482" s="12"/>
      <c r="H1482" s="12"/>
    </row>
    <row r="1483" spans="1:8" x14ac:dyDescent="0.2">
      <c r="A1483" s="12"/>
      <c r="B1483" s="40"/>
      <c r="C1483" s="17"/>
      <c r="D1483" s="38"/>
      <c r="E1483" s="15"/>
      <c r="F1483" s="12"/>
      <c r="G1483" s="12"/>
      <c r="H1483" s="12"/>
    </row>
    <row r="1484" spans="1:8" x14ac:dyDescent="0.2">
      <c r="A1484" s="12"/>
      <c r="B1484" s="40"/>
      <c r="C1484" s="17"/>
      <c r="D1484" s="38"/>
      <c r="E1484" s="15"/>
      <c r="F1484" s="12"/>
      <c r="G1484" s="12"/>
      <c r="H1484" s="12"/>
    </row>
    <row r="1485" spans="1:8" x14ac:dyDescent="0.2">
      <c r="A1485" s="12"/>
      <c r="B1485" s="40"/>
      <c r="C1485" s="17"/>
      <c r="D1485" s="38"/>
      <c r="E1485" s="15"/>
      <c r="F1485" s="12"/>
      <c r="G1485" s="12"/>
      <c r="H1485" s="12"/>
    </row>
    <row r="1486" spans="1:8" x14ac:dyDescent="0.2">
      <c r="A1486" s="12"/>
      <c r="B1486" s="40"/>
      <c r="C1486" s="17"/>
      <c r="D1486" s="38"/>
      <c r="E1486" s="15"/>
      <c r="F1486" s="12"/>
      <c r="G1486" s="12"/>
      <c r="H1486" s="12"/>
    </row>
    <row r="1487" spans="1:8" x14ac:dyDescent="0.2">
      <c r="A1487" s="12"/>
      <c r="B1487" s="40"/>
      <c r="C1487" s="17"/>
      <c r="D1487" s="38"/>
      <c r="E1487" s="15"/>
      <c r="F1487" s="12"/>
      <c r="G1487" s="12"/>
      <c r="H1487" s="12"/>
    </row>
    <row r="1488" spans="1:8" x14ac:dyDescent="0.2">
      <c r="A1488" s="12"/>
      <c r="B1488" s="40"/>
      <c r="C1488" s="17"/>
      <c r="D1488" s="38"/>
      <c r="E1488" s="15"/>
      <c r="F1488" s="12"/>
      <c r="G1488" s="12"/>
      <c r="H1488" s="12"/>
    </row>
    <row r="1489" spans="1:8" x14ac:dyDescent="0.2">
      <c r="A1489" s="12"/>
      <c r="B1489" s="40"/>
      <c r="C1489" s="17"/>
      <c r="D1489" s="38"/>
      <c r="E1489" s="15"/>
      <c r="F1489" s="12"/>
      <c r="G1489" s="12"/>
      <c r="H1489" s="12"/>
    </row>
    <row r="1490" spans="1:8" x14ac:dyDescent="0.2">
      <c r="A1490" s="12"/>
      <c r="B1490" s="40"/>
      <c r="C1490" s="17"/>
      <c r="D1490" s="38"/>
      <c r="E1490" s="15"/>
      <c r="F1490" s="12"/>
      <c r="G1490" s="12"/>
      <c r="H1490" s="12"/>
    </row>
    <row r="1491" spans="1:8" x14ac:dyDescent="0.2">
      <c r="A1491" s="12"/>
      <c r="B1491" s="40"/>
      <c r="C1491" s="17"/>
      <c r="D1491" s="38"/>
      <c r="E1491" s="15"/>
      <c r="F1491" s="12"/>
      <c r="G1491" s="12"/>
      <c r="H1491" s="12"/>
    </row>
    <row r="1492" spans="1:8" x14ac:dyDescent="0.2">
      <c r="A1492" s="12"/>
      <c r="B1492" s="40"/>
      <c r="C1492" s="17"/>
      <c r="D1492" s="38"/>
      <c r="E1492" s="15"/>
      <c r="F1492" s="12"/>
      <c r="G1492" s="12"/>
      <c r="H1492" s="12"/>
    </row>
    <row r="1493" spans="1:8" x14ac:dyDescent="0.2">
      <c r="A1493" s="12"/>
      <c r="B1493" s="40"/>
      <c r="C1493" s="17"/>
      <c r="D1493" s="38"/>
      <c r="E1493" s="15"/>
      <c r="F1493" s="12"/>
      <c r="G1493" s="12"/>
      <c r="H1493" s="12"/>
    </row>
    <row r="1494" spans="1:8" x14ac:dyDescent="0.2">
      <c r="A1494" s="12"/>
      <c r="B1494" s="40"/>
      <c r="C1494" s="17"/>
      <c r="D1494" s="38"/>
      <c r="E1494" s="15"/>
      <c r="F1494" s="12"/>
      <c r="G1494" s="12"/>
      <c r="H1494" s="12"/>
    </row>
    <row r="1495" spans="1:8" x14ac:dyDescent="0.2">
      <c r="A1495" s="12"/>
      <c r="B1495" s="40"/>
      <c r="C1495" s="17"/>
      <c r="D1495" s="38"/>
      <c r="E1495" s="15"/>
      <c r="F1495" s="12"/>
      <c r="G1495" s="12"/>
      <c r="H1495" s="12"/>
    </row>
    <row r="1496" spans="1:8" x14ac:dyDescent="0.2">
      <c r="A1496" s="12"/>
      <c r="B1496" s="40"/>
      <c r="C1496" s="17"/>
      <c r="D1496" s="38"/>
      <c r="E1496" s="15"/>
      <c r="F1496" s="12"/>
      <c r="G1496" s="12"/>
      <c r="H1496" s="12"/>
    </row>
    <row r="1497" spans="1:8" x14ac:dyDescent="0.2">
      <c r="A1497" s="12"/>
      <c r="B1497" s="40"/>
      <c r="C1497" s="17"/>
      <c r="D1497" s="38"/>
      <c r="E1497" s="15"/>
      <c r="F1497" s="12"/>
      <c r="G1497" s="12"/>
      <c r="H1497" s="12"/>
    </row>
    <row r="1498" spans="1:8" x14ac:dyDescent="0.2">
      <c r="A1498" s="12"/>
      <c r="B1498" s="40"/>
      <c r="C1498" s="17"/>
      <c r="D1498" s="38"/>
      <c r="E1498" s="15"/>
      <c r="F1498" s="12"/>
      <c r="G1498" s="12"/>
      <c r="H1498" s="12"/>
    </row>
    <row r="1499" spans="1:8" x14ac:dyDescent="0.2">
      <c r="A1499" s="12"/>
      <c r="B1499" s="40"/>
      <c r="C1499" s="17"/>
      <c r="D1499" s="38"/>
      <c r="E1499" s="15"/>
      <c r="F1499" s="12"/>
      <c r="G1499" s="12"/>
      <c r="H1499" s="12"/>
    </row>
    <row r="1500" spans="1:8" x14ac:dyDescent="0.2">
      <c r="A1500" s="12"/>
      <c r="B1500" s="40"/>
      <c r="C1500" s="17"/>
      <c r="D1500" s="38"/>
      <c r="E1500" s="15"/>
      <c r="F1500" s="12"/>
      <c r="G1500" s="12"/>
      <c r="H1500" s="12"/>
    </row>
    <row r="1501" spans="1:8" x14ac:dyDescent="0.2">
      <c r="A1501" s="12"/>
      <c r="B1501" s="40"/>
      <c r="C1501" s="17"/>
      <c r="D1501" s="38"/>
      <c r="E1501" s="15"/>
      <c r="F1501" s="12"/>
      <c r="G1501" s="12"/>
      <c r="H1501" s="12"/>
    </row>
    <row r="1502" spans="1:8" x14ac:dyDescent="0.2">
      <c r="A1502" s="12"/>
      <c r="B1502" s="40"/>
      <c r="C1502" s="17"/>
      <c r="D1502" s="38"/>
      <c r="E1502" s="15"/>
      <c r="F1502" s="12"/>
      <c r="G1502" s="12"/>
      <c r="H1502" s="12"/>
    </row>
    <row r="1503" spans="1:8" x14ac:dyDescent="0.2">
      <c r="A1503" s="12"/>
      <c r="B1503" s="40"/>
      <c r="C1503" s="17"/>
      <c r="D1503" s="38"/>
      <c r="E1503" s="15"/>
      <c r="F1503" s="12"/>
      <c r="G1503" s="12"/>
      <c r="H1503" s="12"/>
    </row>
    <row r="1504" spans="1:8" x14ac:dyDescent="0.2">
      <c r="A1504" s="12"/>
      <c r="B1504" s="40"/>
      <c r="C1504" s="17"/>
      <c r="D1504" s="38"/>
      <c r="E1504" s="15"/>
      <c r="F1504" s="12"/>
      <c r="G1504" s="12"/>
      <c r="H1504" s="12"/>
    </row>
    <row r="1505" spans="1:8" x14ac:dyDescent="0.2">
      <c r="A1505" s="12"/>
      <c r="B1505" s="40"/>
      <c r="C1505" s="17"/>
      <c r="D1505" s="38"/>
      <c r="E1505" s="15"/>
      <c r="F1505" s="12"/>
      <c r="G1505" s="12"/>
      <c r="H1505" s="12"/>
    </row>
    <row r="1506" spans="1:8" x14ac:dyDescent="0.2">
      <c r="A1506" s="12"/>
      <c r="B1506" s="40"/>
      <c r="C1506" s="17"/>
      <c r="D1506" s="38"/>
      <c r="E1506" s="15"/>
      <c r="F1506" s="12"/>
      <c r="G1506" s="12"/>
      <c r="H1506" s="12"/>
    </row>
    <row r="1507" spans="1:8" x14ac:dyDescent="0.2">
      <c r="A1507" s="12"/>
      <c r="B1507" s="40"/>
      <c r="C1507" s="17"/>
      <c r="D1507" s="38"/>
      <c r="E1507" s="15"/>
      <c r="F1507" s="12"/>
      <c r="G1507" s="12"/>
      <c r="H1507" s="12"/>
    </row>
    <row r="1508" spans="1:8" x14ac:dyDescent="0.2">
      <c r="A1508" s="12"/>
      <c r="B1508" s="40"/>
      <c r="C1508" s="17"/>
      <c r="D1508" s="38"/>
      <c r="E1508" s="15"/>
      <c r="F1508" s="12"/>
      <c r="G1508" s="12"/>
      <c r="H1508" s="12"/>
    </row>
    <row r="1509" spans="1:8" x14ac:dyDescent="0.2">
      <c r="A1509" s="12"/>
      <c r="B1509" s="40"/>
      <c r="C1509" s="17"/>
      <c r="D1509" s="38"/>
      <c r="E1509" s="15"/>
      <c r="F1509" s="12"/>
      <c r="G1509" s="12"/>
      <c r="H1509" s="12"/>
    </row>
    <row r="1510" spans="1:8" x14ac:dyDescent="0.2">
      <c r="A1510" s="12"/>
      <c r="B1510" s="40"/>
      <c r="C1510" s="17"/>
      <c r="D1510" s="38"/>
      <c r="E1510" s="15"/>
      <c r="F1510" s="12"/>
      <c r="G1510" s="12"/>
      <c r="H1510" s="12"/>
    </row>
    <row r="1511" spans="1:8" x14ac:dyDescent="0.2">
      <c r="A1511" s="12"/>
      <c r="B1511" s="40"/>
      <c r="C1511" s="17"/>
      <c r="D1511" s="38"/>
      <c r="E1511" s="15"/>
      <c r="F1511" s="12"/>
      <c r="G1511" s="12"/>
      <c r="H1511" s="12"/>
    </row>
    <row r="1512" spans="1:8" x14ac:dyDescent="0.2">
      <c r="A1512" s="12"/>
      <c r="B1512" s="40"/>
      <c r="C1512" s="17"/>
      <c r="D1512" s="38"/>
      <c r="E1512" s="15"/>
      <c r="F1512" s="12"/>
      <c r="G1512" s="12"/>
      <c r="H1512" s="12"/>
    </row>
    <row r="1513" spans="1:8" x14ac:dyDescent="0.2">
      <c r="A1513" s="12"/>
      <c r="B1513" s="40"/>
      <c r="C1513" s="17"/>
      <c r="D1513" s="38"/>
      <c r="E1513" s="15"/>
      <c r="F1513" s="12"/>
      <c r="G1513" s="12"/>
      <c r="H1513" s="12"/>
    </row>
    <row r="1514" spans="1:8" x14ac:dyDescent="0.2">
      <c r="A1514" s="12"/>
      <c r="B1514" s="40"/>
      <c r="C1514" s="17"/>
      <c r="D1514" s="38"/>
      <c r="E1514" s="15"/>
      <c r="F1514" s="12"/>
      <c r="G1514" s="12"/>
      <c r="H1514" s="12"/>
    </row>
    <row r="1515" spans="1:8" x14ac:dyDescent="0.2">
      <c r="A1515" s="12"/>
      <c r="B1515" s="40"/>
      <c r="C1515" s="17"/>
      <c r="D1515" s="38"/>
      <c r="E1515" s="15"/>
      <c r="F1515" s="12"/>
      <c r="G1515" s="12"/>
      <c r="H1515" s="12"/>
    </row>
    <row r="1516" spans="1:8" x14ac:dyDescent="0.2">
      <c r="A1516" s="12"/>
      <c r="B1516" s="40"/>
      <c r="C1516" s="17"/>
      <c r="D1516" s="38"/>
      <c r="E1516" s="15"/>
      <c r="F1516" s="12"/>
      <c r="G1516" s="12"/>
      <c r="H1516" s="12"/>
    </row>
    <row r="1517" spans="1:8" x14ac:dyDescent="0.2">
      <c r="A1517" s="12"/>
      <c r="B1517" s="40"/>
      <c r="C1517" s="17"/>
      <c r="D1517" s="38"/>
      <c r="E1517" s="15"/>
      <c r="F1517" s="12"/>
      <c r="G1517" s="12"/>
      <c r="H1517" s="12"/>
    </row>
    <row r="1518" spans="1:8" x14ac:dyDescent="0.2">
      <c r="A1518" s="12"/>
      <c r="B1518" s="40"/>
      <c r="C1518" s="17"/>
      <c r="D1518" s="38"/>
      <c r="E1518" s="15"/>
      <c r="F1518" s="12"/>
      <c r="G1518" s="12"/>
      <c r="H1518" s="12"/>
    </row>
    <row r="1519" spans="1:8" x14ac:dyDescent="0.2">
      <c r="A1519" s="12"/>
      <c r="B1519" s="40"/>
      <c r="C1519" s="17"/>
      <c r="D1519" s="38"/>
      <c r="E1519" s="15"/>
      <c r="F1519" s="12"/>
      <c r="G1519" s="12"/>
      <c r="H1519" s="12"/>
    </row>
    <row r="1520" spans="1:8" x14ac:dyDescent="0.2">
      <c r="A1520" s="12"/>
      <c r="B1520" s="40"/>
      <c r="C1520" s="17"/>
      <c r="D1520" s="38"/>
      <c r="E1520" s="15"/>
      <c r="F1520" s="12"/>
      <c r="G1520" s="12"/>
      <c r="H1520" s="12"/>
    </row>
    <row r="1521" spans="1:8" x14ac:dyDescent="0.2">
      <c r="A1521" s="12"/>
      <c r="B1521" s="40"/>
      <c r="C1521" s="17"/>
      <c r="D1521" s="38"/>
      <c r="E1521" s="15"/>
      <c r="F1521" s="12"/>
      <c r="G1521" s="12"/>
      <c r="H1521" s="12"/>
    </row>
    <row r="1522" spans="1:8" x14ac:dyDescent="0.2">
      <c r="A1522" s="12"/>
      <c r="B1522" s="40"/>
      <c r="C1522" s="17"/>
      <c r="D1522" s="38"/>
      <c r="E1522" s="15"/>
      <c r="F1522" s="12"/>
      <c r="G1522" s="12"/>
      <c r="H1522" s="12"/>
    </row>
    <row r="1523" spans="1:8" x14ac:dyDescent="0.2">
      <c r="A1523" s="12"/>
      <c r="B1523" s="40"/>
      <c r="C1523" s="17"/>
      <c r="D1523" s="38"/>
      <c r="E1523" s="15"/>
      <c r="F1523" s="12"/>
      <c r="G1523" s="12"/>
      <c r="H1523" s="12"/>
    </row>
    <row r="1524" spans="1:8" x14ac:dyDescent="0.2">
      <c r="A1524" s="12"/>
      <c r="B1524" s="40"/>
      <c r="C1524" s="17"/>
      <c r="D1524" s="38"/>
      <c r="E1524" s="15"/>
      <c r="F1524" s="12"/>
      <c r="G1524" s="12"/>
      <c r="H1524" s="12"/>
    </row>
    <row r="1525" spans="1:8" x14ac:dyDescent="0.2">
      <c r="A1525" s="12"/>
      <c r="B1525" s="40"/>
      <c r="C1525" s="17"/>
      <c r="D1525" s="38"/>
      <c r="E1525" s="15"/>
      <c r="F1525" s="12"/>
      <c r="G1525" s="12"/>
      <c r="H1525" s="12"/>
    </row>
    <row r="1526" spans="1:8" x14ac:dyDescent="0.2">
      <c r="A1526" s="12"/>
      <c r="B1526" s="40"/>
      <c r="C1526" s="17"/>
      <c r="D1526" s="38"/>
      <c r="E1526" s="15"/>
      <c r="F1526" s="12"/>
      <c r="G1526" s="12"/>
      <c r="H1526" s="12"/>
    </row>
    <row r="1527" spans="1:8" x14ac:dyDescent="0.2">
      <c r="A1527" s="12"/>
      <c r="B1527" s="40"/>
      <c r="C1527" s="17"/>
      <c r="D1527" s="38"/>
      <c r="E1527" s="15"/>
      <c r="F1527" s="12"/>
      <c r="G1527" s="12"/>
      <c r="H1527" s="12"/>
    </row>
    <row r="1528" spans="1:8" x14ac:dyDescent="0.2">
      <c r="A1528" s="12"/>
      <c r="B1528" s="40"/>
      <c r="C1528" s="17"/>
      <c r="D1528" s="38"/>
      <c r="E1528" s="15"/>
      <c r="F1528" s="12"/>
      <c r="G1528" s="12"/>
      <c r="H1528" s="12"/>
    </row>
    <row r="1529" spans="1:8" x14ac:dyDescent="0.2">
      <c r="A1529" s="12"/>
      <c r="B1529" s="40"/>
      <c r="C1529" s="17"/>
      <c r="D1529" s="38"/>
      <c r="E1529" s="15"/>
      <c r="F1529" s="12"/>
      <c r="G1529" s="12"/>
      <c r="H1529" s="12"/>
    </row>
    <row r="1530" spans="1:8" x14ac:dyDescent="0.2">
      <c r="A1530" s="12"/>
      <c r="B1530" s="40"/>
      <c r="C1530" s="17"/>
      <c r="D1530" s="38"/>
      <c r="E1530" s="15"/>
      <c r="F1530" s="12"/>
      <c r="G1530" s="12"/>
      <c r="H1530" s="12"/>
    </row>
    <row r="1531" spans="1:8" x14ac:dyDescent="0.2">
      <c r="A1531" s="12"/>
      <c r="B1531" s="40"/>
      <c r="C1531" s="17"/>
      <c r="D1531" s="38"/>
      <c r="E1531" s="15"/>
      <c r="F1531" s="12"/>
      <c r="G1531" s="12"/>
      <c r="H1531" s="12"/>
    </row>
    <row r="1532" spans="1:8" x14ac:dyDescent="0.2">
      <c r="A1532" s="12"/>
      <c r="B1532" s="40"/>
      <c r="C1532" s="17"/>
      <c r="D1532" s="38"/>
      <c r="E1532" s="15"/>
      <c r="F1532" s="12"/>
      <c r="G1532" s="12"/>
      <c r="H1532" s="12"/>
    </row>
    <row r="1533" spans="1:8" x14ac:dyDescent="0.2">
      <c r="A1533" s="12"/>
      <c r="B1533" s="40"/>
      <c r="C1533" s="17"/>
      <c r="D1533" s="38"/>
      <c r="E1533" s="15"/>
      <c r="F1533" s="12"/>
      <c r="G1533" s="12"/>
      <c r="H1533" s="12"/>
    </row>
    <row r="1534" spans="1:8" x14ac:dyDescent="0.2">
      <c r="A1534" s="12"/>
      <c r="B1534" s="40"/>
      <c r="C1534" s="17"/>
      <c r="D1534" s="38"/>
      <c r="E1534" s="15"/>
      <c r="F1534" s="12"/>
      <c r="G1534" s="12"/>
      <c r="H1534" s="12"/>
    </row>
    <row r="1535" spans="1:8" x14ac:dyDescent="0.2">
      <c r="A1535" s="12"/>
      <c r="B1535" s="40"/>
      <c r="C1535" s="17"/>
      <c r="D1535" s="38"/>
      <c r="E1535" s="15"/>
      <c r="F1535" s="12"/>
      <c r="G1535" s="12"/>
      <c r="H1535" s="12"/>
    </row>
    <row r="1536" spans="1:8" x14ac:dyDescent="0.2">
      <c r="A1536" s="12"/>
      <c r="B1536" s="40"/>
      <c r="C1536" s="17"/>
      <c r="D1536" s="38"/>
      <c r="E1536" s="15"/>
      <c r="F1536" s="12"/>
      <c r="G1536" s="12"/>
      <c r="H1536" s="12"/>
    </row>
    <row r="1537" spans="1:8" x14ac:dyDescent="0.2">
      <c r="A1537" s="12"/>
      <c r="B1537" s="40"/>
      <c r="C1537" s="17"/>
      <c r="D1537" s="38"/>
      <c r="E1537" s="15"/>
      <c r="F1537" s="12"/>
      <c r="G1537" s="12"/>
      <c r="H1537" s="12"/>
    </row>
    <row r="1538" spans="1:8" x14ac:dyDescent="0.2">
      <c r="A1538" s="12"/>
      <c r="B1538" s="40"/>
      <c r="C1538" s="17"/>
      <c r="D1538" s="38"/>
      <c r="E1538" s="15"/>
      <c r="F1538" s="12"/>
      <c r="G1538" s="12"/>
      <c r="H1538" s="12"/>
    </row>
    <row r="1539" spans="1:8" x14ac:dyDescent="0.2">
      <c r="A1539" s="12"/>
      <c r="B1539" s="40"/>
      <c r="C1539" s="17"/>
      <c r="D1539" s="38"/>
      <c r="E1539" s="15"/>
      <c r="F1539" s="12"/>
      <c r="G1539" s="12"/>
      <c r="H1539" s="12"/>
    </row>
    <row r="1540" spans="1:8" x14ac:dyDescent="0.2">
      <c r="A1540" s="12"/>
      <c r="B1540" s="40"/>
      <c r="C1540" s="17"/>
      <c r="D1540" s="38"/>
      <c r="E1540" s="15"/>
      <c r="F1540" s="12"/>
      <c r="G1540" s="12"/>
      <c r="H1540" s="12"/>
    </row>
    <row r="1541" spans="1:8" x14ac:dyDescent="0.2">
      <c r="A1541" s="12"/>
      <c r="B1541" s="40"/>
      <c r="C1541" s="17"/>
      <c r="D1541" s="38"/>
      <c r="E1541" s="15"/>
      <c r="F1541" s="12"/>
      <c r="G1541" s="12"/>
      <c r="H1541" s="12"/>
    </row>
    <row r="1542" spans="1:8" x14ac:dyDescent="0.2">
      <c r="A1542" s="12"/>
      <c r="B1542" s="40"/>
      <c r="C1542" s="17"/>
      <c r="D1542" s="38"/>
      <c r="E1542" s="15"/>
      <c r="F1542" s="12"/>
      <c r="G1542" s="12"/>
      <c r="H1542" s="12"/>
    </row>
    <row r="1543" spans="1:8" x14ac:dyDescent="0.2">
      <c r="A1543" s="12"/>
      <c r="B1543" s="40"/>
      <c r="C1543" s="17"/>
      <c r="D1543" s="38"/>
      <c r="E1543" s="15"/>
      <c r="F1543" s="12"/>
      <c r="G1543" s="12"/>
      <c r="H1543" s="12"/>
    </row>
    <row r="1544" spans="1:8" x14ac:dyDescent="0.2">
      <c r="A1544" s="12"/>
      <c r="B1544" s="40"/>
      <c r="C1544" s="17"/>
      <c r="D1544" s="38"/>
      <c r="E1544" s="15"/>
      <c r="F1544" s="12"/>
      <c r="G1544" s="12"/>
      <c r="H1544" s="12"/>
    </row>
    <row r="1545" spans="1:8" x14ac:dyDescent="0.2">
      <c r="A1545" s="12"/>
      <c r="B1545" s="40"/>
      <c r="C1545" s="17"/>
      <c r="D1545" s="38"/>
      <c r="E1545" s="15"/>
      <c r="F1545" s="12"/>
      <c r="G1545" s="12"/>
      <c r="H1545" s="12"/>
    </row>
    <row r="1546" spans="1:8" x14ac:dyDescent="0.2">
      <c r="A1546" s="41"/>
      <c r="B1546" s="41"/>
      <c r="C1546" s="41"/>
      <c r="E1546" s="37"/>
      <c r="F1546" s="41"/>
      <c r="G1546" s="42"/>
      <c r="H1546" s="42"/>
    </row>
    <row r="1547" spans="1:8" x14ac:dyDescent="0.2">
      <c r="A1547" s="41"/>
      <c r="B1547" s="41"/>
      <c r="C1547" s="41"/>
      <c r="E1547" s="37"/>
      <c r="F1547" s="41"/>
      <c r="G1547" s="42"/>
      <c r="H1547" s="42"/>
    </row>
    <row r="1548" spans="1:8" x14ac:dyDescent="0.2">
      <c r="A1548" s="41"/>
      <c r="B1548" s="41"/>
      <c r="C1548" s="41"/>
      <c r="E1548" s="37"/>
      <c r="F1548" s="41"/>
      <c r="G1548" s="42"/>
      <c r="H1548" s="42"/>
    </row>
    <row r="1549" spans="1:8" x14ac:dyDescent="0.2">
      <c r="A1549" s="41"/>
      <c r="B1549" s="41"/>
      <c r="C1549" s="41"/>
      <c r="E1549" s="37"/>
      <c r="F1549" s="41"/>
      <c r="G1549" s="42"/>
      <c r="H1549" s="42"/>
    </row>
    <row r="1550" spans="1:8" x14ac:dyDescent="0.2">
      <c r="A1550" s="41"/>
      <c r="B1550" s="41"/>
      <c r="C1550" s="41"/>
      <c r="E1550" s="37"/>
      <c r="F1550" s="41"/>
      <c r="G1550" s="42"/>
      <c r="H1550" s="42"/>
    </row>
    <row r="1551" spans="1:8" x14ac:dyDescent="0.2">
      <c r="A1551" s="41"/>
      <c r="B1551" s="41"/>
      <c r="C1551" s="41"/>
      <c r="E1551" s="37"/>
      <c r="F1551" s="41"/>
      <c r="G1551" s="42"/>
      <c r="H1551" s="42"/>
    </row>
    <row r="1552" spans="1:8" x14ac:dyDescent="0.2">
      <c r="A1552" s="41"/>
      <c r="B1552" s="41"/>
      <c r="C1552" s="41"/>
      <c r="E1552" s="37"/>
      <c r="F1552" s="41"/>
      <c r="G1552" s="42"/>
      <c r="H1552" s="42"/>
    </row>
    <row r="1553" spans="1:8" x14ac:dyDescent="0.2">
      <c r="A1553" s="41"/>
      <c r="B1553" s="41"/>
      <c r="C1553" s="41"/>
      <c r="E1553" s="37"/>
      <c r="F1553" s="41"/>
      <c r="G1553" s="42"/>
      <c r="H1553" s="42"/>
    </row>
    <row r="1554" spans="1:8" x14ac:dyDescent="0.2">
      <c r="A1554" s="41"/>
      <c r="B1554" s="41"/>
      <c r="C1554" s="41"/>
      <c r="E1554" s="37"/>
      <c r="F1554" s="41"/>
      <c r="G1554" s="42"/>
      <c r="H1554" s="42"/>
    </row>
    <row r="1555" spans="1:8" x14ac:dyDescent="0.2">
      <c r="A1555" s="41"/>
      <c r="B1555" s="41"/>
      <c r="C1555" s="41"/>
      <c r="E1555" s="37"/>
      <c r="F1555" s="41"/>
      <c r="G1555" s="42"/>
      <c r="H1555" s="42"/>
    </row>
    <row r="1556" spans="1:8" x14ac:dyDescent="0.2">
      <c r="A1556" s="41"/>
      <c r="B1556" s="41"/>
      <c r="C1556" s="41"/>
      <c r="E1556" s="37"/>
      <c r="F1556" s="41"/>
      <c r="G1556" s="42"/>
      <c r="H1556" s="42"/>
    </row>
    <row r="1557" spans="1:8" x14ac:dyDescent="0.2">
      <c r="A1557" s="41"/>
      <c r="B1557" s="41"/>
      <c r="C1557" s="41"/>
      <c r="E1557" s="37"/>
      <c r="F1557" s="41"/>
      <c r="G1557" s="42"/>
      <c r="H1557" s="42"/>
    </row>
    <row r="1558" spans="1:8" x14ac:dyDescent="0.2">
      <c r="A1558" s="41"/>
      <c r="B1558" s="41"/>
      <c r="C1558" s="41"/>
      <c r="E1558" s="37"/>
      <c r="F1558" s="41"/>
      <c r="G1558" s="42"/>
      <c r="H1558" s="42"/>
    </row>
    <row r="1559" spans="1:8" x14ac:dyDescent="0.2">
      <c r="A1559" s="41"/>
      <c r="B1559" s="41"/>
      <c r="C1559" s="41"/>
      <c r="E1559" s="37"/>
      <c r="F1559" s="41"/>
      <c r="G1559" s="42"/>
      <c r="H1559" s="42"/>
    </row>
    <row r="1560" spans="1:8" x14ac:dyDescent="0.2">
      <c r="A1560" s="41"/>
      <c r="B1560" s="41"/>
      <c r="C1560" s="41"/>
      <c r="E1560" s="37"/>
      <c r="F1560" s="41"/>
      <c r="G1560" s="42"/>
      <c r="H1560" s="42"/>
    </row>
    <row r="1561" spans="1:8" x14ac:dyDescent="0.2">
      <c r="A1561" s="41"/>
      <c r="B1561" s="41"/>
      <c r="C1561" s="41"/>
      <c r="E1561" s="37"/>
      <c r="F1561" s="41"/>
      <c r="G1561" s="42"/>
      <c r="H1561" s="42"/>
    </row>
    <row r="1562" spans="1:8" x14ac:dyDescent="0.2">
      <c r="A1562" s="41"/>
      <c r="B1562" s="41"/>
      <c r="C1562" s="41"/>
      <c r="E1562" s="37"/>
      <c r="F1562" s="41"/>
      <c r="G1562" s="42"/>
      <c r="H1562" s="42"/>
    </row>
    <row r="1563" spans="1:8" x14ac:dyDescent="0.2">
      <c r="A1563" s="41"/>
      <c r="B1563" s="41"/>
      <c r="C1563" s="41"/>
      <c r="E1563" s="37"/>
      <c r="F1563" s="41"/>
      <c r="G1563" s="42"/>
      <c r="H1563" s="42"/>
    </row>
    <row r="1564" spans="1:8" x14ac:dyDescent="0.2">
      <c r="A1564" s="41"/>
      <c r="B1564" s="41"/>
      <c r="C1564" s="41"/>
      <c r="E1564" s="37"/>
      <c r="F1564" s="41"/>
      <c r="G1564" s="42"/>
      <c r="H1564" s="42"/>
    </row>
    <row r="1565" spans="1:8" x14ac:dyDescent="0.2">
      <c r="A1565" s="41"/>
      <c r="B1565" s="41"/>
      <c r="C1565" s="41"/>
      <c r="E1565" s="37"/>
      <c r="F1565" s="41"/>
      <c r="G1565" s="42"/>
      <c r="H1565" s="42"/>
    </row>
    <row r="1566" spans="1:8" x14ac:dyDescent="0.2">
      <c r="A1566" s="41"/>
      <c r="B1566" s="41"/>
      <c r="C1566" s="41"/>
      <c r="E1566" s="37"/>
      <c r="F1566" s="41"/>
      <c r="G1566" s="42"/>
      <c r="H1566" s="42"/>
    </row>
    <row r="1567" spans="1:8" x14ac:dyDescent="0.2">
      <c r="A1567" s="41"/>
      <c r="B1567" s="41"/>
      <c r="C1567" s="41"/>
      <c r="E1567" s="37"/>
      <c r="F1567" s="41"/>
      <c r="G1567" s="42"/>
      <c r="H1567" s="42"/>
    </row>
    <row r="1568" spans="1:8" x14ac:dyDescent="0.2">
      <c r="A1568" s="41"/>
      <c r="B1568" s="41"/>
      <c r="C1568" s="41"/>
      <c r="E1568" s="37"/>
      <c r="F1568" s="41"/>
      <c r="G1568" s="42"/>
      <c r="H1568" s="42"/>
    </row>
    <row r="1569" spans="1:3" x14ac:dyDescent="0.2">
      <c r="A1569" s="41"/>
      <c r="B1569" s="41"/>
      <c r="C1569" s="41"/>
    </row>
    <row r="1570" spans="1:3" x14ac:dyDescent="0.2">
      <c r="A1570" s="41"/>
      <c r="B1570" s="41"/>
      <c r="C1570" s="41"/>
    </row>
    <row r="1571" spans="1:3" x14ac:dyDescent="0.2">
      <c r="A1571" s="41"/>
      <c r="B1571" s="41"/>
      <c r="C1571" s="41"/>
    </row>
    <row r="1572" spans="1:3" x14ac:dyDescent="0.2">
      <c r="A1572" s="41"/>
      <c r="B1572" s="41"/>
      <c r="C1572" s="41"/>
    </row>
    <row r="1573" spans="1:3" x14ac:dyDescent="0.2">
      <c r="A1573" s="41"/>
      <c r="B1573" s="41"/>
      <c r="C1573" s="41"/>
    </row>
    <row r="1574" spans="1:3" x14ac:dyDescent="0.2">
      <c r="A1574" s="41"/>
      <c r="B1574" s="41"/>
      <c r="C1574" s="41"/>
    </row>
    <row r="1575" spans="1:3" x14ac:dyDescent="0.2">
      <c r="A1575" s="41"/>
      <c r="B1575" s="41"/>
      <c r="C1575" s="41"/>
    </row>
    <row r="1576" spans="1:3" x14ac:dyDescent="0.2">
      <c r="A1576" s="41"/>
      <c r="B1576" s="41"/>
      <c r="C1576" s="41"/>
    </row>
    <row r="1577" spans="1:3" x14ac:dyDescent="0.2">
      <c r="A1577" s="41"/>
      <c r="B1577" s="41"/>
      <c r="C1577" s="41"/>
    </row>
    <row r="1578" spans="1:3" x14ac:dyDescent="0.2">
      <c r="A1578" s="41"/>
      <c r="B1578" s="41"/>
      <c r="C1578" s="41"/>
    </row>
    <row r="1579" spans="1:3" x14ac:dyDescent="0.2">
      <c r="A1579" s="41"/>
      <c r="B1579" s="41"/>
      <c r="C1579" s="41"/>
    </row>
    <row r="1580" spans="1:3" x14ac:dyDescent="0.2">
      <c r="A1580" s="41"/>
      <c r="B1580" s="41"/>
      <c r="C1580" s="41"/>
    </row>
    <row r="1581" spans="1:3" x14ac:dyDescent="0.2">
      <c r="A1581" s="41"/>
      <c r="B1581" s="41"/>
      <c r="C1581" s="41"/>
    </row>
    <row r="1582" spans="1:3" x14ac:dyDescent="0.2">
      <c r="A1582" s="41"/>
      <c r="B1582" s="41"/>
      <c r="C1582" s="41"/>
    </row>
    <row r="1583" spans="1:3" x14ac:dyDescent="0.2">
      <c r="A1583" s="41"/>
      <c r="B1583" s="41"/>
      <c r="C1583" s="41"/>
    </row>
    <row r="1584" spans="1:3" x14ac:dyDescent="0.2">
      <c r="A1584" s="41"/>
      <c r="B1584" s="41"/>
      <c r="C1584" s="41"/>
    </row>
    <row r="1585" spans="1:3" x14ac:dyDescent="0.2">
      <c r="A1585" s="41"/>
      <c r="B1585" s="41"/>
      <c r="C1585" s="41"/>
    </row>
  </sheetData>
  <conditionalFormatting sqref="A1292:A1327">
    <cfRule type="expression" dxfId="20" priority="31" stopIfTrue="1">
      <formula>AND(COUNTIF($B$2:$B$962, A1292)&gt;1,NOT(ISBLANK(A1292)))</formula>
    </cfRule>
  </conditionalFormatting>
  <conditionalFormatting sqref="A1261:D1263 A1265:D1267 A1269:D1271">
    <cfRule type="expression" dxfId="19" priority="32" stopIfTrue="1">
      <formula>AND(COUNTIF($E$2:$E$962, A1261)&gt;1,NOT(ISBLANK(A1261)))</formula>
    </cfRule>
  </conditionalFormatting>
  <conditionalFormatting sqref="A41:A67">
    <cfRule type="expression" dxfId="18" priority="19" stopIfTrue="1">
      <formula>AND(COUNTIF(#REF!, A41)&gt;1,NOT(ISBLANK(A41)))</formula>
    </cfRule>
  </conditionalFormatting>
  <conditionalFormatting sqref="A56:A67 A52:A53">
    <cfRule type="duplicateValues" dxfId="17" priority="18"/>
  </conditionalFormatting>
  <conditionalFormatting sqref="A1335:A1386">
    <cfRule type="expression" dxfId="16" priority="17" stopIfTrue="1">
      <formula>AND(COUNTIF(#REF!, A1335)&gt;1,NOT(ISBLANK(A1335)))</formula>
    </cfRule>
  </conditionalFormatting>
  <conditionalFormatting sqref="A1338">
    <cfRule type="duplicateValues" dxfId="15" priority="16"/>
  </conditionalFormatting>
  <conditionalFormatting sqref="A1339:A1340 A1335:A1337">
    <cfRule type="duplicateValues" dxfId="14" priority="15"/>
  </conditionalFormatting>
  <conditionalFormatting sqref="A1341:A1342">
    <cfRule type="duplicateValues" dxfId="13" priority="14"/>
  </conditionalFormatting>
  <conditionalFormatting sqref="A1343:A1355">
    <cfRule type="duplicateValues" dxfId="12" priority="13"/>
  </conditionalFormatting>
  <conditionalFormatting sqref="A1356:A1360">
    <cfRule type="duplicateValues" dxfId="11" priority="12"/>
  </conditionalFormatting>
  <conditionalFormatting sqref="A1361:A1384">
    <cfRule type="duplicateValues" dxfId="10" priority="11"/>
  </conditionalFormatting>
  <conditionalFormatting sqref="A1385:A1386">
    <cfRule type="duplicateValues" dxfId="9" priority="10"/>
  </conditionalFormatting>
  <conditionalFormatting sqref="A1387:A1392">
    <cfRule type="duplicateValues" dxfId="8" priority="8"/>
    <cfRule type="expression" dxfId="7" priority="9" stopIfTrue="1">
      <formula>AND(COUNTIF(#REF!, A1387)&gt;1,NOT(ISBLANK(A1387)))</formula>
    </cfRule>
  </conditionalFormatting>
  <conditionalFormatting sqref="A1393">
    <cfRule type="duplicateValues" dxfId="6" priority="6"/>
    <cfRule type="expression" dxfId="5" priority="7" stopIfTrue="1">
      <formula>AND(COUNTIF(#REF!, A1393)&gt;1,NOT(ISBLANK(A1393)))</formula>
    </cfRule>
  </conditionalFormatting>
  <conditionalFormatting sqref="A1395:A1398">
    <cfRule type="expression" dxfId="4" priority="5" stopIfTrue="1">
      <formula>AND(COUNTIF(#REF!, A1395)&gt;1,NOT(ISBLANK(A1395)))</formula>
    </cfRule>
  </conditionalFormatting>
  <conditionalFormatting sqref="A1399:A1409">
    <cfRule type="duplicateValues" dxfId="3" priority="4"/>
  </conditionalFormatting>
  <conditionalFormatting sqref="A1399:A1416">
    <cfRule type="expression" dxfId="2" priority="3" stopIfTrue="1">
      <formula>AND(COUNTIF($B$8:$B$8, A1399)&gt;1,NOT(ISBLANK(A1399)))</formula>
    </cfRule>
  </conditionalFormatting>
  <conditionalFormatting sqref="A1410:A1412">
    <cfRule type="duplicateValues" dxfId="1" priority="2"/>
  </conditionalFormatting>
  <conditionalFormatting sqref="A1413:A1416">
    <cfRule type="duplicateValues" dxfId="0" priority="1"/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B619 C3:C1416 A3:A1416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18.11-07.12.2024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2024-10-29T06:28:22Z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2024-10-29T06:26:11Z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2d9f444a-686e-40a2-aff4-d2a02ea37366</vt:lpwstr>
  </property>
  <property fmtid="{D5CDD505-2E9C-101B-9397-08002B2CF9AE}" pid="16" name="MSIP_Label_b029aa55-c717-49c7-96ad-42e953bc7712_ContentBits">
    <vt:lpwstr>0</vt:lpwstr>
  </property>
</Properties>
</file>